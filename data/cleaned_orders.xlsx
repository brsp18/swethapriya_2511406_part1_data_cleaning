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rswe\Downloads\"/>
    </mc:Choice>
  </mc:AlternateContent>
  <xr:revisionPtr revIDLastSave="0" documentId="8_{2815E0BA-9E0D-4FE5-A52C-447B9FBCB763}" xr6:coauthVersionLast="47" xr6:coauthVersionMax="47" xr10:uidLastSave="{00000000-0000-0000-0000-000000000000}"/>
  <bookViews>
    <workbookView xWindow="-108" yWindow="-108" windowWidth="23256" windowHeight="13176" activeTab="3" xr2:uid="{00000000-000D-0000-FFFF-FFFF00000000}"/>
  </bookViews>
  <sheets>
    <sheet name="cleaned_data" sheetId="1" r:id="rId1"/>
    <sheet name="business_rules" sheetId="2" r:id="rId2"/>
    <sheet name="sales_summary" sheetId="3" r:id="rId3"/>
    <sheet name="pivot_summary" sheetId="4" r:id="rId4"/>
  </sheets>
  <definedNames>
    <definedName name="_xlnm._FilterDatabase" localSheetId="0" hidden="1">cleaned_data!$A$1:$V$1</definedName>
  </definedNames>
  <calcPr calcId="191029"/>
  <pivotCaches>
    <pivotCache cacheId="20" r:id="rId5"/>
  </pivotCaches>
</workbook>
</file>

<file path=xl/calcChain.xml><?xml version="1.0" encoding="utf-8"?>
<calcChain xmlns="http://schemas.openxmlformats.org/spreadsheetml/2006/main">
  <c r="AQ3" i="3" l="1"/>
  <c r="AQ4" i="3"/>
  <c r="AQ5" i="3"/>
  <c r="AQ6" i="3"/>
  <c r="AQ7" i="3"/>
  <c r="AQ8" i="3"/>
  <c r="AQ9" i="3"/>
  <c r="AQ10" i="3"/>
  <c r="AQ11" i="3"/>
  <c r="AQ12" i="3"/>
  <c r="AQ13" i="3"/>
  <c r="AQ14" i="3"/>
  <c r="AQ15" i="3"/>
  <c r="AQ16" i="3"/>
  <c r="AQ17" i="3"/>
  <c r="AQ18" i="3"/>
  <c r="AQ19" i="3"/>
  <c r="AQ20" i="3"/>
  <c r="AQ21" i="3"/>
  <c r="AQ22" i="3"/>
  <c r="AQ23" i="3"/>
  <c r="AQ24" i="3"/>
  <c r="AQ25" i="3"/>
  <c r="AQ26" i="3"/>
  <c r="AQ27" i="3"/>
  <c r="AQ28" i="3"/>
  <c r="AQ29" i="3"/>
  <c r="AQ30" i="3"/>
  <c r="AQ31" i="3"/>
  <c r="AQ32" i="3"/>
  <c r="AQ33" i="3"/>
  <c r="AQ34" i="3"/>
  <c r="AQ35" i="3"/>
  <c r="AQ36" i="3"/>
  <c r="AQ37" i="3"/>
  <c r="AQ38" i="3"/>
  <c r="AQ39" i="3"/>
  <c r="AQ40" i="3"/>
  <c r="AQ41" i="3"/>
  <c r="AQ42" i="3"/>
  <c r="AQ43" i="3"/>
  <c r="AQ44" i="3"/>
  <c r="AQ45" i="3"/>
  <c r="AQ46" i="3"/>
  <c r="AQ47" i="3"/>
  <c r="AQ48" i="3"/>
  <c r="AQ49" i="3"/>
  <c r="AQ50" i="3"/>
  <c r="AQ51" i="3"/>
  <c r="AQ52" i="3"/>
  <c r="AQ53" i="3"/>
  <c r="AQ54" i="3"/>
  <c r="AQ55" i="3"/>
  <c r="AQ56" i="3"/>
  <c r="AQ57" i="3"/>
  <c r="AQ58" i="3"/>
  <c r="AQ59" i="3"/>
  <c r="AQ60" i="3"/>
  <c r="AQ61" i="3"/>
  <c r="AQ62" i="3"/>
  <c r="AQ63" i="3"/>
  <c r="AQ64" i="3"/>
  <c r="AQ65" i="3"/>
  <c r="AQ66" i="3"/>
  <c r="AQ67" i="3"/>
  <c r="AQ68" i="3"/>
  <c r="AQ69" i="3"/>
  <c r="AQ70" i="3"/>
  <c r="AQ71" i="3"/>
  <c r="AQ72" i="3"/>
  <c r="AQ73" i="3"/>
  <c r="AQ74" i="3"/>
  <c r="AQ75" i="3"/>
  <c r="AQ76" i="3"/>
  <c r="AQ77" i="3"/>
  <c r="AQ78" i="3"/>
  <c r="AQ79" i="3"/>
  <c r="AQ80" i="3"/>
  <c r="AQ81" i="3"/>
  <c r="AQ82" i="3"/>
  <c r="AQ83" i="3"/>
  <c r="AQ84" i="3"/>
  <c r="AQ85" i="3"/>
  <c r="AQ86" i="3"/>
  <c r="AQ87" i="3"/>
  <c r="AQ88" i="3"/>
  <c r="AQ89" i="3"/>
  <c r="AQ90" i="3"/>
  <c r="AQ91" i="3"/>
  <c r="AQ92" i="3"/>
  <c r="AQ93" i="3"/>
  <c r="AQ94" i="3"/>
  <c r="AQ95" i="3"/>
  <c r="AQ96" i="3"/>
  <c r="AQ97" i="3"/>
  <c r="AQ98" i="3"/>
  <c r="AQ99" i="3"/>
  <c r="AQ100" i="3"/>
  <c r="AQ101" i="3"/>
  <c r="AQ102" i="3"/>
  <c r="AQ103" i="3"/>
  <c r="AQ104" i="3"/>
  <c r="AQ105" i="3"/>
  <c r="AQ106" i="3"/>
  <c r="AQ107" i="3"/>
  <c r="AQ108" i="3"/>
  <c r="AQ109" i="3"/>
  <c r="AQ110" i="3"/>
  <c r="AQ111" i="3"/>
  <c r="AQ112" i="3"/>
  <c r="AQ113" i="3"/>
  <c r="AQ114" i="3"/>
  <c r="AQ115" i="3"/>
  <c r="AQ116" i="3"/>
  <c r="AQ117" i="3"/>
  <c r="AQ118" i="3"/>
  <c r="AQ119" i="3"/>
  <c r="AQ120" i="3"/>
  <c r="AQ121" i="3"/>
  <c r="AQ122" i="3"/>
  <c r="AQ123" i="3"/>
  <c r="AQ124" i="3"/>
  <c r="AQ125" i="3"/>
  <c r="AQ126" i="3"/>
  <c r="AQ127" i="3"/>
  <c r="AQ128" i="3"/>
  <c r="AQ129" i="3"/>
  <c r="AQ130" i="3"/>
  <c r="AQ131" i="3"/>
  <c r="AQ132" i="3"/>
  <c r="AQ133" i="3"/>
  <c r="AQ134" i="3"/>
  <c r="AQ135" i="3"/>
  <c r="AQ136" i="3"/>
  <c r="AQ137" i="3"/>
  <c r="AQ138" i="3"/>
  <c r="AQ139" i="3"/>
  <c r="AQ140" i="3"/>
  <c r="AQ141" i="3"/>
  <c r="AQ142" i="3"/>
  <c r="AQ143" i="3"/>
  <c r="AQ144" i="3"/>
  <c r="AQ145" i="3"/>
  <c r="AQ146" i="3"/>
  <c r="AQ147" i="3"/>
  <c r="AQ148" i="3"/>
  <c r="AQ149" i="3"/>
  <c r="AQ150" i="3"/>
  <c r="AQ151" i="3"/>
  <c r="AQ152" i="3"/>
  <c r="AQ153" i="3"/>
  <c r="AQ154" i="3"/>
  <c r="AQ155" i="3"/>
  <c r="AQ156" i="3"/>
  <c r="AQ157" i="3"/>
  <c r="AQ158" i="3"/>
  <c r="AQ159" i="3"/>
  <c r="AQ160" i="3"/>
  <c r="AQ161" i="3"/>
  <c r="AQ162" i="3"/>
  <c r="AQ163" i="3"/>
  <c r="AQ164" i="3"/>
  <c r="AQ165" i="3"/>
  <c r="AQ166" i="3"/>
  <c r="AQ167" i="3"/>
  <c r="AQ168" i="3"/>
  <c r="AQ169" i="3"/>
  <c r="AQ170" i="3"/>
  <c r="AQ171" i="3"/>
  <c r="AQ172" i="3"/>
  <c r="AQ173" i="3"/>
  <c r="AQ174" i="3"/>
  <c r="AQ175" i="3"/>
  <c r="AQ176" i="3"/>
  <c r="AQ177" i="3"/>
  <c r="AQ178" i="3"/>
  <c r="AQ179" i="3"/>
  <c r="AQ180" i="3"/>
  <c r="AQ181" i="3"/>
  <c r="AQ182" i="3"/>
  <c r="AQ183" i="3"/>
  <c r="AQ184" i="3"/>
  <c r="AQ185" i="3"/>
  <c r="AQ186" i="3"/>
  <c r="AQ187" i="3"/>
  <c r="AQ188" i="3"/>
  <c r="AQ189" i="3"/>
  <c r="AQ190" i="3"/>
  <c r="AQ191" i="3"/>
  <c r="AQ192" i="3"/>
  <c r="AQ193" i="3"/>
  <c r="AQ194" i="3"/>
  <c r="AQ195" i="3"/>
  <c r="AQ196" i="3"/>
  <c r="AQ197" i="3"/>
  <c r="AQ198" i="3"/>
  <c r="AQ199" i="3"/>
  <c r="AQ200" i="3"/>
  <c r="AQ201" i="3"/>
  <c r="AQ202" i="3"/>
  <c r="AQ203" i="3"/>
  <c r="AQ204" i="3"/>
  <c r="AQ205" i="3"/>
  <c r="AQ206" i="3"/>
  <c r="AQ207" i="3"/>
  <c r="AQ208" i="3"/>
  <c r="AQ209" i="3"/>
  <c r="AQ210" i="3"/>
  <c r="AQ211" i="3"/>
  <c r="AQ212" i="3"/>
  <c r="AQ213" i="3"/>
  <c r="AQ214" i="3"/>
  <c r="AQ215" i="3"/>
  <c r="AQ216" i="3"/>
  <c r="AQ217" i="3"/>
  <c r="AQ218" i="3"/>
  <c r="AQ219" i="3"/>
  <c r="AQ220" i="3"/>
  <c r="AQ221" i="3"/>
  <c r="AQ222" i="3"/>
  <c r="AQ223" i="3"/>
  <c r="AQ224" i="3"/>
  <c r="AQ225" i="3"/>
  <c r="AQ226" i="3"/>
  <c r="AQ227" i="3"/>
  <c r="AQ228" i="3"/>
  <c r="AQ229" i="3"/>
  <c r="AQ230" i="3"/>
  <c r="AQ231" i="3"/>
  <c r="AQ232" i="3"/>
  <c r="AQ233" i="3"/>
  <c r="AQ234" i="3"/>
  <c r="AQ235" i="3"/>
  <c r="AQ236" i="3"/>
  <c r="AQ237" i="3"/>
  <c r="AQ238" i="3"/>
  <c r="AQ239" i="3"/>
  <c r="AQ240" i="3"/>
  <c r="AQ241" i="3"/>
  <c r="AQ242" i="3"/>
  <c r="AQ243" i="3"/>
  <c r="AQ244" i="3"/>
  <c r="AQ245" i="3"/>
  <c r="AQ246" i="3"/>
  <c r="AQ247" i="3"/>
  <c r="AQ248" i="3"/>
  <c r="AQ249" i="3"/>
  <c r="AQ250" i="3"/>
  <c r="AQ251" i="3"/>
  <c r="AQ252" i="3"/>
  <c r="AQ253" i="3"/>
  <c r="AQ254" i="3"/>
  <c r="AQ255" i="3"/>
  <c r="AQ256" i="3"/>
  <c r="AQ257" i="3"/>
  <c r="AQ258" i="3"/>
  <c r="AQ259" i="3"/>
  <c r="AQ260" i="3"/>
  <c r="AQ261" i="3"/>
  <c r="AQ262" i="3"/>
  <c r="AQ263" i="3"/>
  <c r="AQ264" i="3"/>
  <c r="AQ265" i="3"/>
  <c r="AQ266" i="3"/>
  <c r="AQ267" i="3"/>
  <c r="AQ268" i="3"/>
  <c r="AQ269" i="3"/>
  <c r="AQ270" i="3"/>
  <c r="AQ271" i="3"/>
  <c r="AQ272" i="3"/>
  <c r="AQ273" i="3"/>
  <c r="AQ274" i="3"/>
  <c r="AQ275" i="3"/>
  <c r="AQ276" i="3"/>
  <c r="AQ277" i="3"/>
  <c r="AQ278" i="3"/>
  <c r="AQ279" i="3"/>
  <c r="AQ280" i="3"/>
  <c r="AQ281" i="3"/>
  <c r="AQ282" i="3"/>
  <c r="AQ283" i="3"/>
  <c r="AQ284" i="3"/>
  <c r="AQ285" i="3"/>
  <c r="AQ286" i="3"/>
  <c r="AQ287" i="3"/>
  <c r="AQ288" i="3"/>
  <c r="AQ289" i="3"/>
  <c r="AQ290" i="3"/>
  <c r="AQ291" i="3"/>
  <c r="AQ292" i="3"/>
  <c r="AQ293" i="3"/>
  <c r="AQ294" i="3"/>
  <c r="AQ295" i="3"/>
  <c r="AQ296" i="3"/>
  <c r="AQ297" i="3"/>
  <c r="AQ298" i="3"/>
  <c r="AQ299" i="3"/>
  <c r="AQ300" i="3"/>
  <c r="AQ301" i="3"/>
  <c r="AQ302" i="3"/>
  <c r="AQ303" i="3"/>
  <c r="AQ304" i="3"/>
  <c r="AQ305" i="3"/>
  <c r="AQ306" i="3"/>
  <c r="AQ307" i="3"/>
  <c r="AQ308" i="3"/>
  <c r="AQ309" i="3"/>
  <c r="AQ310" i="3"/>
  <c r="AQ311" i="3"/>
  <c r="AQ312" i="3"/>
  <c r="AQ313" i="3"/>
  <c r="AQ314" i="3"/>
  <c r="AQ315" i="3"/>
  <c r="AQ316" i="3"/>
  <c r="AQ317" i="3"/>
  <c r="AQ318" i="3"/>
  <c r="AQ319" i="3"/>
  <c r="AQ320" i="3"/>
  <c r="AQ321" i="3"/>
  <c r="AQ322" i="3"/>
  <c r="AQ323" i="3"/>
  <c r="AQ324" i="3"/>
  <c r="AQ325" i="3"/>
  <c r="AQ326" i="3"/>
  <c r="AQ327" i="3"/>
  <c r="AQ328" i="3"/>
  <c r="AQ329" i="3"/>
  <c r="AQ330" i="3"/>
  <c r="AQ331" i="3"/>
  <c r="AQ332" i="3"/>
  <c r="AQ333" i="3"/>
  <c r="AQ334" i="3"/>
  <c r="AQ335" i="3"/>
  <c r="AQ336" i="3"/>
  <c r="AQ337" i="3"/>
  <c r="AQ338" i="3"/>
  <c r="AQ339" i="3"/>
  <c r="AQ340" i="3"/>
  <c r="AQ341" i="3"/>
  <c r="AQ342" i="3"/>
  <c r="AQ343" i="3"/>
  <c r="AQ344" i="3"/>
  <c r="AQ345" i="3"/>
  <c r="AQ346" i="3"/>
  <c r="AQ347" i="3"/>
  <c r="AQ348" i="3"/>
  <c r="AQ349" i="3"/>
  <c r="AQ350" i="3"/>
  <c r="AQ351" i="3"/>
  <c r="AQ352" i="3"/>
  <c r="AQ353" i="3"/>
  <c r="AQ354" i="3"/>
  <c r="AQ355" i="3"/>
  <c r="AQ356" i="3"/>
  <c r="AQ357" i="3"/>
  <c r="AQ358" i="3"/>
  <c r="AQ359" i="3"/>
  <c r="AQ360" i="3"/>
  <c r="AQ361" i="3"/>
  <c r="AQ362" i="3"/>
  <c r="AQ363" i="3"/>
  <c r="AQ364" i="3"/>
  <c r="AQ365" i="3"/>
  <c r="AQ366" i="3"/>
  <c r="AQ367" i="3"/>
  <c r="AQ368" i="3"/>
  <c r="AQ369" i="3"/>
  <c r="AQ370" i="3"/>
  <c r="AQ371" i="3"/>
  <c r="AQ372" i="3"/>
  <c r="AQ373" i="3"/>
  <c r="AQ374" i="3"/>
  <c r="AQ375" i="3"/>
  <c r="AQ376" i="3"/>
  <c r="AQ377" i="3"/>
  <c r="AQ378" i="3"/>
  <c r="AQ379" i="3"/>
  <c r="AQ380" i="3"/>
  <c r="AQ381" i="3"/>
  <c r="AQ382" i="3"/>
  <c r="AQ383" i="3"/>
  <c r="AQ384" i="3"/>
  <c r="AQ385" i="3"/>
  <c r="AQ386" i="3"/>
  <c r="AQ387" i="3"/>
  <c r="AQ388" i="3"/>
  <c r="AQ389" i="3"/>
  <c r="AQ390" i="3"/>
  <c r="AQ391" i="3"/>
  <c r="AQ392" i="3"/>
  <c r="AQ393" i="3"/>
  <c r="AQ394" i="3"/>
  <c r="AQ395" i="3"/>
  <c r="AQ396" i="3"/>
  <c r="AQ397" i="3"/>
  <c r="AQ398" i="3"/>
  <c r="AQ399" i="3"/>
  <c r="AQ400" i="3"/>
  <c r="AQ401" i="3"/>
  <c r="AQ402" i="3"/>
  <c r="AQ403" i="3"/>
  <c r="AQ404" i="3"/>
  <c r="AQ405" i="3"/>
  <c r="AQ406" i="3"/>
  <c r="AQ407" i="3"/>
  <c r="AQ408" i="3"/>
  <c r="AQ409" i="3"/>
  <c r="AQ410" i="3"/>
  <c r="AQ411" i="3"/>
  <c r="AQ412" i="3"/>
  <c r="AQ413" i="3"/>
  <c r="AQ414" i="3"/>
  <c r="AQ415" i="3"/>
  <c r="AQ416" i="3"/>
  <c r="AQ417" i="3"/>
  <c r="AQ418" i="3"/>
  <c r="AQ419" i="3"/>
  <c r="AQ420" i="3"/>
  <c r="AQ421" i="3"/>
  <c r="AQ422" i="3"/>
  <c r="AQ423" i="3"/>
  <c r="AQ424" i="3"/>
  <c r="AQ425" i="3"/>
  <c r="AQ426" i="3"/>
  <c r="AQ427" i="3"/>
  <c r="AQ428" i="3"/>
  <c r="AQ429" i="3"/>
  <c r="AQ430" i="3"/>
  <c r="AQ431" i="3"/>
  <c r="AQ432" i="3"/>
  <c r="AQ433" i="3"/>
  <c r="AQ434" i="3"/>
  <c r="AQ435" i="3"/>
  <c r="AQ436" i="3"/>
  <c r="AQ437" i="3"/>
  <c r="AQ438" i="3"/>
  <c r="AQ439" i="3"/>
  <c r="AQ440" i="3"/>
  <c r="AQ441" i="3"/>
  <c r="AQ442" i="3"/>
  <c r="AQ443" i="3"/>
  <c r="AQ444" i="3"/>
  <c r="AQ445" i="3"/>
  <c r="AQ446" i="3"/>
  <c r="AQ447" i="3"/>
  <c r="AQ448" i="3"/>
  <c r="AQ449" i="3"/>
  <c r="AQ450" i="3"/>
  <c r="AQ451" i="3"/>
  <c r="AQ452" i="3"/>
  <c r="AQ453" i="3"/>
  <c r="AQ454" i="3"/>
  <c r="AQ455" i="3"/>
  <c r="AQ456" i="3"/>
  <c r="AQ457" i="3"/>
  <c r="AQ458" i="3"/>
  <c r="AQ459" i="3"/>
  <c r="AQ460" i="3"/>
  <c r="AQ461" i="3"/>
  <c r="AQ462" i="3"/>
  <c r="AQ463" i="3"/>
  <c r="AQ464" i="3"/>
  <c r="AQ465" i="3"/>
  <c r="AQ466" i="3"/>
  <c r="AQ467" i="3"/>
  <c r="AQ468" i="3"/>
  <c r="AQ469" i="3"/>
  <c r="AQ470" i="3"/>
  <c r="AQ471" i="3"/>
  <c r="AQ472" i="3"/>
  <c r="AQ473" i="3"/>
  <c r="AQ474" i="3"/>
  <c r="AQ475" i="3"/>
  <c r="AQ476" i="3"/>
  <c r="AQ477" i="3"/>
  <c r="AQ478" i="3"/>
  <c r="AQ479" i="3"/>
  <c r="AQ480" i="3"/>
  <c r="AQ481" i="3"/>
  <c r="AQ482" i="3"/>
  <c r="AQ483" i="3"/>
  <c r="AQ484" i="3"/>
  <c r="AQ485" i="3"/>
  <c r="AQ486" i="3"/>
  <c r="AQ487" i="3"/>
  <c r="AQ488" i="3"/>
  <c r="AQ489" i="3"/>
  <c r="AQ490" i="3"/>
  <c r="AQ491" i="3"/>
  <c r="AQ492" i="3"/>
  <c r="AQ493" i="3"/>
  <c r="AQ494" i="3"/>
  <c r="AQ495" i="3"/>
  <c r="AQ496" i="3"/>
  <c r="AQ497" i="3"/>
  <c r="AQ498" i="3"/>
  <c r="AQ499" i="3"/>
  <c r="AQ500" i="3"/>
  <c r="AQ501" i="3"/>
  <c r="AQ502" i="3"/>
  <c r="AQ503" i="3"/>
  <c r="AQ504" i="3"/>
  <c r="AQ505" i="3"/>
  <c r="AQ506" i="3"/>
  <c r="AQ507" i="3"/>
  <c r="AQ508" i="3"/>
  <c r="AQ509" i="3"/>
  <c r="AQ510" i="3"/>
  <c r="AQ511" i="3"/>
  <c r="AQ512" i="3"/>
  <c r="AQ513" i="3"/>
  <c r="AQ514" i="3"/>
  <c r="AQ515" i="3"/>
  <c r="AQ516" i="3"/>
  <c r="AQ517" i="3"/>
  <c r="AQ518" i="3"/>
  <c r="AQ519" i="3"/>
  <c r="AQ520" i="3"/>
  <c r="AQ521" i="3"/>
  <c r="AQ522" i="3"/>
  <c r="AQ523" i="3"/>
  <c r="AQ524" i="3"/>
  <c r="AQ525" i="3"/>
  <c r="AQ526" i="3"/>
  <c r="AQ527" i="3"/>
  <c r="AQ528" i="3"/>
  <c r="AQ529" i="3"/>
  <c r="AQ530" i="3"/>
  <c r="AQ531" i="3"/>
  <c r="AQ532" i="3"/>
  <c r="AQ533" i="3"/>
  <c r="AQ534" i="3"/>
  <c r="AQ535" i="3"/>
  <c r="AQ536" i="3"/>
  <c r="AQ537" i="3"/>
  <c r="AQ538" i="3"/>
  <c r="AQ539" i="3"/>
  <c r="AQ540" i="3"/>
  <c r="AQ541" i="3"/>
  <c r="AQ542" i="3"/>
  <c r="AQ543" i="3"/>
  <c r="AQ544" i="3"/>
  <c r="AQ545" i="3"/>
  <c r="AQ546" i="3"/>
  <c r="AQ547" i="3"/>
  <c r="AQ548" i="3"/>
  <c r="AQ549" i="3"/>
  <c r="AQ550" i="3"/>
  <c r="AQ551" i="3"/>
  <c r="AQ552" i="3"/>
  <c r="AQ553" i="3"/>
  <c r="AQ554" i="3"/>
  <c r="AQ555" i="3"/>
  <c r="AQ556" i="3"/>
  <c r="AQ557" i="3"/>
  <c r="AQ558" i="3"/>
  <c r="AQ559" i="3"/>
  <c r="AQ560" i="3"/>
  <c r="AQ561" i="3"/>
  <c r="AQ562" i="3"/>
  <c r="AQ563" i="3"/>
  <c r="AQ564" i="3"/>
  <c r="AQ565" i="3"/>
  <c r="AQ566" i="3"/>
  <c r="AQ567" i="3"/>
  <c r="AQ568" i="3"/>
  <c r="AQ569" i="3"/>
  <c r="AQ570" i="3"/>
  <c r="AQ571" i="3"/>
  <c r="AQ572" i="3"/>
  <c r="AQ573" i="3"/>
  <c r="AQ574" i="3"/>
  <c r="AQ575" i="3"/>
  <c r="AQ576" i="3"/>
  <c r="AQ577" i="3"/>
  <c r="AQ578" i="3"/>
  <c r="AQ579" i="3"/>
  <c r="AQ580" i="3"/>
  <c r="AQ581" i="3"/>
  <c r="AQ582" i="3"/>
  <c r="AQ583" i="3"/>
  <c r="AQ584" i="3"/>
  <c r="AQ585" i="3"/>
  <c r="AQ586" i="3"/>
  <c r="AQ587" i="3"/>
  <c r="AQ588" i="3"/>
  <c r="AQ589" i="3"/>
  <c r="AQ590" i="3"/>
  <c r="AQ591" i="3"/>
  <c r="AQ592" i="3"/>
  <c r="AQ593" i="3"/>
  <c r="AQ594" i="3"/>
  <c r="AQ595" i="3"/>
  <c r="AQ596" i="3"/>
  <c r="AQ597" i="3"/>
  <c r="AQ598" i="3"/>
  <c r="AQ599" i="3"/>
  <c r="AQ600" i="3"/>
  <c r="AQ601" i="3"/>
  <c r="AQ602" i="3"/>
  <c r="AQ603" i="3"/>
  <c r="AQ604" i="3"/>
  <c r="AQ605" i="3"/>
  <c r="AQ606" i="3"/>
  <c r="AQ607" i="3"/>
  <c r="AQ608" i="3"/>
  <c r="AQ609" i="3"/>
  <c r="AQ610" i="3"/>
  <c r="AQ611" i="3"/>
  <c r="AQ612" i="3"/>
  <c r="AQ613" i="3"/>
  <c r="AQ614" i="3"/>
  <c r="AQ615" i="3"/>
  <c r="AQ616" i="3"/>
  <c r="AQ617" i="3"/>
  <c r="AQ618" i="3"/>
  <c r="AQ619" i="3"/>
  <c r="AQ620" i="3"/>
  <c r="AQ621" i="3"/>
  <c r="AQ622" i="3"/>
  <c r="AQ623" i="3"/>
  <c r="AQ624" i="3"/>
  <c r="AQ625" i="3"/>
  <c r="AQ626" i="3"/>
  <c r="AQ627" i="3"/>
  <c r="AQ628" i="3"/>
  <c r="AQ629" i="3"/>
  <c r="AQ630" i="3"/>
  <c r="AQ631" i="3"/>
  <c r="AQ632" i="3"/>
  <c r="AQ633" i="3"/>
  <c r="AQ634" i="3"/>
  <c r="AQ635" i="3"/>
  <c r="AQ636" i="3"/>
  <c r="AQ637" i="3"/>
  <c r="AQ638" i="3"/>
  <c r="AQ639" i="3"/>
  <c r="AQ640" i="3"/>
  <c r="AQ641" i="3"/>
  <c r="AQ642" i="3"/>
  <c r="AQ643" i="3"/>
  <c r="AQ644" i="3"/>
  <c r="AQ645" i="3"/>
  <c r="AQ646" i="3"/>
  <c r="AQ647" i="3"/>
  <c r="AQ648" i="3"/>
  <c r="AQ649" i="3"/>
  <c r="AQ650" i="3"/>
  <c r="AQ651" i="3"/>
  <c r="AQ652" i="3"/>
  <c r="AQ653" i="3"/>
  <c r="AQ654" i="3"/>
  <c r="AQ655" i="3"/>
  <c r="AQ656" i="3"/>
  <c r="AQ657" i="3"/>
  <c r="AQ658" i="3"/>
  <c r="AQ659" i="3"/>
  <c r="AQ660" i="3"/>
  <c r="AQ661" i="3"/>
  <c r="AQ662" i="3"/>
  <c r="AQ663" i="3"/>
  <c r="AQ664" i="3"/>
  <c r="AQ665" i="3"/>
  <c r="AQ666" i="3"/>
  <c r="AQ667" i="3"/>
  <c r="AQ668" i="3"/>
  <c r="AQ669" i="3"/>
  <c r="AQ670" i="3"/>
  <c r="AQ671" i="3"/>
  <c r="AQ672" i="3"/>
  <c r="AQ673" i="3"/>
  <c r="AQ674" i="3"/>
  <c r="AQ675" i="3"/>
  <c r="AQ676" i="3"/>
  <c r="AQ677" i="3"/>
  <c r="AQ678" i="3"/>
  <c r="AQ679" i="3"/>
  <c r="AQ680" i="3"/>
  <c r="AQ681" i="3"/>
  <c r="AQ682" i="3"/>
  <c r="AQ683" i="3"/>
  <c r="AQ684" i="3"/>
  <c r="AQ685" i="3"/>
  <c r="AQ686" i="3"/>
  <c r="AQ687" i="3"/>
  <c r="AQ688" i="3"/>
  <c r="AQ689" i="3"/>
  <c r="AQ690" i="3"/>
  <c r="AQ691" i="3"/>
  <c r="AQ692" i="3"/>
  <c r="AQ693" i="3"/>
  <c r="AQ694" i="3"/>
  <c r="AQ695" i="3"/>
  <c r="AQ696" i="3"/>
  <c r="AQ697" i="3"/>
  <c r="AQ698" i="3"/>
  <c r="AQ699" i="3"/>
  <c r="AQ700" i="3"/>
  <c r="AQ701" i="3"/>
  <c r="AQ702" i="3"/>
  <c r="AQ703" i="3"/>
  <c r="AQ704" i="3"/>
  <c r="AQ705" i="3"/>
  <c r="AQ706" i="3"/>
  <c r="AQ707" i="3"/>
  <c r="AQ708" i="3"/>
  <c r="AQ709" i="3"/>
  <c r="AQ710" i="3"/>
  <c r="AQ711" i="3"/>
  <c r="AQ712" i="3"/>
  <c r="AQ713" i="3"/>
  <c r="AQ714" i="3"/>
  <c r="AQ715" i="3"/>
  <c r="AQ716" i="3"/>
  <c r="AQ717" i="3"/>
  <c r="AQ718" i="3"/>
  <c r="AQ719" i="3"/>
  <c r="AQ720" i="3"/>
  <c r="AQ721" i="3"/>
  <c r="AQ722" i="3"/>
  <c r="AQ723" i="3"/>
  <c r="AQ724" i="3"/>
  <c r="AQ725" i="3"/>
  <c r="AQ726" i="3"/>
  <c r="AQ727" i="3"/>
  <c r="AQ728" i="3"/>
  <c r="AQ729" i="3"/>
  <c r="AQ730" i="3"/>
  <c r="AQ731" i="3"/>
  <c r="AQ732" i="3"/>
  <c r="AQ733" i="3"/>
  <c r="AQ734" i="3"/>
  <c r="AQ735" i="3"/>
  <c r="AQ736" i="3"/>
  <c r="AQ737" i="3"/>
  <c r="AQ738" i="3"/>
  <c r="AQ739" i="3"/>
  <c r="AQ740" i="3"/>
  <c r="AQ741" i="3"/>
  <c r="AQ742" i="3"/>
  <c r="AQ743" i="3"/>
  <c r="AQ744" i="3"/>
  <c r="AQ745" i="3"/>
  <c r="AQ746" i="3"/>
  <c r="AQ747" i="3"/>
  <c r="AQ748" i="3"/>
  <c r="AQ749" i="3"/>
  <c r="AQ750" i="3"/>
  <c r="AQ751" i="3"/>
  <c r="AQ752" i="3"/>
  <c r="AQ753" i="3"/>
  <c r="AQ754" i="3"/>
  <c r="AQ755" i="3"/>
  <c r="AQ756" i="3"/>
  <c r="AQ757" i="3"/>
  <c r="AQ758" i="3"/>
  <c r="AQ759" i="3"/>
  <c r="AQ760" i="3"/>
  <c r="AQ761" i="3"/>
  <c r="AQ762" i="3"/>
  <c r="AQ763" i="3"/>
  <c r="AQ764" i="3"/>
  <c r="AQ765" i="3"/>
  <c r="AQ766" i="3"/>
  <c r="AQ767" i="3"/>
  <c r="AQ768" i="3"/>
  <c r="AQ769" i="3"/>
  <c r="AQ770" i="3"/>
  <c r="AQ771" i="3"/>
  <c r="AQ772" i="3"/>
  <c r="AQ773" i="3"/>
  <c r="AQ774" i="3"/>
  <c r="AQ775" i="3"/>
  <c r="AQ776" i="3"/>
  <c r="AQ777" i="3"/>
  <c r="AQ778" i="3"/>
  <c r="AQ779" i="3"/>
  <c r="AQ780" i="3"/>
  <c r="AQ781" i="3"/>
  <c r="AQ782" i="3"/>
  <c r="AQ783" i="3"/>
  <c r="AQ784" i="3"/>
  <c r="AQ785" i="3"/>
  <c r="AQ786" i="3"/>
  <c r="AQ787" i="3"/>
  <c r="AQ788" i="3"/>
  <c r="AQ789" i="3"/>
  <c r="AQ790" i="3"/>
  <c r="AQ791" i="3"/>
  <c r="AQ792" i="3"/>
  <c r="AQ793" i="3"/>
  <c r="AQ794" i="3"/>
  <c r="AQ795" i="3"/>
  <c r="AQ796" i="3"/>
  <c r="AQ797" i="3"/>
  <c r="AQ798" i="3"/>
  <c r="AQ799" i="3"/>
  <c r="AQ800" i="3"/>
  <c r="AQ801" i="3"/>
  <c r="AQ802" i="3"/>
  <c r="AQ803" i="3"/>
  <c r="AQ804" i="3"/>
  <c r="AQ805" i="3"/>
  <c r="AQ806" i="3"/>
  <c r="AQ807" i="3"/>
  <c r="AQ808" i="3"/>
  <c r="AQ809" i="3"/>
  <c r="AQ810" i="3"/>
  <c r="AQ811" i="3"/>
  <c r="AQ812" i="3"/>
  <c r="AQ813" i="3"/>
  <c r="AQ814" i="3"/>
  <c r="AQ815" i="3"/>
  <c r="AQ816" i="3"/>
  <c r="AQ817" i="3"/>
  <c r="AQ818" i="3"/>
  <c r="AQ819" i="3"/>
  <c r="AQ820" i="3"/>
  <c r="AQ821" i="3"/>
  <c r="AQ822" i="3"/>
  <c r="AQ823" i="3"/>
  <c r="AQ824" i="3"/>
  <c r="AQ825" i="3"/>
  <c r="AQ826" i="3"/>
  <c r="AQ827" i="3"/>
  <c r="AQ828" i="3"/>
  <c r="AQ829" i="3"/>
  <c r="AQ830" i="3"/>
  <c r="AQ831" i="3"/>
  <c r="AQ832" i="3"/>
  <c r="AQ833" i="3"/>
  <c r="AQ834" i="3"/>
  <c r="AQ835" i="3"/>
  <c r="AQ836" i="3"/>
  <c r="AQ837" i="3"/>
  <c r="AQ838" i="3"/>
  <c r="AQ839" i="3"/>
  <c r="AQ840" i="3"/>
  <c r="AQ841" i="3"/>
  <c r="AQ842" i="3"/>
  <c r="AQ843" i="3"/>
  <c r="AQ844" i="3"/>
  <c r="AQ845" i="3"/>
  <c r="AQ846" i="3"/>
  <c r="AQ847" i="3"/>
  <c r="AQ848" i="3"/>
  <c r="AQ849" i="3"/>
  <c r="AQ850" i="3"/>
  <c r="AQ851" i="3"/>
  <c r="AQ852" i="3"/>
  <c r="AQ853" i="3"/>
  <c r="AQ854" i="3"/>
  <c r="AQ855" i="3"/>
  <c r="AQ856" i="3"/>
  <c r="AQ857" i="3"/>
  <c r="AQ858" i="3"/>
  <c r="AQ859" i="3"/>
  <c r="AQ860" i="3"/>
  <c r="AQ861" i="3"/>
  <c r="AQ862" i="3"/>
  <c r="AQ863" i="3"/>
  <c r="AQ864" i="3"/>
  <c r="AQ865" i="3"/>
  <c r="AQ866" i="3"/>
  <c r="AQ867" i="3"/>
  <c r="AQ868" i="3"/>
  <c r="AQ869" i="3"/>
  <c r="AQ870" i="3"/>
  <c r="AQ871" i="3"/>
  <c r="AQ872" i="3"/>
  <c r="AQ873" i="3"/>
  <c r="AQ874" i="3"/>
  <c r="AQ875" i="3"/>
  <c r="AQ876" i="3"/>
  <c r="AQ877" i="3"/>
  <c r="AQ878" i="3"/>
  <c r="AQ879" i="3"/>
  <c r="AQ880" i="3"/>
  <c r="AQ881" i="3"/>
  <c r="AQ882" i="3"/>
  <c r="AQ883" i="3"/>
  <c r="AQ884" i="3"/>
  <c r="AQ885" i="3"/>
  <c r="AQ886" i="3"/>
  <c r="AQ887" i="3"/>
  <c r="AQ888" i="3"/>
  <c r="AQ889" i="3"/>
  <c r="AQ890" i="3"/>
  <c r="AQ891" i="3"/>
  <c r="AQ892" i="3"/>
  <c r="AQ893" i="3"/>
  <c r="AQ894" i="3"/>
  <c r="AQ895" i="3"/>
  <c r="AQ896" i="3"/>
  <c r="AQ897" i="3"/>
  <c r="AQ898" i="3"/>
  <c r="AQ899" i="3"/>
  <c r="AQ900" i="3"/>
  <c r="AQ901" i="3"/>
  <c r="AQ902" i="3"/>
  <c r="AQ903" i="3"/>
  <c r="AQ904" i="3"/>
  <c r="AQ905" i="3"/>
  <c r="AQ906" i="3"/>
  <c r="AQ907" i="3"/>
  <c r="AQ908" i="3"/>
  <c r="AQ909" i="3"/>
  <c r="AQ910" i="3"/>
  <c r="AQ911" i="3"/>
  <c r="AQ912" i="3"/>
  <c r="AQ913" i="3"/>
  <c r="AQ914" i="3"/>
  <c r="AQ915" i="3"/>
  <c r="AQ916" i="3"/>
  <c r="AQ917" i="3"/>
  <c r="AQ918" i="3"/>
  <c r="AQ919" i="3"/>
  <c r="AQ920" i="3"/>
  <c r="AQ921" i="3"/>
  <c r="AQ922" i="3"/>
  <c r="AQ923" i="3"/>
  <c r="AQ924" i="3"/>
  <c r="AQ925" i="3"/>
  <c r="AQ926" i="3"/>
  <c r="AQ927" i="3"/>
  <c r="AQ928" i="3"/>
  <c r="AQ929" i="3"/>
  <c r="AQ930" i="3"/>
  <c r="AQ931" i="3"/>
  <c r="AQ932" i="3"/>
  <c r="AQ933" i="3"/>
  <c r="AQ2" i="3"/>
  <c r="AP3" i="3"/>
  <c r="AP4" i="3"/>
  <c r="AP5" i="3"/>
  <c r="AP6" i="3"/>
  <c r="AP7" i="3"/>
  <c r="AP8" i="3"/>
  <c r="AP9" i="3"/>
  <c r="AP10" i="3"/>
  <c r="AP11" i="3"/>
  <c r="AP12" i="3"/>
  <c r="AP13" i="3"/>
  <c r="AP14" i="3"/>
  <c r="AP15" i="3"/>
  <c r="AP16" i="3"/>
  <c r="AP17" i="3"/>
  <c r="AP18" i="3"/>
  <c r="AP19" i="3"/>
  <c r="AP20" i="3"/>
  <c r="AP21" i="3"/>
  <c r="AP22" i="3"/>
  <c r="AP23" i="3"/>
  <c r="AP24" i="3"/>
  <c r="AP25" i="3"/>
  <c r="AP26" i="3"/>
  <c r="AP27" i="3"/>
  <c r="AP28" i="3"/>
  <c r="AP29" i="3"/>
  <c r="AP30" i="3"/>
  <c r="AP31" i="3"/>
  <c r="AP32" i="3"/>
  <c r="AP33" i="3"/>
  <c r="AP34" i="3"/>
  <c r="AP35" i="3"/>
  <c r="AP36" i="3"/>
  <c r="AP37" i="3"/>
  <c r="AP38" i="3"/>
  <c r="AP39" i="3"/>
  <c r="AP40" i="3"/>
  <c r="AP41" i="3"/>
  <c r="AP42" i="3"/>
  <c r="AP43" i="3"/>
  <c r="AP44" i="3"/>
  <c r="AP45" i="3"/>
  <c r="AP46" i="3"/>
  <c r="AP47" i="3"/>
  <c r="AP48" i="3"/>
  <c r="AP49" i="3"/>
  <c r="AP50" i="3"/>
  <c r="AP51" i="3"/>
  <c r="AP52" i="3"/>
  <c r="AP53" i="3"/>
  <c r="AP54" i="3"/>
  <c r="AP55" i="3"/>
  <c r="AP56" i="3"/>
  <c r="AP57" i="3"/>
  <c r="AP58" i="3"/>
  <c r="AP59" i="3"/>
  <c r="AP60" i="3"/>
  <c r="AP61" i="3"/>
  <c r="AP62" i="3"/>
  <c r="AP63" i="3"/>
  <c r="AP64" i="3"/>
  <c r="AP65" i="3"/>
  <c r="AP66" i="3"/>
  <c r="AP67" i="3"/>
  <c r="AP68" i="3"/>
  <c r="AP69" i="3"/>
  <c r="AP70" i="3"/>
  <c r="AP71" i="3"/>
  <c r="AP72" i="3"/>
  <c r="AP73" i="3"/>
  <c r="AP74" i="3"/>
  <c r="AP75" i="3"/>
  <c r="AP76" i="3"/>
  <c r="AP77" i="3"/>
  <c r="AP78" i="3"/>
  <c r="AP79" i="3"/>
  <c r="AP80" i="3"/>
  <c r="AP81" i="3"/>
  <c r="AP82" i="3"/>
  <c r="AP83" i="3"/>
  <c r="AP84" i="3"/>
  <c r="AP85" i="3"/>
  <c r="AP86" i="3"/>
  <c r="AP87" i="3"/>
  <c r="AP88" i="3"/>
  <c r="AP89" i="3"/>
  <c r="AP90" i="3"/>
  <c r="AP91" i="3"/>
  <c r="AP92" i="3"/>
  <c r="AP93" i="3"/>
  <c r="AP94" i="3"/>
  <c r="AP95" i="3"/>
  <c r="AP96" i="3"/>
  <c r="AP97" i="3"/>
  <c r="AP98" i="3"/>
  <c r="AP99" i="3"/>
  <c r="AP100" i="3"/>
  <c r="AP101" i="3"/>
  <c r="AP102" i="3"/>
  <c r="AP103" i="3"/>
  <c r="AP104" i="3"/>
  <c r="AP105" i="3"/>
  <c r="AP106" i="3"/>
  <c r="AP107" i="3"/>
  <c r="AP108" i="3"/>
  <c r="AP109" i="3"/>
  <c r="AP110" i="3"/>
  <c r="AP111" i="3"/>
  <c r="AP112" i="3"/>
  <c r="AP113" i="3"/>
  <c r="AP114" i="3"/>
  <c r="AP115" i="3"/>
  <c r="AP116" i="3"/>
  <c r="AP117" i="3"/>
  <c r="AP118" i="3"/>
  <c r="AP119" i="3"/>
  <c r="AP120" i="3"/>
  <c r="AP121" i="3"/>
  <c r="AP122" i="3"/>
  <c r="AP123" i="3"/>
  <c r="AP124" i="3"/>
  <c r="AP125" i="3"/>
  <c r="AP126" i="3"/>
  <c r="AP127" i="3"/>
  <c r="AP128" i="3"/>
  <c r="AP129" i="3"/>
  <c r="AP130" i="3"/>
  <c r="AP131" i="3"/>
  <c r="AP132" i="3"/>
  <c r="AP133" i="3"/>
  <c r="AP134" i="3"/>
  <c r="AP135" i="3"/>
  <c r="AP136" i="3"/>
  <c r="AP137" i="3"/>
  <c r="AP138" i="3"/>
  <c r="AP139" i="3"/>
  <c r="AP140" i="3"/>
  <c r="AP141" i="3"/>
  <c r="AP142" i="3"/>
  <c r="AP143" i="3"/>
  <c r="AP144" i="3"/>
  <c r="AP145" i="3"/>
  <c r="AP146" i="3"/>
  <c r="AP147" i="3"/>
  <c r="AP148" i="3"/>
  <c r="AP149" i="3"/>
  <c r="AP150" i="3"/>
  <c r="AP151" i="3"/>
  <c r="AP152" i="3"/>
  <c r="AP153" i="3"/>
  <c r="AP154" i="3"/>
  <c r="AP155" i="3"/>
  <c r="AP156" i="3"/>
  <c r="AP157" i="3"/>
  <c r="AP158" i="3"/>
  <c r="AP159" i="3"/>
  <c r="AP160" i="3"/>
  <c r="AP161" i="3"/>
  <c r="AP162" i="3"/>
  <c r="AP163" i="3"/>
  <c r="AP164" i="3"/>
  <c r="AP165" i="3"/>
  <c r="AP166" i="3"/>
  <c r="AP167" i="3"/>
  <c r="AP168" i="3"/>
  <c r="AP169" i="3"/>
  <c r="AP170" i="3"/>
  <c r="AP171" i="3"/>
  <c r="AP172" i="3"/>
  <c r="AP173" i="3"/>
  <c r="AP174" i="3"/>
  <c r="AP175" i="3"/>
  <c r="AP176" i="3"/>
  <c r="AP177" i="3"/>
  <c r="AP178" i="3"/>
  <c r="AP179" i="3"/>
  <c r="AP180" i="3"/>
  <c r="AP181" i="3"/>
  <c r="AP182" i="3"/>
  <c r="AP183" i="3"/>
  <c r="AP184" i="3"/>
  <c r="AP185" i="3"/>
  <c r="AP186" i="3"/>
  <c r="AP187" i="3"/>
  <c r="AP188" i="3"/>
  <c r="AP189" i="3"/>
  <c r="AP190" i="3"/>
  <c r="AP191" i="3"/>
  <c r="AP192" i="3"/>
  <c r="AP193" i="3"/>
  <c r="AP194" i="3"/>
  <c r="AP195" i="3"/>
  <c r="AP196" i="3"/>
  <c r="AP197" i="3"/>
  <c r="AP198" i="3"/>
  <c r="AP199" i="3"/>
  <c r="AP200" i="3"/>
  <c r="AP201" i="3"/>
  <c r="AP202" i="3"/>
  <c r="AP203" i="3"/>
  <c r="AP204" i="3"/>
  <c r="AP205" i="3"/>
  <c r="AP206" i="3"/>
  <c r="AP207" i="3"/>
  <c r="AP208" i="3"/>
  <c r="AP209" i="3"/>
  <c r="AP210" i="3"/>
  <c r="AP211" i="3"/>
  <c r="AP212" i="3"/>
  <c r="AP213" i="3"/>
  <c r="AP214" i="3"/>
  <c r="AP215" i="3"/>
  <c r="AP216" i="3"/>
  <c r="AP217" i="3"/>
  <c r="AP218" i="3"/>
  <c r="AP219" i="3"/>
  <c r="AP220" i="3"/>
  <c r="AP221" i="3"/>
  <c r="AP222" i="3"/>
  <c r="AP223" i="3"/>
  <c r="AP224" i="3"/>
  <c r="AP225" i="3"/>
  <c r="AP226" i="3"/>
  <c r="AP227" i="3"/>
  <c r="AP228" i="3"/>
  <c r="AP229" i="3"/>
  <c r="AP230" i="3"/>
  <c r="AP231" i="3"/>
  <c r="AP232" i="3"/>
  <c r="AP233" i="3"/>
  <c r="AP234" i="3"/>
  <c r="AP235" i="3"/>
  <c r="AP236" i="3"/>
  <c r="AP237" i="3"/>
  <c r="AP238" i="3"/>
  <c r="AP239" i="3"/>
  <c r="AP240" i="3"/>
  <c r="AP241" i="3"/>
  <c r="AP242" i="3"/>
  <c r="AP243" i="3"/>
  <c r="AP244" i="3"/>
  <c r="AP245" i="3"/>
  <c r="AP246" i="3"/>
  <c r="AP247" i="3"/>
  <c r="AP248" i="3"/>
  <c r="AP249" i="3"/>
  <c r="AP250" i="3"/>
  <c r="AP251" i="3"/>
  <c r="AP252" i="3"/>
  <c r="AP253" i="3"/>
  <c r="AP254" i="3"/>
  <c r="AP255" i="3"/>
  <c r="AP256" i="3"/>
  <c r="AP257" i="3"/>
  <c r="AP258" i="3"/>
  <c r="AP259" i="3"/>
  <c r="AP260" i="3"/>
  <c r="AP261" i="3"/>
  <c r="AP262" i="3"/>
  <c r="AP263" i="3"/>
  <c r="AP264" i="3"/>
  <c r="AP265" i="3"/>
  <c r="AP266" i="3"/>
  <c r="AP267" i="3"/>
  <c r="AP268" i="3"/>
  <c r="AP269" i="3"/>
  <c r="AP270" i="3"/>
  <c r="AP271" i="3"/>
  <c r="AP272" i="3"/>
  <c r="AP273" i="3"/>
  <c r="AP274" i="3"/>
  <c r="AP275" i="3"/>
  <c r="AP276" i="3"/>
  <c r="AP277" i="3"/>
  <c r="AP278" i="3"/>
  <c r="AP279" i="3"/>
  <c r="AP280" i="3"/>
  <c r="AP281" i="3"/>
  <c r="AP282" i="3"/>
  <c r="AP283" i="3"/>
  <c r="AP284" i="3"/>
  <c r="AP285" i="3"/>
  <c r="AP286" i="3"/>
  <c r="AP287" i="3"/>
  <c r="AP288" i="3"/>
  <c r="AP289" i="3"/>
  <c r="AP290" i="3"/>
  <c r="AP291" i="3"/>
  <c r="AP292" i="3"/>
  <c r="AP293" i="3"/>
  <c r="AP294" i="3"/>
  <c r="AP295" i="3"/>
  <c r="AP296" i="3"/>
  <c r="AP297" i="3"/>
  <c r="AP298" i="3"/>
  <c r="AP299" i="3"/>
  <c r="AP300" i="3"/>
  <c r="AP301" i="3"/>
  <c r="AP302" i="3"/>
  <c r="AP303" i="3"/>
  <c r="AP304" i="3"/>
  <c r="AP305" i="3"/>
  <c r="AP306" i="3"/>
  <c r="AP307" i="3"/>
  <c r="AP308" i="3"/>
  <c r="AP309" i="3"/>
  <c r="AP310" i="3"/>
  <c r="AP311" i="3"/>
  <c r="AP312" i="3"/>
  <c r="AP313" i="3"/>
  <c r="AP314" i="3"/>
  <c r="AP315" i="3"/>
  <c r="AP316" i="3"/>
  <c r="AP317" i="3"/>
  <c r="AP318" i="3"/>
  <c r="AP319" i="3"/>
  <c r="AP320" i="3"/>
  <c r="AP321" i="3"/>
  <c r="AP322" i="3"/>
  <c r="AP323" i="3"/>
  <c r="AP324" i="3"/>
  <c r="AP325" i="3"/>
  <c r="AP326" i="3"/>
  <c r="AP327" i="3"/>
  <c r="AP328" i="3"/>
  <c r="AP329" i="3"/>
  <c r="AP330" i="3"/>
  <c r="AP331" i="3"/>
  <c r="AP332" i="3"/>
  <c r="AP333" i="3"/>
  <c r="AP334" i="3"/>
  <c r="AP335" i="3"/>
  <c r="AP336" i="3"/>
  <c r="AP337" i="3"/>
  <c r="AP338" i="3"/>
  <c r="AP339" i="3"/>
  <c r="AP340" i="3"/>
  <c r="AP341" i="3"/>
  <c r="AP342" i="3"/>
  <c r="AP343" i="3"/>
  <c r="AP344" i="3"/>
  <c r="AP345" i="3"/>
  <c r="AP346" i="3"/>
  <c r="AP347" i="3"/>
  <c r="AP348" i="3"/>
  <c r="AP349" i="3"/>
  <c r="AP350" i="3"/>
  <c r="AP351" i="3"/>
  <c r="AP352" i="3"/>
  <c r="AP353" i="3"/>
  <c r="AP354" i="3"/>
  <c r="AP355" i="3"/>
  <c r="AP356" i="3"/>
  <c r="AP357" i="3"/>
  <c r="AP358" i="3"/>
  <c r="AP359" i="3"/>
  <c r="AP360" i="3"/>
  <c r="AP361" i="3"/>
  <c r="AP362" i="3"/>
  <c r="AP363" i="3"/>
  <c r="AP364" i="3"/>
  <c r="AP365" i="3"/>
  <c r="AP366" i="3"/>
  <c r="AP367" i="3"/>
  <c r="AP368" i="3"/>
  <c r="AP369" i="3"/>
  <c r="AP370" i="3"/>
  <c r="AP371" i="3"/>
  <c r="AP372" i="3"/>
  <c r="AP373" i="3"/>
  <c r="AP374" i="3"/>
  <c r="AP375" i="3"/>
  <c r="AP376" i="3"/>
  <c r="AP377" i="3"/>
  <c r="AP378" i="3"/>
  <c r="AP379" i="3"/>
  <c r="AP380" i="3"/>
  <c r="AP381" i="3"/>
  <c r="AP382" i="3"/>
  <c r="AP383" i="3"/>
  <c r="AP384" i="3"/>
  <c r="AP385" i="3"/>
  <c r="AP386" i="3"/>
  <c r="AP387" i="3"/>
  <c r="AP388" i="3"/>
  <c r="AP389" i="3"/>
  <c r="AP390" i="3"/>
  <c r="AP391" i="3"/>
  <c r="AP392" i="3"/>
  <c r="AP393" i="3"/>
  <c r="AP394" i="3"/>
  <c r="AP395" i="3"/>
  <c r="AP396" i="3"/>
  <c r="AP397" i="3"/>
  <c r="AP398" i="3"/>
  <c r="AP399" i="3"/>
  <c r="AP400" i="3"/>
  <c r="AP401" i="3"/>
  <c r="AP402" i="3"/>
  <c r="AP403" i="3"/>
  <c r="AP404" i="3"/>
  <c r="AP405" i="3"/>
  <c r="AP406" i="3"/>
  <c r="AP407" i="3"/>
  <c r="AP408" i="3"/>
  <c r="AP409" i="3"/>
  <c r="AP410" i="3"/>
  <c r="AP411" i="3"/>
  <c r="AP412" i="3"/>
  <c r="AP413" i="3"/>
  <c r="AP414" i="3"/>
  <c r="AP415" i="3"/>
  <c r="AP416" i="3"/>
  <c r="AP417" i="3"/>
  <c r="AP418" i="3"/>
  <c r="AP419" i="3"/>
  <c r="AP420" i="3"/>
  <c r="AP421" i="3"/>
  <c r="AP422" i="3"/>
  <c r="AP423" i="3"/>
  <c r="AP424" i="3"/>
  <c r="AP425" i="3"/>
  <c r="AP426" i="3"/>
  <c r="AP427" i="3"/>
  <c r="AP428" i="3"/>
  <c r="AP429" i="3"/>
  <c r="AP430" i="3"/>
  <c r="AP431" i="3"/>
  <c r="AP432" i="3"/>
  <c r="AP433" i="3"/>
  <c r="AP434" i="3"/>
  <c r="AP435" i="3"/>
  <c r="AP436" i="3"/>
  <c r="AP437" i="3"/>
  <c r="AP438" i="3"/>
  <c r="AP439" i="3"/>
  <c r="AP440" i="3"/>
  <c r="AP441" i="3"/>
  <c r="AP442" i="3"/>
  <c r="AP443" i="3"/>
  <c r="AP444" i="3"/>
  <c r="AP445" i="3"/>
  <c r="AP446" i="3"/>
  <c r="AP447" i="3"/>
  <c r="AP448" i="3"/>
  <c r="AP449" i="3"/>
  <c r="AP450" i="3"/>
  <c r="AP451" i="3"/>
  <c r="AP452" i="3"/>
  <c r="AP453" i="3"/>
  <c r="AP454" i="3"/>
  <c r="AP455" i="3"/>
  <c r="AP456" i="3"/>
  <c r="AP457" i="3"/>
  <c r="AP458" i="3"/>
  <c r="AP459" i="3"/>
  <c r="AP460" i="3"/>
  <c r="AP461" i="3"/>
  <c r="AP462" i="3"/>
  <c r="AP463" i="3"/>
  <c r="AP464" i="3"/>
  <c r="AP465" i="3"/>
  <c r="AP466" i="3"/>
  <c r="AP467" i="3"/>
  <c r="AP468" i="3"/>
  <c r="AP469" i="3"/>
  <c r="AP470" i="3"/>
  <c r="AP471" i="3"/>
  <c r="AP472" i="3"/>
  <c r="AP473" i="3"/>
  <c r="AP474" i="3"/>
  <c r="AP475" i="3"/>
  <c r="AP476" i="3"/>
  <c r="AP477" i="3"/>
  <c r="AP478" i="3"/>
  <c r="AP479" i="3"/>
  <c r="AP480" i="3"/>
  <c r="AP481" i="3"/>
  <c r="AP482" i="3"/>
  <c r="AP483" i="3"/>
  <c r="AP484" i="3"/>
  <c r="AP485" i="3"/>
  <c r="AP486" i="3"/>
  <c r="AP487" i="3"/>
  <c r="AP488" i="3"/>
  <c r="AP489" i="3"/>
  <c r="AP490" i="3"/>
  <c r="AP491" i="3"/>
  <c r="AP492" i="3"/>
  <c r="AP493" i="3"/>
  <c r="AP494" i="3"/>
  <c r="AP495" i="3"/>
  <c r="AP496" i="3"/>
  <c r="AP497" i="3"/>
  <c r="AP498" i="3"/>
  <c r="AP499" i="3"/>
  <c r="AP500" i="3"/>
  <c r="AP501" i="3"/>
  <c r="AP502" i="3"/>
  <c r="AP503" i="3"/>
  <c r="AP504" i="3"/>
  <c r="AP505" i="3"/>
  <c r="AP506" i="3"/>
  <c r="AP507" i="3"/>
  <c r="AP508" i="3"/>
  <c r="AP509" i="3"/>
  <c r="AP510" i="3"/>
  <c r="AP511" i="3"/>
  <c r="AP512" i="3"/>
  <c r="AP513" i="3"/>
  <c r="AP514" i="3"/>
  <c r="AP515" i="3"/>
  <c r="AP516" i="3"/>
  <c r="AP517" i="3"/>
  <c r="AP518" i="3"/>
  <c r="AP519" i="3"/>
  <c r="AP520" i="3"/>
  <c r="AP521" i="3"/>
  <c r="AP522" i="3"/>
  <c r="AP523" i="3"/>
  <c r="AP524" i="3"/>
  <c r="AP525" i="3"/>
  <c r="AP526" i="3"/>
  <c r="AP527" i="3"/>
  <c r="AP528" i="3"/>
  <c r="AP529" i="3"/>
  <c r="AP530" i="3"/>
  <c r="AP531" i="3"/>
  <c r="AP532" i="3"/>
  <c r="AP533" i="3"/>
  <c r="AP534" i="3"/>
  <c r="AP535" i="3"/>
  <c r="AP536" i="3"/>
  <c r="AP537" i="3"/>
  <c r="AP538" i="3"/>
  <c r="AP539" i="3"/>
  <c r="AP540" i="3"/>
  <c r="AP541" i="3"/>
  <c r="AP542" i="3"/>
  <c r="AP543" i="3"/>
  <c r="AP544" i="3"/>
  <c r="AP545" i="3"/>
  <c r="AP546" i="3"/>
  <c r="AP547" i="3"/>
  <c r="AP548" i="3"/>
  <c r="AP549" i="3"/>
  <c r="AP550" i="3"/>
  <c r="AP551" i="3"/>
  <c r="AP552" i="3"/>
  <c r="AP553" i="3"/>
  <c r="AP554" i="3"/>
  <c r="AP555" i="3"/>
  <c r="AP556" i="3"/>
  <c r="AP557" i="3"/>
  <c r="AP558" i="3"/>
  <c r="AP559" i="3"/>
  <c r="AP560" i="3"/>
  <c r="AP561" i="3"/>
  <c r="AP562" i="3"/>
  <c r="AP563" i="3"/>
  <c r="AP564" i="3"/>
  <c r="AP565" i="3"/>
  <c r="AP566" i="3"/>
  <c r="AP567" i="3"/>
  <c r="AP568" i="3"/>
  <c r="AP569" i="3"/>
  <c r="AP570" i="3"/>
  <c r="AP571" i="3"/>
  <c r="AP572" i="3"/>
  <c r="AP573" i="3"/>
  <c r="AP574" i="3"/>
  <c r="AP575" i="3"/>
  <c r="AP576" i="3"/>
  <c r="AP577" i="3"/>
  <c r="AP578" i="3"/>
  <c r="AP579" i="3"/>
  <c r="AP580" i="3"/>
  <c r="AP581" i="3"/>
  <c r="AP582" i="3"/>
  <c r="AP583" i="3"/>
  <c r="AP584" i="3"/>
  <c r="AP585" i="3"/>
  <c r="AP586" i="3"/>
  <c r="AP587" i="3"/>
  <c r="AP588" i="3"/>
  <c r="AP589" i="3"/>
  <c r="AP590" i="3"/>
  <c r="AP591" i="3"/>
  <c r="AP592" i="3"/>
  <c r="AP593" i="3"/>
  <c r="AP594" i="3"/>
  <c r="AP595" i="3"/>
  <c r="AP596" i="3"/>
  <c r="AP597" i="3"/>
  <c r="AP598" i="3"/>
  <c r="AP599" i="3"/>
  <c r="AP600" i="3"/>
  <c r="AP601" i="3"/>
  <c r="AP602" i="3"/>
  <c r="AP603" i="3"/>
  <c r="AP604" i="3"/>
  <c r="AP605" i="3"/>
  <c r="AP606" i="3"/>
  <c r="AP607" i="3"/>
  <c r="AP608" i="3"/>
  <c r="AP609" i="3"/>
  <c r="AP610" i="3"/>
  <c r="AP611" i="3"/>
  <c r="AP612" i="3"/>
  <c r="AP613" i="3"/>
  <c r="AP614" i="3"/>
  <c r="AP615" i="3"/>
  <c r="AP616" i="3"/>
  <c r="AP617" i="3"/>
  <c r="AP618" i="3"/>
  <c r="AP619" i="3"/>
  <c r="AP620" i="3"/>
  <c r="AP621" i="3"/>
  <c r="AP622" i="3"/>
  <c r="AP623" i="3"/>
  <c r="AP624" i="3"/>
  <c r="AP625" i="3"/>
  <c r="AP626" i="3"/>
  <c r="AP627" i="3"/>
  <c r="AP628" i="3"/>
  <c r="AP629" i="3"/>
  <c r="AP630" i="3"/>
  <c r="AP631" i="3"/>
  <c r="AP632" i="3"/>
  <c r="AP633" i="3"/>
  <c r="AP634" i="3"/>
  <c r="AP635" i="3"/>
  <c r="AP636" i="3"/>
  <c r="AP637" i="3"/>
  <c r="AP638" i="3"/>
  <c r="AP639" i="3"/>
  <c r="AP640" i="3"/>
  <c r="AP641" i="3"/>
  <c r="AP642" i="3"/>
  <c r="AP643" i="3"/>
  <c r="AP644" i="3"/>
  <c r="AP645" i="3"/>
  <c r="AP646" i="3"/>
  <c r="AP647" i="3"/>
  <c r="AP648" i="3"/>
  <c r="AP649" i="3"/>
  <c r="AP650" i="3"/>
  <c r="AP651" i="3"/>
  <c r="AP652" i="3"/>
  <c r="AP653" i="3"/>
  <c r="AP654" i="3"/>
  <c r="AP655" i="3"/>
  <c r="AP656" i="3"/>
  <c r="AP657" i="3"/>
  <c r="AP658" i="3"/>
  <c r="AP659" i="3"/>
  <c r="AP660" i="3"/>
  <c r="AP661" i="3"/>
  <c r="AP662" i="3"/>
  <c r="AP663" i="3"/>
  <c r="AP664" i="3"/>
  <c r="AP665" i="3"/>
  <c r="AP666" i="3"/>
  <c r="AP667" i="3"/>
  <c r="AP668" i="3"/>
  <c r="AP669" i="3"/>
  <c r="AP670" i="3"/>
  <c r="AP671" i="3"/>
  <c r="AP672" i="3"/>
  <c r="AP673" i="3"/>
  <c r="AP674" i="3"/>
  <c r="AP675" i="3"/>
  <c r="AP676" i="3"/>
  <c r="AP677" i="3"/>
  <c r="AP678" i="3"/>
  <c r="AP679" i="3"/>
  <c r="AP680" i="3"/>
  <c r="AP681" i="3"/>
  <c r="AP682" i="3"/>
  <c r="AP683" i="3"/>
  <c r="AP684" i="3"/>
  <c r="AP685" i="3"/>
  <c r="AP686" i="3"/>
  <c r="AP687" i="3"/>
  <c r="AP688" i="3"/>
  <c r="AP689" i="3"/>
  <c r="AP690" i="3"/>
  <c r="AP691" i="3"/>
  <c r="AP692" i="3"/>
  <c r="AP693" i="3"/>
  <c r="AP694" i="3"/>
  <c r="AP695" i="3"/>
  <c r="AP696" i="3"/>
  <c r="AP697" i="3"/>
  <c r="AP698" i="3"/>
  <c r="AP699" i="3"/>
  <c r="AP700" i="3"/>
  <c r="AP701" i="3"/>
  <c r="AP702" i="3"/>
  <c r="AP703" i="3"/>
  <c r="AP704" i="3"/>
  <c r="AP705" i="3"/>
  <c r="AP706" i="3"/>
  <c r="AP707" i="3"/>
  <c r="AP708" i="3"/>
  <c r="AP709" i="3"/>
  <c r="AP710" i="3"/>
  <c r="AP711" i="3"/>
  <c r="AP712" i="3"/>
  <c r="AP713" i="3"/>
  <c r="AP714" i="3"/>
  <c r="AP715" i="3"/>
  <c r="AP716" i="3"/>
  <c r="AP717" i="3"/>
  <c r="AP718" i="3"/>
  <c r="AP719" i="3"/>
  <c r="AP720" i="3"/>
  <c r="AP721" i="3"/>
  <c r="AP722" i="3"/>
  <c r="AP723" i="3"/>
  <c r="AP724" i="3"/>
  <c r="AP725" i="3"/>
  <c r="AP726" i="3"/>
  <c r="AP727" i="3"/>
  <c r="AP728" i="3"/>
  <c r="AP729" i="3"/>
  <c r="AP730" i="3"/>
  <c r="AP731" i="3"/>
  <c r="AP732" i="3"/>
  <c r="AP733" i="3"/>
  <c r="AP734" i="3"/>
  <c r="AP735" i="3"/>
  <c r="AP736" i="3"/>
  <c r="AP737" i="3"/>
  <c r="AP738" i="3"/>
  <c r="AP739" i="3"/>
  <c r="AP740" i="3"/>
  <c r="AP741" i="3"/>
  <c r="AP742" i="3"/>
  <c r="AP743" i="3"/>
  <c r="AP744" i="3"/>
  <c r="AP745" i="3"/>
  <c r="AP746" i="3"/>
  <c r="AP747" i="3"/>
  <c r="AP748" i="3"/>
  <c r="AP749" i="3"/>
  <c r="AP750" i="3"/>
  <c r="AP751" i="3"/>
  <c r="AP752" i="3"/>
  <c r="AP753" i="3"/>
  <c r="AP754" i="3"/>
  <c r="AP755" i="3"/>
  <c r="AP756" i="3"/>
  <c r="AP757" i="3"/>
  <c r="AP758" i="3"/>
  <c r="AP759" i="3"/>
  <c r="AP760" i="3"/>
  <c r="AP761" i="3"/>
  <c r="AP762" i="3"/>
  <c r="AP763" i="3"/>
  <c r="AP764" i="3"/>
  <c r="AP765" i="3"/>
  <c r="AP766" i="3"/>
  <c r="AP767" i="3"/>
  <c r="AP768" i="3"/>
  <c r="AP769" i="3"/>
  <c r="AP770" i="3"/>
  <c r="AP771" i="3"/>
  <c r="AP772" i="3"/>
  <c r="AP773" i="3"/>
  <c r="AP774" i="3"/>
  <c r="AP775" i="3"/>
  <c r="AP776" i="3"/>
  <c r="AP777" i="3"/>
  <c r="AP778" i="3"/>
  <c r="AP779" i="3"/>
  <c r="AP780" i="3"/>
  <c r="AP781" i="3"/>
  <c r="AP782" i="3"/>
  <c r="AP783" i="3"/>
  <c r="AP784" i="3"/>
  <c r="AP785" i="3"/>
  <c r="AP786" i="3"/>
  <c r="AP787" i="3"/>
  <c r="AP788" i="3"/>
  <c r="AP789" i="3"/>
  <c r="AP790" i="3"/>
  <c r="AP791" i="3"/>
  <c r="AP792" i="3"/>
  <c r="AP793" i="3"/>
  <c r="AP794" i="3"/>
  <c r="AP795" i="3"/>
  <c r="AP796" i="3"/>
  <c r="AP797" i="3"/>
  <c r="AP798" i="3"/>
  <c r="AP799" i="3"/>
  <c r="AP800" i="3"/>
  <c r="AP801" i="3"/>
  <c r="AP802" i="3"/>
  <c r="AP803" i="3"/>
  <c r="AP804" i="3"/>
  <c r="AP805" i="3"/>
  <c r="AP806" i="3"/>
  <c r="AP807" i="3"/>
  <c r="AP808" i="3"/>
  <c r="AP809" i="3"/>
  <c r="AP810" i="3"/>
  <c r="AP811" i="3"/>
  <c r="AP812" i="3"/>
  <c r="AP813" i="3"/>
  <c r="AP814" i="3"/>
  <c r="AP815" i="3"/>
  <c r="AP816" i="3"/>
  <c r="AP817" i="3"/>
  <c r="AP818" i="3"/>
  <c r="AP819" i="3"/>
  <c r="AP820" i="3"/>
  <c r="AP821" i="3"/>
  <c r="AP822" i="3"/>
  <c r="AP823" i="3"/>
  <c r="AP824" i="3"/>
  <c r="AP825" i="3"/>
  <c r="AP826" i="3"/>
  <c r="AP827" i="3"/>
  <c r="AP828" i="3"/>
  <c r="AP829" i="3"/>
  <c r="AP830" i="3"/>
  <c r="AP831" i="3"/>
  <c r="AP832" i="3"/>
  <c r="AP833" i="3"/>
  <c r="AP834" i="3"/>
  <c r="AP835" i="3"/>
  <c r="AP836" i="3"/>
  <c r="AP837" i="3"/>
  <c r="AP838" i="3"/>
  <c r="AP839" i="3"/>
  <c r="AP840" i="3"/>
  <c r="AP841" i="3"/>
  <c r="AP842" i="3"/>
  <c r="AP843" i="3"/>
  <c r="AP844" i="3"/>
  <c r="AP845" i="3"/>
  <c r="AP846" i="3"/>
  <c r="AP847" i="3"/>
  <c r="AP848" i="3"/>
  <c r="AP849" i="3"/>
  <c r="AP850" i="3"/>
  <c r="AP851" i="3"/>
  <c r="AP852" i="3"/>
  <c r="AP853" i="3"/>
  <c r="AP854" i="3"/>
  <c r="AP855" i="3"/>
  <c r="AP856" i="3"/>
  <c r="AP857" i="3"/>
  <c r="AP858" i="3"/>
  <c r="AP859" i="3"/>
  <c r="AP860" i="3"/>
  <c r="AP861" i="3"/>
  <c r="AP862" i="3"/>
  <c r="AP863" i="3"/>
  <c r="AP864" i="3"/>
  <c r="AP865" i="3"/>
  <c r="AP866" i="3"/>
  <c r="AP867" i="3"/>
  <c r="AP868" i="3"/>
  <c r="AP869" i="3"/>
  <c r="AP870" i="3"/>
  <c r="AP871" i="3"/>
  <c r="AP872" i="3"/>
  <c r="AP873" i="3"/>
  <c r="AP874" i="3"/>
  <c r="AP875" i="3"/>
  <c r="AP876" i="3"/>
  <c r="AP877" i="3"/>
  <c r="AP878" i="3"/>
  <c r="AP879" i="3"/>
  <c r="AP880" i="3"/>
  <c r="AP881" i="3"/>
  <c r="AP882" i="3"/>
  <c r="AP883" i="3"/>
  <c r="AP884" i="3"/>
  <c r="AP885" i="3"/>
  <c r="AP886" i="3"/>
  <c r="AP887" i="3"/>
  <c r="AP888" i="3"/>
  <c r="AP889" i="3"/>
  <c r="AP890" i="3"/>
  <c r="AP891" i="3"/>
  <c r="AP892" i="3"/>
  <c r="AP893" i="3"/>
  <c r="AP894" i="3"/>
  <c r="AP895" i="3"/>
  <c r="AP896" i="3"/>
  <c r="AP897" i="3"/>
  <c r="AP898" i="3"/>
  <c r="AP899" i="3"/>
  <c r="AP900" i="3"/>
  <c r="AP901" i="3"/>
  <c r="AP902" i="3"/>
  <c r="AP903" i="3"/>
  <c r="AP904" i="3"/>
  <c r="AP905" i="3"/>
  <c r="AP906" i="3"/>
  <c r="AP907" i="3"/>
  <c r="AP908" i="3"/>
  <c r="AP909" i="3"/>
  <c r="AP910" i="3"/>
  <c r="AP911" i="3"/>
  <c r="AP912" i="3"/>
  <c r="AP913" i="3"/>
  <c r="AP914" i="3"/>
  <c r="AP915" i="3"/>
  <c r="AP916" i="3"/>
  <c r="AP917" i="3"/>
  <c r="AP918" i="3"/>
  <c r="AP919" i="3"/>
  <c r="AP920" i="3"/>
  <c r="AP921" i="3"/>
  <c r="AP922" i="3"/>
  <c r="AP923" i="3"/>
  <c r="AP924" i="3"/>
  <c r="AP925" i="3"/>
  <c r="AP926" i="3"/>
  <c r="AP927" i="3"/>
  <c r="AP928" i="3"/>
  <c r="AP929" i="3"/>
  <c r="AP930" i="3"/>
  <c r="AP931" i="3"/>
  <c r="AP932" i="3"/>
  <c r="AP933" i="3"/>
  <c r="AP2" i="3"/>
  <c r="AO3" i="3"/>
  <c r="AO4" i="3"/>
  <c r="AO5" i="3"/>
  <c r="AO6" i="3"/>
  <c r="AO7" i="3"/>
  <c r="AO8" i="3"/>
  <c r="AO9" i="3"/>
  <c r="AO10" i="3"/>
  <c r="AO11" i="3"/>
  <c r="AO12" i="3"/>
  <c r="AO13" i="3"/>
  <c r="AO14" i="3"/>
  <c r="AO15" i="3"/>
  <c r="AO16" i="3"/>
  <c r="AO17" i="3"/>
  <c r="AO18" i="3"/>
  <c r="AO19" i="3"/>
  <c r="AO20" i="3"/>
  <c r="AO21" i="3"/>
  <c r="AO22" i="3"/>
  <c r="AO23" i="3"/>
  <c r="AO24" i="3"/>
  <c r="AO25" i="3"/>
  <c r="AO26" i="3"/>
  <c r="AO27" i="3"/>
  <c r="AO28" i="3"/>
  <c r="AO29" i="3"/>
  <c r="AO30" i="3"/>
  <c r="AO31" i="3"/>
  <c r="AO32" i="3"/>
  <c r="AO33" i="3"/>
  <c r="AO34" i="3"/>
  <c r="AO35" i="3"/>
  <c r="AO36" i="3"/>
  <c r="AO37" i="3"/>
  <c r="AO38" i="3"/>
  <c r="AO39" i="3"/>
  <c r="AO40" i="3"/>
  <c r="AO41" i="3"/>
  <c r="AO42" i="3"/>
  <c r="AO43" i="3"/>
  <c r="AO44" i="3"/>
  <c r="AO45" i="3"/>
  <c r="AO46" i="3"/>
  <c r="AO47" i="3"/>
  <c r="AO48" i="3"/>
  <c r="AO49" i="3"/>
  <c r="AO50" i="3"/>
  <c r="AO51" i="3"/>
  <c r="AO52" i="3"/>
  <c r="AO53" i="3"/>
  <c r="AO54" i="3"/>
  <c r="AO55" i="3"/>
  <c r="AO56" i="3"/>
  <c r="AO57" i="3"/>
  <c r="AO58" i="3"/>
  <c r="AO59" i="3"/>
  <c r="AO60" i="3"/>
  <c r="AO61" i="3"/>
  <c r="AO62" i="3"/>
  <c r="AO63" i="3"/>
  <c r="AO64" i="3"/>
  <c r="AO65" i="3"/>
  <c r="AO66" i="3"/>
  <c r="AO67" i="3"/>
  <c r="AO68" i="3"/>
  <c r="AO69" i="3"/>
  <c r="AO70" i="3"/>
  <c r="AO71" i="3"/>
  <c r="AO72" i="3"/>
  <c r="AO73" i="3"/>
  <c r="AO74" i="3"/>
  <c r="AO75" i="3"/>
  <c r="AO76" i="3"/>
  <c r="AO77" i="3"/>
  <c r="AO78" i="3"/>
  <c r="AO79" i="3"/>
  <c r="AO80" i="3"/>
  <c r="AO81" i="3"/>
  <c r="AO82" i="3"/>
  <c r="AO83" i="3"/>
  <c r="AO84" i="3"/>
  <c r="AO85" i="3"/>
  <c r="AO86" i="3"/>
  <c r="AO87" i="3"/>
  <c r="AO88" i="3"/>
  <c r="AO89" i="3"/>
  <c r="AO90" i="3"/>
  <c r="AO91" i="3"/>
  <c r="AO92" i="3"/>
  <c r="AO93" i="3"/>
  <c r="AO94" i="3"/>
  <c r="AO95" i="3"/>
  <c r="AO96" i="3"/>
  <c r="AO97" i="3"/>
  <c r="AO98" i="3"/>
  <c r="AO99" i="3"/>
  <c r="AO100" i="3"/>
  <c r="AO101" i="3"/>
  <c r="AO102" i="3"/>
  <c r="AO103" i="3"/>
  <c r="AO104" i="3"/>
  <c r="AO105" i="3"/>
  <c r="AO106" i="3"/>
  <c r="AO107" i="3"/>
  <c r="AO108" i="3"/>
  <c r="AO109" i="3"/>
  <c r="AO110" i="3"/>
  <c r="AO111" i="3"/>
  <c r="AO112" i="3"/>
  <c r="AO113" i="3"/>
  <c r="AO114" i="3"/>
  <c r="AO115" i="3"/>
  <c r="AO116" i="3"/>
  <c r="AO117" i="3"/>
  <c r="AO118" i="3"/>
  <c r="AO119" i="3"/>
  <c r="AO120" i="3"/>
  <c r="AO121" i="3"/>
  <c r="AO122" i="3"/>
  <c r="AO123" i="3"/>
  <c r="AO124" i="3"/>
  <c r="AO125" i="3"/>
  <c r="AO126" i="3"/>
  <c r="AO127" i="3"/>
  <c r="AO128" i="3"/>
  <c r="AO129" i="3"/>
  <c r="AO130" i="3"/>
  <c r="AO131" i="3"/>
  <c r="AO132" i="3"/>
  <c r="AO133" i="3"/>
  <c r="AO134" i="3"/>
  <c r="AO135" i="3"/>
  <c r="AO136" i="3"/>
  <c r="AO137" i="3"/>
  <c r="AO138" i="3"/>
  <c r="AO139" i="3"/>
  <c r="AO140" i="3"/>
  <c r="AO141" i="3"/>
  <c r="AO142" i="3"/>
  <c r="AO143" i="3"/>
  <c r="AO144" i="3"/>
  <c r="AO145" i="3"/>
  <c r="AO146" i="3"/>
  <c r="AO147" i="3"/>
  <c r="AO148" i="3"/>
  <c r="AO149" i="3"/>
  <c r="AO150" i="3"/>
  <c r="AO151" i="3"/>
  <c r="AO152" i="3"/>
  <c r="AO153" i="3"/>
  <c r="AO154" i="3"/>
  <c r="AO155" i="3"/>
  <c r="AO156" i="3"/>
  <c r="AO157" i="3"/>
  <c r="AO158" i="3"/>
  <c r="AO159" i="3"/>
  <c r="AO160" i="3"/>
  <c r="AO161" i="3"/>
  <c r="AO162" i="3"/>
  <c r="AO163" i="3"/>
  <c r="AO164" i="3"/>
  <c r="AO165" i="3"/>
  <c r="AO166" i="3"/>
  <c r="AO167" i="3"/>
  <c r="AO168" i="3"/>
  <c r="AO169" i="3"/>
  <c r="AO170" i="3"/>
  <c r="AO171" i="3"/>
  <c r="AO172" i="3"/>
  <c r="AO173" i="3"/>
  <c r="AO174" i="3"/>
  <c r="AO175" i="3"/>
  <c r="AO176" i="3"/>
  <c r="AO177" i="3"/>
  <c r="AO178" i="3"/>
  <c r="AO179" i="3"/>
  <c r="AO180" i="3"/>
  <c r="AO181" i="3"/>
  <c r="AO182" i="3"/>
  <c r="AO183" i="3"/>
  <c r="AO184" i="3"/>
  <c r="AO185" i="3"/>
  <c r="AO186" i="3"/>
  <c r="AO187" i="3"/>
  <c r="AO188" i="3"/>
  <c r="AO189" i="3"/>
  <c r="AO190" i="3"/>
  <c r="AO191" i="3"/>
  <c r="AO192" i="3"/>
  <c r="AO193" i="3"/>
  <c r="AO194" i="3"/>
  <c r="AO195" i="3"/>
  <c r="AO196" i="3"/>
  <c r="AO197" i="3"/>
  <c r="AO198" i="3"/>
  <c r="AO199" i="3"/>
  <c r="AO200" i="3"/>
  <c r="AO201" i="3"/>
  <c r="AO202" i="3"/>
  <c r="AO203" i="3"/>
  <c r="AO204" i="3"/>
  <c r="AO205" i="3"/>
  <c r="AO206" i="3"/>
  <c r="AO207" i="3"/>
  <c r="AO208" i="3"/>
  <c r="AO209" i="3"/>
  <c r="AO210" i="3"/>
  <c r="AO211" i="3"/>
  <c r="AO212" i="3"/>
  <c r="AO213" i="3"/>
  <c r="AO214" i="3"/>
  <c r="AO215" i="3"/>
  <c r="AO216" i="3"/>
  <c r="AO217" i="3"/>
  <c r="AO218" i="3"/>
  <c r="AO219" i="3"/>
  <c r="AO220" i="3"/>
  <c r="AO221" i="3"/>
  <c r="AO222" i="3"/>
  <c r="AO223" i="3"/>
  <c r="AO224" i="3"/>
  <c r="AO225" i="3"/>
  <c r="AO226" i="3"/>
  <c r="AO227" i="3"/>
  <c r="AO228" i="3"/>
  <c r="AO229" i="3"/>
  <c r="AO230" i="3"/>
  <c r="AO231" i="3"/>
  <c r="AO232" i="3"/>
  <c r="AO233" i="3"/>
  <c r="AO234" i="3"/>
  <c r="AO235" i="3"/>
  <c r="AO236" i="3"/>
  <c r="AO237" i="3"/>
  <c r="AO238" i="3"/>
  <c r="AO239" i="3"/>
  <c r="AO240" i="3"/>
  <c r="AO241" i="3"/>
  <c r="AO242" i="3"/>
  <c r="AO243" i="3"/>
  <c r="AO244" i="3"/>
  <c r="AO245" i="3"/>
  <c r="AO246" i="3"/>
  <c r="AO247" i="3"/>
  <c r="AO248" i="3"/>
  <c r="AO249" i="3"/>
  <c r="AO250" i="3"/>
  <c r="AO251" i="3"/>
  <c r="AO252" i="3"/>
  <c r="AO253" i="3"/>
  <c r="AO254" i="3"/>
  <c r="AO255" i="3"/>
  <c r="AO256" i="3"/>
  <c r="AO257" i="3"/>
  <c r="AO258" i="3"/>
  <c r="AO259" i="3"/>
  <c r="AO260" i="3"/>
  <c r="AO261" i="3"/>
  <c r="AO262" i="3"/>
  <c r="AO263" i="3"/>
  <c r="AO264" i="3"/>
  <c r="AO265" i="3"/>
  <c r="AO266" i="3"/>
  <c r="AO267" i="3"/>
  <c r="AO268" i="3"/>
  <c r="AO269" i="3"/>
  <c r="AO270" i="3"/>
  <c r="AO271" i="3"/>
  <c r="AO272" i="3"/>
  <c r="AO273" i="3"/>
  <c r="AO274" i="3"/>
  <c r="AO275" i="3"/>
  <c r="AO276" i="3"/>
  <c r="AO277" i="3"/>
  <c r="AO278" i="3"/>
  <c r="AO279" i="3"/>
  <c r="AO280" i="3"/>
  <c r="AO281" i="3"/>
  <c r="AO282" i="3"/>
  <c r="AO283" i="3"/>
  <c r="AO284" i="3"/>
  <c r="AO285" i="3"/>
  <c r="AO286" i="3"/>
  <c r="AO287" i="3"/>
  <c r="AO288" i="3"/>
  <c r="AO289" i="3"/>
  <c r="AO290" i="3"/>
  <c r="AO291" i="3"/>
  <c r="AO292" i="3"/>
  <c r="AO293" i="3"/>
  <c r="AO294" i="3"/>
  <c r="AO295" i="3"/>
  <c r="AO296" i="3"/>
  <c r="AO297" i="3"/>
  <c r="AO298" i="3"/>
  <c r="AO299" i="3"/>
  <c r="AO300" i="3"/>
  <c r="AO301" i="3"/>
  <c r="AO302" i="3"/>
  <c r="AO303" i="3"/>
  <c r="AO304" i="3"/>
  <c r="AO305" i="3"/>
  <c r="AO306" i="3"/>
  <c r="AO307" i="3"/>
  <c r="AO308" i="3"/>
  <c r="AO309" i="3"/>
  <c r="AO310" i="3"/>
  <c r="AO311" i="3"/>
  <c r="AO312" i="3"/>
  <c r="AO313" i="3"/>
  <c r="AO314" i="3"/>
  <c r="AO315" i="3"/>
  <c r="AO316" i="3"/>
  <c r="AO317" i="3"/>
  <c r="AO318" i="3"/>
  <c r="AO319" i="3"/>
  <c r="AO320" i="3"/>
  <c r="AO321" i="3"/>
  <c r="AO322" i="3"/>
  <c r="AO323" i="3"/>
  <c r="AO324" i="3"/>
  <c r="AO325" i="3"/>
  <c r="AO326" i="3"/>
  <c r="AO327" i="3"/>
  <c r="AO328" i="3"/>
  <c r="AO329" i="3"/>
  <c r="AO330" i="3"/>
  <c r="AO331" i="3"/>
  <c r="AO332" i="3"/>
  <c r="AO333" i="3"/>
  <c r="AO334" i="3"/>
  <c r="AO335" i="3"/>
  <c r="AO336" i="3"/>
  <c r="AO337" i="3"/>
  <c r="AO338" i="3"/>
  <c r="AO339" i="3"/>
  <c r="AO340" i="3"/>
  <c r="AO341" i="3"/>
  <c r="AO342" i="3"/>
  <c r="AO343" i="3"/>
  <c r="AO344" i="3"/>
  <c r="AO345" i="3"/>
  <c r="AO346" i="3"/>
  <c r="AO347" i="3"/>
  <c r="AO348" i="3"/>
  <c r="AO349" i="3"/>
  <c r="AO350" i="3"/>
  <c r="AO351" i="3"/>
  <c r="AO352" i="3"/>
  <c r="AO353" i="3"/>
  <c r="AO354" i="3"/>
  <c r="AO355" i="3"/>
  <c r="AO356" i="3"/>
  <c r="AO357" i="3"/>
  <c r="AO358" i="3"/>
  <c r="AO359" i="3"/>
  <c r="AO360" i="3"/>
  <c r="AO361" i="3"/>
  <c r="AO362" i="3"/>
  <c r="AO363" i="3"/>
  <c r="AO364" i="3"/>
  <c r="AO365" i="3"/>
  <c r="AO366" i="3"/>
  <c r="AO367" i="3"/>
  <c r="AO368" i="3"/>
  <c r="AO369" i="3"/>
  <c r="AO370" i="3"/>
  <c r="AO371" i="3"/>
  <c r="AO372" i="3"/>
  <c r="AO373" i="3"/>
  <c r="AO374" i="3"/>
  <c r="AO375" i="3"/>
  <c r="AO376" i="3"/>
  <c r="AO377" i="3"/>
  <c r="AO378" i="3"/>
  <c r="AO379" i="3"/>
  <c r="AO380" i="3"/>
  <c r="AO381" i="3"/>
  <c r="AO382" i="3"/>
  <c r="AO383" i="3"/>
  <c r="AO384" i="3"/>
  <c r="AO385" i="3"/>
  <c r="AO386" i="3"/>
  <c r="AO387" i="3"/>
  <c r="AO388" i="3"/>
  <c r="AO389" i="3"/>
  <c r="AO390" i="3"/>
  <c r="AO391" i="3"/>
  <c r="AO392" i="3"/>
  <c r="AO393" i="3"/>
  <c r="AO394" i="3"/>
  <c r="AO395" i="3"/>
  <c r="AO396" i="3"/>
  <c r="AO397" i="3"/>
  <c r="AO398" i="3"/>
  <c r="AO399" i="3"/>
  <c r="AO400" i="3"/>
  <c r="AO401" i="3"/>
  <c r="AO402" i="3"/>
  <c r="AO403" i="3"/>
  <c r="AO404" i="3"/>
  <c r="AO405" i="3"/>
  <c r="AO406" i="3"/>
  <c r="AO407" i="3"/>
  <c r="AO408" i="3"/>
  <c r="AO409" i="3"/>
  <c r="AO410" i="3"/>
  <c r="AO411" i="3"/>
  <c r="AO412" i="3"/>
  <c r="AO413" i="3"/>
  <c r="AO414" i="3"/>
  <c r="AO415" i="3"/>
  <c r="AO416" i="3"/>
  <c r="AO417" i="3"/>
  <c r="AO418" i="3"/>
  <c r="AO419" i="3"/>
  <c r="AO420" i="3"/>
  <c r="AO421" i="3"/>
  <c r="AO422" i="3"/>
  <c r="AO423" i="3"/>
  <c r="AO424" i="3"/>
  <c r="AO425" i="3"/>
  <c r="AO426" i="3"/>
  <c r="AO427" i="3"/>
  <c r="AO428" i="3"/>
  <c r="AO429" i="3"/>
  <c r="AO430" i="3"/>
  <c r="AO431" i="3"/>
  <c r="AO432" i="3"/>
  <c r="AO433" i="3"/>
  <c r="AO434" i="3"/>
  <c r="AO435" i="3"/>
  <c r="AO436" i="3"/>
  <c r="AO437" i="3"/>
  <c r="AO438" i="3"/>
  <c r="AO439" i="3"/>
  <c r="AO440" i="3"/>
  <c r="AO441" i="3"/>
  <c r="AO442" i="3"/>
  <c r="AO443" i="3"/>
  <c r="AO444" i="3"/>
  <c r="AO445" i="3"/>
  <c r="AO446" i="3"/>
  <c r="AO447" i="3"/>
  <c r="AO448" i="3"/>
  <c r="AO449" i="3"/>
  <c r="AO450" i="3"/>
  <c r="AO451" i="3"/>
  <c r="AO452" i="3"/>
  <c r="AO453" i="3"/>
  <c r="AO454" i="3"/>
  <c r="AO455" i="3"/>
  <c r="AO456" i="3"/>
  <c r="AO457" i="3"/>
  <c r="AO458" i="3"/>
  <c r="AO459" i="3"/>
  <c r="AO460" i="3"/>
  <c r="AO461" i="3"/>
  <c r="AO462" i="3"/>
  <c r="AO463" i="3"/>
  <c r="AO464" i="3"/>
  <c r="AO465" i="3"/>
  <c r="AO466" i="3"/>
  <c r="AO467" i="3"/>
  <c r="AO468" i="3"/>
  <c r="AO469" i="3"/>
  <c r="AO470" i="3"/>
  <c r="AO471" i="3"/>
  <c r="AO472" i="3"/>
  <c r="AO473" i="3"/>
  <c r="AO474" i="3"/>
  <c r="AO475" i="3"/>
  <c r="AO476" i="3"/>
  <c r="AO477" i="3"/>
  <c r="AO478" i="3"/>
  <c r="AO479" i="3"/>
  <c r="AO480" i="3"/>
  <c r="AO481" i="3"/>
  <c r="AO482" i="3"/>
  <c r="AO483" i="3"/>
  <c r="AO484" i="3"/>
  <c r="AO485" i="3"/>
  <c r="AO486" i="3"/>
  <c r="AO487" i="3"/>
  <c r="AO488" i="3"/>
  <c r="AO489" i="3"/>
  <c r="AO490" i="3"/>
  <c r="AO491" i="3"/>
  <c r="AO492" i="3"/>
  <c r="AO493" i="3"/>
  <c r="AO494" i="3"/>
  <c r="AO495" i="3"/>
  <c r="AO496" i="3"/>
  <c r="AO497" i="3"/>
  <c r="AO498" i="3"/>
  <c r="AO499" i="3"/>
  <c r="AO500" i="3"/>
  <c r="AO501" i="3"/>
  <c r="AO502" i="3"/>
  <c r="AO503" i="3"/>
  <c r="AO504" i="3"/>
  <c r="AO505" i="3"/>
  <c r="AO506" i="3"/>
  <c r="AO507" i="3"/>
  <c r="AO508" i="3"/>
  <c r="AO509" i="3"/>
  <c r="AO510" i="3"/>
  <c r="AO511" i="3"/>
  <c r="AO512" i="3"/>
  <c r="AO513" i="3"/>
  <c r="AO514" i="3"/>
  <c r="AO515" i="3"/>
  <c r="AO516" i="3"/>
  <c r="AO517" i="3"/>
  <c r="AO518" i="3"/>
  <c r="AO519" i="3"/>
  <c r="AO520" i="3"/>
  <c r="AO521" i="3"/>
  <c r="AO522" i="3"/>
  <c r="AO523" i="3"/>
  <c r="AO524" i="3"/>
  <c r="AO525" i="3"/>
  <c r="AO526" i="3"/>
  <c r="AO527" i="3"/>
  <c r="AO528" i="3"/>
  <c r="AO529" i="3"/>
  <c r="AO530" i="3"/>
  <c r="AO531" i="3"/>
  <c r="AO532" i="3"/>
  <c r="AO533" i="3"/>
  <c r="AO534" i="3"/>
  <c r="AO535" i="3"/>
  <c r="AO536" i="3"/>
  <c r="AO537" i="3"/>
  <c r="AO538" i="3"/>
  <c r="AO539" i="3"/>
  <c r="AO540" i="3"/>
  <c r="AO541" i="3"/>
  <c r="AO542" i="3"/>
  <c r="AO543" i="3"/>
  <c r="AO544" i="3"/>
  <c r="AO545" i="3"/>
  <c r="AO546" i="3"/>
  <c r="AO547" i="3"/>
  <c r="AO548" i="3"/>
  <c r="AO549" i="3"/>
  <c r="AO550" i="3"/>
  <c r="AO551" i="3"/>
  <c r="AO552" i="3"/>
  <c r="AO553" i="3"/>
  <c r="AO554" i="3"/>
  <c r="AO555" i="3"/>
  <c r="AO556" i="3"/>
  <c r="AO557" i="3"/>
  <c r="AO558" i="3"/>
  <c r="AO559" i="3"/>
  <c r="AO560" i="3"/>
  <c r="AO561" i="3"/>
  <c r="AO562" i="3"/>
  <c r="AO563" i="3"/>
  <c r="AO564" i="3"/>
  <c r="AO565" i="3"/>
  <c r="AO566" i="3"/>
  <c r="AO567" i="3"/>
  <c r="AO568" i="3"/>
  <c r="AO569" i="3"/>
  <c r="AO570" i="3"/>
  <c r="AO571" i="3"/>
  <c r="AO572" i="3"/>
  <c r="AO573" i="3"/>
  <c r="AO574" i="3"/>
  <c r="AO575" i="3"/>
  <c r="AO576" i="3"/>
  <c r="AO577" i="3"/>
  <c r="AO578" i="3"/>
  <c r="AO579" i="3"/>
  <c r="AO580" i="3"/>
  <c r="AO581" i="3"/>
  <c r="AO582" i="3"/>
  <c r="AO583" i="3"/>
  <c r="AO584" i="3"/>
  <c r="AO585" i="3"/>
  <c r="AO586" i="3"/>
  <c r="AO587" i="3"/>
  <c r="AO588" i="3"/>
  <c r="AO589" i="3"/>
  <c r="AO590" i="3"/>
  <c r="AO591" i="3"/>
  <c r="AO592" i="3"/>
  <c r="AO593" i="3"/>
  <c r="AO594" i="3"/>
  <c r="AO595" i="3"/>
  <c r="AO596" i="3"/>
  <c r="AO597" i="3"/>
  <c r="AO598" i="3"/>
  <c r="AO599" i="3"/>
  <c r="AO600" i="3"/>
  <c r="AO601" i="3"/>
  <c r="AO602" i="3"/>
  <c r="AO603" i="3"/>
  <c r="AO604" i="3"/>
  <c r="AO605" i="3"/>
  <c r="AO606" i="3"/>
  <c r="AO607" i="3"/>
  <c r="AO608" i="3"/>
  <c r="AO609" i="3"/>
  <c r="AO610" i="3"/>
  <c r="AO611" i="3"/>
  <c r="AO612" i="3"/>
  <c r="AO613" i="3"/>
  <c r="AO614" i="3"/>
  <c r="AO615" i="3"/>
  <c r="AO616" i="3"/>
  <c r="AO617" i="3"/>
  <c r="AO618" i="3"/>
  <c r="AO619" i="3"/>
  <c r="AO620" i="3"/>
  <c r="AO621" i="3"/>
  <c r="AO622" i="3"/>
  <c r="AO623" i="3"/>
  <c r="AO624" i="3"/>
  <c r="AO625" i="3"/>
  <c r="AO626" i="3"/>
  <c r="AO627" i="3"/>
  <c r="AO628" i="3"/>
  <c r="AO629" i="3"/>
  <c r="AO630" i="3"/>
  <c r="AO631" i="3"/>
  <c r="AO632" i="3"/>
  <c r="AO633" i="3"/>
  <c r="AO634" i="3"/>
  <c r="AO635" i="3"/>
  <c r="AO636" i="3"/>
  <c r="AO637" i="3"/>
  <c r="AO638" i="3"/>
  <c r="AO639" i="3"/>
  <c r="AO640" i="3"/>
  <c r="AO641" i="3"/>
  <c r="AO642" i="3"/>
  <c r="AO643" i="3"/>
  <c r="AO644" i="3"/>
  <c r="AO645" i="3"/>
  <c r="AO646" i="3"/>
  <c r="AO647" i="3"/>
  <c r="AO648" i="3"/>
  <c r="AO649" i="3"/>
  <c r="AO650" i="3"/>
  <c r="AO651" i="3"/>
  <c r="AO652" i="3"/>
  <c r="AO653" i="3"/>
  <c r="AO654" i="3"/>
  <c r="AO655" i="3"/>
  <c r="AO656" i="3"/>
  <c r="AO657" i="3"/>
  <c r="AO658" i="3"/>
  <c r="AO659" i="3"/>
  <c r="AO660" i="3"/>
  <c r="AO661" i="3"/>
  <c r="AO662" i="3"/>
  <c r="AO663" i="3"/>
  <c r="AO664" i="3"/>
  <c r="AO665" i="3"/>
  <c r="AO666" i="3"/>
  <c r="AO667" i="3"/>
  <c r="AO668" i="3"/>
  <c r="AO669" i="3"/>
  <c r="AO670" i="3"/>
  <c r="AO671" i="3"/>
  <c r="AO672" i="3"/>
  <c r="AO673" i="3"/>
  <c r="AO674" i="3"/>
  <c r="AO675" i="3"/>
  <c r="AO676" i="3"/>
  <c r="AO677" i="3"/>
  <c r="AO678" i="3"/>
  <c r="AO679" i="3"/>
  <c r="AO680" i="3"/>
  <c r="AO681" i="3"/>
  <c r="AO682" i="3"/>
  <c r="AO683" i="3"/>
  <c r="AO684" i="3"/>
  <c r="AO685" i="3"/>
  <c r="AO686" i="3"/>
  <c r="AO687" i="3"/>
  <c r="AO688" i="3"/>
  <c r="AO689" i="3"/>
  <c r="AO690" i="3"/>
  <c r="AO691" i="3"/>
  <c r="AO692" i="3"/>
  <c r="AO693" i="3"/>
  <c r="AO694" i="3"/>
  <c r="AO695" i="3"/>
  <c r="AO696" i="3"/>
  <c r="AO697" i="3"/>
  <c r="AO698" i="3"/>
  <c r="AO699" i="3"/>
  <c r="AO700" i="3"/>
  <c r="AO701" i="3"/>
  <c r="AO702" i="3"/>
  <c r="AO703" i="3"/>
  <c r="AO704" i="3"/>
  <c r="AO705" i="3"/>
  <c r="AO706" i="3"/>
  <c r="AO707" i="3"/>
  <c r="AO708" i="3"/>
  <c r="AO709" i="3"/>
  <c r="AO710" i="3"/>
  <c r="AO711" i="3"/>
  <c r="AO712" i="3"/>
  <c r="AO713" i="3"/>
  <c r="AO714" i="3"/>
  <c r="AO715" i="3"/>
  <c r="AO716" i="3"/>
  <c r="AO717" i="3"/>
  <c r="AO718" i="3"/>
  <c r="AO719" i="3"/>
  <c r="AO720" i="3"/>
  <c r="AO721" i="3"/>
  <c r="AO722" i="3"/>
  <c r="AO723" i="3"/>
  <c r="AO724" i="3"/>
  <c r="AO725" i="3"/>
  <c r="AO726" i="3"/>
  <c r="AO727" i="3"/>
  <c r="AO728" i="3"/>
  <c r="AO729" i="3"/>
  <c r="AO730" i="3"/>
  <c r="AO731" i="3"/>
  <c r="AO732" i="3"/>
  <c r="AO733" i="3"/>
  <c r="AO734" i="3"/>
  <c r="AO735" i="3"/>
  <c r="AO736" i="3"/>
  <c r="AO737" i="3"/>
  <c r="AO738" i="3"/>
  <c r="AO739" i="3"/>
  <c r="AO740" i="3"/>
  <c r="AO741" i="3"/>
  <c r="AO742" i="3"/>
  <c r="AO743" i="3"/>
  <c r="AO744" i="3"/>
  <c r="AO745" i="3"/>
  <c r="AO746" i="3"/>
  <c r="AO747" i="3"/>
  <c r="AO748" i="3"/>
  <c r="AO749" i="3"/>
  <c r="AO750" i="3"/>
  <c r="AO751" i="3"/>
  <c r="AO752" i="3"/>
  <c r="AO753" i="3"/>
  <c r="AO754" i="3"/>
  <c r="AO755" i="3"/>
  <c r="AO756" i="3"/>
  <c r="AO757" i="3"/>
  <c r="AO758" i="3"/>
  <c r="AO759" i="3"/>
  <c r="AO760" i="3"/>
  <c r="AO761" i="3"/>
  <c r="AO762" i="3"/>
  <c r="AO763" i="3"/>
  <c r="AO764" i="3"/>
  <c r="AO765" i="3"/>
  <c r="AO766" i="3"/>
  <c r="AO767" i="3"/>
  <c r="AO768" i="3"/>
  <c r="AO769" i="3"/>
  <c r="AO770" i="3"/>
  <c r="AO771" i="3"/>
  <c r="AO772" i="3"/>
  <c r="AO773" i="3"/>
  <c r="AO774" i="3"/>
  <c r="AO775" i="3"/>
  <c r="AO776" i="3"/>
  <c r="AO777" i="3"/>
  <c r="AO778" i="3"/>
  <c r="AO779" i="3"/>
  <c r="AO780" i="3"/>
  <c r="AO781" i="3"/>
  <c r="AO782" i="3"/>
  <c r="AO783" i="3"/>
  <c r="AO784" i="3"/>
  <c r="AO785" i="3"/>
  <c r="AO786" i="3"/>
  <c r="AO787" i="3"/>
  <c r="AO788" i="3"/>
  <c r="AO789" i="3"/>
  <c r="AO790" i="3"/>
  <c r="AO791" i="3"/>
  <c r="AO792" i="3"/>
  <c r="AO793" i="3"/>
  <c r="AO794" i="3"/>
  <c r="AO795" i="3"/>
  <c r="AO796" i="3"/>
  <c r="AO797" i="3"/>
  <c r="AO798" i="3"/>
  <c r="AO799" i="3"/>
  <c r="AO800" i="3"/>
  <c r="AO801" i="3"/>
  <c r="AO802" i="3"/>
  <c r="AO803" i="3"/>
  <c r="AO804" i="3"/>
  <c r="AO805" i="3"/>
  <c r="AO806" i="3"/>
  <c r="AO807" i="3"/>
  <c r="AO808" i="3"/>
  <c r="AO809" i="3"/>
  <c r="AO810" i="3"/>
  <c r="AO811" i="3"/>
  <c r="AO812" i="3"/>
  <c r="AO813" i="3"/>
  <c r="AO814" i="3"/>
  <c r="AO815" i="3"/>
  <c r="AO816" i="3"/>
  <c r="AO817" i="3"/>
  <c r="AO818" i="3"/>
  <c r="AO819" i="3"/>
  <c r="AO820" i="3"/>
  <c r="AO821" i="3"/>
  <c r="AO822" i="3"/>
  <c r="AO823" i="3"/>
  <c r="AO824" i="3"/>
  <c r="AO825" i="3"/>
  <c r="AO826" i="3"/>
  <c r="AO827" i="3"/>
  <c r="AO828" i="3"/>
  <c r="AO829" i="3"/>
  <c r="AO830" i="3"/>
  <c r="AO831" i="3"/>
  <c r="AO832" i="3"/>
  <c r="AO833" i="3"/>
  <c r="AO834" i="3"/>
  <c r="AO835" i="3"/>
  <c r="AO836" i="3"/>
  <c r="AO837" i="3"/>
  <c r="AO838" i="3"/>
  <c r="AO839" i="3"/>
  <c r="AO840" i="3"/>
  <c r="AO841" i="3"/>
  <c r="AO842" i="3"/>
  <c r="AO843" i="3"/>
  <c r="AO844" i="3"/>
  <c r="AO845" i="3"/>
  <c r="AO846" i="3"/>
  <c r="AO847" i="3"/>
  <c r="AO848" i="3"/>
  <c r="AO849" i="3"/>
  <c r="AO850" i="3"/>
  <c r="AO851" i="3"/>
  <c r="AO852" i="3"/>
  <c r="AO853" i="3"/>
  <c r="AO854" i="3"/>
  <c r="AO855" i="3"/>
  <c r="AO856" i="3"/>
  <c r="AO857" i="3"/>
  <c r="AO858" i="3"/>
  <c r="AO859" i="3"/>
  <c r="AO860" i="3"/>
  <c r="AO861" i="3"/>
  <c r="AO862" i="3"/>
  <c r="AO863" i="3"/>
  <c r="AO864" i="3"/>
  <c r="AO865" i="3"/>
  <c r="AO866" i="3"/>
  <c r="AO867" i="3"/>
  <c r="AO868" i="3"/>
  <c r="AO869" i="3"/>
  <c r="AO870" i="3"/>
  <c r="AO871" i="3"/>
  <c r="AO872" i="3"/>
  <c r="AO873" i="3"/>
  <c r="AO874" i="3"/>
  <c r="AO875" i="3"/>
  <c r="AO876" i="3"/>
  <c r="AO877" i="3"/>
  <c r="AO878" i="3"/>
  <c r="AO879" i="3"/>
  <c r="AO880" i="3"/>
  <c r="AO881" i="3"/>
  <c r="AO882" i="3"/>
  <c r="AO883" i="3"/>
  <c r="AO884" i="3"/>
  <c r="AO885" i="3"/>
  <c r="AO886" i="3"/>
  <c r="AO887" i="3"/>
  <c r="AO888" i="3"/>
  <c r="AO889" i="3"/>
  <c r="AO890" i="3"/>
  <c r="AO891" i="3"/>
  <c r="AO892" i="3"/>
  <c r="AO893" i="3"/>
  <c r="AO894" i="3"/>
  <c r="AO895" i="3"/>
  <c r="AO896" i="3"/>
  <c r="AO897" i="3"/>
  <c r="AO898" i="3"/>
  <c r="AO899" i="3"/>
  <c r="AO900" i="3"/>
  <c r="AO901" i="3"/>
  <c r="AO902" i="3"/>
  <c r="AO903" i="3"/>
  <c r="AO904" i="3"/>
  <c r="AO905" i="3"/>
  <c r="AO906" i="3"/>
  <c r="AO907" i="3"/>
  <c r="AO908" i="3"/>
  <c r="AO909" i="3"/>
  <c r="AO910" i="3"/>
  <c r="AO911" i="3"/>
  <c r="AO912" i="3"/>
  <c r="AO913" i="3"/>
  <c r="AO914" i="3"/>
  <c r="AO915" i="3"/>
  <c r="AO916" i="3"/>
  <c r="AO917" i="3"/>
  <c r="AO918" i="3"/>
  <c r="AO919" i="3"/>
  <c r="AO920" i="3"/>
  <c r="AO921" i="3"/>
  <c r="AO922" i="3"/>
  <c r="AO923" i="3"/>
  <c r="AO924" i="3"/>
  <c r="AO925" i="3"/>
  <c r="AO926" i="3"/>
  <c r="AO927" i="3"/>
  <c r="AO928" i="3"/>
  <c r="AO929" i="3"/>
  <c r="AO930" i="3"/>
  <c r="AO931" i="3"/>
  <c r="AO932" i="3"/>
  <c r="AO933" i="3"/>
  <c r="AO2" i="3"/>
  <c r="AN3" i="3"/>
  <c r="AN4" i="3"/>
  <c r="AN5" i="3"/>
  <c r="AN6" i="3"/>
  <c r="AN7" i="3"/>
  <c r="AN8" i="3"/>
  <c r="AN9" i="3"/>
  <c r="AN10" i="3"/>
  <c r="AN11" i="3"/>
  <c r="AN12" i="3"/>
  <c r="AN13" i="3"/>
  <c r="AN14" i="3"/>
  <c r="AN15" i="3"/>
  <c r="AN16" i="3"/>
  <c r="AN17" i="3"/>
  <c r="AN18" i="3"/>
  <c r="AN19" i="3"/>
  <c r="AN20" i="3"/>
  <c r="AN21" i="3"/>
  <c r="AN22" i="3"/>
  <c r="AN23" i="3"/>
  <c r="AN24" i="3"/>
  <c r="AN25" i="3"/>
  <c r="AN26" i="3"/>
  <c r="AN27" i="3"/>
  <c r="AN28" i="3"/>
  <c r="AN29" i="3"/>
  <c r="AN30" i="3"/>
  <c r="AN31" i="3"/>
  <c r="AN32" i="3"/>
  <c r="AN33" i="3"/>
  <c r="AN34" i="3"/>
  <c r="AN35" i="3"/>
  <c r="AN36" i="3"/>
  <c r="AN37" i="3"/>
  <c r="AN38" i="3"/>
  <c r="AN39" i="3"/>
  <c r="AN40" i="3"/>
  <c r="AN41" i="3"/>
  <c r="AN42" i="3"/>
  <c r="AN43" i="3"/>
  <c r="AN44" i="3"/>
  <c r="AN45" i="3"/>
  <c r="AN46" i="3"/>
  <c r="AN47" i="3"/>
  <c r="AN48" i="3"/>
  <c r="AN49" i="3"/>
  <c r="AN50" i="3"/>
  <c r="AN51" i="3"/>
  <c r="AN52" i="3"/>
  <c r="AN53" i="3"/>
  <c r="AN54" i="3"/>
  <c r="AN55" i="3"/>
  <c r="AN56" i="3"/>
  <c r="AN57" i="3"/>
  <c r="AN58" i="3"/>
  <c r="AN59" i="3"/>
  <c r="AN60" i="3"/>
  <c r="AN61" i="3"/>
  <c r="AN62" i="3"/>
  <c r="AN63" i="3"/>
  <c r="AN64" i="3"/>
  <c r="AN65" i="3"/>
  <c r="AN66" i="3"/>
  <c r="AN67" i="3"/>
  <c r="AN68" i="3"/>
  <c r="AN69" i="3"/>
  <c r="AN70" i="3"/>
  <c r="AN71" i="3"/>
  <c r="AN72" i="3"/>
  <c r="AN73" i="3"/>
  <c r="AN74" i="3"/>
  <c r="AN75" i="3"/>
  <c r="AN76" i="3"/>
  <c r="AN77" i="3"/>
  <c r="AN78" i="3"/>
  <c r="AN79" i="3"/>
  <c r="AN80" i="3"/>
  <c r="AN81" i="3"/>
  <c r="AN82" i="3"/>
  <c r="AN83" i="3"/>
  <c r="AN84" i="3"/>
  <c r="AN85" i="3"/>
  <c r="AN86" i="3"/>
  <c r="AN87" i="3"/>
  <c r="AN88" i="3"/>
  <c r="AN89" i="3"/>
  <c r="AN90" i="3"/>
  <c r="AN91" i="3"/>
  <c r="AN92" i="3"/>
  <c r="AN93" i="3"/>
  <c r="AN94" i="3"/>
  <c r="AN95" i="3"/>
  <c r="AN96" i="3"/>
  <c r="AN97" i="3"/>
  <c r="AN98" i="3"/>
  <c r="AN99" i="3"/>
  <c r="AN100" i="3"/>
  <c r="AN101" i="3"/>
  <c r="AN102" i="3"/>
  <c r="AN103" i="3"/>
  <c r="AN104" i="3"/>
  <c r="AN105" i="3"/>
  <c r="AN106" i="3"/>
  <c r="AN107" i="3"/>
  <c r="AN108" i="3"/>
  <c r="AN109" i="3"/>
  <c r="AN110" i="3"/>
  <c r="AN111" i="3"/>
  <c r="AN112" i="3"/>
  <c r="AN113" i="3"/>
  <c r="AN114" i="3"/>
  <c r="AN115" i="3"/>
  <c r="AN116" i="3"/>
  <c r="AN117" i="3"/>
  <c r="AN118" i="3"/>
  <c r="AN119" i="3"/>
  <c r="AN120" i="3"/>
  <c r="AN121" i="3"/>
  <c r="AN122" i="3"/>
  <c r="AN123" i="3"/>
  <c r="AN124" i="3"/>
  <c r="AN125" i="3"/>
  <c r="AN126" i="3"/>
  <c r="AN127" i="3"/>
  <c r="AN128" i="3"/>
  <c r="AN129" i="3"/>
  <c r="AN130" i="3"/>
  <c r="AN131" i="3"/>
  <c r="AN132" i="3"/>
  <c r="AN133" i="3"/>
  <c r="AN134" i="3"/>
  <c r="AN135" i="3"/>
  <c r="AN136" i="3"/>
  <c r="AN137" i="3"/>
  <c r="AN138" i="3"/>
  <c r="AN139" i="3"/>
  <c r="AN140" i="3"/>
  <c r="AN141" i="3"/>
  <c r="AN142" i="3"/>
  <c r="AN143" i="3"/>
  <c r="AN144" i="3"/>
  <c r="AN145" i="3"/>
  <c r="AN146" i="3"/>
  <c r="AN147" i="3"/>
  <c r="AN148" i="3"/>
  <c r="AN149" i="3"/>
  <c r="AN150" i="3"/>
  <c r="AN151" i="3"/>
  <c r="AN152" i="3"/>
  <c r="AN153" i="3"/>
  <c r="AN154" i="3"/>
  <c r="AN155" i="3"/>
  <c r="AN156" i="3"/>
  <c r="AN157" i="3"/>
  <c r="AN158" i="3"/>
  <c r="AN159" i="3"/>
  <c r="AN160" i="3"/>
  <c r="AN161" i="3"/>
  <c r="AN162" i="3"/>
  <c r="AN163" i="3"/>
  <c r="AN164" i="3"/>
  <c r="AN165" i="3"/>
  <c r="AN166" i="3"/>
  <c r="AN167" i="3"/>
  <c r="AN168" i="3"/>
  <c r="AN169" i="3"/>
  <c r="AN170" i="3"/>
  <c r="AN171" i="3"/>
  <c r="AN172" i="3"/>
  <c r="AN173" i="3"/>
  <c r="AN174" i="3"/>
  <c r="AN175" i="3"/>
  <c r="AN176" i="3"/>
  <c r="AN177" i="3"/>
  <c r="AN178" i="3"/>
  <c r="AN179" i="3"/>
  <c r="AN180" i="3"/>
  <c r="AN181" i="3"/>
  <c r="AN182" i="3"/>
  <c r="AN183" i="3"/>
  <c r="AN184" i="3"/>
  <c r="AN185" i="3"/>
  <c r="AN186" i="3"/>
  <c r="AN187" i="3"/>
  <c r="AN188" i="3"/>
  <c r="AN189" i="3"/>
  <c r="AN190" i="3"/>
  <c r="AN191" i="3"/>
  <c r="AN192" i="3"/>
  <c r="AN193" i="3"/>
  <c r="AN194" i="3"/>
  <c r="AN195" i="3"/>
  <c r="AN196" i="3"/>
  <c r="AN197" i="3"/>
  <c r="AN198" i="3"/>
  <c r="AN199" i="3"/>
  <c r="AN200" i="3"/>
  <c r="AN201" i="3"/>
  <c r="AN202" i="3"/>
  <c r="AN203" i="3"/>
  <c r="AN204" i="3"/>
  <c r="AN205" i="3"/>
  <c r="AN206" i="3"/>
  <c r="AN207" i="3"/>
  <c r="AN208" i="3"/>
  <c r="AN209" i="3"/>
  <c r="AN210" i="3"/>
  <c r="AN211" i="3"/>
  <c r="AN212" i="3"/>
  <c r="AN213" i="3"/>
  <c r="AN214" i="3"/>
  <c r="AN215" i="3"/>
  <c r="AN216" i="3"/>
  <c r="AN217" i="3"/>
  <c r="AN218" i="3"/>
  <c r="AN219" i="3"/>
  <c r="AN220" i="3"/>
  <c r="AN221" i="3"/>
  <c r="AN222" i="3"/>
  <c r="AN223" i="3"/>
  <c r="AN224" i="3"/>
  <c r="AN225" i="3"/>
  <c r="AN226" i="3"/>
  <c r="AN227" i="3"/>
  <c r="AN228" i="3"/>
  <c r="AN229" i="3"/>
  <c r="AN230" i="3"/>
  <c r="AN231" i="3"/>
  <c r="AN232" i="3"/>
  <c r="AN233" i="3"/>
  <c r="AN234" i="3"/>
  <c r="AN235" i="3"/>
  <c r="AN236" i="3"/>
  <c r="AN237" i="3"/>
  <c r="AN238" i="3"/>
  <c r="AN239" i="3"/>
  <c r="AN240" i="3"/>
  <c r="AN241" i="3"/>
  <c r="AN242" i="3"/>
  <c r="AN243" i="3"/>
  <c r="AN244" i="3"/>
  <c r="AN245" i="3"/>
  <c r="AN246" i="3"/>
  <c r="AN247" i="3"/>
  <c r="AN248" i="3"/>
  <c r="AN249" i="3"/>
  <c r="AN250" i="3"/>
  <c r="AN251" i="3"/>
  <c r="AN252" i="3"/>
  <c r="AN253" i="3"/>
  <c r="AN254" i="3"/>
  <c r="AN255" i="3"/>
  <c r="AN256" i="3"/>
  <c r="AN257" i="3"/>
  <c r="AN258" i="3"/>
  <c r="AN259" i="3"/>
  <c r="AN260" i="3"/>
  <c r="AN261" i="3"/>
  <c r="AN262" i="3"/>
  <c r="AN263" i="3"/>
  <c r="AN264" i="3"/>
  <c r="AN265" i="3"/>
  <c r="AN266" i="3"/>
  <c r="AN267" i="3"/>
  <c r="AN268" i="3"/>
  <c r="AN269" i="3"/>
  <c r="AN270" i="3"/>
  <c r="AN271" i="3"/>
  <c r="AN272" i="3"/>
  <c r="AN273" i="3"/>
  <c r="AN274" i="3"/>
  <c r="AN275" i="3"/>
  <c r="AN276" i="3"/>
  <c r="AN277" i="3"/>
  <c r="AN278" i="3"/>
  <c r="AN279" i="3"/>
  <c r="AN280" i="3"/>
  <c r="AN281" i="3"/>
  <c r="AN282" i="3"/>
  <c r="AN283" i="3"/>
  <c r="AN284" i="3"/>
  <c r="AN285" i="3"/>
  <c r="AN286" i="3"/>
  <c r="AN287" i="3"/>
  <c r="AN288" i="3"/>
  <c r="AN289" i="3"/>
  <c r="AN290" i="3"/>
  <c r="AN291" i="3"/>
  <c r="AN292" i="3"/>
  <c r="AN293" i="3"/>
  <c r="AN294" i="3"/>
  <c r="AN295" i="3"/>
  <c r="AN296" i="3"/>
  <c r="AN297" i="3"/>
  <c r="AN298" i="3"/>
  <c r="AN299" i="3"/>
  <c r="AN300" i="3"/>
  <c r="AN301" i="3"/>
  <c r="AN302" i="3"/>
  <c r="AN303" i="3"/>
  <c r="AN304" i="3"/>
  <c r="AN305" i="3"/>
  <c r="AN306" i="3"/>
  <c r="AN307" i="3"/>
  <c r="AN308" i="3"/>
  <c r="AN309" i="3"/>
  <c r="AN310" i="3"/>
  <c r="AN311" i="3"/>
  <c r="AN312" i="3"/>
  <c r="AN313" i="3"/>
  <c r="AN314" i="3"/>
  <c r="AN315" i="3"/>
  <c r="AN316" i="3"/>
  <c r="AN317" i="3"/>
  <c r="AN318" i="3"/>
  <c r="AN319" i="3"/>
  <c r="AN320" i="3"/>
  <c r="AN321" i="3"/>
  <c r="AN322" i="3"/>
  <c r="AN323" i="3"/>
  <c r="AN324" i="3"/>
  <c r="AN325" i="3"/>
  <c r="AN326" i="3"/>
  <c r="AN327" i="3"/>
  <c r="AN328" i="3"/>
  <c r="AN329" i="3"/>
  <c r="AN330" i="3"/>
  <c r="AN331" i="3"/>
  <c r="AN332" i="3"/>
  <c r="AN333" i="3"/>
  <c r="AN334" i="3"/>
  <c r="AN335" i="3"/>
  <c r="AN336" i="3"/>
  <c r="AN337" i="3"/>
  <c r="AN338" i="3"/>
  <c r="AN339" i="3"/>
  <c r="AN340" i="3"/>
  <c r="AN341" i="3"/>
  <c r="AN342" i="3"/>
  <c r="AN343" i="3"/>
  <c r="AN344" i="3"/>
  <c r="AN345" i="3"/>
  <c r="AN346" i="3"/>
  <c r="AN347" i="3"/>
  <c r="AN348" i="3"/>
  <c r="AN349" i="3"/>
  <c r="AN350" i="3"/>
  <c r="AN351" i="3"/>
  <c r="AN352" i="3"/>
  <c r="AN353" i="3"/>
  <c r="AN354" i="3"/>
  <c r="AN355" i="3"/>
  <c r="AN356" i="3"/>
  <c r="AN357" i="3"/>
  <c r="AN358" i="3"/>
  <c r="AN359" i="3"/>
  <c r="AN360" i="3"/>
  <c r="AN361" i="3"/>
  <c r="AN362" i="3"/>
  <c r="AN363" i="3"/>
  <c r="AN364" i="3"/>
  <c r="AN365" i="3"/>
  <c r="AN366" i="3"/>
  <c r="AN367" i="3"/>
  <c r="AN368" i="3"/>
  <c r="AN369" i="3"/>
  <c r="AN370" i="3"/>
  <c r="AN371" i="3"/>
  <c r="AN372" i="3"/>
  <c r="AN373" i="3"/>
  <c r="AN374" i="3"/>
  <c r="AN375" i="3"/>
  <c r="AN376" i="3"/>
  <c r="AN377" i="3"/>
  <c r="AN378" i="3"/>
  <c r="AN379" i="3"/>
  <c r="AN380" i="3"/>
  <c r="AN381" i="3"/>
  <c r="AN382" i="3"/>
  <c r="AN383" i="3"/>
  <c r="AN384" i="3"/>
  <c r="AN385" i="3"/>
  <c r="AN386" i="3"/>
  <c r="AN387" i="3"/>
  <c r="AN388" i="3"/>
  <c r="AN389" i="3"/>
  <c r="AN390" i="3"/>
  <c r="AN391" i="3"/>
  <c r="AN392" i="3"/>
  <c r="AN393" i="3"/>
  <c r="AN394" i="3"/>
  <c r="AN395" i="3"/>
  <c r="AN396" i="3"/>
  <c r="AN397" i="3"/>
  <c r="AN398" i="3"/>
  <c r="AN399" i="3"/>
  <c r="AN400" i="3"/>
  <c r="AN401" i="3"/>
  <c r="AN402" i="3"/>
  <c r="AN403" i="3"/>
  <c r="AN404" i="3"/>
  <c r="AN405" i="3"/>
  <c r="AN406" i="3"/>
  <c r="AN407" i="3"/>
  <c r="AN408" i="3"/>
  <c r="AN409" i="3"/>
  <c r="AN410" i="3"/>
  <c r="AN411" i="3"/>
  <c r="AN412" i="3"/>
  <c r="AN413" i="3"/>
  <c r="AN414" i="3"/>
  <c r="AN415" i="3"/>
  <c r="AN416" i="3"/>
  <c r="AN417" i="3"/>
  <c r="AN418" i="3"/>
  <c r="AN419" i="3"/>
  <c r="AN420" i="3"/>
  <c r="AN421" i="3"/>
  <c r="AN422" i="3"/>
  <c r="AN423" i="3"/>
  <c r="AN424" i="3"/>
  <c r="AN425" i="3"/>
  <c r="AN426" i="3"/>
  <c r="AN427" i="3"/>
  <c r="AN428" i="3"/>
  <c r="AN429" i="3"/>
  <c r="AN430" i="3"/>
  <c r="AN431" i="3"/>
  <c r="AN432" i="3"/>
  <c r="AN433" i="3"/>
  <c r="AN434" i="3"/>
  <c r="AN435" i="3"/>
  <c r="AN436" i="3"/>
  <c r="AN437" i="3"/>
  <c r="AN438" i="3"/>
  <c r="AN439" i="3"/>
  <c r="AN440" i="3"/>
  <c r="AN441" i="3"/>
  <c r="AN442" i="3"/>
  <c r="AN443" i="3"/>
  <c r="AN444" i="3"/>
  <c r="AN445" i="3"/>
  <c r="AN446" i="3"/>
  <c r="AN447" i="3"/>
  <c r="AN448" i="3"/>
  <c r="AN449" i="3"/>
  <c r="AN450" i="3"/>
  <c r="AN451" i="3"/>
  <c r="AN452" i="3"/>
  <c r="AN453" i="3"/>
  <c r="AN454" i="3"/>
  <c r="AN455" i="3"/>
  <c r="AN456" i="3"/>
  <c r="AN457" i="3"/>
  <c r="AN458" i="3"/>
  <c r="AN459" i="3"/>
  <c r="AN460" i="3"/>
  <c r="AN461" i="3"/>
  <c r="AN462" i="3"/>
  <c r="AN463" i="3"/>
  <c r="AN464" i="3"/>
  <c r="AN465" i="3"/>
  <c r="AN466" i="3"/>
  <c r="AN467" i="3"/>
  <c r="AN468" i="3"/>
  <c r="AN469" i="3"/>
  <c r="AN470" i="3"/>
  <c r="AN471" i="3"/>
  <c r="AN472" i="3"/>
  <c r="AN473" i="3"/>
  <c r="AN474" i="3"/>
  <c r="AN475" i="3"/>
  <c r="AN476" i="3"/>
  <c r="AN477" i="3"/>
  <c r="AN478" i="3"/>
  <c r="AN479" i="3"/>
  <c r="AN480" i="3"/>
  <c r="AN481" i="3"/>
  <c r="AN482" i="3"/>
  <c r="AN483" i="3"/>
  <c r="AN484" i="3"/>
  <c r="AN485" i="3"/>
  <c r="AN486" i="3"/>
  <c r="AN487" i="3"/>
  <c r="AN488" i="3"/>
  <c r="AN489" i="3"/>
  <c r="AN490" i="3"/>
  <c r="AN491" i="3"/>
  <c r="AN492" i="3"/>
  <c r="AN493" i="3"/>
  <c r="AN494" i="3"/>
  <c r="AN495" i="3"/>
  <c r="AN496" i="3"/>
  <c r="AN497" i="3"/>
  <c r="AN498" i="3"/>
  <c r="AN499" i="3"/>
  <c r="AN500" i="3"/>
  <c r="AN501" i="3"/>
  <c r="AN502" i="3"/>
  <c r="AN503" i="3"/>
  <c r="AN504" i="3"/>
  <c r="AN505" i="3"/>
  <c r="AN506" i="3"/>
  <c r="AN507" i="3"/>
  <c r="AN508" i="3"/>
  <c r="AN509" i="3"/>
  <c r="AN510" i="3"/>
  <c r="AN511" i="3"/>
  <c r="AN512" i="3"/>
  <c r="AN513" i="3"/>
  <c r="AN514" i="3"/>
  <c r="AN515" i="3"/>
  <c r="AN516" i="3"/>
  <c r="AN517" i="3"/>
  <c r="AN518" i="3"/>
  <c r="AN519" i="3"/>
  <c r="AN520" i="3"/>
  <c r="AN521" i="3"/>
  <c r="AN522" i="3"/>
  <c r="AN523" i="3"/>
  <c r="AN524" i="3"/>
  <c r="AN525" i="3"/>
  <c r="AN526" i="3"/>
  <c r="AN527" i="3"/>
  <c r="AN528" i="3"/>
  <c r="AN529" i="3"/>
  <c r="AN530" i="3"/>
  <c r="AN531" i="3"/>
  <c r="AN532" i="3"/>
  <c r="AN533" i="3"/>
  <c r="AN534" i="3"/>
  <c r="AN535" i="3"/>
  <c r="AN536" i="3"/>
  <c r="AN537" i="3"/>
  <c r="AN538" i="3"/>
  <c r="AN539" i="3"/>
  <c r="AN540" i="3"/>
  <c r="AN541" i="3"/>
  <c r="AN542" i="3"/>
  <c r="AN543" i="3"/>
  <c r="AN544" i="3"/>
  <c r="AN545" i="3"/>
  <c r="AN546" i="3"/>
  <c r="AN547" i="3"/>
  <c r="AN548" i="3"/>
  <c r="AN549" i="3"/>
  <c r="AN550" i="3"/>
  <c r="AN551" i="3"/>
  <c r="AN552" i="3"/>
  <c r="AN553" i="3"/>
  <c r="AN554" i="3"/>
  <c r="AN555" i="3"/>
  <c r="AN556" i="3"/>
  <c r="AN557" i="3"/>
  <c r="AN558" i="3"/>
  <c r="AN559" i="3"/>
  <c r="AN560" i="3"/>
  <c r="AN561" i="3"/>
  <c r="AN562" i="3"/>
  <c r="AN563" i="3"/>
  <c r="AN564" i="3"/>
  <c r="AN565" i="3"/>
  <c r="AN566" i="3"/>
  <c r="AN567" i="3"/>
  <c r="AN568" i="3"/>
  <c r="AN569" i="3"/>
  <c r="AN570" i="3"/>
  <c r="AN571" i="3"/>
  <c r="AN572" i="3"/>
  <c r="AN573" i="3"/>
  <c r="AN574" i="3"/>
  <c r="AN575" i="3"/>
  <c r="AN576" i="3"/>
  <c r="AN577" i="3"/>
  <c r="AN578" i="3"/>
  <c r="AN579" i="3"/>
  <c r="AN580" i="3"/>
  <c r="AN581" i="3"/>
  <c r="AN582" i="3"/>
  <c r="AN583" i="3"/>
  <c r="AN584" i="3"/>
  <c r="AN585" i="3"/>
  <c r="AN586" i="3"/>
  <c r="AN587" i="3"/>
  <c r="AN588" i="3"/>
  <c r="AN589" i="3"/>
  <c r="AN590" i="3"/>
  <c r="AN591" i="3"/>
  <c r="AN592" i="3"/>
  <c r="AN593" i="3"/>
  <c r="AN594" i="3"/>
  <c r="AN595" i="3"/>
  <c r="AN596" i="3"/>
  <c r="AN597" i="3"/>
  <c r="AN598" i="3"/>
  <c r="AN599" i="3"/>
  <c r="AN600" i="3"/>
  <c r="AN601" i="3"/>
  <c r="AN602" i="3"/>
  <c r="AN603" i="3"/>
  <c r="AN604" i="3"/>
  <c r="AN605" i="3"/>
  <c r="AN606" i="3"/>
  <c r="AN607" i="3"/>
  <c r="AN608" i="3"/>
  <c r="AN609" i="3"/>
  <c r="AN610" i="3"/>
  <c r="AN611" i="3"/>
  <c r="AN612" i="3"/>
  <c r="AN613" i="3"/>
  <c r="AN614" i="3"/>
  <c r="AN615" i="3"/>
  <c r="AN616" i="3"/>
  <c r="AN617" i="3"/>
  <c r="AN618" i="3"/>
  <c r="AN619" i="3"/>
  <c r="AN620" i="3"/>
  <c r="AN621" i="3"/>
  <c r="AN622" i="3"/>
  <c r="AN623" i="3"/>
  <c r="AN624" i="3"/>
  <c r="AN625" i="3"/>
  <c r="AN626" i="3"/>
  <c r="AN627" i="3"/>
  <c r="AN628" i="3"/>
  <c r="AN629" i="3"/>
  <c r="AN630" i="3"/>
  <c r="AN631" i="3"/>
  <c r="AN632" i="3"/>
  <c r="AN633" i="3"/>
  <c r="AN634" i="3"/>
  <c r="AN635" i="3"/>
  <c r="AN636" i="3"/>
  <c r="AN637" i="3"/>
  <c r="AN638" i="3"/>
  <c r="AN639" i="3"/>
  <c r="AN640" i="3"/>
  <c r="AN641" i="3"/>
  <c r="AN642" i="3"/>
  <c r="AN643" i="3"/>
  <c r="AN644" i="3"/>
  <c r="AN645" i="3"/>
  <c r="AN646" i="3"/>
  <c r="AN647" i="3"/>
  <c r="AN648" i="3"/>
  <c r="AN649" i="3"/>
  <c r="AN650" i="3"/>
  <c r="AN651" i="3"/>
  <c r="AN652" i="3"/>
  <c r="AN653" i="3"/>
  <c r="AN654" i="3"/>
  <c r="AN655" i="3"/>
  <c r="AN656" i="3"/>
  <c r="AN657" i="3"/>
  <c r="AN658" i="3"/>
  <c r="AN659" i="3"/>
  <c r="AN660" i="3"/>
  <c r="AN661" i="3"/>
  <c r="AN662" i="3"/>
  <c r="AN663" i="3"/>
  <c r="AN664" i="3"/>
  <c r="AN665" i="3"/>
  <c r="AN666" i="3"/>
  <c r="AN667" i="3"/>
  <c r="AN668" i="3"/>
  <c r="AN669" i="3"/>
  <c r="AN670" i="3"/>
  <c r="AN671" i="3"/>
  <c r="AN672" i="3"/>
  <c r="AN673" i="3"/>
  <c r="AN674" i="3"/>
  <c r="AN675" i="3"/>
  <c r="AN676" i="3"/>
  <c r="AN677" i="3"/>
  <c r="AN678" i="3"/>
  <c r="AN679" i="3"/>
  <c r="AN680" i="3"/>
  <c r="AN681" i="3"/>
  <c r="AN682" i="3"/>
  <c r="AN683" i="3"/>
  <c r="AN684" i="3"/>
  <c r="AN685" i="3"/>
  <c r="AN686" i="3"/>
  <c r="AN687" i="3"/>
  <c r="AN688" i="3"/>
  <c r="AN689" i="3"/>
  <c r="AN690" i="3"/>
  <c r="AN691" i="3"/>
  <c r="AN692" i="3"/>
  <c r="AN693" i="3"/>
  <c r="AN694" i="3"/>
  <c r="AN695" i="3"/>
  <c r="AN696" i="3"/>
  <c r="AN697" i="3"/>
  <c r="AN698" i="3"/>
  <c r="AN699" i="3"/>
  <c r="AN700" i="3"/>
  <c r="AN701" i="3"/>
  <c r="AN702" i="3"/>
  <c r="AN703" i="3"/>
  <c r="AN704" i="3"/>
  <c r="AN705" i="3"/>
  <c r="AN706" i="3"/>
  <c r="AN707" i="3"/>
  <c r="AN708" i="3"/>
  <c r="AN709" i="3"/>
  <c r="AN710" i="3"/>
  <c r="AN711" i="3"/>
  <c r="AN712" i="3"/>
  <c r="AN713" i="3"/>
  <c r="AN714" i="3"/>
  <c r="AN715" i="3"/>
  <c r="AN716" i="3"/>
  <c r="AN717" i="3"/>
  <c r="AN718" i="3"/>
  <c r="AN719" i="3"/>
  <c r="AN720" i="3"/>
  <c r="AN721" i="3"/>
  <c r="AN722" i="3"/>
  <c r="AN723" i="3"/>
  <c r="AN724" i="3"/>
  <c r="AN725" i="3"/>
  <c r="AN726" i="3"/>
  <c r="AN727" i="3"/>
  <c r="AN728" i="3"/>
  <c r="AN729" i="3"/>
  <c r="AN730" i="3"/>
  <c r="AN731" i="3"/>
  <c r="AN732" i="3"/>
  <c r="AN733" i="3"/>
  <c r="AN734" i="3"/>
  <c r="AN735" i="3"/>
  <c r="AN736" i="3"/>
  <c r="AN737" i="3"/>
  <c r="AN738" i="3"/>
  <c r="AN739" i="3"/>
  <c r="AN740" i="3"/>
  <c r="AN741" i="3"/>
  <c r="AN742" i="3"/>
  <c r="AN743" i="3"/>
  <c r="AN744" i="3"/>
  <c r="AN745" i="3"/>
  <c r="AN746" i="3"/>
  <c r="AN747" i="3"/>
  <c r="AN748" i="3"/>
  <c r="AN749" i="3"/>
  <c r="AN750" i="3"/>
  <c r="AN751" i="3"/>
  <c r="AN752" i="3"/>
  <c r="AN753" i="3"/>
  <c r="AN754" i="3"/>
  <c r="AN755" i="3"/>
  <c r="AN756" i="3"/>
  <c r="AN757" i="3"/>
  <c r="AN758" i="3"/>
  <c r="AN759" i="3"/>
  <c r="AN760" i="3"/>
  <c r="AN761" i="3"/>
  <c r="AN762" i="3"/>
  <c r="AN763" i="3"/>
  <c r="AN764" i="3"/>
  <c r="AN765" i="3"/>
  <c r="AN766" i="3"/>
  <c r="AN767" i="3"/>
  <c r="AN768" i="3"/>
  <c r="AN769" i="3"/>
  <c r="AN770" i="3"/>
  <c r="AN771" i="3"/>
  <c r="AN772" i="3"/>
  <c r="AN773" i="3"/>
  <c r="AN774" i="3"/>
  <c r="AN775" i="3"/>
  <c r="AN776" i="3"/>
  <c r="AN777" i="3"/>
  <c r="AN778" i="3"/>
  <c r="AN779" i="3"/>
  <c r="AN780" i="3"/>
  <c r="AN781" i="3"/>
  <c r="AN782" i="3"/>
  <c r="AN783" i="3"/>
  <c r="AN784" i="3"/>
  <c r="AN785" i="3"/>
  <c r="AN786" i="3"/>
  <c r="AN787" i="3"/>
  <c r="AN788" i="3"/>
  <c r="AN789" i="3"/>
  <c r="AN790" i="3"/>
  <c r="AN791" i="3"/>
  <c r="AN792" i="3"/>
  <c r="AN793" i="3"/>
  <c r="AN794" i="3"/>
  <c r="AN795" i="3"/>
  <c r="AN796" i="3"/>
  <c r="AN797" i="3"/>
  <c r="AN798" i="3"/>
  <c r="AN799" i="3"/>
  <c r="AN800" i="3"/>
  <c r="AN801" i="3"/>
  <c r="AN802" i="3"/>
  <c r="AN803" i="3"/>
  <c r="AN804" i="3"/>
  <c r="AN805" i="3"/>
  <c r="AN806" i="3"/>
  <c r="AN807" i="3"/>
  <c r="AN808" i="3"/>
  <c r="AN809" i="3"/>
  <c r="AN810" i="3"/>
  <c r="AN811" i="3"/>
  <c r="AN812" i="3"/>
  <c r="AN813" i="3"/>
  <c r="AN814" i="3"/>
  <c r="AN815" i="3"/>
  <c r="AN816" i="3"/>
  <c r="AN817" i="3"/>
  <c r="AN818" i="3"/>
  <c r="AN819" i="3"/>
  <c r="AN820" i="3"/>
  <c r="AN821" i="3"/>
  <c r="AN822" i="3"/>
  <c r="AN823" i="3"/>
  <c r="AN824" i="3"/>
  <c r="AN825" i="3"/>
  <c r="AN826" i="3"/>
  <c r="AN827" i="3"/>
  <c r="AN828" i="3"/>
  <c r="AN829" i="3"/>
  <c r="AN830" i="3"/>
  <c r="AN831" i="3"/>
  <c r="AN832" i="3"/>
  <c r="AN833" i="3"/>
  <c r="AN834" i="3"/>
  <c r="AN835" i="3"/>
  <c r="AN836" i="3"/>
  <c r="AN837" i="3"/>
  <c r="AN838" i="3"/>
  <c r="AN839" i="3"/>
  <c r="AN840" i="3"/>
  <c r="AN841" i="3"/>
  <c r="AN842" i="3"/>
  <c r="AN843" i="3"/>
  <c r="AN844" i="3"/>
  <c r="AN845" i="3"/>
  <c r="AN846" i="3"/>
  <c r="AN847" i="3"/>
  <c r="AN848" i="3"/>
  <c r="AN849" i="3"/>
  <c r="AN850" i="3"/>
  <c r="AN851" i="3"/>
  <c r="AN852" i="3"/>
  <c r="AN853" i="3"/>
  <c r="AN854" i="3"/>
  <c r="AN855" i="3"/>
  <c r="AN856" i="3"/>
  <c r="AN857" i="3"/>
  <c r="AN858" i="3"/>
  <c r="AN859" i="3"/>
  <c r="AN860" i="3"/>
  <c r="AN861" i="3"/>
  <c r="AN862" i="3"/>
  <c r="AN863" i="3"/>
  <c r="AN864" i="3"/>
  <c r="AN865" i="3"/>
  <c r="AN866" i="3"/>
  <c r="AN867" i="3"/>
  <c r="AN868" i="3"/>
  <c r="AN869" i="3"/>
  <c r="AN870" i="3"/>
  <c r="AN871" i="3"/>
  <c r="AN872" i="3"/>
  <c r="AN873" i="3"/>
  <c r="AN874" i="3"/>
  <c r="AN875" i="3"/>
  <c r="AN876" i="3"/>
  <c r="AN877" i="3"/>
  <c r="AN878" i="3"/>
  <c r="AN879" i="3"/>
  <c r="AN880" i="3"/>
  <c r="AN881" i="3"/>
  <c r="AN882" i="3"/>
  <c r="AN883" i="3"/>
  <c r="AN884" i="3"/>
  <c r="AN885" i="3"/>
  <c r="AN886" i="3"/>
  <c r="AN887" i="3"/>
  <c r="AN888" i="3"/>
  <c r="AN889" i="3"/>
  <c r="AN890" i="3"/>
  <c r="AN891" i="3"/>
  <c r="AN892" i="3"/>
  <c r="AN893" i="3"/>
  <c r="AN894" i="3"/>
  <c r="AN895" i="3"/>
  <c r="AN896" i="3"/>
  <c r="AN897" i="3"/>
  <c r="AN898" i="3"/>
  <c r="AN899" i="3"/>
  <c r="AN900" i="3"/>
  <c r="AN901" i="3"/>
  <c r="AN902" i="3"/>
  <c r="AN903" i="3"/>
  <c r="AN904" i="3"/>
  <c r="AN905" i="3"/>
  <c r="AN906" i="3"/>
  <c r="AN907" i="3"/>
  <c r="AN908" i="3"/>
  <c r="AN909" i="3"/>
  <c r="AN910" i="3"/>
  <c r="AN911" i="3"/>
  <c r="AN912" i="3"/>
  <c r="AN913" i="3"/>
  <c r="AN914" i="3"/>
  <c r="AN915" i="3"/>
  <c r="AN916" i="3"/>
  <c r="AN917" i="3"/>
  <c r="AN918" i="3"/>
  <c r="AN919" i="3"/>
  <c r="AN920" i="3"/>
  <c r="AN921" i="3"/>
  <c r="AN922" i="3"/>
  <c r="AN923" i="3"/>
  <c r="AN924" i="3"/>
  <c r="AN925" i="3"/>
  <c r="AN926" i="3"/>
  <c r="AN927" i="3"/>
  <c r="AN928" i="3"/>
  <c r="AN929" i="3"/>
  <c r="AN930" i="3"/>
  <c r="AN931" i="3"/>
  <c r="AN932" i="3"/>
  <c r="AN933" i="3"/>
  <c r="AN2" i="3"/>
  <c r="AM3" i="3"/>
  <c r="AM4" i="3"/>
  <c r="AM5" i="3"/>
  <c r="AM6" i="3"/>
  <c r="AM7" i="3"/>
  <c r="AM8" i="3"/>
  <c r="AM9" i="3"/>
  <c r="AM10" i="3"/>
  <c r="AM11" i="3"/>
  <c r="AM12" i="3"/>
  <c r="AM13" i="3"/>
  <c r="AM14" i="3"/>
  <c r="AM15" i="3"/>
  <c r="AM16" i="3"/>
  <c r="AM17" i="3"/>
  <c r="AM18" i="3"/>
  <c r="AM19" i="3"/>
  <c r="AM20" i="3"/>
  <c r="AM21" i="3"/>
  <c r="AM22" i="3"/>
  <c r="AM23" i="3"/>
  <c r="AM24" i="3"/>
  <c r="AM25" i="3"/>
  <c r="AM26" i="3"/>
  <c r="AM27" i="3"/>
  <c r="AM28" i="3"/>
  <c r="AM29" i="3"/>
  <c r="AM30" i="3"/>
  <c r="AM31" i="3"/>
  <c r="AM32" i="3"/>
  <c r="AM33" i="3"/>
  <c r="AM34" i="3"/>
  <c r="AM35" i="3"/>
  <c r="AM36" i="3"/>
  <c r="AM37" i="3"/>
  <c r="AM38" i="3"/>
  <c r="AM39" i="3"/>
  <c r="AM40" i="3"/>
  <c r="AM41" i="3"/>
  <c r="AM42" i="3"/>
  <c r="AM43" i="3"/>
  <c r="AM44" i="3"/>
  <c r="AM45" i="3"/>
  <c r="AM46" i="3"/>
  <c r="AM47" i="3"/>
  <c r="AM48" i="3"/>
  <c r="AM49" i="3"/>
  <c r="AM50" i="3"/>
  <c r="AM51" i="3"/>
  <c r="AM52" i="3"/>
  <c r="AM53" i="3"/>
  <c r="AM54" i="3"/>
  <c r="AM55" i="3"/>
  <c r="AM56" i="3"/>
  <c r="AM57" i="3"/>
  <c r="AM58" i="3"/>
  <c r="AM59" i="3"/>
  <c r="AM60" i="3"/>
  <c r="AM61" i="3"/>
  <c r="AM62" i="3"/>
  <c r="AM63" i="3"/>
  <c r="AM64" i="3"/>
  <c r="AM65" i="3"/>
  <c r="AM66" i="3"/>
  <c r="AM67" i="3"/>
  <c r="AM68" i="3"/>
  <c r="AM69" i="3"/>
  <c r="AM70" i="3"/>
  <c r="AM71" i="3"/>
  <c r="AM72" i="3"/>
  <c r="AM73" i="3"/>
  <c r="AM74" i="3"/>
  <c r="AM75" i="3"/>
  <c r="AM76" i="3"/>
  <c r="AM77" i="3"/>
  <c r="AM78" i="3"/>
  <c r="AM79" i="3"/>
  <c r="AM80" i="3"/>
  <c r="AM81" i="3"/>
  <c r="AM82" i="3"/>
  <c r="AM83" i="3"/>
  <c r="AM84" i="3"/>
  <c r="AM85" i="3"/>
  <c r="AM86" i="3"/>
  <c r="AM87" i="3"/>
  <c r="AM88" i="3"/>
  <c r="AM89" i="3"/>
  <c r="AM90" i="3"/>
  <c r="AM91" i="3"/>
  <c r="AM92" i="3"/>
  <c r="AM93" i="3"/>
  <c r="AM94" i="3"/>
  <c r="AM95" i="3"/>
  <c r="AM96" i="3"/>
  <c r="AM97" i="3"/>
  <c r="AM98" i="3"/>
  <c r="AM99" i="3"/>
  <c r="AM100" i="3"/>
  <c r="AM101" i="3"/>
  <c r="AM102" i="3"/>
  <c r="AM103" i="3"/>
  <c r="AM104" i="3"/>
  <c r="AM105" i="3"/>
  <c r="AM106" i="3"/>
  <c r="AM107" i="3"/>
  <c r="AM108" i="3"/>
  <c r="AM109" i="3"/>
  <c r="AM110" i="3"/>
  <c r="AM111" i="3"/>
  <c r="AM112" i="3"/>
  <c r="AM113" i="3"/>
  <c r="AM114" i="3"/>
  <c r="AM115" i="3"/>
  <c r="AM116" i="3"/>
  <c r="AM117" i="3"/>
  <c r="AM118" i="3"/>
  <c r="AM119" i="3"/>
  <c r="AM120" i="3"/>
  <c r="AM121" i="3"/>
  <c r="AM122" i="3"/>
  <c r="AM123" i="3"/>
  <c r="AM124" i="3"/>
  <c r="AM125" i="3"/>
  <c r="AM126" i="3"/>
  <c r="AM127" i="3"/>
  <c r="AM128" i="3"/>
  <c r="AM129" i="3"/>
  <c r="AM130" i="3"/>
  <c r="AM131" i="3"/>
  <c r="AM132" i="3"/>
  <c r="AM133" i="3"/>
  <c r="AM134" i="3"/>
  <c r="AM135" i="3"/>
  <c r="AM136" i="3"/>
  <c r="AM137" i="3"/>
  <c r="AM138" i="3"/>
  <c r="AM139" i="3"/>
  <c r="AM140" i="3"/>
  <c r="AM141" i="3"/>
  <c r="AM142" i="3"/>
  <c r="AM143" i="3"/>
  <c r="AM144" i="3"/>
  <c r="AM145" i="3"/>
  <c r="AM146" i="3"/>
  <c r="AM147" i="3"/>
  <c r="AM148" i="3"/>
  <c r="AM149" i="3"/>
  <c r="AM150" i="3"/>
  <c r="AM151" i="3"/>
  <c r="AM152" i="3"/>
  <c r="AM153" i="3"/>
  <c r="AM154" i="3"/>
  <c r="AM155" i="3"/>
  <c r="AM156" i="3"/>
  <c r="AM157" i="3"/>
  <c r="AM158" i="3"/>
  <c r="AM159" i="3"/>
  <c r="AM160" i="3"/>
  <c r="AM161" i="3"/>
  <c r="AM162" i="3"/>
  <c r="AM163" i="3"/>
  <c r="AM164" i="3"/>
  <c r="AM165" i="3"/>
  <c r="AM166" i="3"/>
  <c r="AM167" i="3"/>
  <c r="AM168" i="3"/>
  <c r="AM169" i="3"/>
  <c r="AM170" i="3"/>
  <c r="AM171" i="3"/>
  <c r="AM172" i="3"/>
  <c r="AM173" i="3"/>
  <c r="AM174" i="3"/>
  <c r="AM175" i="3"/>
  <c r="AM176" i="3"/>
  <c r="AM177" i="3"/>
  <c r="AM178" i="3"/>
  <c r="AM179" i="3"/>
  <c r="AM180" i="3"/>
  <c r="AM181" i="3"/>
  <c r="AM182" i="3"/>
  <c r="AM183" i="3"/>
  <c r="AM184" i="3"/>
  <c r="AM185" i="3"/>
  <c r="AM186" i="3"/>
  <c r="AM187" i="3"/>
  <c r="AM188" i="3"/>
  <c r="AM189" i="3"/>
  <c r="AM190" i="3"/>
  <c r="AM191" i="3"/>
  <c r="AM192" i="3"/>
  <c r="AM193" i="3"/>
  <c r="AM194" i="3"/>
  <c r="AM195" i="3"/>
  <c r="AM196" i="3"/>
  <c r="AM197" i="3"/>
  <c r="AM198" i="3"/>
  <c r="AM199" i="3"/>
  <c r="AM200" i="3"/>
  <c r="AM201" i="3"/>
  <c r="AM202" i="3"/>
  <c r="AM203" i="3"/>
  <c r="AM204" i="3"/>
  <c r="AM205" i="3"/>
  <c r="AM206" i="3"/>
  <c r="AM207" i="3"/>
  <c r="AM208" i="3"/>
  <c r="AM209" i="3"/>
  <c r="AM210" i="3"/>
  <c r="AM211" i="3"/>
  <c r="AM212" i="3"/>
  <c r="AM213" i="3"/>
  <c r="AM214" i="3"/>
  <c r="AM215" i="3"/>
  <c r="AM216" i="3"/>
  <c r="AM217" i="3"/>
  <c r="AM218" i="3"/>
  <c r="AM219" i="3"/>
  <c r="AM220" i="3"/>
  <c r="AM221" i="3"/>
  <c r="AM222" i="3"/>
  <c r="AM223" i="3"/>
  <c r="AM224" i="3"/>
  <c r="AM225" i="3"/>
  <c r="AM226" i="3"/>
  <c r="AM227" i="3"/>
  <c r="AM228" i="3"/>
  <c r="AM229" i="3"/>
  <c r="AM230" i="3"/>
  <c r="AM231" i="3"/>
  <c r="AM232" i="3"/>
  <c r="AM233" i="3"/>
  <c r="AM234" i="3"/>
  <c r="AM235" i="3"/>
  <c r="AM236" i="3"/>
  <c r="AM237" i="3"/>
  <c r="AM238" i="3"/>
  <c r="AM239" i="3"/>
  <c r="AM240" i="3"/>
  <c r="AM241" i="3"/>
  <c r="AM242" i="3"/>
  <c r="AM243" i="3"/>
  <c r="AM244" i="3"/>
  <c r="AM245" i="3"/>
  <c r="AM246" i="3"/>
  <c r="AM247" i="3"/>
  <c r="AM248" i="3"/>
  <c r="AM249" i="3"/>
  <c r="AM250" i="3"/>
  <c r="AM251" i="3"/>
  <c r="AM252" i="3"/>
  <c r="AM253" i="3"/>
  <c r="AM254" i="3"/>
  <c r="AM255" i="3"/>
  <c r="AM256" i="3"/>
  <c r="AM257" i="3"/>
  <c r="AM258" i="3"/>
  <c r="AM259" i="3"/>
  <c r="AM260" i="3"/>
  <c r="AM261" i="3"/>
  <c r="AM262" i="3"/>
  <c r="AM263" i="3"/>
  <c r="AM264" i="3"/>
  <c r="AM265" i="3"/>
  <c r="AM266" i="3"/>
  <c r="AM267" i="3"/>
  <c r="AM268" i="3"/>
  <c r="AM269" i="3"/>
  <c r="AM270" i="3"/>
  <c r="AM271" i="3"/>
  <c r="AM272" i="3"/>
  <c r="AM273" i="3"/>
  <c r="AM274" i="3"/>
  <c r="AM275" i="3"/>
  <c r="AM276" i="3"/>
  <c r="AM277" i="3"/>
  <c r="AM278" i="3"/>
  <c r="AM279" i="3"/>
  <c r="AM280" i="3"/>
  <c r="AM281" i="3"/>
  <c r="AM282" i="3"/>
  <c r="AM283" i="3"/>
  <c r="AM284" i="3"/>
  <c r="AM285" i="3"/>
  <c r="AM286" i="3"/>
  <c r="AM287" i="3"/>
  <c r="AM288" i="3"/>
  <c r="AM289" i="3"/>
  <c r="AM290" i="3"/>
  <c r="AM291" i="3"/>
  <c r="AM292" i="3"/>
  <c r="AM293" i="3"/>
  <c r="AM294" i="3"/>
  <c r="AM295" i="3"/>
  <c r="AM296" i="3"/>
  <c r="AM297" i="3"/>
  <c r="AM298" i="3"/>
  <c r="AM299" i="3"/>
  <c r="AM300" i="3"/>
  <c r="AM301" i="3"/>
  <c r="AM302" i="3"/>
  <c r="AM303" i="3"/>
  <c r="AM304" i="3"/>
  <c r="AM305" i="3"/>
  <c r="AM306" i="3"/>
  <c r="AM307" i="3"/>
  <c r="AM308" i="3"/>
  <c r="AM309" i="3"/>
  <c r="AM310" i="3"/>
  <c r="AM311" i="3"/>
  <c r="AM312" i="3"/>
  <c r="AM313" i="3"/>
  <c r="AM314" i="3"/>
  <c r="AM315" i="3"/>
  <c r="AM316" i="3"/>
  <c r="AM317" i="3"/>
  <c r="AM318" i="3"/>
  <c r="AM319" i="3"/>
  <c r="AM320" i="3"/>
  <c r="AM321" i="3"/>
  <c r="AM322" i="3"/>
  <c r="AM323" i="3"/>
  <c r="AM324" i="3"/>
  <c r="AM325" i="3"/>
  <c r="AM326" i="3"/>
  <c r="AM327" i="3"/>
  <c r="AM328" i="3"/>
  <c r="AM329" i="3"/>
  <c r="AM330" i="3"/>
  <c r="AM331" i="3"/>
  <c r="AM332" i="3"/>
  <c r="AM333" i="3"/>
  <c r="AM334" i="3"/>
  <c r="AM335" i="3"/>
  <c r="AM336" i="3"/>
  <c r="AM337" i="3"/>
  <c r="AM338" i="3"/>
  <c r="AM339" i="3"/>
  <c r="AM340" i="3"/>
  <c r="AM341" i="3"/>
  <c r="AM342" i="3"/>
  <c r="AM343" i="3"/>
  <c r="AM344" i="3"/>
  <c r="AM345" i="3"/>
  <c r="AM346" i="3"/>
  <c r="AM347" i="3"/>
  <c r="AM348" i="3"/>
  <c r="AM349" i="3"/>
  <c r="AM350" i="3"/>
  <c r="AM351" i="3"/>
  <c r="AM352" i="3"/>
  <c r="AM353" i="3"/>
  <c r="AM354" i="3"/>
  <c r="AM355" i="3"/>
  <c r="AM356" i="3"/>
  <c r="AM357" i="3"/>
  <c r="AM358" i="3"/>
  <c r="AM359" i="3"/>
  <c r="AM360" i="3"/>
  <c r="AM361" i="3"/>
  <c r="AM362" i="3"/>
  <c r="AM363" i="3"/>
  <c r="AM364" i="3"/>
  <c r="AM365" i="3"/>
  <c r="AM366" i="3"/>
  <c r="AM367" i="3"/>
  <c r="AM368" i="3"/>
  <c r="AM369" i="3"/>
  <c r="AM370" i="3"/>
  <c r="AM371" i="3"/>
  <c r="AM372" i="3"/>
  <c r="AM373" i="3"/>
  <c r="AM374" i="3"/>
  <c r="AM375" i="3"/>
  <c r="AM376" i="3"/>
  <c r="AM377" i="3"/>
  <c r="AM378" i="3"/>
  <c r="AM379" i="3"/>
  <c r="AM380" i="3"/>
  <c r="AM381" i="3"/>
  <c r="AM382" i="3"/>
  <c r="AM383" i="3"/>
  <c r="AM384" i="3"/>
  <c r="AM385" i="3"/>
  <c r="AM386" i="3"/>
  <c r="AM387" i="3"/>
  <c r="AM388" i="3"/>
  <c r="AM389" i="3"/>
  <c r="AM390" i="3"/>
  <c r="AM391" i="3"/>
  <c r="AM392" i="3"/>
  <c r="AM393" i="3"/>
  <c r="AM394" i="3"/>
  <c r="AM395" i="3"/>
  <c r="AM396" i="3"/>
  <c r="AM397" i="3"/>
  <c r="AM398" i="3"/>
  <c r="AM399" i="3"/>
  <c r="AM400" i="3"/>
  <c r="AM401" i="3"/>
  <c r="AM402" i="3"/>
  <c r="AM403" i="3"/>
  <c r="AM404" i="3"/>
  <c r="AM405" i="3"/>
  <c r="AM406" i="3"/>
  <c r="AM407" i="3"/>
  <c r="AM408" i="3"/>
  <c r="AM409" i="3"/>
  <c r="AM410" i="3"/>
  <c r="AM411" i="3"/>
  <c r="AM412" i="3"/>
  <c r="AM413" i="3"/>
  <c r="AM414" i="3"/>
  <c r="AM415" i="3"/>
  <c r="AM416" i="3"/>
  <c r="AM417" i="3"/>
  <c r="AM418" i="3"/>
  <c r="AM419" i="3"/>
  <c r="AM420" i="3"/>
  <c r="AM421" i="3"/>
  <c r="AM422" i="3"/>
  <c r="AM423" i="3"/>
  <c r="AM424" i="3"/>
  <c r="AM425" i="3"/>
  <c r="AM426" i="3"/>
  <c r="AM427" i="3"/>
  <c r="AM428" i="3"/>
  <c r="AM429" i="3"/>
  <c r="AM430" i="3"/>
  <c r="AM431" i="3"/>
  <c r="AM432" i="3"/>
  <c r="AM433" i="3"/>
  <c r="AM434" i="3"/>
  <c r="AM435" i="3"/>
  <c r="AM436" i="3"/>
  <c r="AM437" i="3"/>
  <c r="AM438" i="3"/>
  <c r="AM439" i="3"/>
  <c r="AM440" i="3"/>
  <c r="AM441" i="3"/>
  <c r="AM442" i="3"/>
  <c r="AM443" i="3"/>
  <c r="AM444" i="3"/>
  <c r="AM445" i="3"/>
  <c r="AM446" i="3"/>
  <c r="AM447" i="3"/>
  <c r="AM448" i="3"/>
  <c r="AM449" i="3"/>
  <c r="AM450" i="3"/>
  <c r="AM451" i="3"/>
  <c r="AM452" i="3"/>
  <c r="AM453" i="3"/>
  <c r="AM454" i="3"/>
  <c r="AM455" i="3"/>
  <c r="AM456" i="3"/>
  <c r="AM457" i="3"/>
  <c r="AM458" i="3"/>
  <c r="AM459" i="3"/>
  <c r="AM460" i="3"/>
  <c r="AM461" i="3"/>
  <c r="AM462" i="3"/>
  <c r="AM463" i="3"/>
  <c r="AM464" i="3"/>
  <c r="AM465" i="3"/>
  <c r="AM466" i="3"/>
  <c r="AM467" i="3"/>
  <c r="AM468" i="3"/>
  <c r="AM469" i="3"/>
  <c r="AM470" i="3"/>
  <c r="AM471" i="3"/>
  <c r="AM472" i="3"/>
  <c r="AM473" i="3"/>
  <c r="AM474" i="3"/>
  <c r="AM475" i="3"/>
  <c r="AM476" i="3"/>
  <c r="AM477" i="3"/>
  <c r="AM478" i="3"/>
  <c r="AM479" i="3"/>
  <c r="AM480" i="3"/>
  <c r="AM481" i="3"/>
  <c r="AM482" i="3"/>
  <c r="AM483" i="3"/>
  <c r="AM484" i="3"/>
  <c r="AM485" i="3"/>
  <c r="AM486" i="3"/>
  <c r="AM487" i="3"/>
  <c r="AM488" i="3"/>
  <c r="AM489" i="3"/>
  <c r="AM490" i="3"/>
  <c r="AM491" i="3"/>
  <c r="AM492" i="3"/>
  <c r="AM493" i="3"/>
  <c r="AM494" i="3"/>
  <c r="AM495" i="3"/>
  <c r="AM496" i="3"/>
  <c r="AM497" i="3"/>
  <c r="AM498" i="3"/>
  <c r="AM499" i="3"/>
  <c r="AM500" i="3"/>
  <c r="AM501" i="3"/>
  <c r="AM502" i="3"/>
  <c r="AM503" i="3"/>
  <c r="AM504" i="3"/>
  <c r="AM505" i="3"/>
  <c r="AM506" i="3"/>
  <c r="AM507" i="3"/>
  <c r="AM508" i="3"/>
  <c r="AM509" i="3"/>
  <c r="AM510" i="3"/>
  <c r="AM511" i="3"/>
  <c r="AM512" i="3"/>
  <c r="AM513" i="3"/>
  <c r="AM514" i="3"/>
  <c r="AM515" i="3"/>
  <c r="AM516" i="3"/>
  <c r="AM517" i="3"/>
  <c r="AM518" i="3"/>
  <c r="AM519" i="3"/>
  <c r="AM520" i="3"/>
  <c r="AM521" i="3"/>
  <c r="AM522" i="3"/>
  <c r="AM523" i="3"/>
  <c r="AM524" i="3"/>
  <c r="AM525" i="3"/>
  <c r="AM526" i="3"/>
  <c r="AM527" i="3"/>
  <c r="AM528" i="3"/>
  <c r="AM529" i="3"/>
  <c r="AM530" i="3"/>
  <c r="AM531" i="3"/>
  <c r="AM532" i="3"/>
  <c r="AM533" i="3"/>
  <c r="AM534" i="3"/>
  <c r="AM535" i="3"/>
  <c r="AM536" i="3"/>
  <c r="AM537" i="3"/>
  <c r="AM538" i="3"/>
  <c r="AM539" i="3"/>
  <c r="AM540" i="3"/>
  <c r="AM541" i="3"/>
  <c r="AM542" i="3"/>
  <c r="AM543" i="3"/>
  <c r="AM544" i="3"/>
  <c r="AM545" i="3"/>
  <c r="AM546" i="3"/>
  <c r="AM547" i="3"/>
  <c r="AM548" i="3"/>
  <c r="AM549" i="3"/>
  <c r="AM550" i="3"/>
  <c r="AM551" i="3"/>
  <c r="AM552" i="3"/>
  <c r="AM553" i="3"/>
  <c r="AM554" i="3"/>
  <c r="AM555" i="3"/>
  <c r="AM556" i="3"/>
  <c r="AM557" i="3"/>
  <c r="AM558" i="3"/>
  <c r="AM559" i="3"/>
  <c r="AM560" i="3"/>
  <c r="AM561" i="3"/>
  <c r="AM562" i="3"/>
  <c r="AM563" i="3"/>
  <c r="AM564" i="3"/>
  <c r="AM565" i="3"/>
  <c r="AM566" i="3"/>
  <c r="AM567" i="3"/>
  <c r="AM568" i="3"/>
  <c r="AM569" i="3"/>
  <c r="AM570" i="3"/>
  <c r="AM571" i="3"/>
  <c r="AM572" i="3"/>
  <c r="AM573" i="3"/>
  <c r="AM574" i="3"/>
  <c r="AM575" i="3"/>
  <c r="AM576" i="3"/>
  <c r="AM577" i="3"/>
  <c r="AM578" i="3"/>
  <c r="AM579" i="3"/>
  <c r="AM580" i="3"/>
  <c r="AM581" i="3"/>
  <c r="AM582" i="3"/>
  <c r="AM583" i="3"/>
  <c r="AM584" i="3"/>
  <c r="AM585" i="3"/>
  <c r="AM586" i="3"/>
  <c r="AM587" i="3"/>
  <c r="AM588" i="3"/>
  <c r="AM589" i="3"/>
  <c r="AM590" i="3"/>
  <c r="AM591" i="3"/>
  <c r="AM592" i="3"/>
  <c r="AM593" i="3"/>
  <c r="AM594" i="3"/>
  <c r="AM595" i="3"/>
  <c r="AM596" i="3"/>
  <c r="AM597" i="3"/>
  <c r="AM598" i="3"/>
  <c r="AM599" i="3"/>
  <c r="AM600" i="3"/>
  <c r="AM601" i="3"/>
  <c r="AM602" i="3"/>
  <c r="AM603" i="3"/>
  <c r="AM604" i="3"/>
  <c r="AM605" i="3"/>
  <c r="AM606" i="3"/>
  <c r="AM607" i="3"/>
  <c r="AM608" i="3"/>
  <c r="AM609" i="3"/>
  <c r="AM610" i="3"/>
  <c r="AM611" i="3"/>
  <c r="AM612" i="3"/>
  <c r="AM613" i="3"/>
  <c r="AM614" i="3"/>
  <c r="AM615" i="3"/>
  <c r="AM616" i="3"/>
  <c r="AM617" i="3"/>
  <c r="AM618" i="3"/>
  <c r="AM619" i="3"/>
  <c r="AM620" i="3"/>
  <c r="AM621" i="3"/>
  <c r="AM622" i="3"/>
  <c r="AM623" i="3"/>
  <c r="AM624" i="3"/>
  <c r="AM625" i="3"/>
  <c r="AM626" i="3"/>
  <c r="AM627" i="3"/>
  <c r="AM628" i="3"/>
  <c r="AM629" i="3"/>
  <c r="AM630" i="3"/>
  <c r="AM631" i="3"/>
  <c r="AM632" i="3"/>
  <c r="AM633" i="3"/>
  <c r="AM634" i="3"/>
  <c r="AM635" i="3"/>
  <c r="AM636" i="3"/>
  <c r="AM637" i="3"/>
  <c r="AM638" i="3"/>
  <c r="AM639" i="3"/>
  <c r="AM640" i="3"/>
  <c r="AM641" i="3"/>
  <c r="AM642" i="3"/>
  <c r="AM643" i="3"/>
  <c r="AM644" i="3"/>
  <c r="AM645" i="3"/>
  <c r="AM646" i="3"/>
  <c r="AM647" i="3"/>
  <c r="AM648" i="3"/>
  <c r="AM649" i="3"/>
  <c r="AM650" i="3"/>
  <c r="AM651" i="3"/>
  <c r="AM652" i="3"/>
  <c r="AM653" i="3"/>
  <c r="AM654" i="3"/>
  <c r="AM655" i="3"/>
  <c r="AM656" i="3"/>
  <c r="AM657" i="3"/>
  <c r="AM658" i="3"/>
  <c r="AM659" i="3"/>
  <c r="AM660" i="3"/>
  <c r="AM661" i="3"/>
  <c r="AM662" i="3"/>
  <c r="AM663" i="3"/>
  <c r="AM664" i="3"/>
  <c r="AM665" i="3"/>
  <c r="AM666" i="3"/>
  <c r="AM667" i="3"/>
  <c r="AM668" i="3"/>
  <c r="AM669" i="3"/>
  <c r="AM670" i="3"/>
  <c r="AM671" i="3"/>
  <c r="AM672" i="3"/>
  <c r="AM673" i="3"/>
  <c r="AM674" i="3"/>
  <c r="AM675" i="3"/>
  <c r="AM676" i="3"/>
  <c r="AM677" i="3"/>
  <c r="AM678" i="3"/>
  <c r="AM679" i="3"/>
  <c r="AM680" i="3"/>
  <c r="AM681" i="3"/>
  <c r="AM682" i="3"/>
  <c r="AM683" i="3"/>
  <c r="AM684" i="3"/>
  <c r="AM685" i="3"/>
  <c r="AM686" i="3"/>
  <c r="AM687" i="3"/>
  <c r="AM688" i="3"/>
  <c r="AM689" i="3"/>
  <c r="AM690" i="3"/>
  <c r="AM691" i="3"/>
  <c r="AM692" i="3"/>
  <c r="AM693" i="3"/>
  <c r="AM694" i="3"/>
  <c r="AM695" i="3"/>
  <c r="AM696" i="3"/>
  <c r="AM697" i="3"/>
  <c r="AM698" i="3"/>
  <c r="AM699" i="3"/>
  <c r="AM700" i="3"/>
  <c r="AM701" i="3"/>
  <c r="AM702" i="3"/>
  <c r="AM703" i="3"/>
  <c r="AM704" i="3"/>
  <c r="AM705" i="3"/>
  <c r="AM706" i="3"/>
  <c r="AM707" i="3"/>
  <c r="AM708" i="3"/>
  <c r="AM709" i="3"/>
  <c r="AM710" i="3"/>
  <c r="AM711" i="3"/>
  <c r="AM712" i="3"/>
  <c r="AM713" i="3"/>
  <c r="AM714" i="3"/>
  <c r="AM715" i="3"/>
  <c r="AM716" i="3"/>
  <c r="AM717" i="3"/>
  <c r="AM718" i="3"/>
  <c r="AM719" i="3"/>
  <c r="AM720" i="3"/>
  <c r="AM721" i="3"/>
  <c r="AM722" i="3"/>
  <c r="AM723" i="3"/>
  <c r="AM724" i="3"/>
  <c r="AM725" i="3"/>
  <c r="AM726" i="3"/>
  <c r="AM727" i="3"/>
  <c r="AM728" i="3"/>
  <c r="AM729" i="3"/>
  <c r="AM730" i="3"/>
  <c r="AM731" i="3"/>
  <c r="AM732" i="3"/>
  <c r="AM733" i="3"/>
  <c r="AM734" i="3"/>
  <c r="AM735" i="3"/>
  <c r="AM736" i="3"/>
  <c r="AM737" i="3"/>
  <c r="AM738" i="3"/>
  <c r="AM739" i="3"/>
  <c r="AM740" i="3"/>
  <c r="AM741" i="3"/>
  <c r="AM742" i="3"/>
  <c r="AM743" i="3"/>
  <c r="AM744" i="3"/>
  <c r="AM745" i="3"/>
  <c r="AM746" i="3"/>
  <c r="AM747" i="3"/>
  <c r="AM748" i="3"/>
  <c r="AM749" i="3"/>
  <c r="AM750" i="3"/>
  <c r="AM751" i="3"/>
  <c r="AM752" i="3"/>
  <c r="AM753" i="3"/>
  <c r="AM754" i="3"/>
  <c r="AM755" i="3"/>
  <c r="AM756" i="3"/>
  <c r="AM757" i="3"/>
  <c r="AM758" i="3"/>
  <c r="AM759" i="3"/>
  <c r="AM760" i="3"/>
  <c r="AM761" i="3"/>
  <c r="AM762" i="3"/>
  <c r="AM763" i="3"/>
  <c r="AM764" i="3"/>
  <c r="AM765" i="3"/>
  <c r="AM766" i="3"/>
  <c r="AM767" i="3"/>
  <c r="AM768" i="3"/>
  <c r="AM769" i="3"/>
  <c r="AM770" i="3"/>
  <c r="AM771" i="3"/>
  <c r="AM772" i="3"/>
  <c r="AM773" i="3"/>
  <c r="AM774" i="3"/>
  <c r="AM775" i="3"/>
  <c r="AM776" i="3"/>
  <c r="AM777" i="3"/>
  <c r="AM778" i="3"/>
  <c r="AM779" i="3"/>
  <c r="AM780" i="3"/>
  <c r="AM781" i="3"/>
  <c r="AM782" i="3"/>
  <c r="AM783" i="3"/>
  <c r="AM784" i="3"/>
  <c r="AM785" i="3"/>
  <c r="AM786" i="3"/>
  <c r="AM787" i="3"/>
  <c r="AM788" i="3"/>
  <c r="AM789" i="3"/>
  <c r="AM790" i="3"/>
  <c r="AM791" i="3"/>
  <c r="AM792" i="3"/>
  <c r="AM793" i="3"/>
  <c r="AM794" i="3"/>
  <c r="AM795" i="3"/>
  <c r="AM796" i="3"/>
  <c r="AM797" i="3"/>
  <c r="AM798" i="3"/>
  <c r="AM799" i="3"/>
  <c r="AM800" i="3"/>
  <c r="AM801" i="3"/>
  <c r="AM802" i="3"/>
  <c r="AM803" i="3"/>
  <c r="AM804" i="3"/>
  <c r="AM805" i="3"/>
  <c r="AM806" i="3"/>
  <c r="AM807" i="3"/>
  <c r="AM808" i="3"/>
  <c r="AM809" i="3"/>
  <c r="AM810" i="3"/>
  <c r="AM811" i="3"/>
  <c r="AM812" i="3"/>
  <c r="AM813" i="3"/>
  <c r="AM814" i="3"/>
  <c r="AM815" i="3"/>
  <c r="AM816" i="3"/>
  <c r="AM817" i="3"/>
  <c r="AM818" i="3"/>
  <c r="AM819" i="3"/>
  <c r="AM820" i="3"/>
  <c r="AM821" i="3"/>
  <c r="AM822" i="3"/>
  <c r="AM823" i="3"/>
  <c r="AM824" i="3"/>
  <c r="AM825" i="3"/>
  <c r="AM826" i="3"/>
  <c r="AM827" i="3"/>
  <c r="AM828" i="3"/>
  <c r="AM829" i="3"/>
  <c r="AM830" i="3"/>
  <c r="AM831" i="3"/>
  <c r="AM832" i="3"/>
  <c r="AM833" i="3"/>
  <c r="AM834" i="3"/>
  <c r="AM835" i="3"/>
  <c r="AM836" i="3"/>
  <c r="AM837" i="3"/>
  <c r="AM838" i="3"/>
  <c r="AM839" i="3"/>
  <c r="AM840" i="3"/>
  <c r="AM841" i="3"/>
  <c r="AM842" i="3"/>
  <c r="AM843" i="3"/>
  <c r="AM844" i="3"/>
  <c r="AM845" i="3"/>
  <c r="AM846" i="3"/>
  <c r="AM847" i="3"/>
  <c r="AM848" i="3"/>
  <c r="AM849" i="3"/>
  <c r="AM850" i="3"/>
  <c r="AM851" i="3"/>
  <c r="AM852" i="3"/>
  <c r="AM853" i="3"/>
  <c r="AM854" i="3"/>
  <c r="AM855" i="3"/>
  <c r="AM856" i="3"/>
  <c r="AM857" i="3"/>
  <c r="AM858" i="3"/>
  <c r="AM859" i="3"/>
  <c r="AM860" i="3"/>
  <c r="AM861" i="3"/>
  <c r="AM862" i="3"/>
  <c r="AM863" i="3"/>
  <c r="AM864" i="3"/>
  <c r="AM865" i="3"/>
  <c r="AM866" i="3"/>
  <c r="AM867" i="3"/>
  <c r="AM868" i="3"/>
  <c r="AM869" i="3"/>
  <c r="AM870" i="3"/>
  <c r="AM871" i="3"/>
  <c r="AM872" i="3"/>
  <c r="AM873" i="3"/>
  <c r="AM874" i="3"/>
  <c r="AM875" i="3"/>
  <c r="AM876" i="3"/>
  <c r="AM877" i="3"/>
  <c r="AM878" i="3"/>
  <c r="AM879" i="3"/>
  <c r="AM880" i="3"/>
  <c r="AM881" i="3"/>
  <c r="AM882" i="3"/>
  <c r="AM883" i="3"/>
  <c r="AM884" i="3"/>
  <c r="AM885" i="3"/>
  <c r="AM886" i="3"/>
  <c r="AM887" i="3"/>
  <c r="AM888" i="3"/>
  <c r="AM889" i="3"/>
  <c r="AM890" i="3"/>
  <c r="AM891" i="3"/>
  <c r="AM892" i="3"/>
  <c r="AM893" i="3"/>
  <c r="AM894" i="3"/>
  <c r="AM895" i="3"/>
  <c r="AM896" i="3"/>
  <c r="AM897" i="3"/>
  <c r="AM898" i="3"/>
  <c r="AM899" i="3"/>
  <c r="AM900" i="3"/>
  <c r="AM901" i="3"/>
  <c r="AM902" i="3"/>
  <c r="AM903" i="3"/>
  <c r="AM904" i="3"/>
  <c r="AM905" i="3"/>
  <c r="AM906" i="3"/>
  <c r="AM907" i="3"/>
  <c r="AM908" i="3"/>
  <c r="AM909" i="3"/>
  <c r="AM910" i="3"/>
  <c r="AM911" i="3"/>
  <c r="AM912" i="3"/>
  <c r="AM913" i="3"/>
  <c r="AM914" i="3"/>
  <c r="AM915" i="3"/>
  <c r="AM916" i="3"/>
  <c r="AM917" i="3"/>
  <c r="AM918" i="3"/>
  <c r="AM919" i="3"/>
  <c r="AM920" i="3"/>
  <c r="AM921" i="3"/>
  <c r="AM922" i="3"/>
  <c r="AM923" i="3"/>
  <c r="AM924" i="3"/>
  <c r="AM925" i="3"/>
  <c r="AM926" i="3"/>
  <c r="AM927" i="3"/>
  <c r="AM928" i="3"/>
  <c r="AM929" i="3"/>
  <c r="AM930" i="3"/>
  <c r="AM931" i="3"/>
  <c r="AM932" i="3"/>
  <c r="AM933" i="3"/>
  <c r="AM2" i="3"/>
  <c r="AL3" i="3"/>
  <c r="AL4" i="3"/>
  <c r="AL5" i="3"/>
  <c r="AL6" i="3"/>
  <c r="AL7" i="3"/>
  <c r="AL8" i="3"/>
  <c r="AL9" i="3"/>
  <c r="AL10" i="3"/>
  <c r="AL11" i="3"/>
  <c r="AL12" i="3"/>
  <c r="AL13" i="3"/>
  <c r="AL14" i="3"/>
  <c r="AL15" i="3"/>
  <c r="AL16" i="3"/>
  <c r="AL17" i="3"/>
  <c r="AL18" i="3"/>
  <c r="AL19" i="3"/>
  <c r="AL20" i="3"/>
  <c r="AL21" i="3"/>
  <c r="AL22" i="3"/>
  <c r="AL23" i="3"/>
  <c r="AL24" i="3"/>
  <c r="AL25" i="3"/>
  <c r="AL26" i="3"/>
  <c r="AL27" i="3"/>
  <c r="AL28" i="3"/>
  <c r="AL29" i="3"/>
  <c r="AL30" i="3"/>
  <c r="AL31" i="3"/>
  <c r="AL32" i="3"/>
  <c r="AL33" i="3"/>
  <c r="AL34" i="3"/>
  <c r="AL35" i="3"/>
  <c r="AL36" i="3"/>
  <c r="AL37" i="3"/>
  <c r="AL38" i="3"/>
  <c r="AL39" i="3"/>
  <c r="AL40" i="3"/>
  <c r="AL41" i="3"/>
  <c r="AL42" i="3"/>
  <c r="AL43" i="3"/>
  <c r="AL44" i="3"/>
  <c r="AL45" i="3"/>
  <c r="AL46" i="3"/>
  <c r="AL47" i="3"/>
  <c r="AL48" i="3"/>
  <c r="AL49" i="3"/>
  <c r="AL50" i="3"/>
  <c r="AL51" i="3"/>
  <c r="AL52" i="3"/>
  <c r="AL53" i="3"/>
  <c r="AL54" i="3"/>
  <c r="AL55" i="3"/>
  <c r="AL56" i="3"/>
  <c r="AL57" i="3"/>
  <c r="AL58" i="3"/>
  <c r="AL59" i="3"/>
  <c r="AL60" i="3"/>
  <c r="AL61" i="3"/>
  <c r="AL62" i="3"/>
  <c r="AL63" i="3"/>
  <c r="AL64" i="3"/>
  <c r="AL65" i="3"/>
  <c r="AL66" i="3"/>
  <c r="AL67" i="3"/>
  <c r="AL68" i="3"/>
  <c r="AL69" i="3"/>
  <c r="AL70" i="3"/>
  <c r="AL71" i="3"/>
  <c r="AL72" i="3"/>
  <c r="AL73" i="3"/>
  <c r="AL74" i="3"/>
  <c r="AL75" i="3"/>
  <c r="AL76" i="3"/>
  <c r="AL77" i="3"/>
  <c r="AL78" i="3"/>
  <c r="AL79" i="3"/>
  <c r="AL80" i="3"/>
  <c r="AL81" i="3"/>
  <c r="AL82" i="3"/>
  <c r="AL83" i="3"/>
  <c r="AL84" i="3"/>
  <c r="AL85" i="3"/>
  <c r="AL86" i="3"/>
  <c r="AL87" i="3"/>
  <c r="AL88" i="3"/>
  <c r="AL89" i="3"/>
  <c r="AL90" i="3"/>
  <c r="AL91" i="3"/>
  <c r="AL92" i="3"/>
  <c r="AL93" i="3"/>
  <c r="AL94" i="3"/>
  <c r="AL95" i="3"/>
  <c r="AL96" i="3"/>
  <c r="AL97" i="3"/>
  <c r="AL98" i="3"/>
  <c r="AL99" i="3"/>
  <c r="AL100" i="3"/>
  <c r="AL101" i="3"/>
  <c r="AL102" i="3"/>
  <c r="AL103" i="3"/>
  <c r="AL104" i="3"/>
  <c r="AL105" i="3"/>
  <c r="AL106" i="3"/>
  <c r="AL107" i="3"/>
  <c r="AL108" i="3"/>
  <c r="AL109" i="3"/>
  <c r="AL110" i="3"/>
  <c r="AL111" i="3"/>
  <c r="AL112" i="3"/>
  <c r="AL113" i="3"/>
  <c r="AL114" i="3"/>
  <c r="AL115" i="3"/>
  <c r="AL116" i="3"/>
  <c r="AL117" i="3"/>
  <c r="AL118" i="3"/>
  <c r="AL119" i="3"/>
  <c r="AL120" i="3"/>
  <c r="AL121" i="3"/>
  <c r="AL122" i="3"/>
  <c r="AL123" i="3"/>
  <c r="AL124" i="3"/>
  <c r="AL125" i="3"/>
  <c r="AL126" i="3"/>
  <c r="AL127" i="3"/>
  <c r="AL128" i="3"/>
  <c r="AL129" i="3"/>
  <c r="AL130" i="3"/>
  <c r="AL131" i="3"/>
  <c r="AL132" i="3"/>
  <c r="AL133" i="3"/>
  <c r="AL134" i="3"/>
  <c r="AL135" i="3"/>
  <c r="AL136" i="3"/>
  <c r="AL137" i="3"/>
  <c r="AL138" i="3"/>
  <c r="AL139" i="3"/>
  <c r="AL140" i="3"/>
  <c r="AL141" i="3"/>
  <c r="AL142" i="3"/>
  <c r="AL143" i="3"/>
  <c r="AL144" i="3"/>
  <c r="AL145" i="3"/>
  <c r="AL146" i="3"/>
  <c r="AL147" i="3"/>
  <c r="AL148" i="3"/>
  <c r="AL149" i="3"/>
  <c r="AL150" i="3"/>
  <c r="AL151" i="3"/>
  <c r="AL152" i="3"/>
  <c r="AL153" i="3"/>
  <c r="AL154" i="3"/>
  <c r="AL155" i="3"/>
  <c r="AL156" i="3"/>
  <c r="AL157" i="3"/>
  <c r="AL158" i="3"/>
  <c r="AL159" i="3"/>
  <c r="AL160" i="3"/>
  <c r="AL161" i="3"/>
  <c r="AL162" i="3"/>
  <c r="AL163" i="3"/>
  <c r="AL164" i="3"/>
  <c r="AL165" i="3"/>
  <c r="AL166" i="3"/>
  <c r="AL167" i="3"/>
  <c r="AL168" i="3"/>
  <c r="AL169" i="3"/>
  <c r="AL170" i="3"/>
  <c r="AL171" i="3"/>
  <c r="AL172" i="3"/>
  <c r="AL173" i="3"/>
  <c r="AL174" i="3"/>
  <c r="AL175" i="3"/>
  <c r="AL176" i="3"/>
  <c r="AL177" i="3"/>
  <c r="AL178" i="3"/>
  <c r="AL179" i="3"/>
  <c r="AL180" i="3"/>
  <c r="AL181" i="3"/>
  <c r="AL182" i="3"/>
  <c r="AL183" i="3"/>
  <c r="AL184" i="3"/>
  <c r="AL185" i="3"/>
  <c r="AL186" i="3"/>
  <c r="AL187" i="3"/>
  <c r="AL188" i="3"/>
  <c r="AL189" i="3"/>
  <c r="AL190" i="3"/>
  <c r="AL191" i="3"/>
  <c r="AL192" i="3"/>
  <c r="AL193" i="3"/>
  <c r="AL194" i="3"/>
  <c r="AL195" i="3"/>
  <c r="AL196" i="3"/>
  <c r="AL197" i="3"/>
  <c r="AL198" i="3"/>
  <c r="AL199" i="3"/>
  <c r="AL200" i="3"/>
  <c r="AL201" i="3"/>
  <c r="AL202" i="3"/>
  <c r="AL203" i="3"/>
  <c r="AL204" i="3"/>
  <c r="AL205" i="3"/>
  <c r="AL206" i="3"/>
  <c r="AL207" i="3"/>
  <c r="AL208" i="3"/>
  <c r="AL209" i="3"/>
  <c r="AL210" i="3"/>
  <c r="AL211" i="3"/>
  <c r="AL212" i="3"/>
  <c r="AL213" i="3"/>
  <c r="AL214" i="3"/>
  <c r="AL215" i="3"/>
  <c r="AL216" i="3"/>
  <c r="AL217" i="3"/>
  <c r="AL218" i="3"/>
  <c r="AL219" i="3"/>
  <c r="AL220" i="3"/>
  <c r="AL221" i="3"/>
  <c r="AL222" i="3"/>
  <c r="AL223" i="3"/>
  <c r="AL224" i="3"/>
  <c r="AL225" i="3"/>
  <c r="AL226" i="3"/>
  <c r="AL227" i="3"/>
  <c r="AL228" i="3"/>
  <c r="AL229" i="3"/>
  <c r="AL230" i="3"/>
  <c r="AL231" i="3"/>
  <c r="AL232" i="3"/>
  <c r="AL233" i="3"/>
  <c r="AL234" i="3"/>
  <c r="AL235" i="3"/>
  <c r="AL236" i="3"/>
  <c r="AL237" i="3"/>
  <c r="AL238" i="3"/>
  <c r="AL239" i="3"/>
  <c r="AL240" i="3"/>
  <c r="AL241" i="3"/>
  <c r="AL242" i="3"/>
  <c r="AL243" i="3"/>
  <c r="AL244" i="3"/>
  <c r="AL245" i="3"/>
  <c r="AL246" i="3"/>
  <c r="AL247" i="3"/>
  <c r="AL248" i="3"/>
  <c r="AL249" i="3"/>
  <c r="AL250" i="3"/>
  <c r="AL251" i="3"/>
  <c r="AL252" i="3"/>
  <c r="AL253" i="3"/>
  <c r="AL254" i="3"/>
  <c r="AL255" i="3"/>
  <c r="AL256" i="3"/>
  <c r="AL257" i="3"/>
  <c r="AL258" i="3"/>
  <c r="AL259" i="3"/>
  <c r="AL260" i="3"/>
  <c r="AL261" i="3"/>
  <c r="AL262" i="3"/>
  <c r="AL263" i="3"/>
  <c r="AL264" i="3"/>
  <c r="AL265" i="3"/>
  <c r="AL266" i="3"/>
  <c r="AL267" i="3"/>
  <c r="AL268" i="3"/>
  <c r="AL269" i="3"/>
  <c r="AL270" i="3"/>
  <c r="AL271" i="3"/>
  <c r="AL272" i="3"/>
  <c r="AL273" i="3"/>
  <c r="AL274" i="3"/>
  <c r="AL275" i="3"/>
  <c r="AL276" i="3"/>
  <c r="AL277" i="3"/>
  <c r="AL278" i="3"/>
  <c r="AL279" i="3"/>
  <c r="AL280" i="3"/>
  <c r="AL281" i="3"/>
  <c r="AL282" i="3"/>
  <c r="AL283" i="3"/>
  <c r="AL284" i="3"/>
  <c r="AL285" i="3"/>
  <c r="AL286" i="3"/>
  <c r="AL287" i="3"/>
  <c r="AL288" i="3"/>
  <c r="AL289" i="3"/>
  <c r="AL290" i="3"/>
  <c r="AL291" i="3"/>
  <c r="AL292" i="3"/>
  <c r="AL293" i="3"/>
  <c r="AL294" i="3"/>
  <c r="AL295" i="3"/>
  <c r="AL296" i="3"/>
  <c r="AL297" i="3"/>
  <c r="AL298" i="3"/>
  <c r="AL299" i="3"/>
  <c r="AL300" i="3"/>
  <c r="AL301" i="3"/>
  <c r="AL302" i="3"/>
  <c r="AL303" i="3"/>
  <c r="AL304" i="3"/>
  <c r="AL305" i="3"/>
  <c r="AL306" i="3"/>
  <c r="AL307" i="3"/>
  <c r="AL308" i="3"/>
  <c r="AL309" i="3"/>
  <c r="AL310" i="3"/>
  <c r="AL311" i="3"/>
  <c r="AL312" i="3"/>
  <c r="AL313" i="3"/>
  <c r="AL314" i="3"/>
  <c r="AL315" i="3"/>
  <c r="AL316" i="3"/>
  <c r="AL317" i="3"/>
  <c r="AL318" i="3"/>
  <c r="AL319" i="3"/>
  <c r="AL320" i="3"/>
  <c r="AL321" i="3"/>
  <c r="AL322" i="3"/>
  <c r="AL323" i="3"/>
  <c r="AL324" i="3"/>
  <c r="AL325" i="3"/>
  <c r="AL326" i="3"/>
  <c r="AL327" i="3"/>
  <c r="AL328" i="3"/>
  <c r="AL329" i="3"/>
  <c r="AL330" i="3"/>
  <c r="AL331" i="3"/>
  <c r="AL332" i="3"/>
  <c r="AL333" i="3"/>
  <c r="AL334" i="3"/>
  <c r="AL335" i="3"/>
  <c r="AL336" i="3"/>
  <c r="AL337" i="3"/>
  <c r="AL338" i="3"/>
  <c r="AL339" i="3"/>
  <c r="AL340" i="3"/>
  <c r="AL341" i="3"/>
  <c r="AL342" i="3"/>
  <c r="AL343" i="3"/>
  <c r="AL344" i="3"/>
  <c r="AL345" i="3"/>
  <c r="AL346" i="3"/>
  <c r="AL347" i="3"/>
  <c r="AL348" i="3"/>
  <c r="AL349" i="3"/>
  <c r="AL350" i="3"/>
  <c r="AL351" i="3"/>
  <c r="AL352" i="3"/>
  <c r="AL353" i="3"/>
  <c r="AL354" i="3"/>
  <c r="AL355" i="3"/>
  <c r="AL356" i="3"/>
  <c r="AL357" i="3"/>
  <c r="AL358" i="3"/>
  <c r="AL359" i="3"/>
  <c r="AL360" i="3"/>
  <c r="AL361" i="3"/>
  <c r="AL362" i="3"/>
  <c r="AL363" i="3"/>
  <c r="AL364" i="3"/>
  <c r="AL365" i="3"/>
  <c r="AL366" i="3"/>
  <c r="AL367" i="3"/>
  <c r="AL368" i="3"/>
  <c r="AL369" i="3"/>
  <c r="AL370" i="3"/>
  <c r="AL371" i="3"/>
  <c r="AL372" i="3"/>
  <c r="AL373" i="3"/>
  <c r="AL374" i="3"/>
  <c r="AL375" i="3"/>
  <c r="AL376" i="3"/>
  <c r="AL377" i="3"/>
  <c r="AL378" i="3"/>
  <c r="AL379" i="3"/>
  <c r="AL380" i="3"/>
  <c r="AL381" i="3"/>
  <c r="AL382" i="3"/>
  <c r="AL383" i="3"/>
  <c r="AL384" i="3"/>
  <c r="AL385" i="3"/>
  <c r="AL386" i="3"/>
  <c r="AL387" i="3"/>
  <c r="AL388" i="3"/>
  <c r="AL389" i="3"/>
  <c r="AL390" i="3"/>
  <c r="AL391" i="3"/>
  <c r="AL392" i="3"/>
  <c r="AL393" i="3"/>
  <c r="AL394" i="3"/>
  <c r="AL395" i="3"/>
  <c r="AL396" i="3"/>
  <c r="AL397" i="3"/>
  <c r="AL398" i="3"/>
  <c r="AL399" i="3"/>
  <c r="AL400" i="3"/>
  <c r="AL401" i="3"/>
  <c r="AL402" i="3"/>
  <c r="AL403" i="3"/>
  <c r="AL404" i="3"/>
  <c r="AL405" i="3"/>
  <c r="AL406" i="3"/>
  <c r="AL407" i="3"/>
  <c r="AL408" i="3"/>
  <c r="AL409" i="3"/>
  <c r="AL410" i="3"/>
  <c r="AL411" i="3"/>
  <c r="AL412" i="3"/>
  <c r="AL413" i="3"/>
  <c r="AL414" i="3"/>
  <c r="AL415" i="3"/>
  <c r="AL416" i="3"/>
  <c r="AL417" i="3"/>
  <c r="AL418" i="3"/>
  <c r="AL419" i="3"/>
  <c r="AL420" i="3"/>
  <c r="AL421" i="3"/>
  <c r="AL422" i="3"/>
  <c r="AL423" i="3"/>
  <c r="AL424" i="3"/>
  <c r="AL425" i="3"/>
  <c r="AL426" i="3"/>
  <c r="AL427" i="3"/>
  <c r="AL428" i="3"/>
  <c r="AL429" i="3"/>
  <c r="AL430" i="3"/>
  <c r="AL431" i="3"/>
  <c r="AL432" i="3"/>
  <c r="AL433" i="3"/>
  <c r="AL434" i="3"/>
  <c r="AL435" i="3"/>
  <c r="AL436" i="3"/>
  <c r="AL437" i="3"/>
  <c r="AL438" i="3"/>
  <c r="AL439" i="3"/>
  <c r="AL440" i="3"/>
  <c r="AL441" i="3"/>
  <c r="AL442" i="3"/>
  <c r="AL443" i="3"/>
  <c r="AL444" i="3"/>
  <c r="AL445" i="3"/>
  <c r="AL446" i="3"/>
  <c r="AL447" i="3"/>
  <c r="AL448" i="3"/>
  <c r="AL449" i="3"/>
  <c r="AL450" i="3"/>
  <c r="AL451" i="3"/>
  <c r="AL452" i="3"/>
  <c r="AL453" i="3"/>
  <c r="AL454" i="3"/>
  <c r="AL455" i="3"/>
  <c r="AL456" i="3"/>
  <c r="AL457" i="3"/>
  <c r="AL458" i="3"/>
  <c r="AL459" i="3"/>
  <c r="AL460" i="3"/>
  <c r="AL461" i="3"/>
  <c r="AL462" i="3"/>
  <c r="AL463" i="3"/>
  <c r="AL464" i="3"/>
  <c r="AL465" i="3"/>
  <c r="AL466" i="3"/>
  <c r="AL467" i="3"/>
  <c r="AL468" i="3"/>
  <c r="AL469" i="3"/>
  <c r="AL470" i="3"/>
  <c r="AL471" i="3"/>
  <c r="AL472" i="3"/>
  <c r="AL473" i="3"/>
  <c r="AL474" i="3"/>
  <c r="AL475" i="3"/>
  <c r="AL476" i="3"/>
  <c r="AL477" i="3"/>
  <c r="AL478" i="3"/>
  <c r="AL479" i="3"/>
  <c r="AL480" i="3"/>
  <c r="AL481" i="3"/>
  <c r="AL482" i="3"/>
  <c r="AL483" i="3"/>
  <c r="AL484" i="3"/>
  <c r="AL485" i="3"/>
  <c r="AL486" i="3"/>
  <c r="AL487" i="3"/>
  <c r="AL488" i="3"/>
  <c r="AL489" i="3"/>
  <c r="AL490" i="3"/>
  <c r="AL491" i="3"/>
  <c r="AL492" i="3"/>
  <c r="AL493" i="3"/>
  <c r="AL494" i="3"/>
  <c r="AL495" i="3"/>
  <c r="AL496" i="3"/>
  <c r="AL497" i="3"/>
  <c r="AL498" i="3"/>
  <c r="AL499" i="3"/>
  <c r="AL500" i="3"/>
  <c r="AL501" i="3"/>
  <c r="AL502" i="3"/>
  <c r="AL503" i="3"/>
  <c r="AL504" i="3"/>
  <c r="AL505" i="3"/>
  <c r="AL506" i="3"/>
  <c r="AL507" i="3"/>
  <c r="AL508" i="3"/>
  <c r="AL509" i="3"/>
  <c r="AL510" i="3"/>
  <c r="AL511" i="3"/>
  <c r="AL512" i="3"/>
  <c r="AL513" i="3"/>
  <c r="AL514" i="3"/>
  <c r="AL515" i="3"/>
  <c r="AL516" i="3"/>
  <c r="AL517" i="3"/>
  <c r="AL518" i="3"/>
  <c r="AL519" i="3"/>
  <c r="AL520" i="3"/>
  <c r="AL521" i="3"/>
  <c r="AL522" i="3"/>
  <c r="AL523" i="3"/>
  <c r="AL524" i="3"/>
  <c r="AL525" i="3"/>
  <c r="AL526" i="3"/>
  <c r="AL527" i="3"/>
  <c r="AL528" i="3"/>
  <c r="AL529" i="3"/>
  <c r="AL530" i="3"/>
  <c r="AL531" i="3"/>
  <c r="AL532" i="3"/>
  <c r="AL533" i="3"/>
  <c r="AL534" i="3"/>
  <c r="AL535" i="3"/>
  <c r="AL536" i="3"/>
  <c r="AL537" i="3"/>
  <c r="AL538" i="3"/>
  <c r="AL539" i="3"/>
  <c r="AL540" i="3"/>
  <c r="AL541" i="3"/>
  <c r="AL542" i="3"/>
  <c r="AL543" i="3"/>
  <c r="AL544" i="3"/>
  <c r="AL545" i="3"/>
  <c r="AL546" i="3"/>
  <c r="AL547" i="3"/>
  <c r="AL548" i="3"/>
  <c r="AL549" i="3"/>
  <c r="AL550" i="3"/>
  <c r="AL551" i="3"/>
  <c r="AL552" i="3"/>
  <c r="AL553" i="3"/>
  <c r="AL554" i="3"/>
  <c r="AL555" i="3"/>
  <c r="AL556" i="3"/>
  <c r="AL557" i="3"/>
  <c r="AL558" i="3"/>
  <c r="AL559" i="3"/>
  <c r="AL560" i="3"/>
  <c r="AL561" i="3"/>
  <c r="AL562" i="3"/>
  <c r="AL563" i="3"/>
  <c r="AL564" i="3"/>
  <c r="AL565" i="3"/>
  <c r="AL566" i="3"/>
  <c r="AL567" i="3"/>
  <c r="AL568" i="3"/>
  <c r="AL569" i="3"/>
  <c r="AL570" i="3"/>
  <c r="AL571" i="3"/>
  <c r="AL572" i="3"/>
  <c r="AL573" i="3"/>
  <c r="AL574" i="3"/>
  <c r="AL575" i="3"/>
  <c r="AL576" i="3"/>
  <c r="AL577" i="3"/>
  <c r="AL578" i="3"/>
  <c r="AL579" i="3"/>
  <c r="AL580" i="3"/>
  <c r="AL581" i="3"/>
  <c r="AL582" i="3"/>
  <c r="AL583" i="3"/>
  <c r="AL584" i="3"/>
  <c r="AL585" i="3"/>
  <c r="AL586" i="3"/>
  <c r="AL587" i="3"/>
  <c r="AL588" i="3"/>
  <c r="AL589" i="3"/>
  <c r="AL590" i="3"/>
  <c r="AL591" i="3"/>
  <c r="AL592" i="3"/>
  <c r="AL593" i="3"/>
  <c r="AL594" i="3"/>
  <c r="AL595" i="3"/>
  <c r="AL596" i="3"/>
  <c r="AL597" i="3"/>
  <c r="AL598" i="3"/>
  <c r="AL599" i="3"/>
  <c r="AL600" i="3"/>
  <c r="AL601" i="3"/>
  <c r="AL602" i="3"/>
  <c r="AL603" i="3"/>
  <c r="AL604" i="3"/>
  <c r="AL605" i="3"/>
  <c r="AL606" i="3"/>
  <c r="AL607" i="3"/>
  <c r="AL608" i="3"/>
  <c r="AL609" i="3"/>
  <c r="AL610" i="3"/>
  <c r="AL611" i="3"/>
  <c r="AL612" i="3"/>
  <c r="AL613" i="3"/>
  <c r="AL614" i="3"/>
  <c r="AL615" i="3"/>
  <c r="AL616" i="3"/>
  <c r="AL617" i="3"/>
  <c r="AL618" i="3"/>
  <c r="AL619" i="3"/>
  <c r="AL620" i="3"/>
  <c r="AL621" i="3"/>
  <c r="AL622" i="3"/>
  <c r="AL623" i="3"/>
  <c r="AL624" i="3"/>
  <c r="AL625" i="3"/>
  <c r="AL626" i="3"/>
  <c r="AL627" i="3"/>
  <c r="AL628" i="3"/>
  <c r="AL629" i="3"/>
  <c r="AL630" i="3"/>
  <c r="AL631" i="3"/>
  <c r="AL632" i="3"/>
  <c r="AL633" i="3"/>
  <c r="AL634" i="3"/>
  <c r="AL635" i="3"/>
  <c r="AL636" i="3"/>
  <c r="AL637" i="3"/>
  <c r="AL638" i="3"/>
  <c r="AL639" i="3"/>
  <c r="AL640" i="3"/>
  <c r="AL641" i="3"/>
  <c r="AL642" i="3"/>
  <c r="AL643" i="3"/>
  <c r="AL644" i="3"/>
  <c r="AL645" i="3"/>
  <c r="AL646" i="3"/>
  <c r="AL647" i="3"/>
  <c r="AL648" i="3"/>
  <c r="AL649" i="3"/>
  <c r="AL650" i="3"/>
  <c r="AL651" i="3"/>
  <c r="AL652" i="3"/>
  <c r="AL653" i="3"/>
  <c r="AL654" i="3"/>
  <c r="AL655" i="3"/>
  <c r="AL656" i="3"/>
  <c r="AL657" i="3"/>
  <c r="AL658" i="3"/>
  <c r="AL659" i="3"/>
  <c r="AL660" i="3"/>
  <c r="AL661" i="3"/>
  <c r="AL662" i="3"/>
  <c r="AL663" i="3"/>
  <c r="AL664" i="3"/>
  <c r="AL665" i="3"/>
  <c r="AL666" i="3"/>
  <c r="AL667" i="3"/>
  <c r="AL668" i="3"/>
  <c r="AL669" i="3"/>
  <c r="AL670" i="3"/>
  <c r="AL671" i="3"/>
  <c r="AL672" i="3"/>
  <c r="AL673" i="3"/>
  <c r="AL674" i="3"/>
  <c r="AL675" i="3"/>
  <c r="AL676" i="3"/>
  <c r="AL677" i="3"/>
  <c r="AL678" i="3"/>
  <c r="AL679" i="3"/>
  <c r="AL680" i="3"/>
  <c r="AL681" i="3"/>
  <c r="AL682" i="3"/>
  <c r="AL683" i="3"/>
  <c r="AL684" i="3"/>
  <c r="AL685" i="3"/>
  <c r="AL686" i="3"/>
  <c r="AL687" i="3"/>
  <c r="AL688" i="3"/>
  <c r="AL689" i="3"/>
  <c r="AL690" i="3"/>
  <c r="AL691" i="3"/>
  <c r="AL692" i="3"/>
  <c r="AL693" i="3"/>
  <c r="AL694" i="3"/>
  <c r="AL695" i="3"/>
  <c r="AL696" i="3"/>
  <c r="AL697" i="3"/>
  <c r="AL698" i="3"/>
  <c r="AL699" i="3"/>
  <c r="AL700" i="3"/>
  <c r="AL701" i="3"/>
  <c r="AL702" i="3"/>
  <c r="AL703" i="3"/>
  <c r="AL704" i="3"/>
  <c r="AL705" i="3"/>
  <c r="AL706" i="3"/>
  <c r="AL707" i="3"/>
  <c r="AL708" i="3"/>
  <c r="AL709" i="3"/>
  <c r="AL710" i="3"/>
  <c r="AL711" i="3"/>
  <c r="AL712" i="3"/>
  <c r="AL713" i="3"/>
  <c r="AL714" i="3"/>
  <c r="AL715" i="3"/>
  <c r="AL716" i="3"/>
  <c r="AL717" i="3"/>
  <c r="AL718" i="3"/>
  <c r="AL719" i="3"/>
  <c r="AL720" i="3"/>
  <c r="AL721" i="3"/>
  <c r="AL722" i="3"/>
  <c r="AL723" i="3"/>
  <c r="AL724" i="3"/>
  <c r="AL725" i="3"/>
  <c r="AL726" i="3"/>
  <c r="AL727" i="3"/>
  <c r="AL728" i="3"/>
  <c r="AL729" i="3"/>
  <c r="AL730" i="3"/>
  <c r="AL731" i="3"/>
  <c r="AL732" i="3"/>
  <c r="AL733" i="3"/>
  <c r="AL734" i="3"/>
  <c r="AL735" i="3"/>
  <c r="AL736" i="3"/>
  <c r="AL737" i="3"/>
  <c r="AL738" i="3"/>
  <c r="AL739" i="3"/>
  <c r="AL740" i="3"/>
  <c r="AL741" i="3"/>
  <c r="AL742" i="3"/>
  <c r="AL743" i="3"/>
  <c r="AL744" i="3"/>
  <c r="AL745" i="3"/>
  <c r="AL746" i="3"/>
  <c r="AL747" i="3"/>
  <c r="AL748" i="3"/>
  <c r="AL749" i="3"/>
  <c r="AL750" i="3"/>
  <c r="AL751" i="3"/>
  <c r="AL752" i="3"/>
  <c r="AL753" i="3"/>
  <c r="AL754" i="3"/>
  <c r="AL755" i="3"/>
  <c r="AL756" i="3"/>
  <c r="AL757" i="3"/>
  <c r="AL758" i="3"/>
  <c r="AL759" i="3"/>
  <c r="AL760" i="3"/>
  <c r="AL761" i="3"/>
  <c r="AL762" i="3"/>
  <c r="AL763" i="3"/>
  <c r="AL764" i="3"/>
  <c r="AL765" i="3"/>
  <c r="AL766" i="3"/>
  <c r="AL767" i="3"/>
  <c r="AL768" i="3"/>
  <c r="AL769" i="3"/>
  <c r="AL770" i="3"/>
  <c r="AL771" i="3"/>
  <c r="AL772" i="3"/>
  <c r="AL773" i="3"/>
  <c r="AL774" i="3"/>
  <c r="AL775" i="3"/>
  <c r="AL776" i="3"/>
  <c r="AL777" i="3"/>
  <c r="AL778" i="3"/>
  <c r="AL779" i="3"/>
  <c r="AL780" i="3"/>
  <c r="AL781" i="3"/>
  <c r="AL782" i="3"/>
  <c r="AL783" i="3"/>
  <c r="AL784" i="3"/>
  <c r="AL785" i="3"/>
  <c r="AL786" i="3"/>
  <c r="AL787" i="3"/>
  <c r="AL788" i="3"/>
  <c r="AL789" i="3"/>
  <c r="AL790" i="3"/>
  <c r="AL791" i="3"/>
  <c r="AL792" i="3"/>
  <c r="AL793" i="3"/>
  <c r="AL794" i="3"/>
  <c r="AL795" i="3"/>
  <c r="AL796" i="3"/>
  <c r="AL797" i="3"/>
  <c r="AL798" i="3"/>
  <c r="AL799" i="3"/>
  <c r="AL800" i="3"/>
  <c r="AL801" i="3"/>
  <c r="AL802" i="3"/>
  <c r="AL803" i="3"/>
  <c r="AL804" i="3"/>
  <c r="AL805" i="3"/>
  <c r="AL806" i="3"/>
  <c r="AL807" i="3"/>
  <c r="AL808" i="3"/>
  <c r="AL809" i="3"/>
  <c r="AL810" i="3"/>
  <c r="AL811" i="3"/>
  <c r="AL812" i="3"/>
  <c r="AL813" i="3"/>
  <c r="AL814" i="3"/>
  <c r="AL815" i="3"/>
  <c r="AL816" i="3"/>
  <c r="AL817" i="3"/>
  <c r="AL818" i="3"/>
  <c r="AL819" i="3"/>
  <c r="AL820" i="3"/>
  <c r="AL821" i="3"/>
  <c r="AL822" i="3"/>
  <c r="AL823" i="3"/>
  <c r="AL824" i="3"/>
  <c r="AL825" i="3"/>
  <c r="AL826" i="3"/>
  <c r="AL827" i="3"/>
  <c r="AL828" i="3"/>
  <c r="AL829" i="3"/>
  <c r="AL830" i="3"/>
  <c r="AL831" i="3"/>
  <c r="AL832" i="3"/>
  <c r="AL833" i="3"/>
  <c r="AL834" i="3"/>
  <c r="AL835" i="3"/>
  <c r="AL836" i="3"/>
  <c r="AL837" i="3"/>
  <c r="AL838" i="3"/>
  <c r="AL839" i="3"/>
  <c r="AL840" i="3"/>
  <c r="AL841" i="3"/>
  <c r="AL842" i="3"/>
  <c r="AL843" i="3"/>
  <c r="AL844" i="3"/>
  <c r="AL845" i="3"/>
  <c r="AL846" i="3"/>
  <c r="AL847" i="3"/>
  <c r="AL848" i="3"/>
  <c r="AL849" i="3"/>
  <c r="AL850" i="3"/>
  <c r="AL851" i="3"/>
  <c r="AL852" i="3"/>
  <c r="AL853" i="3"/>
  <c r="AL854" i="3"/>
  <c r="AL855" i="3"/>
  <c r="AL856" i="3"/>
  <c r="AL857" i="3"/>
  <c r="AL858" i="3"/>
  <c r="AL859" i="3"/>
  <c r="AL860" i="3"/>
  <c r="AL861" i="3"/>
  <c r="AL862" i="3"/>
  <c r="AL863" i="3"/>
  <c r="AL864" i="3"/>
  <c r="AL865" i="3"/>
  <c r="AL866" i="3"/>
  <c r="AL867" i="3"/>
  <c r="AL868" i="3"/>
  <c r="AL869" i="3"/>
  <c r="AL870" i="3"/>
  <c r="AL871" i="3"/>
  <c r="AL872" i="3"/>
  <c r="AL873" i="3"/>
  <c r="AL874" i="3"/>
  <c r="AL875" i="3"/>
  <c r="AL876" i="3"/>
  <c r="AL877" i="3"/>
  <c r="AL878" i="3"/>
  <c r="AL879" i="3"/>
  <c r="AL880" i="3"/>
  <c r="AL881" i="3"/>
  <c r="AL882" i="3"/>
  <c r="AL883" i="3"/>
  <c r="AL884" i="3"/>
  <c r="AL885" i="3"/>
  <c r="AL886" i="3"/>
  <c r="AL887" i="3"/>
  <c r="AL888" i="3"/>
  <c r="AL889" i="3"/>
  <c r="AL890" i="3"/>
  <c r="AL891" i="3"/>
  <c r="AL892" i="3"/>
  <c r="AL893" i="3"/>
  <c r="AL894" i="3"/>
  <c r="AL895" i="3"/>
  <c r="AL896" i="3"/>
  <c r="AL897" i="3"/>
  <c r="AL898" i="3"/>
  <c r="AL899" i="3"/>
  <c r="AL900" i="3"/>
  <c r="AL901" i="3"/>
  <c r="AL902" i="3"/>
  <c r="AL903" i="3"/>
  <c r="AL904" i="3"/>
  <c r="AL905" i="3"/>
  <c r="AL906" i="3"/>
  <c r="AL907" i="3"/>
  <c r="AL908" i="3"/>
  <c r="AL909" i="3"/>
  <c r="AL910" i="3"/>
  <c r="AL911" i="3"/>
  <c r="AL912" i="3"/>
  <c r="AL913" i="3"/>
  <c r="AL914" i="3"/>
  <c r="AL915" i="3"/>
  <c r="AL916" i="3"/>
  <c r="AL917" i="3"/>
  <c r="AL918" i="3"/>
  <c r="AL919" i="3"/>
  <c r="AL920" i="3"/>
  <c r="AL921" i="3"/>
  <c r="AL922" i="3"/>
  <c r="AL923" i="3"/>
  <c r="AL924" i="3"/>
  <c r="AL925" i="3"/>
  <c r="AL926" i="3"/>
  <c r="AL927" i="3"/>
  <c r="AL928" i="3"/>
  <c r="AL929" i="3"/>
  <c r="AL930" i="3"/>
  <c r="AL931" i="3"/>
  <c r="AL932" i="3"/>
  <c r="AL933" i="3"/>
  <c r="AL2" i="3"/>
  <c r="AK3" i="3"/>
  <c r="AK4" i="3"/>
  <c r="AK5" i="3"/>
  <c r="AK6" i="3"/>
  <c r="AK7" i="3"/>
  <c r="AK8" i="3"/>
  <c r="AK9" i="3"/>
  <c r="AK10" i="3"/>
  <c r="AK11" i="3"/>
  <c r="AK12" i="3"/>
  <c r="AK13" i="3"/>
  <c r="AK14" i="3"/>
  <c r="AK15" i="3"/>
  <c r="AK16" i="3"/>
  <c r="AK17" i="3"/>
  <c r="AK18" i="3"/>
  <c r="AK19" i="3"/>
  <c r="AK20" i="3"/>
  <c r="AK21" i="3"/>
  <c r="AK22" i="3"/>
  <c r="AK23" i="3"/>
  <c r="AK24" i="3"/>
  <c r="AK25" i="3"/>
  <c r="AK26" i="3"/>
  <c r="AK27" i="3"/>
  <c r="AK28" i="3"/>
  <c r="AK29" i="3"/>
  <c r="AK30" i="3"/>
  <c r="AK31" i="3"/>
  <c r="AK32" i="3"/>
  <c r="AK33" i="3"/>
  <c r="AK34" i="3"/>
  <c r="AK35" i="3"/>
  <c r="AK36" i="3"/>
  <c r="AK37" i="3"/>
  <c r="AK38" i="3"/>
  <c r="AK39" i="3"/>
  <c r="AK40" i="3"/>
  <c r="AK41" i="3"/>
  <c r="AK42" i="3"/>
  <c r="AK43" i="3"/>
  <c r="AK44" i="3"/>
  <c r="AK45" i="3"/>
  <c r="AK46" i="3"/>
  <c r="AK47" i="3"/>
  <c r="AK48" i="3"/>
  <c r="AK49" i="3"/>
  <c r="AK50" i="3"/>
  <c r="AK51" i="3"/>
  <c r="AK52" i="3"/>
  <c r="AK53" i="3"/>
  <c r="AK54" i="3"/>
  <c r="AK55" i="3"/>
  <c r="AK56" i="3"/>
  <c r="AK57" i="3"/>
  <c r="AK58" i="3"/>
  <c r="AK59" i="3"/>
  <c r="AK60" i="3"/>
  <c r="AK61" i="3"/>
  <c r="AK62" i="3"/>
  <c r="AK63" i="3"/>
  <c r="AK64" i="3"/>
  <c r="AK65" i="3"/>
  <c r="AK66" i="3"/>
  <c r="AK67" i="3"/>
  <c r="AK68" i="3"/>
  <c r="AK69" i="3"/>
  <c r="AK70" i="3"/>
  <c r="AK71" i="3"/>
  <c r="AK72" i="3"/>
  <c r="AK73" i="3"/>
  <c r="AK74" i="3"/>
  <c r="AK75" i="3"/>
  <c r="AK76" i="3"/>
  <c r="AK77" i="3"/>
  <c r="AK78" i="3"/>
  <c r="AK79" i="3"/>
  <c r="AK80" i="3"/>
  <c r="AK81" i="3"/>
  <c r="AK82" i="3"/>
  <c r="AK83" i="3"/>
  <c r="AK84" i="3"/>
  <c r="AK85" i="3"/>
  <c r="AK86" i="3"/>
  <c r="AK87" i="3"/>
  <c r="AK88" i="3"/>
  <c r="AK89" i="3"/>
  <c r="AK90" i="3"/>
  <c r="AK91" i="3"/>
  <c r="AK92" i="3"/>
  <c r="AK93" i="3"/>
  <c r="AK94" i="3"/>
  <c r="AK95" i="3"/>
  <c r="AK96" i="3"/>
  <c r="AK97" i="3"/>
  <c r="AK98" i="3"/>
  <c r="AK99" i="3"/>
  <c r="AK100" i="3"/>
  <c r="AK101" i="3"/>
  <c r="AK102" i="3"/>
  <c r="AK103" i="3"/>
  <c r="AK104" i="3"/>
  <c r="AK105" i="3"/>
  <c r="AK106" i="3"/>
  <c r="AK107" i="3"/>
  <c r="AK108" i="3"/>
  <c r="AK109" i="3"/>
  <c r="AK110" i="3"/>
  <c r="AK111" i="3"/>
  <c r="AK112" i="3"/>
  <c r="AK113" i="3"/>
  <c r="AK114" i="3"/>
  <c r="AK115" i="3"/>
  <c r="AK116" i="3"/>
  <c r="AK117" i="3"/>
  <c r="AK118" i="3"/>
  <c r="AK119" i="3"/>
  <c r="AK120" i="3"/>
  <c r="AK121" i="3"/>
  <c r="AK122" i="3"/>
  <c r="AK123" i="3"/>
  <c r="AK124" i="3"/>
  <c r="AK125" i="3"/>
  <c r="AK126" i="3"/>
  <c r="AK127" i="3"/>
  <c r="AK128" i="3"/>
  <c r="AK129" i="3"/>
  <c r="AK130" i="3"/>
  <c r="AK131" i="3"/>
  <c r="AK132" i="3"/>
  <c r="AK133" i="3"/>
  <c r="AK134" i="3"/>
  <c r="AK135" i="3"/>
  <c r="AK136" i="3"/>
  <c r="AK137" i="3"/>
  <c r="AK138" i="3"/>
  <c r="AK139" i="3"/>
  <c r="AK140" i="3"/>
  <c r="AK141" i="3"/>
  <c r="AK142" i="3"/>
  <c r="AK143" i="3"/>
  <c r="AK144" i="3"/>
  <c r="AK145" i="3"/>
  <c r="AK146" i="3"/>
  <c r="AK147" i="3"/>
  <c r="AK148" i="3"/>
  <c r="AK149" i="3"/>
  <c r="AK150" i="3"/>
  <c r="AK151" i="3"/>
  <c r="AK152" i="3"/>
  <c r="AK153" i="3"/>
  <c r="AK154" i="3"/>
  <c r="AK155" i="3"/>
  <c r="AK156" i="3"/>
  <c r="AK157" i="3"/>
  <c r="AK158" i="3"/>
  <c r="AK159" i="3"/>
  <c r="AK160" i="3"/>
  <c r="AK161" i="3"/>
  <c r="AK162" i="3"/>
  <c r="AK163" i="3"/>
  <c r="AK164" i="3"/>
  <c r="AK165" i="3"/>
  <c r="AK166" i="3"/>
  <c r="AK167" i="3"/>
  <c r="AK168" i="3"/>
  <c r="AK169" i="3"/>
  <c r="AK170" i="3"/>
  <c r="AK171" i="3"/>
  <c r="AK172" i="3"/>
  <c r="AK173" i="3"/>
  <c r="AK174" i="3"/>
  <c r="AK175" i="3"/>
  <c r="AK176" i="3"/>
  <c r="AK177" i="3"/>
  <c r="AK178" i="3"/>
  <c r="AK179" i="3"/>
  <c r="AK180" i="3"/>
  <c r="AK181" i="3"/>
  <c r="AK182" i="3"/>
  <c r="AK183" i="3"/>
  <c r="AK184" i="3"/>
  <c r="AK185" i="3"/>
  <c r="AK186" i="3"/>
  <c r="AK187" i="3"/>
  <c r="AK188" i="3"/>
  <c r="AK189" i="3"/>
  <c r="AK190" i="3"/>
  <c r="AK191" i="3"/>
  <c r="AK192" i="3"/>
  <c r="AK193" i="3"/>
  <c r="AK194" i="3"/>
  <c r="AK195" i="3"/>
  <c r="AK196" i="3"/>
  <c r="AK197" i="3"/>
  <c r="AK198" i="3"/>
  <c r="AK199" i="3"/>
  <c r="AK200" i="3"/>
  <c r="AK201" i="3"/>
  <c r="AK202" i="3"/>
  <c r="AK203" i="3"/>
  <c r="AK204" i="3"/>
  <c r="AK205" i="3"/>
  <c r="AK206" i="3"/>
  <c r="AK207" i="3"/>
  <c r="AK208" i="3"/>
  <c r="AK209" i="3"/>
  <c r="AK210" i="3"/>
  <c r="AK211" i="3"/>
  <c r="AK212" i="3"/>
  <c r="AK213" i="3"/>
  <c r="AK214" i="3"/>
  <c r="AK215" i="3"/>
  <c r="AK216" i="3"/>
  <c r="AK217" i="3"/>
  <c r="AK218" i="3"/>
  <c r="AK219" i="3"/>
  <c r="AK220" i="3"/>
  <c r="AK221" i="3"/>
  <c r="AK222" i="3"/>
  <c r="AK223" i="3"/>
  <c r="AK224" i="3"/>
  <c r="AK225" i="3"/>
  <c r="AK226" i="3"/>
  <c r="AK227" i="3"/>
  <c r="AK228" i="3"/>
  <c r="AK229" i="3"/>
  <c r="AK230" i="3"/>
  <c r="AK231" i="3"/>
  <c r="AK232" i="3"/>
  <c r="AK233" i="3"/>
  <c r="AK234" i="3"/>
  <c r="AK235" i="3"/>
  <c r="AK236" i="3"/>
  <c r="AK237" i="3"/>
  <c r="AK238" i="3"/>
  <c r="AK239" i="3"/>
  <c r="AK240" i="3"/>
  <c r="AK241" i="3"/>
  <c r="AK242" i="3"/>
  <c r="AK243" i="3"/>
  <c r="AK244" i="3"/>
  <c r="AK245" i="3"/>
  <c r="AK246" i="3"/>
  <c r="AK247" i="3"/>
  <c r="AK248" i="3"/>
  <c r="AK249" i="3"/>
  <c r="AK250" i="3"/>
  <c r="AK251" i="3"/>
  <c r="AK252" i="3"/>
  <c r="AK253" i="3"/>
  <c r="AK254" i="3"/>
  <c r="AK255" i="3"/>
  <c r="AK256" i="3"/>
  <c r="AK257" i="3"/>
  <c r="AK258" i="3"/>
  <c r="AK259" i="3"/>
  <c r="AK260" i="3"/>
  <c r="AK261" i="3"/>
  <c r="AK262" i="3"/>
  <c r="AK263" i="3"/>
  <c r="AK264" i="3"/>
  <c r="AK265" i="3"/>
  <c r="AK266" i="3"/>
  <c r="AK267" i="3"/>
  <c r="AK268" i="3"/>
  <c r="AK269" i="3"/>
  <c r="AK270" i="3"/>
  <c r="AK271" i="3"/>
  <c r="AK272" i="3"/>
  <c r="AK273" i="3"/>
  <c r="AK274" i="3"/>
  <c r="AK275" i="3"/>
  <c r="AK276" i="3"/>
  <c r="AK277" i="3"/>
  <c r="AK278" i="3"/>
  <c r="AK279" i="3"/>
  <c r="AK280" i="3"/>
  <c r="AK281" i="3"/>
  <c r="AK282" i="3"/>
  <c r="AK283" i="3"/>
  <c r="AK284" i="3"/>
  <c r="AK285" i="3"/>
  <c r="AK286" i="3"/>
  <c r="AK287" i="3"/>
  <c r="AK288" i="3"/>
  <c r="AK289" i="3"/>
  <c r="AK290" i="3"/>
  <c r="AK291" i="3"/>
  <c r="AK292" i="3"/>
  <c r="AK293" i="3"/>
  <c r="AK294" i="3"/>
  <c r="AK295" i="3"/>
  <c r="AK296" i="3"/>
  <c r="AK297" i="3"/>
  <c r="AK298" i="3"/>
  <c r="AK299" i="3"/>
  <c r="AK300" i="3"/>
  <c r="AK301" i="3"/>
  <c r="AK302" i="3"/>
  <c r="AK303" i="3"/>
  <c r="AK304" i="3"/>
  <c r="AK305" i="3"/>
  <c r="AK306" i="3"/>
  <c r="AK307" i="3"/>
  <c r="AK308" i="3"/>
  <c r="AK309" i="3"/>
  <c r="AK310" i="3"/>
  <c r="AK311" i="3"/>
  <c r="AK312" i="3"/>
  <c r="AK313" i="3"/>
  <c r="AK314" i="3"/>
  <c r="AK315" i="3"/>
  <c r="AK316" i="3"/>
  <c r="AK317" i="3"/>
  <c r="AK318" i="3"/>
  <c r="AK319" i="3"/>
  <c r="AK320" i="3"/>
  <c r="AK321" i="3"/>
  <c r="AK322" i="3"/>
  <c r="AK323" i="3"/>
  <c r="AK324" i="3"/>
  <c r="AK325" i="3"/>
  <c r="AK326" i="3"/>
  <c r="AK327" i="3"/>
  <c r="AK328" i="3"/>
  <c r="AK329" i="3"/>
  <c r="AK330" i="3"/>
  <c r="AK331" i="3"/>
  <c r="AK332" i="3"/>
  <c r="AK333" i="3"/>
  <c r="AK334" i="3"/>
  <c r="AK335" i="3"/>
  <c r="AK336" i="3"/>
  <c r="AK337" i="3"/>
  <c r="AK338" i="3"/>
  <c r="AK339" i="3"/>
  <c r="AK340" i="3"/>
  <c r="AK341" i="3"/>
  <c r="AK342" i="3"/>
  <c r="AK343" i="3"/>
  <c r="AK344" i="3"/>
  <c r="AK345" i="3"/>
  <c r="AK346" i="3"/>
  <c r="AK347" i="3"/>
  <c r="AK348" i="3"/>
  <c r="AK349" i="3"/>
  <c r="AK350" i="3"/>
  <c r="AK351" i="3"/>
  <c r="AK352" i="3"/>
  <c r="AK353" i="3"/>
  <c r="AK354" i="3"/>
  <c r="AK355" i="3"/>
  <c r="AK356" i="3"/>
  <c r="AK357" i="3"/>
  <c r="AK358" i="3"/>
  <c r="AK359" i="3"/>
  <c r="AK360" i="3"/>
  <c r="AK361" i="3"/>
  <c r="AK362" i="3"/>
  <c r="AK363" i="3"/>
  <c r="AK364" i="3"/>
  <c r="AK365" i="3"/>
  <c r="AK366" i="3"/>
  <c r="AK367" i="3"/>
  <c r="AK368" i="3"/>
  <c r="AK369" i="3"/>
  <c r="AK370" i="3"/>
  <c r="AK371" i="3"/>
  <c r="AK372" i="3"/>
  <c r="AK373" i="3"/>
  <c r="AK374" i="3"/>
  <c r="AK375" i="3"/>
  <c r="AK376" i="3"/>
  <c r="AK377" i="3"/>
  <c r="AK378" i="3"/>
  <c r="AK379" i="3"/>
  <c r="AK380" i="3"/>
  <c r="AK381" i="3"/>
  <c r="AK382" i="3"/>
  <c r="AK383" i="3"/>
  <c r="AK384" i="3"/>
  <c r="AK385" i="3"/>
  <c r="AK386" i="3"/>
  <c r="AK387" i="3"/>
  <c r="AK388" i="3"/>
  <c r="AK389" i="3"/>
  <c r="AK390" i="3"/>
  <c r="AK391" i="3"/>
  <c r="AK392" i="3"/>
  <c r="AK393" i="3"/>
  <c r="AK394" i="3"/>
  <c r="AK395" i="3"/>
  <c r="AK396" i="3"/>
  <c r="AK397" i="3"/>
  <c r="AK398" i="3"/>
  <c r="AK399" i="3"/>
  <c r="AK400" i="3"/>
  <c r="AK401" i="3"/>
  <c r="AK402" i="3"/>
  <c r="AK403" i="3"/>
  <c r="AK404" i="3"/>
  <c r="AK405" i="3"/>
  <c r="AK406" i="3"/>
  <c r="AK407" i="3"/>
  <c r="AK408" i="3"/>
  <c r="AK409" i="3"/>
  <c r="AK410" i="3"/>
  <c r="AK411" i="3"/>
  <c r="AK412" i="3"/>
  <c r="AK413" i="3"/>
  <c r="AK414" i="3"/>
  <c r="AK415" i="3"/>
  <c r="AK416" i="3"/>
  <c r="AK417" i="3"/>
  <c r="AK418" i="3"/>
  <c r="AK419" i="3"/>
  <c r="AK420" i="3"/>
  <c r="AK421" i="3"/>
  <c r="AK422" i="3"/>
  <c r="AK423" i="3"/>
  <c r="AK424" i="3"/>
  <c r="AK425" i="3"/>
  <c r="AK426" i="3"/>
  <c r="AK427" i="3"/>
  <c r="AK428" i="3"/>
  <c r="AK429" i="3"/>
  <c r="AK430" i="3"/>
  <c r="AK431" i="3"/>
  <c r="AK432" i="3"/>
  <c r="AK433" i="3"/>
  <c r="AK434" i="3"/>
  <c r="AK435" i="3"/>
  <c r="AK436" i="3"/>
  <c r="AK437" i="3"/>
  <c r="AK438" i="3"/>
  <c r="AK439" i="3"/>
  <c r="AK440" i="3"/>
  <c r="AK441" i="3"/>
  <c r="AK442" i="3"/>
  <c r="AK443" i="3"/>
  <c r="AK444" i="3"/>
  <c r="AK445" i="3"/>
  <c r="AK446" i="3"/>
  <c r="AK447" i="3"/>
  <c r="AK448" i="3"/>
  <c r="AK449" i="3"/>
  <c r="AK450" i="3"/>
  <c r="AK451" i="3"/>
  <c r="AK452" i="3"/>
  <c r="AK453" i="3"/>
  <c r="AK454" i="3"/>
  <c r="AK455" i="3"/>
  <c r="AK456" i="3"/>
  <c r="AK457" i="3"/>
  <c r="AK458" i="3"/>
  <c r="AK459" i="3"/>
  <c r="AK460" i="3"/>
  <c r="AK461" i="3"/>
  <c r="AK462" i="3"/>
  <c r="AK463" i="3"/>
  <c r="AK464" i="3"/>
  <c r="AK465" i="3"/>
  <c r="AK466" i="3"/>
  <c r="AK467" i="3"/>
  <c r="AK468" i="3"/>
  <c r="AK469" i="3"/>
  <c r="AK470" i="3"/>
  <c r="AK471" i="3"/>
  <c r="AK472" i="3"/>
  <c r="AK473" i="3"/>
  <c r="AK474" i="3"/>
  <c r="AK475" i="3"/>
  <c r="AK476" i="3"/>
  <c r="AK477" i="3"/>
  <c r="AK478" i="3"/>
  <c r="AK479" i="3"/>
  <c r="AK480" i="3"/>
  <c r="AK481" i="3"/>
  <c r="AK482" i="3"/>
  <c r="AK483" i="3"/>
  <c r="AK484" i="3"/>
  <c r="AK485" i="3"/>
  <c r="AK486" i="3"/>
  <c r="AK487" i="3"/>
  <c r="AK488" i="3"/>
  <c r="AK489" i="3"/>
  <c r="AK490" i="3"/>
  <c r="AK491" i="3"/>
  <c r="AK492" i="3"/>
  <c r="AK493" i="3"/>
  <c r="AK494" i="3"/>
  <c r="AK495" i="3"/>
  <c r="AK496" i="3"/>
  <c r="AK497" i="3"/>
  <c r="AK498" i="3"/>
  <c r="AK499" i="3"/>
  <c r="AK500" i="3"/>
  <c r="AK501" i="3"/>
  <c r="AK502" i="3"/>
  <c r="AK503" i="3"/>
  <c r="AK504" i="3"/>
  <c r="AK505" i="3"/>
  <c r="AK506" i="3"/>
  <c r="AK507" i="3"/>
  <c r="AK508" i="3"/>
  <c r="AK509" i="3"/>
  <c r="AK510" i="3"/>
  <c r="AK511" i="3"/>
  <c r="AK512" i="3"/>
  <c r="AK513" i="3"/>
  <c r="AK514" i="3"/>
  <c r="AK515" i="3"/>
  <c r="AK516" i="3"/>
  <c r="AK517" i="3"/>
  <c r="AK518" i="3"/>
  <c r="AK519" i="3"/>
  <c r="AK520" i="3"/>
  <c r="AK521" i="3"/>
  <c r="AK522" i="3"/>
  <c r="AK523" i="3"/>
  <c r="AK524" i="3"/>
  <c r="AK525" i="3"/>
  <c r="AK526" i="3"/>
  <c r="AK527" i="3"/>
  <c r="AK528" i="3"/>
  <c r="AK529" i="3"/>
  <c r="AK530" i="3"/>
  <c r="AK531" i="3"/>
  <c r="AK532" i="3"/>
  <c r="AK533" i="3"/>
  <c r="AK534" i="3"/>
  <c r="AK535" i="3"/>
  <c r="AK536" i="3"/>
  <c r="AK537" i="3"/>
  <c r="AK538" i="3"/>
  <c r="AK539" i="3"/>
  <c r="AK540" i="3"/>
  <c r="AK541" i="3"/>
  <c r="AK542" i="3"/>
  <c r="AK543" i="3"/>
  <c r="AK544" i="3"/>
  <c r="AK545" i="3"/>
  <c r="AK546" i="3"/>
  <c r="AK547" i="3"/>
  <c r="AK548" i="3"/>
  <c r="AK549" i="3"/>
  <c r="AK550" i="3"/>
  <c r="AK551" i="3"/>
  <c r="AK552" i="3"/>
  <c r="AK553" i="3"/>
  <c r="AK554" i="3"/>
  <c r="AK555" i="3"/>
  <c r="AK556" i="3"/>
  <c r="AK557" i="3"/>
  <c r="AK558" i="3"/>
  <c r="AK559" i="3"/>
  <c r="AK560" i="3"/>
  <c r="AK561" i="3"/>
  <c r="AK562" i="3"/>
  <c r="AK563" i="3"/>
  <c r="AK564" i="3"/>
  <c r="AK565" i="3"/>
  <c r="AK566" i="3"/>
  <c r="AK567" i="3"/>
  <c r="AK568" i="3"/>
  <c r="AK569" i="3"/>
  <c r="AK570" i="3"/>
  <c r="AK571" i="3"/>
  <c r="AK572" i="3"/>
  <c r="AK573" i="3"/>
  <c r="AK574" i="3"/>
  <c r="AK575" i="3"/>
  <c r="AK576" i="3"/>
  <c r="AK577" i="3"/>
  <c r="AK578" i="3"/>
  <c r="AK579" i="3"/>
  <c r="AK580" i="3"/>
  <c r="AK581" i="3"/>
  <c r="AK582" i="3"/>
  <c r="AK583" i="3"/>
  <c r="AK584" i="3"/>
  <c r="AK585" i="3"/>
  <c r="AK586" i="3"/>
  <c r="AK587" i="3"/>
  <c r="AK588" i="3"/>
  <c r="AK589" i="3"/>
  <c r="AK590" i="3"/>
  <c r="AK591" i="3"/>
  <c r="AK592" i="3"/>
  <c r="AK593" i="3"/>
  <c r="AK594" i="3"/>
  <c r="AK595" i="3"/>
  <c r="AK596" i="3"/>
  <c r="AK597" i="3"/>
  <c r="AK598" i="3"/>
  <c r="AK599" i="3"/>
  <c r="AK600" i="3"/>
  <c r="AK601" i="3"/>
  <c r="AK602" i="3"/>
  <c r="AK603" i="3"/>
  <c r="AK604" i="3"/>
  <c r="AK605" i="3"/>
  <c r="AK606" i="3"/>
  <c r="AK607" i="3"/>
  <c r="AK608" i="3"/>
  <c r="AK609" i="3"/>
  <c r="AK610" i="3"/>
  <c r="AK611" i="3"/>
  <c r="AK612" i="3"/>
  <c r="AK613" i="3"/>
  <c r="AK614" i="3"/>
  <c r="AK615" i="3"/>
  <c r="AK616" i="3"/>
  <c r="AK617" i="3"/>
  <c r="AK618" i="3"/>
  <c r="AK619" i="3"/>
  <c r="AK620" i="3"/>
  <c r="AK621" i="3"/>
  <c r="AK622" i="3"/>
  <c r="AK623" i="3"/>
  <c r="AK624" i="3"/>
  <c r="AK625" i="3"/>
  <c r="AK626" i="3"/>
  <c r="AK627" i="3"/>
  <c r="AK628" i="3"/>
  <c r="AK629" i="3"/>
  <c r="AK630" i="3"/>
  <c r="AK631" i="3"/>
  <c r="AK632" i="3"/>
  <c r="AK633" i="3"/>
  <c r="AK634" i="3"/>
  <c r="AK635" i="3"/>
  <c r="AK636" i="3"/>
  <c r="AK637" i="3"/>
  <c r="AK638" i="3"/>
  <c r="AK639" i="3"/>
  <c r="AK640" i="3"/>
  <c r="AK641" i="3"/>
  <c r="AK642" i="3"/>
  <c r="AK643" i="3"/>
  <c r="AK644" i="3"/>
  <c r="AK645" i="3"/>
  <c r="AK646" i="3"/>
  <c r="AK647" i="3"/>
  <c r="AK648" i="3"/>
  <c r="AK649" i="3"/>
  <c r="AK650" i="3"/>
  <c r="AK651" i="3"/>
  <c r="AK652" i="3"/>
  <c r="AK653" i="3"/>
  <c r="AK654" i="3"/>
  <c r="AK655" i="3"/>
  <c r="AK656" i="3"/>
  <c r="AK657" i="3"/>
  <c r="AK658" i="3"/>
  <c r="AK659" i="3"/>
  <c r="AK660" i="3"/>
  <c r="AK661" i="3"/>
  <c r="AK662" i="3"/>
  <c r="AK663" i="3"/>
  <c r="AK664" i="3"/>
  <c r="AK665" i="3"/>
  <c r="AK666" i="3"/>
  <c r="AK667" i="3"/>
  <c r="AK668" i="3"/>
  <c r="AK669" i="3"/>
  <c r="AK670" i="3"/>
  <c r="AK671" i="3"/>
  <c r="AK672" i="3"/>
  <c r="AK673" i="3"/>
  <c r="AK674" i="3"/>
  <c r="AK675" i="3"/>
  <c r="AK676" i="3"/>
  <c r="AK677" i="3"/>
  <c r="AK678" i="3"/>
  <c r="AK679" i="3"/>
  <c r="AK680" i="3"/>
  <c r="AK681" i="3"/>
  <c r="AK682" i="3"/>
  <c r="AK683" i="3"/>
  <c r="AK684" i="3"/>
  <c r="AK685" i="3"/>
  <c r="AK686" i="3"/>
  <c r="AK687" i="3"/>
  <c r="AK688" i="3"/>
  <c r="AK689" i="3"/>
  <c r="AK690" i="3"/>
  <c r="AK691" i="3"/>
  <c r="AK692" i="3"/>
  <c r="AK693" i="3"/>
  <c r="AK694" i="3"/>
  <c r="AK695" i="3"/>
  <c r="AK696" i="3"/>
  <c r="AK697" i="3"/>
  <c r="AK698" i="3"/>
  <c r="AK699" i="3"/>
  <c r="AK700" i="3"/>
  <c r="AK701" i="3"/>
  <c r="AK702" i="3"/>
  <c r="AK703" i="3"/>
  <c r="AK704" i="3"/>
  <c r="AK705" i="3"/>
  <c r="AK706" i="3"/>
  <c r="AK707" i="3"/>
  <c r="AK708" i="3"/>
  <c r="AK709" i="3"/>
  <c r="AK710" i="3"/>
  <c r="AK711" i="3"/>
  <c r="AK712" i="3"/>
  <c r="AK713" i="3"/>
  <c r="AK714" i="3"/>
  <c r="AK715" i="3"/>
  <c r="AK716" i="3"/>
  <c r="AK717" i="3"/>
  <c r="AK718" i="3"/>
  <c r="AK719" i="3"/>
  <c r="AK720" i="3"/>
  <c r="AK721" i="3"/>
  <c r="AK722" i="3"/>
  <c r="AK723" i="3"/>
  <c r="AK724" i="3"/>
  <c r="AK725" i="3"/>
  <c r="AK726" i="3"/>
  <c r="AK727" i="3"/>
  <c r="AK728" i="3"/>
  <c r="AK729" i="3"/>
  <c r="AK730" i="3"/>
  <c r="AK731" i="3"/>
  <c r="AK732" i="3"/>
  <c r="AK733" i="3"/>
  <c r="AK734" i="3"/>
  <c r="AK735" i="3"/>
  <c r="AK736" i="3"/>
  <c r="AK737" i="3"/>
  <c r="AK738" i="3"/>
  <c r="AK739" i="3"/>
  <c r="AK740" i="3"/>
  <c r="AK741" i="3"/>
  <c r="AK742" i="3"/>
  <c r="AK743" i="3"/>
  <c r="AK744" i="3"/>
  <c r="AK745" i="3"/>
  <c r="AK746" i="3"/>
  <c r="AK747" i="3"/>
  <c r="AK748" i="3"/>
  <c r="AK749" i="3"/>
  <c r="AK750" i="3"/>
  <c r="AK751" i="3"/>
  <c r="AK752" i="3"/>
  <c r="AK753" i="3"/>
  <c r="AK754" i="3"/>
  <c r="AK755" i="3"/>
  <c r="AK756" i="3"/>
  <c r="AK757" i="3"/>
  <c r="AK758" i="3"/>
  <c r="AK759" i="3"/>
  <c r="AK760" i="3"/>
  <c r="AK761" i="3"/>
  <c r="AK762" i="3"/>
  <c r="AK763" i="3"/>
  <c r="AK764" i="3"/>
  <c r="AK765" i="3"/>
  <c r="AK766" i="3"/>
  <c r="AK767" i="3"/>
  <c r="AK768" i="3"/>
  <c r="AK769" i="3"/>
  <c r="AK770" i="3"/>
  <c r="AK771" i="3"/>
  <c r="AK772" i="3"/>
  <c r="AK773" i="3"/>
  <c r="AK774" i="3"/>
  <c r="AK775" i="3"/>
  <c r="AK776" i="3"/>
  <c r="AK777" i="3"/>
  <c r="AK778" i="3"/>
  <c r="AK779" i="3"/>
  <c r="AK780" i="3"/>
  <c r="AK781" i="3"/>
  <c r="AK782" i="3"/>
  <c r="AK783" i="3"/>
  <c r="AK784" i="3"/>
  <c r="AK785" i="3"/>
  <c r="AK786" i="3"/>
  <c r="AK787" i="3"/>
  <c r="AK788" i="3"/>
  <c r="AK789" i="3"/>
  <c r="AK790" i="3"/>
  <c r="AK791" i="3"/>
  <c r="AK792" i="3"/>
  <c r="AK793" i="3"/>
  <c r="AK794" i="3"/>
  <c r="AK795" i="3"/>
  <c r="AK796" i="3"/>
  <c r="AK797" i="3"/>
  <c r="AK798" i="3"/>
  <c r="AK799" i="3"/>
  <c r="AK800" i="3"/>
  <c r="AK801" i="3"/>
  <c r="AK802" i="3"/>
  <c r="AK803" i="3"/>
  <c r="AK804" i="3"/>
  <c r="AK805" i="3"/>
  <c r="AK806" i="3"/>
  <c r="AK807" i="3"/>
  <c r="AK808" i="3"/>
  <c r="AK809" i="3"/>
  <c r="AK810" i="3"/>
  <c r="AK811" i="3"/>
  <c r="AK812" i="3"/>
  <c r="AK813" i="3"/>
  <c r="AK814" i="3"/>
  <c r="AK815" i="3"/>
  <c r="AK816" i="3"/>
  <c r="AK817" i="3"/>
  <c r="AK818" i="3"/>
  <c r="AK819" i="3"/>
  <c r="AK820" i="3"/>
  <c r="AK821" i="3"/>
  <c r="AK822" i="3"/>
  <c r="AK823" i="3"/>
  <c r="AK824" i="3"/>
  <c r="AK825" i="3"/>
  <c r="AK826" i="3"/>
  <c r="AK827" i="3"/>
  <c r="AK828" i="3"/>
  <c r="AK829" i="3"/>
  <c r="AK830" i="3"/>
  <c r="AK831" i="3"/>
  <c r="AK832" i="3"/>
  <c r="AK833" i="3"/>
  <c r="AK834" i="3"/>
  <c r="AK835" i="3"/>
  <c r="AK836" i="3"/>
  <c r="AK837" i="3"/>
  <c r="AK838" i="3"/>
  <c r="AK839" i="3"/>
  <c r="AK840" i="3"/>
  <c r="AK841" i="3"/>
  <c r="AK842" i="3"/>
  <c r="AK843" i="3"/>
  <c r="AK844" i="3"/>
  <c r="AK845" i="3"/>
  <c r="AK846" i="3"/>
  <c r="AK847" i="3"/>
  <c r="AK848" i="3"/>
  <c r="AK849" i="3"/>
  <c r="AK850" i="3"/>
  <c r="AK851" i="3"/>
  <c r="AK852" i="3"/>
  <c r="AK853" i="3"/>
  <c r="AK854" i="3"/>
  <c r="AK855" i="3"/>
  <c r="AK856" i="3"/>
  <c r="AK857" i="3"/>
  <c r="AK858" i="3"/>
  <c r="AK859" i="3"/>
  <c r="AK860" i="3"/>
  <c r="AK861" i="3"/>
  <c r="AK862" i="3"/>
  <c r="AK863" i="3"/>
  <c r="AK864" i="3"/>
  <c r="AK865" i="3"/>
  <c r="AK866" i="3"/>
  <c r="AK867" i="3"/>
  <c r="AK868" i="3"/>
  <c r="AK869" i="3"/>
  <c r="AK870" i="3"/>
  <c r="AK871" i="3"/>
  <c r="AK872" i="3"/>
  <c r="AK873" i="3"/>
  <c r="AK874" i="3"/>
  <c r="AK875" i="3"/>
  <c r="AK876" i="3"/>
  <c r="AK877" i="3"/>
  <c r="AK878" i="3"/>
  <c r="AK879" i="3"/>
  <c r="AK880" i="3"/>
  <c r="AK881" i="3"/>
  <c r="AK882" i="3"/>
  <c r="AK883" i="3"/>
  <c r="AK884" i="3"/>
  <c r="AK885" i="3"/>
  <c r="AK886" i="3"/>
  <c r="AK887" i="3"/>
  <c r="AK888" i="3"/>
  <c r="AK889" i="3"/>
  <c r="AK890" i="3"/>
  <c r="AK891" i="3"/>
  <c r="AK892" i="3"/>
  <c r="AK893" i="3"/>
  <c r="AK894" i="3"/>
  <c r="AK895" i="3"/>
  <c r="AK896" i="3"/>
  <c r="AK897" i="3"/>
  <c r="AK898" i="3"/>
  <c r="AK899" i="3"/>
  <c r="AK900" i="3"/>
  <c r="AK901" i="3"/>
  <c r="AK902" i="3"/>
  <c r="AK903" i="3"/>
  <c r="AK904" i="3"/>
  <c r="AK905" i="3"/>
  <c r="AK906" i="3"/>
  <c r="AK907" i="3"/>
  <c r="AK908" i="3"/>
  <c r="AK909" i="3"/>
  <c r="AK910" i="3"/>
  <c r="AK911" i="3"/>
  <c r="AK912" i="3"/>
  <c r="AK913" i="3"/>
  <c r="AK914" i="3"/>
  <c r="AK915" i="3"/>
  <c r="AK916" i="3"/>
  <c r="AK917" i="3"/>
  <c r="AK918" i="3"/>
  <c r="AK919" i="3"/>
  <c r="AK920" i="3"/>
  <c r="AK921" i="3"/>
  <c r="AK922" i="3"/>
  <c r="AK923" i="3"/>
  <c r="AK924" i="3"/>
  <c r="AK925" i="3"/>
  <c r="AK926" i="3"/>
  <c r="AK927" i="3"/>
  <c r="AK928" i="3"/>
  <c r="AK929" i="3"/>
  <c r="AK930" i="3"/>
  <c r="AK931" i="3"/>
  <c r="AK932" i="3"/>
  <c r="AK933" i="3"/>
  <c r="AK2" i="3"/>
  <c r="AJ3" i="3"/>
  <c r="AJ4" i="3"/>
  <c r="AJ5" i="3"/>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AJ89" i="3"/>
  <c r="AJ90" i="3"/>
  <c r="AJ91" i="3"/>
  <c r="AJ92" i="3"/>
  <c r="AJ93" i="3"/>
  <c r="AJ94" i="3"/>
  <c r="AJ95" i="3"/>
  <c r="AJ96" i="3"/>
  <c r="AJ97" i="3"/>
  <c r="AJ98" i="3"/>
  <c r="AJ99" i="3"/>
  <c r="AJ100" i="3"/>
  <c r="AJ101" i="3"/>
  <c r="AJ102" i="3"/>
  <c r="AJ103" i="3"/>
  <c r="AJ104" i="3"/>
  <c r="AJ105" i="3"/>
  <c r="AJ106" i="3"/>
  <c r="AJ107" i="3"/>
  <c r="AJ108" i="3"/>
  <c r="AJ109" i="3"/>
  <c r="AJ110" i="3"/>
  <c r="AJ111" i="3"/>
  <c r="AJ112" i="3"/>
  <c r="AJ113" i="3"/>
  <c r="AJ114" i="3"/>
  <c r="AJ115" i="3"/>
  <c r="AJ116" i="3"/>
  <c r="AJ117" i="3"/>
  <c r="AJ118" i="3"/>
  <c r="AJ119" i="3"/>
  <c r="AJ120" i="3"/>
  <c r="AJ121" i="3"/>
  <c r="AJ122" i="3"/>
  <c r="AJ123" i="3"/>
  <c r="AJ124" i="3"/>
  <c r="AJ125" i="3"/>
  <c r="AJ126" i="3"/>
  <c r="AJ127" i="3"/>
  <c r="AJ128" i="3"/>
  <c r="AJ129" i="3"/>
  <c r="AJ130" i="3"/>
  <c r="AJ131" i="3"/>
  <c r="AJ132" i="3"/>
  <c r="AJ133" i="3"/>
  <c r="AJ134" i="3"/>
  <c r="AJ135" i="3"/>
  <c r="AJ136" i="3"/>
  <c r="AJ137" i="3"/>
  <c r="AJ138" i="3"/>
  <c r="AJ139" i="3"/>
  <c r="AJ140" i="3"/>
  <c r="AJ141" i="3"/>
  <c r="AJ142" i="3"/>
  <c r="AJ143" i="3"/>
  <c r="AJ144" i="3"/>
  <c r="AJ145" i="3"/>
  <c r="AJ146" i="3"/>
  <c r="AJ147" i="3"/>
  <c r="AJ148" i="3"/>
  <c r="AJ149" i="3"/>
  <c r="AJ150" i="3"/>
  <c r="AJ151" i="3"/>
  <c r="AJ152" i="3"/>
  <c r="AJ153" i="3"/>
  <c r="AJ154" i="3"/>
  <c r="AJ155" i="3"/>
  <c r="AJ156" i="3"/>
  <c r="AJ157" i="3"/>
  <c r="AJ158" i="3"/>
  <c r="AJ159" i="3"/>
  <c r="AJ160" i="3"/>
  <c r="AJ161" i="3"/>
  <c r="AJ162" i="3"/>
  <c r="AJ163" i="3"/>
  <c r="AJ164" i="3"/>
  <c r="AJ165" i="3"/>
  <c r="AJ166" i="3"/>
  <c r="AJ167" i="3"/>
  <c r="AJ168" i="3"/>
  <c r="AJ169" i="3"/>
  <c r="AJ170" i="3"/>
  <c r="AJ171" i="3"/>
  <c r="AJ172" i="3"/>
  <c r="AJ173" i="3"/>
  <c r="AJ174" i="3"/>
  <c r="AJ175" i="3"/>
  <c r="AJ176" i="3"/>
  <c r="AJ177" i="3"/>
  <c r="AJ178" i="3"/>
  <c r="AJ179" i="3"/>
  <c r="AJ180" i="3"/>
  <c r="AJ181" i="3"/>
  <c r="AJ182" i="3"/>
  <c r="AJ183" i="3"/>
  <c r="AJ184" i="3"/>
  <c r="AJ185" i="3"/>
  <c r="AJ186" i="3"/>
  <c r="AJ187" i="3"/>
  <c r="AJ188" i="3"/>
  <c r="AJ189" i="3"/>
  <c r="AJ190" i="3"/>
  <c r="AJ191" i="3"/>
  <c r="AJ192" i="3"/>
  <c r="AJ193" i="3"/>
  <c r="AJ194" i="3"/>
  <c r="AJ195" i="3"/>
  <c r="AJ196" i="3"/>
  <c r="AJ197" i="3"/>
  <c r="AJ198" i="3"/>
  <c r="AJ199" i="3"/>
  <c r="AJ200" i="3"/>
  <c r="AJ201" i="3"/>
  <c r="AJ202" i="3"/>
  <c r="AJ203" i="3"/>
  <c r="AJ204" i="3"/>
  <c r="AJ205" i="3"/>
  <c r="AJ206" i="3"/>
  <c r="AJ207" i="3"/>
  <c r="AJ208" i="3"/>
  <c r="AJ209" i="3"/>
  <c r="AJ210" i="3"/>
  <c r="AJ211" i="3"/>
  <c r="AJ212" i="3"/>
  <c r="AJ213" i="3"/>
  <c r="AJ214" i="3"/>
  <c r="AJ215" i="3"/>
  <c r="AJ216" i="3"/>
  <c r="AJ217" i="3"/>
  <c r="AJ218" i="3"/>
  <c r="AJ219" i="3"/>
  <c r="AJ220" i="3"/>
  <c r="AJ221" i="3"/>
  <c r="AJ222" i="3"/>
  <c r="AJ223" i="3"/>
  <c r="AJ224" i="3"/>
  <c r="AJ225" i="3"/>
  <c r="AJ226" i="3"/>
  <c r="AJ227" i="3"/>
  <c r="AJ228" i="3"/>
  <c r="AJ229" i="3"/>
  <c r="AJ230" i="3"/>
  <c r="AJ231" i="3"/>
  <c r="AJ232" i="3"/>
  <c r="AJ233" i="3"/>
  <c r="AJ234" i="3"/>
  <c r="AJ235" i="3"/>
  <c r="AJ236" i="3"/>
  <c r="AJ237" i="3"/>
  <c r="AJ238" i="3"/>
  <c r="AJ239" i="3"/>
  <c r="AJ240" i="3"/>
  <c r="AJ241" i="3"/>
  <c r="AJ242" i="3"/>
  <c r="AJ243" i="3"/>
  <c r="AJ244" i="3"/>
  <c r="AJ245" i="3"/>
  <c r="AJ246" i="3"/>
  <c r="AJ247" i="3"/>
  <c r="AJ248" i="3"/>
  <c r="AJ249" i="3"/>
  <c r="AJ250" i="3"/>
  <c r="AJ251" i="3"/>
  <c r="AJ252" i="3"/>
  <c r="AJ253" i="3"/>
  <c r="AJ254" i="3"/>
  <c r="AJ255" i="3"/>
  <c r="AJ256" i="3"/>
  <c r="AJ257" i="3"/>
  <c r="AJ258" i="3"/>
  <c r="AJ259" i="3"/>
  <c r="AJ260" i="3"/>
  <c r="AJ261" i="3"/>
  <c r="AJ262" i="3"/>
  <c r="AJ263" i="3"/>
  <c r="AJ264" i="3"/>
  <c r="AJ265" i="3"/>
  <c r="AJ266" i="3"/>
  <c r="AJ267" i="3"/>
  <c r="AJ268" i="3"/>
  <c r="AJ269" i="3"/>
  <c r="AJ270" i="3"/>
  <c r="AJ271" i="3"/>
  <c r="AJ272" i="3"/>
  <c r="AJ273" i="3"/>
  <c r="AJ274" i="3"/>
  <c r="AJ275" i="3"/>
  <c r="AJ276" i="3"/>
  <c r="AJ277" i="3"/>
  <c r="AJ278" i="3"/>
  <c r="AJ279" i="3"/>
  <c r="AJ280" i="3"/>
  <c r="AJ281" i="3"/>
  <c r="AJ282" i="3"/>
  <c r="AJ283" i="3"/>
  <c r="AJ284" i="3"/>
  <c r="AJ285" i="3"/>
  <c r="AJ286" i="3"/>
  <c r="AJ287" i="3"/>
  <c r="AJ288" i="3"/>
  <c r="AJ289" i="3"/>
  <c r="AJ290" i="3"/>
  <c r="AJ291" i="3"/>
  <c r="AJ292" i="3"/>
  <c r="AJ293" i="3"/>
  <c r="AJ294" i="3"/>
  <c r="AJ295" i="3"/>
  <c r="AJ296" i="3"/>
  <c r="AJ297" i="3"/>
  <c r="AJ298" i="3"/>
  <c r="AJ299" i="3"/>
  <c r="AJ300" i="3"/>
  <c r="AJ301" i="3"/>
  <c r="AJ302" i="3"/>
  <c r="AJ303" i="3"/>
  <c r="AJ304" i="3"/>
  <c r="AJ305" i="3"/>
  <c r="AJ306" i="3"/>
  <c r="AJ307" i="3"/>
  <c r="AJ308" i="3"/>
  <c r="AJ309" i="3"/>
  <c r="AJ310" i="3"/>
  <c r="AJ311" i="3"/>
  <c r="AJ312" i="3"/>
  <c r="AJ313" i="3"/>
  <c r="AJ314" i="3"/>
  <c r="AJ315" i="3"/>
  <c r="AJ316" i="3"/>
  <c r="AJ317" i="3"/>
  <c r="AJ318" i="3"/>
  <c r="AJ319" i="3"/>
  <c r="AJ320" i="3"/>
  <c r="AJ321" i="3"/>
  <c r="AJ322" i="3"/>
  <c r="AJ323" i="3"/>
  <c r="AJ324" i="3"/>
  <c r="AJ325" i="3"/>
  <c r="AJ326" i="3"/>
  <c r="AJ327" i="3"/>
  <c r="AJ328" i="3"/>
  <c r="AJ329" i="3"/>
  <c r="AJ330" i="3"/>
  <c r="AJ331" i="3"/>
  <c r="AJ332" i="3"/>
  <c r="AJ333" i="3"/>
  <c r="AJ334" i="3"/>
  <c r="AJ335" i="3"/>
  <c r="AJ336" i="3"/>
  <c r="AJ337" i="3"/>
  <c r="AJ338" i="3"/>
  <c r="AJ339" i="3"/>
  <c r="AJ340" i="3"/>
  <c r="AJ341" i="3"/>
  <c r="AJ342" i="3"/>
  <c r="AJ343" i="3"/>
  <c r="AJ344" i="3"/>
  <c r="AJ345" i="3"/>
  <c r="AJ346" i="3"/>
  <c r="AJ347" i="3"/>
  <c r="AJ348" i="3"/>
  <c r="AJ349" i="3"/>
  <c r="AJ350" i="3"/>
  <c r="AJ351" i="3"/>
  <c r="AJ352" i="3"/>
  <c r="AJ353" i="3"/>
  <c r="AJ354" i="3"/>
  <c r="AJ355" i="3"/>
  <c r="AJ356" i="3"/>
  <c r="AJ357" i="3"/>
  <c r="AJ358" i="3"/>
  <c r="AJ359" i="3"/>
  <c r="AJ360" i="3"/>
  <c r="AJ361" i="3"/>
  <c r="AJ362" i="3"/>
  <c r="AJ363" i="3"/>
  <c r="AJ364" i="3"/>
  <c r="AJ365" i="3"/>
  <c r="AJ366" i="3"/>
  <c r="AJ367" i="3"/>
  <c r="AJ368" i="3"/>
  <c r="AJ369" i="3"/>
  <c r="AJ370" i="3"/>
  <c r="AJ371" i="3"/>
  <c r="AJ372" i="3"/>
  <c r="AJ373" i="3"/>
  <c r="AJ374" i="3"/>
  <c r="AJ375" i="3"/>
  <c r="AJ376" i="3"/>
  <c r="AJ377" i="3"/>
  <c r="AJ378" i="3"/>
  <c r="AJ379" i="3"/>
  <c r="AJ380" i="3"/>
  <c r="AJ381" i="3"/>
  <c r="AJ382" i="3"/>
  <c r="AJ383" i="3"/>
  <c r="AJ384" i="3"/>
  <c r="AJ385" i="3"/>
  <c r="AJ386" i="3"/>
  <c r="AJ387" i="3"/>
  <c r="AJ388" i="3"/>
  <c r="AJ389" i="3"/>
  <c r="AJ390" i="3"/>
  <c r="AJ391" i="3"/>
  <c r="AJ392" i="3"/>
  <c r="AJ393" i="3"/>
  <c r="AJ394" i="3"/>
  <c r="AJ395" i="3"/>
  <c r="AJ396" i="3"/>
  <c r="AJ397" i="3"/>
  <c r="AJ398" i="3"/>
  <c r="AJ399" i="3"/>
  <c r="AJ400" i="3"/>
  <c r="AJ401" i="3"/>
  <c r="AJ402" i="3"/>
  <c r="AJ403" i="3"/>
  <c r="AJ404" i="3"/>
  <c r="AJ405" i="3"/>
  <c r="AJ406" i="3"/>
  <c r="AJ407" i="3"/>
  <c r="AJ408" i="3"/>
  <c r="AJ409" i="3"/>
  <c r="AJ410" i="3"/>
  <c r="AJ411" i="3"/>
  <c r="AJ412" i="3"/>
  <c r="AJ413" i="3"/>
  <c r="AJ414" i="3"/>
  <c r="AJ415" i="3"/>
  <c r="AJ416" i="3"/>
  <c r="AJ417" i="3"/>
  <c r="AJ418" i="3"/>
  <c r="AJ419" i="3"/>
  <c r="AJ420" i="3"/>
  <c r="AJ421" i="3"/>
  <c r="AJ422" i="3"/>
  <c r="AJ423" i="3"/>
  <c r="AJ424" i="3"/>
  <c r="AJ425" i="3"/>
  <c r="AJ426" i="3"/>
  <c r="AJ427" i="3"/>
  <c r="AJ428" i="3"/>
  <c r="AJ429" i="3"/>
  <c r="AJ430" i="3"/>
  <c r="AJ431" i="3"/>
  <c r="AJ432" i="3"/>
  <c r="AJ433" i="3"/>
  <c r="AJ434" i="3"/>
  <c r="AJ435" i="3"/>
  <c r="AJ436" i="3"/>
  <c r="AJ437" i="3"/>
  <c r="AJ438" i="3"/>
  <c r="AJ439" i="3"/>
  <c r="AJ440" i="3"/>
  <c r="AJ441" i="3"/>
  <c r="AJ442" i="3"/>
  <c r="AJ443" i="3"/>
  <c r="AJ444" i="3"/>
  <c r="AJ445" i="3"/>
  <c r="AJ446" i="3"/>
  <c r="AJ447" i="3"/>
  <c r="AJ448" i="3"/>
  <c r="AJ449" i="3"/>
  <c r="AJ450" i="3"/>
  <c r="AJ451" i="3"/>
  <c r="AJ452" i="3"/>
  <c r="AJ453" i="3"/>
  <c r="AJ454" i="3"/>
  <c r="AJ455" i="3"/>
  <c r="AJ456" i="3"/>
  <c r="AJ457" i="3"/>
  <c r="AJ458" i="3"/>
  <c r="AJ459" i="3"/>
  <c r="AJ460" i="3"/>
  <c r="AJ461" i="3"/>
  <c r="AJ462" i="3"/>
  <c r="AJ463" i="3"/>
  <c r="AJ464" i="3"/>
  <c r="AJ465" i="3"/>
  <c r="AJ466" i="3"/>
  <c r="AJ467" i="3"/>
  <c r="AJ468" i="3"/>
  <c r="AJ469" i="3"/>
  <c r="AJ470" i="3"/>
  <c r="AJ471" i="3"/>
  <c r="AJ472" i="3"/>
  <c r="AJ473" i="3"/>
  <c r="AJ474" i="3"/>
  <c r="AJ475" i="3"/>
  <c r="AJ476" i="3"/>
  <c r="AJ477" i="3"/>
  <c r="AJ478" i="3"/>
  <c r="AJ479" i="3"/>
  <c r="AJ480" i="3"/>
  <c r="AJ481" i="3"/>
  <c r="AJ482" i="3"/>
  <c r="AJ483" i="3"/>
  <c r="AJ484" i="3"/>
  <c r="AJ485" i="3"/>
  <c r="AJ486" i="3"/>
  <c r="AJ487" i="3"/>
  <c r="AJ488" i="3"/>
  <c r="AJ489" i="3"/>
  <c r="AJ490" i="3"/>
  <c r="AJ491" i="3"/>
  <c r="AJ492" i="3"/>
  <c r="AJ493" i="3"/>
  <c r="AJ494" i="3"/>
  <c r="AJ495" i="3"/>
  <c r="AJ496" i="3"/>
  <c r="AJ497" i="3"/>
  <c r="AJ498" i="3"/>
  <c r="AJ499" i="3"/>
  <c r="AJ500" i="3"/>
  <c r="AJ501" i="3"/>
  <c r="AJ502" i="3"/>
  <c r="AJ503" i="3"/>
  <c r="AJ504" i="3"/>
  <c r="AJ505" i="3"/>
  <c r="AJ506" i="3"/>
  <c r="AJ507" i="3"/>
  <c r="AJ508" i="3"/>
  <c r="AJ509" i="3"/>
  <c r="AJ510" i="3"/>
  <c r="AJ511" i="3"/>
  <c r="AJ512" i="3"/>
  <c r="AJ513" i="3"/>
  <c r="AJ514" i="3"/>
  <c r="AJ515" i="3"/>
  <c r="AJ516" i="3"/>
  <c r="AJ517" i="3"/>
  <c r="AJ518" i="3"/>
  <c r="AJ519" i="3"/>
  <c r="AJ520" i="3"/>
  <c r="AJ521" i="3"/>
  <c r="AJ522" i="3"/>
  <c r="AJ523" i="3"/>
  <c r="AJ524" i="3"/>
  <c r="AJ525" i="3"/>
  <c r="AJ526" i="3"/>
  <c r="AJ527" i="3"/>
  <c r="AJ528" i="3"/>
  <c r="AJ529" i="3"/>
  <c r="AJ530" i="3"/>
  <c r="AJ531" i="3"/>
  <c r="AJ532" i="3"/>
  <c r="AJ533" i="3"/>
  <c r="AJ534" i="3"/>
  <c r="AJ535" i="3"/>
  <c r="AJ536" i="3"/>
  <c r="AJ537" i="3"/>
  <c r="AJ538" i="3"/>
  <c r="AJ539" i="3"/>
  <c r="AJ540" i="3"/>
  <c r="AJ541" i="3"/>
  <c r="AJ542" i="3"/>
  <c r="AJ543" i="3"/>
  <c r="AJ544" i="3"/>
  <c r="AJ545" i="3"/>
  <c r="AJ546" i="3"/>
  <c r="AJ547" i="3"/>
  <c r="AJ548" i="3"/>
  <c r="AJ549" i="3"/>
  <c r="AJ550" i="3"/>
  <c r="AJ551" i="3"/>
  <c r="AJ552" i="3"/>
  <c r="AJ553" i="3"/>
  <c r="AJ554" i="3"/>
  <c r="AJ555" i="3"/>
  <c r="AJ556" i="3"/>
  <c r="AJ557" i="3"/>
  <c r="AJ558" i="3"/>
  <c r="AJ559" i="3"/>
  <c r="AJ560" i="3"/>
  <c r="AJ561" i="3"/>
  <c r="AJ562" i="3"/>
  <c r="AJ563" i="3"/>
  <c r="AJ564" i="3"/>
  <c r="AJ565" i="3"/>
  <c r="AJ566" i="3"/>
  <c r="AJ567" i="3"/>
  <c r="AJ568" i="3"/>
  <c r="AJ569" i="3"/>
  <c r="AJ570" i="3"/>
  <c r="AJ571" i="3"/>
  <c r="AJ572" i="3"/>
  <c r="AJ573" i="3"/>
  <c r="AJ574" i="3"/>
  <c r="AJ575" i="3"/>
  <c r="AJ576" i="3"/>
  <c r="AJ577" i="3"/>
  <c r="AJ578" i="3"/>
  <c r="AJ579" i="3"/>
  <c r="AJ580" i="3"/>
  <c r="AJ581" i="3"/>
  <c r="AJ582" i="3"/>
  <c r="AJ583" i="3"/>
  <c r="AJ584" i="3"/>
  <c r="AJ585" i="3"/>
  <c r="AJ586" i="3"/>
  <c r="AJ587" i="3"/>
  <c r="AJ588" i="3"/>
  <c r="AJ589" i="3"/>
  <c r="AJ590" i="3"/>
  <c r="AJ591" i="3"/>
  <c r="AJ592" i="3"/>
  <c r="AJ593" i="3"/>
  <c r="AJ594" i="3"/>
  <c r="AJ595" i="3"/>
  <c r="AJ596" i="3"/>
  <c r="AJ597" i="3"/>
  <c r="AJ598" i="3"/>
  <c r="AJ599" i="3"/>
  <c r="AJ600" i="3"/>
  <c r="AJ601" i="3"/>
  <c r="AJ602" i="3"/>
  <c r="AJ603" i="3"/>
  <c r="AJ604" i="3"/>
  <c r="AJ605" i="3"/>
  <c r="AJ606" i="3"/>
  <c r="AJ607" i="3"/>
  <c r="AJ608" i="3"/>
  <c r="AJ609" i="3"/>
  <c r="AJ610" i="3"/>
  <c r="AJ611" i="3"/>
  <c r="AJ612" i="3"/>
  <c r="AJ613" i="3"/>
  <c r="AJ614" i="3"/>
  <c r="AJ615" i="3"/>
  <c r="AJ616" i="3"/>
  <c r="AJ617" i="3"/>
  <c r="AJ618" i="3"/>
  <c r="AJ619" i="3"/>
  <c r="AJ620" i="3"/>
  <c r="AJ621" i="3"/>
  <c r="AJ622" i="3"/>
  <c r="AJ623" i="3"/>
  <c r="AJ624" i="3"/>
  <c r="AJ625" i="3"/>
  <c r="AJ626" i="3"/>
  <c r="AJ627" i="3"/>
  <c r="AJ628" i="3"/>
  <c r="AJ629" i="3"/>
  <c r="AJ630" i="3"/>
  <c r="AJ631" i="3"/>
  <c r="AJ632" i="3"/>
  <c r="AJ633" i="3"/>
  <c r="AJ634" i="3"/>
  <c r="AJ635" i="3"/>
  <c r="AJ636" i="3"/>
  <c r="AJ637" i="3"/>
  <c r="AJ638" i="3"/>
  <c r="AJ639" i="3"/>
  <c r="AJ640" i="3"/>
  <c r="AJ641" i="3"/>
  <c r="AJ642" i="3"/>
  <c r="AJ643" i="3"/>
  <c r="AJ644" i="3"/>
  <c r="AJ645" i="3"/>
  <c r="AJ646" i="3"/>
  <c r="AJ647" i="3"/>
  <c r="AJ648" i="3"/>
  <c r="AJ649" i="3"/>
  <c r="AJ650" i="3"/>
  <c r="AJ651" i="3"/>
  <c r="AJ652" i="3"/>
  <c r="AJ653" i="3"/>
  <c r="AJ654" i="3"/>
  <c r="AJ655" i="3"/>
  <c r="AJ656" i="3"/>
  <c r="AJ657" i="3"/>
  <c r="AJ658" i="3"/>
  <c r="AJ659" i="3"/>
  <c r="AJ660" i="3"/>
  <c r="AJ661" i="3"/>
  <c r="AJ662" i="3"/>
  <c r="AJ663" i="3"/>
  <c r="AJ664" i="3"/>
  <c r="AJ665" i="3"/>
  <c r="AJ666" i="3"/>
  <c r="AJ667" i="3"/>
  <c r="AJ668" i="3"/>
  <c r="AJ669" i="3"/>
  <c r="AJ670" i="3"/>
  <c r="AJ671" i="3"/>
  <c r="AJ672" i="3"/>
  <c r="AJ673" i="3"/>
  <c r="AJ674" i="3"/>
  <c r="AJ675" i="3"/>
  <c r="AJ676" i="3"/>
  <c r="AJ677" i="3"/>
  <c r="AJ678" i="3"/>
  <c r="AJ679" i="3"/>
  <c r="AJ680" i="3"/>
  <c r="AJ681" i="3"/>
  <c r="AJ682" i="3"/>
  <c r="AJ683" i="3"/>
  <c r="AJ684" i="3"/>
  <c r="AJ685" i="3"/>
  <c r="AJ686" i="3"/>
  <c r="AJ687" i="3"/>
  <c r="AJ688" i="3"/>
  <c r="AJ689" i="3"/>
  <c r="AJ690" i="3"/>
  <c r="AJ691" i="3"/>
  <c r="AJ692" i="3"/>
  <c r="AJ693" i="3"/>
  <c r="AJ694" i="3"/>
  <c r="AJ695" i="3"/>
  <c r="AJ696" i="3"/>
  <c r="AJ697" i="3"/>
  <c r="AJ698" i="3"/>
  <c r="AJ699" i="3"/>
  <c r="AJ700" i="3"/>
  <c r="AJ701" i="3"/>
  <c r="AJ702" i="3"/>
  <c r="AJ703" i="3"/>
  <c r="AJ704" i="3"/>
  <c r="AJ705" i="3"/>
  <c r="AJ706" i="3"/>
  <c r="AJ707" i="3"/>
  <c r="AJ708" i="3"/>
  <c r="AJ709" i="3"/>
  <c r="AJ710" i="3"/>
  <c r="AJ711" i="3"/>
  <c r="AJ712" i="3"/>
  <c r="AJ713" i="3"/>
  <c r="AJ714" i="3"/>
  <c r="AJ715" i="3"/>
  <c r="AJ716" i="3"/>
  <c r="AJ717" i="3"/>
  <c r="AJ718" i="3"/>
  <c r="AJ719" i="3"/>
  <c r="AJ720" i="3"/>
  <c r="AJ721" i="3"/>
  <c r="AJ722" i="3"/>
  <c r="AJ723" i="3"/>
  <c r="AJ724" i="3"/>
  <c r="AJ725" i="3"/>
  <c r="AJ726" i="3"/>
  <c r="AJ727" i="3"/>
  <c r="AJ728" i="3"/>
  <c r="AJ729" i="3"/>
  <c r="AJ730" i="3"/>
  <c r="AJ731" i="3"/>
  <c r="AJ732" i="3"/>
  <c r="AJ733" i="3"/>
  <c r="AJ734" i="3"/>
  <c r="AJ735" i="3"/>
  <c r="AJ736" i="3"/>
  <c r="AJ737" i="3"/>
  <c r="AJ738" i="3"/>
  <c r="AJ739" i="3"/>
  <c r="AJ740" i="3"/>
  <c r="AJ741" i="3"/>
  <c r="AJ742" i="3"/>
  <c r="AJ743" i="3"/>
  <c r="AJ744" i="3"/>
  <c r="AJ745" i="3"/>
  <c r="AJ746" i="3"/>
  <c r="AJ747" i="3"/>
  <c r="AJ748" i="3"/>
  <c r="AJ749" i="3"/>
  <c r="AJ750" i="3"/>
  <c r="AJ751" i="3"/>
  <c r="AJ752" i="3"/>
  <c r="AJ753" i="3"/>
  <c r="AJ754" i="3"/>
  <c r="AJ755" i="3"/>
  <c r="AJ756" i="3"/>
  <c r="AJ757" i="3"/>
  <c r="AJ758" i="3"/>
  <c r="AJ759" i="3"/>
  <c r="AJ760" i="3"/>
  <c r="AJ761" i="3"/>
  <c r="AJ762" i="3"/>
  <c r="AJ763" i="3"/>
  <c r="AJ764" i="3"/>
  <c r="AJ765" i="3"/>
  <c r="AJ766" i="3"/>
  <c r="AJ767" i="3"/>
  <c r="AJ768" i="3"/>
  <c r="AJ769" i="3"/>
  <c r="AJ770" i="3"/>
  <c r="AJ771" i="3"/>
  <c r="AJ772" i="3"/>
  <c r="AJ773" i="3"/>
  <c r="AJ774" i="3"/>
  <c r="AJ775" i="3"/>
  <c r="AJ776" i="3"/>
  <c r="AJ777" i="3"/>
  <c r="AJ778" i="3"/>
  <c r="AJ779" i="3"/>
  <c r="AJ780" i="3"/>
  <c r="AJ781" i="3"/>
  <c r="AJ782" i="3"/>
  <c r="AJ783" i="3"/>
  <c r="AJ784" i="3"/>
  <c r="AJ785" i="3"/>
  <c r="AJ786" i="3"/>
  <c r="AJ787" i="3"/>
  <c r="AJ788" i="3"/>
  <c r="AJ789" i="3"/>
  <c r="AJ790" i="3"/>
  <c r="AJ791" i="3"/>
  <c r="AJ792" i="3"/>
  <c r="AJ793" i="3"/>
  <c r="AJ794" i="3"/>
  <c r="AJ795" i="3"/>
  <c r="AJ796" i="3"/>
  <c r="AJ797" i="3"/>
  <c r="AJ798" i="3"/>
  <c r="AJ799" i="3"/>
  <c r="AJ800" i="3"/>
  <c r="AJ801" i="3"/>
  <c r="AJ802" i="3"/>
  <c r="AJ803" i="3"/>
  <c r="AJ804" i="3"/>
  <c r="AJ805" i="3"/>
  <c r="AJ806" i="3"/>
  <c r="AJ807" i="3"/>
  <c r="AJ808" i="3"/>
  <c r="AJ809" i="3"/>
  <c r="AJ810" i="3"/>
  <c r="AJ811" i="3"/>
  <c r="AJ812" i="3"/>
  <c r="AJ813" i="3"/>
  <c r="AJ814" i="3"/>
  <c r="AJ815" i="3"/>
  <c r="AJ816" i="3"/>
  <c r="AJ817" i="3"/>
  <c r="AJ818" i="3"/>
  <c r="AJ819" i="3"/>
  <c r="AJ820" i="3"/>
  <c r="AJ821" i="3"/>
  <c r="AJ822" i="3"/>
  <c r="AJ823" i="3"/>
  <c r="AJ824" i="3"/>
  <c r="AJ825" i="3"/>
  <c r="AJ826" i="3"/>
  <c r="AJ827" i="3"/>
  <c r="AJ828" i="3"/>
  <c r="AJ829" i="3"/>
  <c r="AJ830" i="3"/>
  <c r="AJ831" i="3"/>
  <c r="AJ832" i="3"/>
  <c r="AJ833" i="3"/>
  <c r="AJ834" i="3"/>
  <c r="AJ835" i="3"/>
  <c r="AJ836" i="3"/>
  <c r="AJ837" i="3"/>
  <c r="AJ838" i="3"/>
  <c r="AJ839" i="3"/>
  <c r="AJ840" i="3"/>
  <c r="AJ841" i="3"/>
  <c r="AJ842" i="3"/>
  <c r="AJ843" i="3"/>
  <c r="AJ844" i="3"/>
  <c r="AJ845" i="3"/>
  <c r="AJ846" i="3"/>
  <c r="AJ847" i="3"/>
  <c r="AJ848" i="3"/>
  <c r="AJ849" i="3"/>
  <c r="AJ850" i="3"/>
  <c r="AJ851" i="3"/>
  <c r="AJ852" i="3"/>
  <c r="AJ853" i="3"/>
  <c r="AJ854" i="3"/>
  <c r="AJ855" i="3"/>
  <c r="AJ856" i="3"/>
  <c r="AJ857" i="3"/>
  <c r="AJ858" i="3"/>
  <c r="AJ859" i="3"/>
  <c r="AJ860" i="3"/>
  <c r="AJ861" i="3"/>
  <c r="AJ862" i="3"/>
  <c r="AJ863" i="3"/>
  <c r="AJ864" i="3"/>
  <c r="AJ865" i="3"/>
  <c r="AJ866" i="3"/>
  <c r="AJ867" i="3"/>
  <c r="AJ868" i="3"/>
  <c r="AJ869" i="3"/>
  <c r="AJ870" i="3"/>
  <c r="AJ871" i="3"/>
  <c r="AJ872" i="3"/>
  <c r="AJ873" i="3"/>
  <c r="AJ874" i="3"/>
  <c r="AJ875" i="3"/>
  <c r="AJ876" i="3"/>
  <c r="AJ877" i="3"/>
  <c r="AJ878" i="3"/>
  <c r="AJ879" i="3"/>
  <c r="AJ880" i="3"/>
  <c r="AJ881" i="3"/>
  <c r="AJ882" i="3"/>
  <c r="AJ883" i="3"/>
  <c r="AJ884" i="3"/>
  <c r="AJ885" i="3"/>
  <c r="AJ886" i="3"/>
  <c r="AJ887" i="3"/>
  <c r="AJ888" i="3"/>
  <c r="AJ889" i="3"/>
  <c r="AJ890" i="3"/>
  <c r="AJ891" i="3"/>
  <c r="AJ892" i="3"/>
  <c r="AJ893" i="3"/>
  <c r="AJ894" i="3"/>
  <c r="AJ895" i="3"/>
  <c r="AJ896" i="3"/>
  <c r="AJ897" i="3"/>
  <c r="AJ898" i="3"/>
  <c r="AJ899" i="3"/>
  <c r="AJ900" i="3"/>
  <c r="AJ901" i="3"/>
  <c r="AJ902" i="3"/>
  <c r="AJ903" i="3"/>
  <c r="AJ904" i="3"/>
  <c r="AJ905" i="3"/>
  <c r="AJ906" i="3"/>
  <c r="AJ907" i="3"/>
  <c r="AJ908" i="3"/>
  <c r="AJ909" i="3"/>
  <c r="AJ910" i="3"/>
  <c r="AJ911" i="3"/>
  <c r="AJ912" i="3"/>
  <c r="AJ913" i="3"/>
  <c r="AJ914" i="3"/>
  <c r="AJ915" i="3"/>
  <c r="AJ916" i="3"/>
  <c r="AJ917" i="3"/>
  <c r="AJ918" i="3"/>
  <c r="AJ919" i="3"/>
  <c r="AJ920" i="3"/>
  <c r="AJ921" i="3"/>
  <c r="AJ922" i="3"/>
  <c r="AJ923" i="3"/>
  <c r="AJ924" i="3"/>
  <c r="AJ925" i="3"/>
  <c r="AJ926" i="3"/>
  <c r="AJ927" i="3"/>
  <c r="AJ928" i="3"/>
  <c r="AJ929" i="3"/>
  <c r="AJ930" i="3"/>
  <c r="AJ931" i="3"/>
  <c r="AJ932" i="3"/>
  <c r="AJ933" i="3"/>
  <c r="AJ2" i="3"/>
  <c r="AI933" i="3"/>
  <c r="AF933" i="3"/>
  <c r="AE933" i="3"/>
  <c r="AG933" i="3" s="1"/>
  <c r="AH933" i="3" s="1"/>
  <c r="AC933" i="3"/>
  <c r="AB933" i="3"/>
  <c r="AA933" i="3"/>
  <c r="Z933" i="3"/>
  <c r="Y933" i="3"/>
  <c r="X933" i="3"/>
  <c r="D933" i="3"/>
  <c r="AE932" i="3"/>
  <c r="AF932" i="3" s="1"/>
  <c r="AC932" i="3"/>
  <c r="AB932" i="3"/>
  <c r="AA932" i="3"/>
  <c r="Z932" i="3"/>
  <c r="Y932" i="3"/>
  <c r="X932" i="3"/>
  <c r="D932" i="3"/>
  <c r="AH931" i="3"/>
  <c r="AG931" i="3"/>
  <c r="AI931" i="3" s="1"/>
  <c r="AF931" i="3"/>
  <c r="AE931" i="3"/>
  <c r="AC931" i="3"/>
  <c r="AB931" i="3"/>
  <c r="AA931" i="3"/>
  <c r="Z931" i="3"/>
  <c r="Y931" i="3"/>
  <c r="X931" i="3"/>
  <c r="D931" i="3"/>
  <c r="AH930" i="3"/>
  <c r="AG930" i="3"/>
  <c r="AI930" i="3" s="1"/>
  <c r="AE930" i="3"/>
  <c r="AF930" i="3" s="1"/>
  <c r="AC930" i="3"/>
  <c r="AB930" i="3"/>
  <c r="AA930" i="3"/>
  <c r="Z930" i="3"/>
  <c r="Y930" i="3"/>
  <c r="X930" i="3"/>
  <c r="D930" i="3"/>
  <c r="AG929" i="3"/>
  <c r="AI929" i="3" s="1"/>
  <c r="AF929" i="3"/>
  <c r="AE929" i="3"/>
  <c r="AC929" i="3"/>
  <c r="AB929" i="3"/>
  <c r="AA929" i="3"/>
  <c r="Z929" i="3"/>
  <c r="Y929" i="3"/>
  <c r="X929" i="3"/>
  <c r="D929" i="3"/>
  <c r="AE928" i="3"/>
  <c r="AF928" i="3" s="1"/>
  <c r="AC928" i="3"/>
  <c r="AB928" i="3"/>
  <c r="AA928" i="3"/>
  <c r="Z928" i="3"/>
  <c r="Y928" i="3"/>
  <c r="X928" i="3"/>
  <c r="D928" i="3"/>
  <c r="AI927" i="3"/>
  <c r="AH927" i="3"/>
  <c r="AG927" i="3"/>
  <c r="AF927" i="3"/>
  <c r="AE927" i="3"/>
  <c r="AC927" i="3"/>
  <c r="AB927" i="3"/>
  <c r="AA927" i="3"/>
  <c r="Z927" i="3"/>
  <c r="Y927" i="3"/>
  <c r="X927" i="3"/>
  <c r="D927" i="3"/>
  <c r="AH926" i="3"/>
  <c r="AG926" i="3"/>
  <c r="AI926" i="3" s="1"/>
  <c r="AE926" i="3"/>
  <c r="AF926" i="3" s="1"/>
  <c r="AC926" i="3"/>
  <c r="AB926" i="3"/>
  <c r="AA926" i="3"/>
  <c r="Z926" i="3"/>
  <c r="Y926" i="3"/>
  <c r="X926" i="3"/>
  <c r="D926" i="3"/>
  <c r="AG925" i="3"/>
  <c r="AI925" i="3" s="1"/>
  <c r="AF925" i="3"/>
  <c r="AE925" i="3"/>
  <c r="AC925" i="3"/>
  <c r="AB925" i="3"/>
  <c r="AA925" i="3"/>
  <c r="Z925" i="3"/>
  <c r="Y925" i="3"/>
  <c r="X925" i="3"/>
  <c r="D925" i="3"/>
  <c r="AE924" i="3"/>
  <c r="AF924" i="3" s="1"/>
  <c r="AC924" i="3"/>
  <c r="AB924" i="3"/>
  <c r="AA924" i="3"/>
  <c r="Z924" i="3"/>
  <c r="Y924" i="3"/>
  <c r="X924" i="3"/>
  <c r="D924" i="3"/>
  <c r="AI923" i="3"/>
  <c r="AH923" i="3"/>
  <c r="AG923" i="3"/>
  <c r="AF923" i="3"/>
  <c r="AE923" i="3"/>
  <c r="AC923" i="3"/>
  <c r="AB923" i="3"/>
  <c r="AA923" i="3"/>
  <c r="Z923" i="3"/>
  <c r="Y923" i="3"/>
  <c r="X923" i="3"/>
  <c r="D923" i="3"/>
  <c r="AH922" i="3"/>
  <c r="AG922" i="3"/>
  <c r="AI922" i="3" s="1"/>
  <c r="AE922" i="3"/>
  <c r="AF922" i="3" s="1"/>
  <c r="AC922" i="3"/>
  <c r="AB922" i="3"/>
  <c r="AA922" i="3"/>
  <c r="Z922" i="3"/>
  <c r="Y922" i="3"/>
  <c r="X922" i="3"/>
  <c r="D922" i="3"/>
  <c r="AG921" i="3"/>
  <c r="AI921" i="3" s="1"/>
  <c r="AF921" i="3"/>
  <c r="AE921" i="3"/>
  <c r="AC921" i="3"/>
  <c r="AB921" i="3"/>
  <c r="AA921" i="3"/>
  <c r="Z921" i="3"/>
  <c r="Y921" i="3"/>
  <c r="X921" i="3"/>
  <c r="D921" i="3"/>
  <c r="AE920" i="3"/>
  <c r="AF920" i="3" s="1"/>
  <c r="AC920" i="3"/>
  <c r="AB920" i="3"/>
  <c r="AA920" i="3"/>
  <c r="Z920" i="3"/>
  <c r="Y920" i="3"/>
  <c r="X920" i="3"/>
  <c r="D920" i="3"/>
  <c r="AI919" i="3"/>
  <c r="AH919" i="3"/>
  <c r="AG919" i="3"/>
  <c r="AF919" i="3"/>
  <c r="AE919" i="3"/>
  <c r="AC919" i="3"/>
  <c r="AB919" i="3"/>
  <c r="AA919" i="3"/>
  <c r="Z919" i="3"/>
  <c r="Y919" i="3"/>
  <c r="X919" i="3"/>
  <c r="D919" i="3"/>
  <c r="AH918" i="3"/>
  <c r="AG918" i="3"/>
  <c r="AI918" i="3" s="1"/>
  <c r="AE918" i="3"/>
  <c r="AF918" i="3" s="1"/>
  <c r="AC918" i="3"/>
  <c r="AB918" i="3"/>
  <c r="AA918" i="3"/>
  <c r="Z918" i="3"/>
  <c r="Y918" i="3"/>
  <c r="X918" i="3"/>
  <c r="D918" i="3"/>
  <c r="AG917" i="3"/>
  <c r="AI917" i="3" s="1"/>
  <c r="AF917" i="3"/>
  <c r="AE917" i="3"/>
  <c r="AC917" i="3"/>
  <c r="AB917" i="3"/>
  <c r="AA917" i="3"/>
  <c r="Z917" i="3"/>
  <c r="Y917" i="3"/>
  <c r="X917" i="3"/>
  <c r="D917" i="3"/>
  <c r="AE916" i="3"/>
  <c r="AF916" i="3" s="1"/>
  <c r="AC916" i="3"/>
  <c r="AB916" i="3"/>
  <c r="AA916" i="3"/>
  <c r="Z916" i="3"/>
  <c r="Y916" i="3"/>
  <c r="X916" i="3"/>
  <c r="D916" i="3"/>
  <c r="AI915" i="3"/>
  <c r="AH915" i="3"/>
  <c r="AG915" i="3"/>
  <c r="AF915" i="3"/>
  <c r="AE915" i="3"/>
  <c r="AC915" i="3"/>
  <c r="AB915" i="3"/>
  <c r="AA915" i="3"/>
  <c r="Z915" i="3"/>
  <c r="Y915" i="3"/>
  <c r="X915" i="3"/>
  <c r="D915" i="3"/>
  <c r="AH914" i="3"/>
  <c r="AG914" i="3"/>
  <c r="AI914" i="3" s="1"/>
  <c r="AE914" i="3"/>
  <c r="AF914" i="3" s="1"/>
  <c r="AC914" i="3"/>
  <c r="AB914" i="3"/>
  <c r="AA914" i="3"/>
  <c r="Z914" i="3"/>
  <c r="Y914" i="3"/>
  <c r="X914" i="3"/>
  <c r="D914" i="3"/>
  <c r="AG913" i="3"/>
  <c r="AI913" i="3" s="1"/>
  <c r="AF913" i="3"/>
  <c r="AE913" i="3"/>
  <c r="AC913" i="3"/>
  <c r="AB913" i="3"/>
  <c r="AA913" i="3"/>
  <c r="Z913" i="3"/>
  <c r="Y913" i="3"/>
  <c r="X913" i="3"/>
  <c r="D913" i="3"/>
  <c r="AE912" i="3"/>
  <c r="AF912" i="3" s="1"/>
  <c r="AC912" i="3"/>
  <c r="AB912" i="3"/>
  <c r="AA912" i="3"/>
  <c r="Z912" i="3"/>
  <c r="Y912" i="3"/>
  <c r="X912" i="3"/>
  <c r="D912" i="3"/>
  <c r="AI911" i="3"/>
  <c r="AH911" i="3"/>
  <c r="AG911" i="3"/>
  <c r="AF911" i="3"/>
  <c r="AE911" i="3"/>
  <c r="AC911" i="3"/>
  <c r="AB911" i="3"/>
  <c r="AA911" i="3"/>
  <c r="Z911" i="3"/>
  <c r="Y911" i="3"/>
  <c r="X911" i="3"/>
  <c r="D911" i="3"/>
  <c r="AH910" i="3"/>
  <c r="AG910" i="3"/>
  <c r="AI910" i="3" s="1"/>
  <c r="AE910" i="3"/>
  <c r="AF910" i="3" s="1"/>
  <c r="AC910" i="3"/>
  <c r="AB910" i="3"/>
  <c r="AA910" i="3"/>
  <c r="Z910" i="3"/>
  <c r="Y910" i="3"/>
  <c r="X910" i="3"/>
  <c r="D910" i="3"/>
  <c r="AG909" i="3"/>
  <c r="AI909" i="3" s="1"/>
  <c r="AF909" i="3"/>
  <c r="AE909" i="3"/>
  <c r="AC909" i="3"/>
  <c r="AB909" i="3"/>
  <c r="AA909" i="3"/>
  <c r="Z909" i="3"/>
  <c r="Y909" i="3"/>
  <c r="X909" i="3"/>
  <c r="D909" i="3"/>
  <c r="AE908" i="3"/>
  <c r="AF908" i="3" s="1"/>
  <c r="AC908" i="3"/>
  <c r="AB908" i="3"/>
  <c r="AA908" i="3"/>
  <c r="Z908" i="3"/>
  <c r="Y908" i="3"/>
  <c r="X908" i="3"/>
  <c r="D908" i="3"/>
  <c r="AI907" i="3"/>
  <c r="AH907" i="3"/>
  <c r="AG907" i="3"/>
  <c r="AF907" i="3"/>
  <c r="AE907" i="3"/>
  <c r="AC907" i="3"/>
  <c r="AB907" i="3"/>
  <c r="AA907" i="3"/>
  <c r="Z907" i="3"/>
  <c r="Y907" i="3"/>
  <c r="X907" i="3"/>
  <c r="D907" i="3"/>
  <c r="AH906" i="3"/>
  <c r="AG906" i="3"/>
  <c r="AI906" i="3" s="1"/>
  <c r="AE906" i="3"/>
  <c r="AF906" i="3" s="1"/>
  <c r="AC906" i="3"/>
  <c r="AB906" i="3"/>
  <c r="AA906" i="3"/>
  <c r="Z906" i="3"/>
  <c r="Y906" i="3"/>
  <c r="X906" i="3"/>
  <c r="D906" i="3"/>
  <c r="AG905" i="3"/>
  <c r="AI905" i="3" s="1"/>
  <c r="AF905" i="3"/>
  <c r="AE905" i="3"/>
  <c r="AC905" i="3"/>
  <c r="AB905" i="3"/>
  <c r="AA905" i="3"/>
  <c r="Z905" i="3"/>
  <c r="Y905" i="3"/>
  <c r="X905" i="3"/>
  <c r="D905" i="3"/>
  <c r="AE904" i="3"/>
  <c r="AF904" i="3" s="1"/>
  <c r="AC904" i="3"/>
  <c r="AB904" i="3"/>
  <c r="AA904" i="3"/>
  <c r="Z904" i="3"/>
  <c r="Y904" i="3"/>
  <c r="X904" i="3"/>
  <c r="D904" i="3"/>
  <c r="AI903" i="3"/>
  <c r="AH903" i="3"/>
  <c r="AG903" i="3"/>
  <c r="AF903" i="3"/>
  <c r="AE903" i="3"/>
  <c r="AC903" i="3"/>
  <c r="AB903" i="3"/>
  <c r="AA903" i="3"/>
  <c r="Z903" i="3"/>
  <c r="Y903" i="3"/>
  <c r="X903" i="3"/>
  <c r="D903" i="3"/>
  <c r="AH902" i="3"/>
  <c r="AG902" i="3"/>
  <c r="AI902" i="3" s="1"/>
  <c r="AE902" i="3"/>
  <c r="AF902" i="3" s="1"/>
  <c r="AC902" i="3"/>
  <c r="AB902" i="3"/>
  <c r="AA902" i="3"/>
  <c r="Z902" i="3"/>
  <c r="Y902" i="3"/>
  <c r="X902" i="3"/>
  <c r="D902" i="3"/>
  <c r="AG901" i="3"/>
  <c r="AI901" i="3" s="1"/>
  <c r="AF901" i="3"/>
  <c r="AE901" i="3"/>
  <c r="AC901" i="3"/>
  <c r="AB901" i="3"/>
  <c r="AA901" i="3"/>
  <c r="Z901" i="3"/>
  <c r="Y901" i="3"/>
  <c r="X901" i="3"/>
  <c r="D901" i="3"/>
  <c r="AE900" i="3"/>
  <c r="AF900" i="3" s="1"/>
  <c r="AC900" i="3"/>
  <c r="AB900" i="3"/>
  <c r="AA900" i="3"/>
  <c r="Z900" i="3"/>
  <c r="Y900" i="3"/>
  <c r="X900" i="3"/>
  <c r="D900" i="3"/>
  <c r="AI899" i="3"/>
  <c r="AH899" i="3"/>
  <c r="AG899" i="3"/>
  <c r="AF899" i="3"/>
  <c r="AE899" i="3"/>
  <c r="AC899" i="3"/>
  <c r="AB899" i="3"/>
  <c r="AA899" i="3"/>
  <c r="Z899" i="3"/>
  <c r="Y899" i="3"/>
  <c r="X899" i="3"/>
  <c r="D899" i="3"/>
  <c r="AH898" i="3"/>
  <c r="AG898" i="3"/>
  <c r="AI898" i="3" s="1"/>
  <c r="AE898" i="3"/>
  <c r="AF898" i="3" s="1"/>
  <c r="AC898" i="3"/>
  <c r="AB898" i="3"/>
  <c r="AA898" i="3"/>
  <c r="Z898" i="3"/>
  <c r="Y898" i="3"/>
  <c r="X898" i="3"/>
  <c r="D898" i="3"/>
  <c r="AG897" i="3"/>
  <c r="AI897" i="3" s="1"/>
  <c r="AF897" i="3"/>
  <c r="AE897" i="3"/>
  <c r="AC897" i="3"/>
  <c r="AB897" i="3"/>
  <c r="AA897" i="3"/>
  <c r="Z897" i="3"/>
  <c r="Y897" i="3"/>
  <c r="X897" i="3"/>
  <c r="D897" i="3"/>
  <c r="AE896" i="3"/>
  <c r="AF896" i="3" s="1"/>
  <c r="AC896" i="3"/>
  <c r="AB896" i="3"/>
  <c r="AA896" i="3"/>
  <c r="Z896" i="3"/>
  <c r="Y896" i="3"/>
  <c r="X896" i="3"/>
  <c r="D896" i="3"/>
  <c r="AI895" i="3"/>
  <c r="AH895" i="3"/>
  <c r="AG895" i="3"/>
  <c r="AF895" i="3"/>
  <c r="AE895" i="3"/>
  <c r="AC895" i="3"/>
  <c r="AB895" i="3"/>
  <c r="AA895" i="3"/>
  <c r="Z895" i="3"/>
  <c r="Y895" i="3"/>
  <c r="X895" i="3"/>
  <c r="D895" i="3"/>
  <c r="AH894" i="3"/>
  <c r="AG894" i="3"/>
  <c r="AI894" i="3" s="1"/>
  <c r="AE894" i="3"/>
  <c r="AF894" i="3" s="1"/>
  <c r="AC894" i="3"/>
  <c r="AB894" i="3"/>
  <c r="AA894" i="3"/>
  <c r="Z894" i="3"/>
  <c r="Y894" i="3"/>
  <c r="X894" i="3"/>
  <c r="D894" i="3"/>
  <c r="AG893" i="3"/>
  <c r="AI893" i="3" s="1"/>
  <c r="AF893" i="3"/>
  <c r="AE893" i="3"/>
  <c r="AC893" i="3"/>
  <c r="AB893" i="3"/>
  <c r="AA893" i="3"/>
  <c r="Z893" i="3"/>
  <c r="Y893" i="3"/>
  <c r="X893" i="3"/>
  <c r="D893" i="3"/>
  <c r="AE892" i="3"/>
  <c r="AF892" i="3" s="1"/>
  <c r="AC892" i="3"/>
  <c r="AB892" i="3"/>
  <c r="AA892" i="3"/>
  <c r="Z892" i="3"/>
  <c r="Y892" i="3"/>
  <c r="X892" i="3"/>
  <c r="D892" i="3"/>
  <c r="AI891" i="3"/>
  <c r="AH891" i="3"/>
  <c r="AG891" i="3"/>
  <c r="AF891" i="3"/>
  <c r="AE891" i="3"/>
  <c r="AC891" i="3"/>
  <c r="AB891" i="3"/>
  <c r="AA891" i="3"/>
  <c r="Z891" i="3"/>
  <c r="Y891" i="3"/>
  <c r="X891" i="3"/>
  <c r="D891" i="3"/>
  <c r="AH890" i="3"/>
  <c r="AG890" i="3"/>
  <c r="AI890" i="3" s="1"/>
  <c r="AE890" i="3"/>
  <c r="AF890" i="3" s="1"/>
  <c r="AC890" i="3"/>
  <c r="AB890" i="3"/>
  <c r="AA890" i="3"/>
  <c r="Z890" i="3"/>
  <c r="Y890" i="3"/>
  <c r="X890" i="3"/>
  <c r="D890" i="3"/>
  <c r="AG889" i="3"/>
  <c r="AI889" i="3" s="1"/>
  <c r="AF889" i="3"/>
  <c r="AE889" i="3"/>
  <c r="AC889" i="3"/>
  <c r="AB889" i="3"/>
  <c r="AA889" i="3"/>
  <c r="Z889" i="3"/>
  <c r="Y889" i="3"/>
  <c r="X889" i="3"/>
  <c r="D889" i="3"/>
  <c r="AE888" i="3"/>
  <c r="AF888" i="3" s="1"/>
  <c r="AC888" i="3"/>
  <c r="AB888" i="3"/>
  <c r="AA888" i="3"/>
  <c r="Z888" i="3"/>
  <c r="Y888" i="3"/>
  <c r="X888" i="3"/>
  <c r="D888" i="3"/>
  <c r="AI887" i="3"/>
  <c r="AH887" i="3"/>
  <c r="AG887" i="3"/>
  <c r="AF887" i="3"/>
  <c r="AE887" i="3"/>
  <c r="AC887" i="3"/>
  <c r="AB887" i="3"/>
  <c r="AA887" i="3"/>
  <c r="Z887" i="3"/>
  <c r="Y887" i="3"/>
  <c r="X887" i="3"/>
  <c r="D887" i="3"/>
  <c r="AH886" i="3"/>
  <c r="AG886" i="3"/>
  <c r="AI886" i="3" s="1"/>
  <c r="AE886" i="3"/>
  <c r="AF886" i="3" s="1"/>
  <c r="AC886" i="3"/>
  <c r="AB886" i="3"/>
  <c r="AA886" i="3"/>
  <c r="Z886" i="3"/>
  <c r="Y886" i="3"/>
  <c r="X886" i="3"/>
  <c r="D886" i="3"/>
  <c r="AG885" i="3"/>
  <c r="AI885" i="3" s="1"/>
  <c r="AF885" i="3"/>
  <c r="AE885" i="3"/>
  <c r="AC885" i="3"/>
  <c r="AB885" i="3"/>
  <c r="AA885" i="3"/>
  <c r="Z885" i="3"/>
  <c r="Y885" i="3"/>
  <c r="X885" i="3"/>
  <c r="D885" i="3"/>
  <c r="AE884" i="3"/>
  <c r="AF884" i="3" s="1"/>
  <c r="AC884" i="3"/>
  <c r="AB884" i="3"/>
  <c r="AA884" i="3"/>
  <c r="Z884" i="3"/>
  <c r="Y884" i="3"/>
  <c r="X884" i="3"/>
  <c r="D884" i="3"/>
  <c r="AI883" i="3"/>
  <c r="AH883" i="3"/>
  <c r="AG883" i="3"/>
  <c r="AF883" i="3"/>
  <c r="AE883" i="3"/>
  <c r="AC883" i="3"/>
  <c r="AB883" i="3"/>
  <c r="AA883" i="3"/>
  <c r="Z883" i="3"/>
  <c r="Y883" i="3"/>
  <c r="X883" i="3"/>
  <c r="D883" i="3"/>
  <c r="AH882" i="3"/>
  <c r="AG882" i="3"/>
  <c r="AI882" i="3" s="1"/>
  <c r="AE882" i="3"/>
  <c r="AF882" i="3" s="1"/>
  <c r="AC882" i="3"/>
  <c r="AB882" i="3"/>
  <c r="AA882" i="3"/>
  <c r="Z882" i="3"/>
  <c r="Y882" i="3"/>
  <c r="X882" i="3"/>
  <c r="D882" i="3"/>
  <c r="AG881" i="3"/>
  <c r="AI881" i="3" s="1"/>
  <c r="AF881" i="3"/>
  <c r="AE881" i="3"/>
  <c r="AC881" i="3"/>
  <c r="AB881" i="3"/>
  <c r="AA881" i="3"/>
  <c r="Z881" i="3"/>
  <c r="Y881" i="3"/>
  <c r="X881" i="3"/>
  <c r="D881" i="3"/>
  <c r="AE880" i="3"/>
  <c r="AF880" i="3" s="1"/>
  <c r="AC880" i="3"/>
  <c r="AB880" i="3"/>
  <c r="AA880" i="3"/>
  <c r="Z880" i="3"/>
  <c r="Y880" i="3"/>
  <c r="X880" i="3"/>
  <c r="D880" i="3"/>
  <c r="AI879" i="3"/>
  <c r="AH879" i="3"/>
  <c r="AG879" i="3"/>
  <c r="AF879" i="3"/>
  <c r="AE879" i="3"/>
  <c r="AC879" i="3"/>
  <c r="AB879" i="3"/>
  <c r="AA879" i="3"/>
  <c r="Z879" i="3"/>
  <c r="Y879" i="3"/>
  <c r="X879" i="3"/>
  <c r="D879" i="3"/>
  <c r="AH878" i="3"/>
  <c r="AG878" i="3"/>
  <c r="AI878" i="3" s="1"/>
  <c r="AE878" i="3"/>
  <c r="AF878" i="3" s="1"/>
  <c r="AC878" i="3"/>
  <c r="AB878" i="3"/>
  <c r="AA878" i="3"/>
  <c r="Z878" i="3"/>
  <c r="Y878" i="3"/>
  <c r="X878" i="3"/>
  <c r="D878" i="3"/>
  <c r="AG877" i="3"/>
  <c r="AI877" i="3" s="1"/>
  <c r="AF877" i="3"/>
  <c r="AE877" i="3"/>
  <c r="AC877" i="3"/>
  <c r="AB877" i="3"/>
  <c r="AA877" i="3"/>
  <c r="Z877" i="3"/>
  <c r="Y877" i="3"/>
  <c r="X877" i="3"/>
  <c r="D877" i="3"/>
  <c r="AE876" i="3"/>
  <c r="AF876" i="3" s="1"/>
  <c r="AC876" i="3"/>
  <c r="AB876" i="3"/>
  <c r="AA876" i="3"/>
  <c r="Z876" i="3"/>
  <c r="Y876" i="3"/>
  <c r="X876" i="3"/>
  <c r="D876" i="3"/>
  <c r="AI875" i="3"/>
  <c r="AH875" i="3"/>
  <c r="AG875" i="3"/>
  <c r="AF875" i="3"/>
  <c r="AE875" i="3"/>
  <c r="AC875" i="3"/>
  <c r="AB875" i="3"/>
  <c r="AA875" i="3"/>
  <c r="Z875" i="3"/>
  <c r="Y875" i="3"/>
  <c r="X875" i="3"/>
  <c r="D875" i="3"/>
  <c r="AH874" i="3"/>
  <c r="AG874" i="3"/>
  <c r="AI874" i="3" s="1"/>
  <c r="AE874" i="3"/>
  <c r="AF874" i="3" s="1"/>
  <c r="AC874" i="3"/>
  <c r="AB874" i="3"/>
  <c r="AA874" i="3"/>
  <c r="Z874" i="3"/>
  <c r="Y874" i="3"/>
  <c r="X874" i="3"/>
  <c r="D874" i="3"/>
  <c r="AG873" i="3"/>
  <c r="AI873" i="3" s="1"/>
  <c r="AF873" i="3"/>
  <c r="AE873" i="3"/>
  <c r="AC873" i="3"/>
  <c r="AB873" i="3"/>
  <c r="AA873" i="3"/>
  <c r="Z873" i="3"/>
  <c r="Y873" i="3"/>
  <c r="X873" i="3"/>
  <c r="D873" i="3"/>
  <c r="AE872" i="3"/>
  <c r="AF872" i="3" s="1"/>
  <c r="AC872" i="3"/>
  <c r="AB872" i="3"/>
  <c r="AA872" i="3"/>
  <c r="Z872" i="3"/>
  <c r="Y872" i="3"/>
  <c r="X872" i="3"/>
  <c r="D872" i="3"/>
  <c r="AI871" i="3"/>
  <c r="AH871" i="3"/>
  <c r="AG871" i="3"/>
  <c r="AF871" i="3"/>
  <c r="AE871" i="3"/>
  <c r="AC871" i="3"/>
  <c r="AB871" i="3"/>
  <c r="AA871" i="3"/>
  <c r="Z871" i="3"/>
  <c r="Y871" i="3"/>
  <c r="X871" i="3"/>
  <c r="D871" i="3"/>
  <c r="AG870" i="3"/>
  <c r="AI870" i="3" s="1"/>
  <c r="AE870" i="3"/>
  <c r="AF870" i="3" s="1"/>
  <c r="AC870" i="3"/>
  <c r="AB870" i="3"/>
  <c r="AA870" i="3"/>
  <c r="Z870" i="3"/>
  <c r="Y870" i="3"/>
  <c r="X870" i="3"/>
  <c r="D870" i="3"/>
  <c r="AH869" i="3"/>
  <c r="AG869" i="3"/>
  <c r="AI869" i="3" s="1"/>
  <c r="AF869" i="3"/>
  <c r="AE869" i="3"/>
  <c r="AC869" i="3"/>
  <c r="AB869" i="3"/>
  <c r="AA869" i="3"/>
  <c r="Z869" i="3"/>
  <c r="Y869" i="3"/>
  <c r="X869" i="3"/>
  <c r="D869" i="3"/>
  <c r="AE868" i="3"/>
  <c r="AF868" i="3" s="1"/>
  <c r="AC868" i="3"/>
  <c r="AB868" i="3"/>
  <c r="AA868" i="3"/>
  <c r="Z868" i="3"/>
  <c r="Y868" i="3"/>
  <c r="X868" i="3"/>
  <c r="D868" i="3"/>
  <c r="AI867" i="3"/>
  <c r="AH867" i="3"/>
  <c r="AG867" i="3"/>
  <c r="AF867" i="3"/>
  <c r="AE867" i="3"/>
  <c r="AC867" i="3"/>
  <c r="AB867" i="3"/>
  <c r="AA867" i="3"/>
  <c r="Z867" i="3"/>
  <c r="Y867" i="3"/>
  <c r="X867" i="3"/>
  <c r="D867" i="3"/>
  <c r="AH866" i="3"/>
  <c r="AG866" i="3"/>
  <c r="AI866" i="3" s="1"/>
  <c r="AE866" i="3"/>
  <c r="AF866" i="3" s="1"/>
  <c r="AC866" i="3"/>
  <c r="AB866" i="3"/>
  <c r="AA866" i="3"/>
  <c r="Z866" i="3"/>
  <c r="Y866" i="3"/>
  <c r="X866" i="3"/>
  <c r="D866" i="3"/>
  <c r="AG865" i="3"/>
  <c r="AI865" i="3" s="1"/>
  <c r="AF865" i="3"/>
  <c r="AE865" i="3"/>
  <c r="AC865" i="3"/>
  <c r="AB865" i="3"/>
  <c r="AA865" i="3"/>
  <c r="Z865" i="3"/>
  <c r="Y865" i="3"/>
  <c r="X865" i="3"/>
  <c r="D865" i="3"/>
  <c r="AG864" i="3"/>
  <c r="AE864" i="3"/>
  <c r="AF864" i="3" s="1"/>
  <c r="AC864" i="3"/>
  <c r="AB864" i="3"/>
  <c r="AA864" i="3"/>
  <c r="Z864" i="3"/>
  <c r="Y864" i="3"/>
  <c r="X864" i="3"/>
  <c r="D864" i="3"/>
  <c r="AI863" i="3"/>
  <c r="AH863" i="3"/>
  <c r="AG863" i="3"/>
  <c r="AF863" i="3"/>
  <c r="AE863" i="3"/>
  <c r="AC863" i="3"/>
  <c r="AB863" i="3"/>
  <c r="AA863" i="3"/>
  <c r="Z863" i="3"/>
  <c r="Y863" i="3"/>
  <c r="X863" i="3"/>
  <c r="D863" i="3"/>
  <c r="AG862" i="3"/>
  <c r="AI862" i="3" s="1"/>
  <c r="AE862" i="3"/>
  <c r="AF862" i="3" s="1"/>
  <c r="AC862" i="3"/>
  <c r="AB862" i="3"/>
  <c r="AA862" i="3"/>
  <c r="Z862" i="3"/>
  <c r="Y862" i="3"/>
  <c r="X862" i="3"/>
  <c r="D862" i="3"/>
  <c r="AH861" i="3"/>
  <c r="AG861" i="3"/>
  <c r="AI861" i="3" s="1"/>
  <c r="AF861" i="3"/>
  <c r="AE861" i="3"/>
  <c r="AC861" i="3"/>
  <c r="AB861" i="3"/>
  <c r="AA861" i="3"/>
  <c r="Z861" i="3"/>
  <c r="Y861" i="3"/>
  <c r="X861" i="3"/>
  <c r="D861" i="3"/>
  <c r="AE860" i="3"/>
  <c r="AF860" i="3" s="1"/>
  <c r="AC860" i="3"/>
  <c r="AB860" i="3"/>
  <c r="AA860" i="3"/>
  <c r="Z860" i="3"/>
  <c r="Y860" i="3"/>
  <c r="X860" i="3"/>
  <c r="D860" i="3"/>
  <c r="AI859" i="3"/>
  <c r="AH859" i="3"/>
  <c r="AG859" i="3"/>
  <c r="AF859" i="3"/>
  <c r="AE859" i="3"/>
  <c r="AC859" i="3"/>
  <c r="AB859" i="3"/>
  <c r="AA859" i="3"/>
  <c r="Z859" i="3"/>
  <c r="Y859" i="3"/>
  <c r="X859" i="3"/>
  <c r="D859" i="3"/>
  <c r="AH858" i="3"/>
  <c r="AG858" i="3"/>
  <c r="AI858" i="3" s="1"/>
  <c r="AE858" i="3"/>
  <c r="AF858" i="3" s="1"/>
  <c r="AC858" i="3"/>
  <c r="AB858" i="3"/>
  <c r="AA858" i="3"/>
  <c r="Z858" i="3"/>
  <c r="Y858" i="3"/>
  <c r="X858" i="3"/>
  <c r="D858" i="3"/>
  <c r="AG857" i="3"/>
  <c r="AI857" i="3" s="1"/>
  <c r="AF857" i="3"/>
  <c r="AE857" i="3"/>
  <c r="AC857" i="3"/>
  <c r="AB857" i="3"/>
  <c r="AA857" i="3"/>
  <c r="Z857" i="3"/>
  <c r="Y857" i="3"/>
  <c r="X857" i="3"/>
  <c r="D857" i="3"/>
  <c r="AG856" i="3"/>
  <c r="AE856" i="3"/>
  <c r="AF856" i="3" s="1"/>
  <c r="AC856" i="3"/>
  <c r="AB856" i="3"/>
  <c r="AA856" i="3"/>
  <c r="Z856" i="3"/>
  <c r="Y856" i="3"/>
  <c r="X856" i="3"/>
  <c r="D856" i="3"/>
  <c r="AI855" i="3"/>
  <c r="AH855" i="3"/>
  <c r="AG855" i="3"/>
  <c r="AF855" i="3"/>
  <c r="AE855" i="3"/>
  <c r="AC855" i="3"/>
  <c r="AB855" i="3"/>
  <c r="AA855" i="3"/>
  <c r="Z855" i="3"/>
  <c r="Y855" i="3"/>
  <c r="X855" i="3"/>
  <c r="D855" i="3"/>
  <c r="AG854" i="3"/>
  <c r="AI854" i="3" s="1"/>
  <c r="AE854" i="3"/>
  <c r="AF854" i="3" s="1"/>
  <c r="AC854" i="3"/>
  <c r="AB854" i="3"/>
  <c r="AA854" i="3"/>
  <c r="Z854" i="3"/>
  <c r="Y854" i="3"/>
  <c r="X854" i="3"/>
  <c r="D854" i="3"/>
  <c r="AH853" i="3"/>
  <c r="AG853" i="3"/>
  <c r="AI853" i="3" s="1"/>
  <c r="AF853" i="3"/>
  <c r="AE853" i="3"/>
  <c r="AC853" i="3"/>
  <c r="AB853" i="3"/>
  <c r="AA853" i="3"/>
  <c r="Z853" i="3"/>
  <c r="Y853" i="3"/>
  <c r="X853" i="3"/>
  <c r="D853" i="3"/>
  <c r="AE852" i="3"/>
  <c r="AF852" i="3" s="1"/>
  <c r="AC852" i="3"/>
  <c r="AB852" i="3"/>
  <c r="AA852" i="3"/>
  <c r="Z852" i="3"/>
  <c r="Y852" i="3"/>
  <c r="X852" i="3"/>
  <c r="D852" i="3"/>
  <c r="AI851" i="3"/>
  <c r="AH851" i="3"/>
  <c r="AG851" i="3"/>
  <c r="AF851" i="3"/>
  <c r="AE851" i="3"/>
  <c r="AC851" i="3"/>
  <c r="AB851" i="3"/>
  <c r="AA851" i="3"/>
  <c r="Z851" i="3"/>
  <c r="Y851" i="3"/>
  <c r="X851" i="3"/>
  <c r="D851" i="3"/>
  <c r="AH850" i="3"/>
  <c r="AG850" i="3"/>
  <c r="AI850" i="3" s="1"/>
  <c r="AE850" i="3"/>
  <c r="AF850" i="3" s="1"/>
  <c r="AC850" i="3"/>
  <c r="AB850" i="3"/>
  <c r="AA850" i="3"/>
  <c r="Z850" i="3"/>
  <c r="Y850" i="3"/>
  <c r="X850" i="3"/>
  <c r="D850" i="3"/>
  <c r="AG849" i="3"/>
  <c r="AI849" i="3" s="1"/>
  <c r="AF849" i="3"/>
  <c r="AE849" i="3"/>
  <c r="AC849" i="3"/>
  <c r="AB849" i="3"/>
  <c r="AA849" i="3"/>
  <c r="Z849" i="3"/>
  <c r="Y849" i="3"/>
  <c r="X849" i="3"/>
  <c r="D849" i="3"/>
  <c r="AG848" i="3"/>
  <c r="AE848" i="3"/>
  <c r="AF848" i="3" s="1"/>
  <c r="AC848" i="3"/>
  <c r="AB848" i="3"/>
  <c r="AA848" i="3"/>
  <c r="Z848" i="3"/>
  <c r="Y848" i="3"/>
  <c r="X848" i="3"/>
  <c r="D848" i="3"/>
  <c r="AI847" i="3"/>
  <c r="AH847" i="3"/>
  <c r="AG847" i="3"/>
  <c r="AF847" i="3"/>
  <c r="AE847" i="3"/>
  <c r="AC847" i="3"/>
  <c r="AB847" i="3"/>
  <c r="AA847" i="3"/>
  <c r="Z847" i="3"/>
  <c r="Y847" i="3"/>
  <c r="X847" i="3"/>
  <c r="D847" i="3"/>
  <c r="AG846" i="3"/>
  <c r="AI846" i="3" s="1"/>
  <c r="AE846" i="3"/>
  <c r="AF846" i="3" s="1"/>
  <c r="AC846" i="3"/>
  <c r="AB846" i="3"/>
  <c r="AA846" i="3"/>
  <c r="Z846" i="3"/>
  <c r="Y846" i="3"/>
  <c r="X846" i="3"/>
  <c r="D846" i="3"/>
  <c r="AH845" i="3"/>
  <c r="AG845" i="3"/>
  <c r="AI845" i="3" s="1"/>
  <c r="AF845" i="3"/>
  <c r="AE845" i="3"/>
  <c r="AC845" i="3"/>
  <c r="AB845" i="3"/>
  <c r="AA845" i="3"/>
  <c r="Z845" i="3"/>
  <c r="Y845" i="3"/>
  <c r="X845" i="3"/>
  <c r="D845" i="3"/>
  <c r="AE844" i="3"/>
  <c r="AF844" i="3" s="1"/>
  <c r="AC844" i="3"/>
  <c r="AB844" i="3"/>
  <c r="AA844" i="3"/>
  <c r="Z844" i="3"/>
  <c r="Y844" i="3"/>
  <c r="X844" i="3"/>
  <c r="D844" i="3"/>
  <c r="AI843" i="3"/>
  <c r="AH843" i="3"/>
  <c r="AG843" i="3"/>
  <c r="AF843" i="3"/>
  <c r="AE843" i="3"/>
  <c r="AC843" i="3"/>
  <c r="AB843" i="3"/>
  <c r="AA843" i="3"/>
  <c r="Z843" i="3"/>
  <c r="Y843" i="3"/>
  <c r="X843" i="3"/>
  <c r="D843" i="3"/>
  <c r="AH842" i="3"/>
  <c r="AG842" i="3"/>
  <c r="AI842" i="3" s="1"/>
  <c r="AE842" i="3"/>
  <c r="AF842" i="3" s="1"/>
  <c r="AC842" i="3"/>
  <c r="AB842" i="3"/>
  <c r="AA842" i="3"/>
  <c r="Z842" i="3"/>
  <c r="Y842" i="3"/>
  <c r="X842" i="3"/>
  <c r="D842" i="3"/>
  <c r="AG841" i="3"/>
  <c r="AI841" i="3" s="1"/>
  <c r="AF841" i="3"/>
  <c r="AE841" i="3"/>
  <c r="AC841" i="3"/>
  <c r="AB841" i="3"/>
  <c r="AA841" i="3"/>
  <c r="Z841" i="3"/>
  <c r="Y841" i="3"/>
  <c r="X841" i="3"/>
  <c r="D841" i="3"/>
  <c r="AG840" i="3"/>
  <c r="AE840" i="3"/>
  <c r="AF840" i="3" s="1"/>
  <c r="AC840" i="3"/>
  <c r="AB840" i="3"/>
  <c r="AA840" i="3"/>
  <c r="Z840" i="3"/>
  <c r="Y840" i="3"/>
  <c r="X840" i="3"/>
  <c r="D840" i="3"/>
  <c r="AI839" i="3"/>
  <c r="AH839" i="3"/>
  <c r="AG839" i="3"/>
  <c r="AF839" i="3"/>
  <c r="AE839" i="3"/>
  <c r="AC839" i="3"/>
  <c r="AB839" i="3"/>
  <c r="AA839" i="3"/>
  <c r="Z839" i="3"/>
  <c r="Y839" i="3"/>
  <c r="X839" i="3"/>
  <c r="D839" i="3"/>
  <c r="AG838" i="3"/>
  <c r="AI838" i="3" s="1"/>
  <c r="AE838" i="3"/>
  <c r="AF838" i="3" s="1"/>
  <c r="AC838" i="3"/>
  <c r="AB838" i="3"/>
  <c r="AA838" i="3"/>
  <c r="Z838" i="3"/>
  <c r="Y838" i="3"/>
  <c r="X838" i="3"/>
  <c r="D838" i="3"/>
  <c r="AH837" i="3"/>
  <c r="AG837" i="3"/>
  <c r="AI837" i="3" s="1"/>
  <c r="AF837" i="3"/>
  <c r="AE837" i="3"/>
  <c r="AC837" i="3"/>
  <c r="AB837" i="3"/>
  <c r="AA837" i="3"/>
  <c r="Z837" i="3"/>
  <c r="Y837" i="3"/>
  <c r="X837" i="3"/>
  <c r="D837" i="3"/>
  <c r="AE836" i="3"/>
  <c r="AF836" i="3" s="1"/>
  <c r="AC836" i="3"/>
  <c r="AB836" i="3"/>
  <c r="AA836" i="3"/>
  <c r="Z836" i="3"/>
  <c r="Y836" i="3"/>
  <c r="X836" i="3"/>
  <c r="D836" i="3"/>
  <c r="AI835" i="3"/>
  <c r="AH835" i="3"/>
  <c r="AG835" i="3"/>
  <c r="AF835" i="3"/>
  <c r="AE835" i="3"/>
  <c r="AC835" i="3"/>
  <c r="AB835" i="3"/>
  <c r="AA835" i="3"/>
  <c r="Z835" i="3"/>
  <c r="Y835" i="3"/>
  <c r="X835" i="3"/>
  <c r="D835" i="3"/>
  <c r="AH834" i="3"/>
  <c r="AG834" i="3"/>
  <c r="AI834" i="3" s="1"/>
  <c r="AE834" i="3"/>
  <c r="AF834" i="3" s="1"/>
  <c r="AC834" i="3"/>
  <c r="AB834" i="3"/>
  <c r="AA834" i="3"/>
  <c r="Z834" i="3"/>
  <c r="Y834" i="3"/>
  <c r="X834" i="3"/>
  <c r="D834" i="3"/>
  <c r="AG833" i="3"/>
  <c r="AI833" i="3" s="1"/>
  <c r="AF833" i="3"/>
  <c r="AE833" i="3"/>
  <c r="AC833" i="3"/>
  <c r="AB833" i="3"/>
  <c r="AA833" i="3"/>
  <c r="Z833" i="3"/>
  <c r="Y833" i="3"/>
  <c r="X833" i="3"/>
  <c r="D833" i="3"/>
  <c r="AG832" i="3"/>
  <c r="AE832" i="3"/>
  <c r="AF832" i="3" s="1"/>
  <c r="AC832" i="3"/>
  <c r="AB832" i="3"/>
  <c r="AA832" i="3"/>
  <c r="Z832" i="3"/>
  <c r="Y832" i="3"/>
  <c r="X832" i="3"/>
  <c r="D832" i="3"/>
  <c r="AI831" i="3"/>
  <c r="AH831" i="3"/>
  <c r="AG831" i="3"/>
  <c r="AF831" i="3"/>
  <c r="AE831" i="3"/>
  <c r="AC831" i="3"/>
  <c r="AB831" i="3"/>
  <c r="AA831" i="3"/>
  <c r="Z831" i="3"/>
  <c r="Y831" i="3"/>
  <c r="X831" i="3"/>
  <c r="D831" i="3"/>
  <c r="AG830" i="3"/>
  <c r="AI830" i="3" s="1"/>
  <c r="AE830" i="3"/>
  <c r="AF830" i="3" s="1"/>
  <c r="AC830" i="3"/>
  <c r="AB830" i="3"/>
  <c r="AA830" i="3"/>
  <c r="Z830" i="3"/>
  <c r="Y830" i="3"/>
  <c r="X830" i="3"/>
  <c r="D830" i="3"/>
  <c r="AH829" i="3"/>
  <c r="AG829" i="3"/>
  <c r="AI829" i="3" s="1"/>
  <c r="AF829" i="3"/>
  <c r="AE829" i="3"/>
  <c r="AC829" i="3"/>
  <c r="AB829" i="3"/>
  <c r="AA829" i="3"/>
  <c r="Z829" i="3"/>
  <c r="Y829" i="3"/>
  <c r="X829" i="3"/>
  <c r="D829" i="3"/>
  <c r="AE828" i="3"/>
  <c r="AF828" i="3" s="1"/>
  <c r="AC828" i="3"/>
  <c r="AB828" i="3"/>
  <c r="AA828" i="3"/>
  <c r="Z828" i="3"/>
  <c r="Y828" i="3"/>
  <c r="X828" i="3"/>
  <c r="D828" i="3"/>
  <c r="AI827" i="3"/>
  <c r="AH827" i="3"/>
  <c r="AG827" i="3"/>
  <c r="AF827" i="3"/>
  <c r="AE827" i="3"/>
  <c r="AC827" i="3"/>
  <c r="AB827" i="3"/>
  <c r="AA827" i="3"/>
  <c r="Z827" i="3"/>
  <c r="Y827" i="3"/>
  <c r="X827" i="3"/>
  <c r="D827" i="3"/>
  <c r="AH826" i="3"/>
  <c r="AG826" i="3"/>
  <c r="AI826" i="3" s="1"/>
  <c r="AE826" i="3"/>
  <c r="AF826" i="3" s="1"/>
  <c r="AC826" i="3"/>
  <c r="AB826" i="3"/>
  <c r="AA826" i="3"/>
  <c r="Z826" i="3"/>
  <c r="Y826" i="3"/>
  <c r="X826" i="3"/>
  <c r="D826" i="3"/>
  <c r="AG825" i="3"/>
  <c r="AI825" i="3" s="1"/>
  <c r="AF825" i="3"/>
  <c r="AE825" i="3"/>
  <c r="AC825" i="3"/>
  <c r="AB825" i="3"/>
  <c r="AA825" i="3"/>
  <c r="Z825" i="3"/>
  <c r="Y825" i="3"/>
  <c r="X825" i="3"/>
  <c r="D825" i="3"/>
  <c r="AG824" i="3"/>
  <c r="AE824" i="3"/>
  <c r="AF824" i="3" s="1"/>
  <c r="AC824" i="3"/>
  <c r="AB824" i="3"/>
  <c r="AA824" i="3"/>
  <c r="Z824" i="3"/>
  <c r="Y824" i="3"/>
  <c r="X824" i="3"/>
  <c r="D824" i="3"/>
  <c r="AI823" i="3"/>
  <c r="AH823" i="3"/>
  <c r="AG823" i="3"/>
  <c r="AF823" i="3"/>
  <c r="AE823" i="3"/>
  <c r="AC823" i="3"/>
  <c r="AB823" i="3"/>
  <c r="AA823" i="3"/>
  <c r="Z823" i="3"/>
  <c r="Y823" i="3"/>
  <c r="X823" i="3"/>
  <c r="D823" i="3"/>
  <c r="AH822" i="3"/>
  <c r="AG822" i="3"/>
  <c r="AI822" i="3" s="1"/>
  <c r="AE822" i="3"/>
  <c r="AF822" i="3" s="1"/>
  <c r="AC822" i="3"/>
  <c r="AB822" i="3"/>
  <c r="AA822" i="3"/>
  <c r="Z822" i="3"/>
  <c r="Y822" i="3"/>
  <c r="X822" i="3"/>
  <c r="D822" i="3"/>
  <c r="AH821" i="3"/>
  <c r="AG821" i="3"/>
  <c r="AI821" i="3" s="1"/>
  <c r="AF821" i="3"/>
  <c r="AE821" i="3"/>
  <c r="AC821" i="3"/>
  <c r="AB821" i="3"/>
  <c r="AA821" i="3"/>
  <c r="Z821" i="3"/>
  <c r="Y821" i="3"/>
  <c r="X821" i="3"/>
  <c r="D821" i="3"/>
  <c r="AE820" i="3"/>
  <c r="AF820" i="3" s="1"/>
  <c r="AC820" i="3"/>
  <c r="AB820" i="3"/>
  <c r="AA820" i="3"/>
  <c r="Z820" i="3"/>
  <c r="Y820" i="3"/>
  <c r="X820" i="3"/>
  <c r="D820" i="3"/>
  <c r="AI819" i="3"/>
  <c r="AH819" i="3"/>
  <c r="AG819" i="3"/>
  <c r="AF819" i="3"/>
  <c r="AE819" i="3"/>
  <c r="AC819" i="3"/>
  <c r="AB819" i="3"/>
  <c r="AA819" i="3"/>
  <c r="Z819" i="3"/>
  <c r="Y819" i="3"/>
  <c r="X819" i="3"/>
  <c r="D819" i="3"/>
  <c r="AH818" i="3"/>
  <c r="AG818" i="3"/>
  <c r="AI818" i="3" s="1"/>
  <c r="AE818" i="3"/>
  <c r="AF818" i="3" s="1"/>
  <c r="AC818" i="3"/>
  <c r="AB818" i="3"/>
  <c r="AA818" i="3"/>
  <c r="Z818" i="3"/>
  <c r="Y818" i="3"/>
  <c r="X818" i="3"/>
  <c r="D818" i="3"/>
  <c r="AG817" i="3"/>
  <c r="AI817" i="3" s="1"/>
  <c r="AF817" i="3"/>
  <c r="AE817" i="3"/>
  <c r="AC817" i="3"/>
  <c r="AB817" i="3"/>
  <c r="AA817" i="3"/>
  <c r="Z817" i="3"/>
  <c r="Y817" i="3"/>
  <c r="X817" i="3"/>
  <c r="D817" i="3"/>
  <c r="AG816" i="3"/>
  <c r="AE816" i="3"/>
  <c r="AF816" i="3" s="1"/>
  <c r="AC816" i="3"/>
  <c r="AB816" i="3"/>
  <c r="AA816" i="3"/>
  <c r="Z816" i="3"/>
  <c r="Y816" i="3"/>
  <c r="X816" i="3"/>
  <c r="D816" i="3"/>
  <c r="AI815" i="3"/>
  <c r="AH815" i="3"/>
  <c r="AG815" i="3"/>
  <c r="AF815" i="3"/>
  <c r="AE815" i="3"/>
  <c r="AC815" i="3"/>
  <c r="AB815" i="3"/>
  <c r="AA815" i="3"/>
  <c r="Z815" i="3"/>
  <c r="Y815" i="3"/>
  <c r="X815" i="3"/>
  <c r="D815" i="3"/>
  <c r="AH814" i="3"/>
  <c r="AG814" i="3"/>
  <c r="AI814" i="3" s="1"/>
  <c r="AE814" i="3"/>
  <c r="AF814" i="3" s="1"/>
  <c r="AC814" i="3"/>
  <c r="AB814" i="3"/>
  <c r="AA814" i="3"/>
  <c r="Z814" i="3"/>
  <c r="Y814" i="3"/>
  <c r="X814" i="3"/>
  <c r="D814" i="3"/>
  <c r="AH813" i="3"/>
  <c r="AG813" i="3"/>
  <c r="AI813" i="3" s="1"/>
  <c r="AF813" i="3"/>
  <c r="AE813" i="3"/>
  <c r="AC813" i="3"/>
  <c r="AB813" i="3"/>
  <c r="AA813" i="3"/>
  <c r="Z813" i="3"/>
  <c r="Y813" i="3"/>
  <c r="X813" i="3"/>
  <c r="D813" i="3"/>
  <c r="AE812" i="3"/>
  <c r="AF812" i="3" s="1"/>
  <c r="AC812" i="3"/>
  <c r="AB812" i="3"/>
  <c r="AA812" i="3"/>
  <c r="Z812" i="3"/>
  <c r="Y812" i="3"/>
  <c r="X812" i="3"/>
  <c r="D812" i="3"/>
  <c r="AI811" i="3"/>
  <c r="AH811" i="3"/>
  <c r="AG811" i="3"/>
  <c r="AF811" i="3"/>
  <c r="AE811" i="3"/>
  <c r="AC811" i="3"/>
  <c r="AB811" i="3"/>
  <c r="AA811" i="3"/>
  <c r="Z811" i="3"/>
  <c r="Y811" i="3"/>
  <c r="X811" i="3"/>
  <c r="D811" i="3"/>
  <c r="AH810" i="3"/>
  <c r="AG810" i="3"/>
  <c r="AI810" i="3" s="1"/>
  <c r="AE810" i="3"/>
  <c r="AF810" i="3" s="1"/>
  <c r="AC810" i="3"/>
  <c r="AB810" i="3"/>
  <c r="AA810" i="3"/>
  <c r="Z810" i="3"/>
  <c r="Y810" i="3"/>
  <c r="X810" i="3"/>
  <c r="D810" i="3"/>
  <c r="AG809" i="3"/>
  <c r="AI809" i="3" s="1"/>
  <c r="AF809" i="3"/>
  <c r="AE809" i="3"/>
  <c r="AC809" i="3"/>
  <c r="AB809" i="3"/>
  <c r="AA809" i="3"/>
  <c r="Z809" i="3"/>
  <c r="Y809" i="3"/>
  <c r="X809" i="3"/>
  <c r="D809" i="3"/>
  <c r="AG808" i="3"/>
  <c r="AE808" i="3"/>
  <c r="AF808" i="3" s="1"/>
  <c r="AC808" i="3"/>
  <c r="AB808" i="3"/>
  <c r="AA808" i="3"/>
  <c r="Z808" i="3"/>
  <c r="Y808" i="3"/>
  <c r="X808" i="3"/>
  <c r="D808" i="3"/>
  <c r="AI807" i="3"/>
  <c r="AH807" i="3"/>
  <c r="AG807" i="3"/>
  <c r="AF807" i="3"/>
  <c r="AE807" i="3"/>
  <c r="AC807" i="3"/>
  <c r="AB807" i="3"/>
  <c r="AA807" i="3"/>
  <c r="Z807" i="3"/>
  <c r="Y807" i="3"/>
  <c r="X807" i="3"/>
  <c r="D807" i="3"/>
  <c r="AH806" i="3"/>
  <c r="AG806" i="3"/>
  <c r="AI806" i="3" s="1"/>
  <c r="AE806" i="3"/>
  <c r="AF806" i="3" s="1"/>
  <c r="AC806" i="3"/>
  <c r="AB806" i="3"/>
  <c r="AA806" i="3"/>
  <c r="Z806" i="3"/>
  <c r="Y806" i="3"/>
  <c r="X806" i="3"/>
  <c r="D806" i="3"/>
  <c r="AH805" i="3"/>
  <c r="AG805" i="3"/>
  <c r="AI805" i="3" s="1"/>
  <c r="AF805" i="3"/>
  <c r="AE805" i="3"/>
  <c r="AC805" i="3"/>
  <c r="AB805" i="3"/>
  <c r="AA805" i="3"/>
  <c r="Z805" i="3"/>
  <c r="Y805" i="3"/>
  <c r="X805" i="3"/>
  <c r="D805" i="3"/>
  <c r="AE804" i="3"/>
  <c r="AC804" i="3"/>
  <c r="AB804" i="3"/>
  <c r="AA804" i="3"/>
  <c r="Z804" i="3"/>
  <c r="Y804" i="3"/>
  <c r="X804" i="3"/>
  <c r="D804" i="3"/>
  <c r="AI803" i="3"/>
  <c r="AH803" i="3"/>
  <c r="AG803" i="3"/>
  <c r="AF803" i="3"/>
  <c r="AE803" i="3"/>
  <c r="AC803" i="3"/>
  <c r="AB803" i="3"/>
  <c r="AA803" i="3"/>
  <c r="Z803" i="3"/>
  <c r="Y803" i="3"/>
  <c r="X803" i="3"/>
  <c r="D803" i="3"/>
  <c r="AH802" i="3"/>
  <c r="AG802" i="3"/>
  <c r="AI802" i="3" s="1"/>
  <c r="AE802" i="3"/>
  <c r="AF802" i="3" s="1"/>
  <c r="AC802" i="3"/>
  <c r="AB802" i="3"/>
  <c r="AA802" i="3"/>
  <c r="Z802" i="3"/>
  <c r="Y802" i="3"/>
  <c r="X802" i="3"/>
  <c r="D802" i="3"/>
  <c r="AG801" i="3"/>
  <c r="AF801" i="3"/>
  <c r="AE801" i="3"/>
  <c r="AC801" i="3"/>
  <c r="AB801" i="3"/>
  <c r="AA801" i="3"/>
  <c r="Z801" i="3"/>
  <c r="Y801" i="3"/>
  <c r="X801" i="3"/>
  <c r="D801" i="3"/>
  <c r="AG800" i="3"/>
  <c r="AE800" i="3"/>
  <c r="AF800" i="3" s="1"/>
  <c r="AC800" i="3"/>
  <c r="AB800" i="3"/>
  <c r="AA800" i="3"/>
  <c r="Z800" i="3"/>
  <c r="Y800" i="3"/>
  <c r="X800" i="3"/>
  <c r="D800" i="3"/>
  <c r="AI799" i="3"/>
  <c r="AH799" i="3"/>
  <c r="AG799" i="3"/>
  <c r="AF799" i="3"/>
  <c r="AE799" i="3"/>
  <c r="AC799" i="3"/>
  <c r="AB799" i="3"/>
  <c r="AA799" i="3"/>
  <c r="Z799" i="3"/>
  <c r="Y799" i="3"/>
  <c r="X799" i="3"/>
  <c r="D799" i="3"/>
  <c r="AH798" i="3"/>
  <c r="AG798" i="3"/>
  <c r="AI798" i="3" s="1"/>
  <c r="AE798" i="3"/>
  <c r="AF798" i="3" s="1"/>
  <c r="AC798" i="3"/>
  <c r="AB798" i="3"/>
  <c r="AA798" i="3"/>
  <c r="Z798" i="3"/>
  <c r="Y798" i="3"/>
  <c r="X798" i="3"/>
  <c r="D798" i="3"/>
  <c r="AH797" i="3"/>
  <c r="AG797" i="3"/>
  <c r="AI797" i="3" s="1"/>
  <c r="AF797" i="3"/>
  <c r="AE797" i="3"/>
  <c r="AC797" i="3"/>
  <c r="AB797" i="3"/>
  <c r="AA797" i="3"/>
  <c r="Z797" i="3"/>
  <c r="Y797" i="3"/>
  <c r="X797" i="3"/>
  <c r="D797" i="3"/>
  <c r="AE796" i="3"/>
  <c r="AC796" i="3"/>
  <c r="AB796" i="3"/>
  <c r="AA796" i="3"/>
  <c r="Z796" i="3"/>
  <c r="Y796" i="3"/>
  <c r="X796" i="3"/>
  <c r="D796" i="3"/>
  <c r="AI795" i="3"/>
  <c r="AH795" i="3"/>
  <c r="AG795" i="3"/>
  <c r="AF795" i="3"/>
  <c r="AE795" i="3"/>
  <c r="AC795" i="3"/>
  <c r="AB795" i="3"/>
  <c r="AA795" i="3"/>
  <c r="Z795" i="3"/>
  <c r="Y795" i="3"/>
  <c r="X795" i="3"/>
  <c r="D795" i="3"/>
  <c r="AH794" i="3"/>
  <c r="AG794" i="3"/>
  <c r="AI794" i="3" s="1"/>
  <c r="AE794" i="3"/>
  <c r="AF794" i="3" s="1"/>
  <c r="AC794" i="3"/>
  <c r="AB794" i="3"/>
  <c r="AA794" i="3"/>
  <c r="Z794" i="3"/>
  <c r="Y794" i="3"/>
  <c r="X794" i="3"/>
  <c r="D794" i="3"/>
  <c r="AG793" i="3"/>
  <c r="AF793" i="3"/>
  <c r="AE793" i="3"/>
  <c r="AC793" i="3"/>
  <c r="AB793" i="3"/>
  <c r="AA793" i="3"/>
  <c r="Z793" i="3"/>
  <c r="Y793" i="3"/>
  <c r="X793" i="3"/>
  <c r="D793" i="3"/>
  <c r="AG792" i="3"/>
  <c r="AE792" i="3"/>
  <c r="AF792" i="3" s="1"/>
  <c r="AC792" i="3"/>
  <c r="AB792" i="3"/>
  <c r="AA792" i="3"/>
  <c r="Z792" i="3"/>
  <c r="Y792" i="3"/>
  <c r="X792" i="3"/>
  <c r="D792" i="3"/>
  <c r="AI791" i="3"/>
  <c r="AH791" i="3"/>
  <c r="AG791" i="3"/>
  <c r="AF791" i="3"/>
  <c r="AE791" i="3"/>
  <c r="AC791" i="3"/>
  <c r="AB791" i="3"/>
  <c r="AA791" i="3"/>
  <c r="Z791" i="3"/>
  <c r="Y791" i="3"/>
  <c r="X791" i="3"/>
  <c r="D791" i="3"/>
  <c r="AH790" i="3"/>
  <c r="AG790" i="3"/>
  <c r="AI790" i="3" s="1"/>
  <c r="AE790" i="3"/>
  <c r="AF790" i="3" s="1"/>
  <c r="AC790" i="3"/>
  <c r="AB790" i="3"/>
  <c r="AA790" i="3"/>
  <c r="Z790" i="3"/>
  <c r="Y790" i="3"/>
  <c r="X790" i="3"/>
  <c r="D790" i="3"/>
  <c r="AH789" i="3"/>
  <c r="AG789" i="3"/>
  <c r="AI789" i="3" s="1"/>
  <c r="AF789" i="3"/>
  <c r="AE789" i="3"/>
  <c r="AC789" i="3"/>
  <c r="AB789" i="3"/>
  <c r="AA789" i="3"/>
  <c r="Z789" i="3"/>
  <c r="Y789" i="3"/>
  <c r="X789" i="3"/>
  <c r="D789" i="3"/>
  <c r="AE788" i="3"/>
  <c r="AC788" i="3"/>
  <c r="AB788" i="3"/>
  <c r="AA788" i="3"/>
  <c r="Z788" i="3"/>
  <c r="Y788" i="3"/>
  <c r="X788" i="3"/>
  <c r="D788" i="3"/>
  <c r="AI787" i="3"/>
  <c r="AH787" i="3"/>
  <c r="AG787" i="3"/>
  <c r="AF787" i="3"/>
  <c r="AE787" i="3"/>
  <c r="AC787" i="3"/>
  <c r="AB787" i="3"/>
  <c r="AA787" i="3"/>
  <c r="Z787" i="3"/>
  <c r="Y787" i="3"/>
  <c r="X787" i="3"/>
  <c r="D787" i="3"/>
  <c r="AH786" i="3"/>
  <c r="AG786" i="3"/>
  <c r="AI786" i="3" s="1"/>
  <c r="AE786" i="3"/>
  <c r="AF786" i="3" s="1"/>
  <c r="AC786" i="3"/>
  <c r="AB786" i="3"/>
  <c r="AA786" i="3"/>
  <c r="Z786" i="3"/>
  <c r="Y786" i="3"/>
  <c r="X786" i="3"/>
  <c r="D786" i="3"/>
  <c r="AG785" i="3"/>
  <c r="AF785" i="3"/>
  <c r="AE785" i="3"/>
  <c r="AC785" i="3"/>
  <c r="AB785" i="3"/>
  <c r="AA785" i="3"/>
  <c r="Z785" i="3"/>
  <c r="Y785" i="3"/>
  <c r="X785" i="3"/>
  <c r="D785" i="3"/>
  <c r="AG784" i="3"/>
  <c r="AE784" i="3"/>
  <c r="AF784" i="3" s="1"/>
  <c r="AC784" i="3"/>
  <c r="AB784" i="3"/>
  <c r="AA784" i="3"/>
  <c r="Z784" i="3"/>
  <c r="Y784" i="3"/>
  <c r="X784" i="3"/>
  <c r="D784" i="3"/>
  <c r="AI783" i="3"/>
  <c r="AH783" i="3"/>
  <c r="AG783" i="3"/>
  <c r="AF783" i="3"/>
  <c r="AE783" i="3"/>
  <c r="AC783" i="3"/>
  <c r="AB783" i="3"/>
  <c r="AA783" i="3"/>
  <c r="Z783" i="3"/>
  <c r="Y783" i="3"/>
  <c r="X783" i="3"/>
  <c r="D783" i="3"/>
  <c r="AH782" i="3"/>
  <c r="AG782" i="3"/>
  <c r="AI782" i="3" s="1"/>
  <c r="AE782" i="3"/>
  <c r="AF782" i="3" s="1"/>
  <c r="AC782" i="3"/>
  <c r="AB782" i="3"/>
  <c r="AA782" i="3"/>
  <c r="Z782" i="3"/>
  <c r="Y782" i="3"/>
  <c r="X782" i="3"/>
  <c r="D782" i="3"/>
  <c r="AH781" i="3"/>
  <c r="AG781" i="3"/>
  <c r="AI781" i="3" s="1"/>
  <c r="AF781" i="3"/>
  <c r="AE781" i="3"/>
  <c r="AC781" i="3"/>
  <c r="AB781" i="3"/>
  <c r="AA781" i="3"/>
  <c r="Z781" i="3"/>
  <c r="Y781" i="3"/>
  <c r="X781" i="3"/>
  <c r="D781" i="3"/>
  <c r="AE780" i="3"/>
  <c r="AC780" i="3"/>
  <c r="AB780" i="3"/>
  <c r="AA780" i="3"/>
  <c r="Z780" i="3"/>
  <c r="Y780" i="3"/>
  <c r="X780" i="3"/>
  <c r="D780" i="3"/>
  <c r="AI779" i="3"/>
  <c r="AH779" i="3"/>
  <c r="AG779" i="3"/>
  <c r="AF779" i="3"/>
  <c r="AE779" i="3"/>
  <c r="AC779" i="3"/>
  <c r="AB779" i="3"/>
  <c r="AA779" i="3"/>
  <c r="Z779" i="3"/>
  <c r="Y779" i="3"/>
  <c r="X779" i="3"/>
  <c r="D779" i="3"/>
  <c r="AH778" i="3"/>
  <c r="AG778" i="3"/>
  <c r="AI778" i="3" s="1"/>
  <c r="AE778" i="3"/>
  <c r="AF778" i="3" s="1"/>
  <c r="AC778" i="3"/>
  <c r="AB778" i="3"/>
  <c r="AA778" i="3"/>
  <c r="Z778" i="3"/>
  <c r="Y778" i="3"/>
  <c r="X778" i="3"/>
  <c r="D778" i="3"/>
  <c r="AG777" i="3"/>
  <c r="AF777" i="3"/>
  <c r="AE777" i="3"/>
  <c r="AC777" i="3"/>
  <c r="AB777" i="3"/>
  <c r="AA777" i="3"/>
  <c r="Z777" i="3"/>
  <c r="Y777" i="3"/>
  <c r="X777" i="3"/>
  <c r="D777" i="3"/>
  <c r="AH776" i="3"/>
  <c r="AG776" i="3"/>
  <c r="AI776" i="3" s="1"/>
  <c r="AE776" i="3"/>
  <c r="AF776" i="3" s="1"/>
  <c r="AC776" i="3"/>
  <c r="AB776" i="3"/>
  <c r="AA776" i="3"/>
  <c r="Z776" i="3"/>
  <c r="Y776" i="3"/>
  <c r="X776" i="3"/>
  <c r="D776" i="3"/>
  <c r="AF775" i="3"/>
  <c r="AE775" i="3"/>
  <c r="AG775" i="3" s="1"/>
  <c r="AC775" i="3"/>
  <c r="AB775" i="3"/>
  <c r="AA775" i="3"/>
  <c r="Z775" i="3"/>
  <c r="Y775" i="3"/>
  <c r="X775" i="3"/>
  <c r="D775" i="3"/>
  <c r="AG774" i="3"/>
  <c r="AE774" i="3"/>
  <c r="AF774" i="3" s="1"/>
  <c r="AC774" i="3"/>
  <c r="AB774" i="3"/>
  <c r="AA774" i="3"/>
  <c r="Z774" i="3"/>
  <c r="Y774" i="3"/>
  <c r="X774" i="3"/>
  <c r="D774" i="3"/>
  <c r="AE773" i="3"/>
  <c r="AC773" i="3"/>
  <c r="AB773" i="3"/>
  <c r="AA773" i="3"/>
  <c r="Z773" i="3"/>
  <c r="Y773" i="3"/>
  <c r="X773" i="3"/>
  <c r="D773" i="3"/>
  <c r="AE772" i="3"/>
  <c r="AC772" i="3"/>
  <c r="AB772" i="3"/>
  <c r="AA772" i="3"/>
  <c r="Z772" i="3"/>
  <c r="Y772" i="3"/>
  <c r="X772" i="3"/>
  <c r="D772" i="3"/>
  <c r="AI771" i="3"/>
  <c r="AH771" i="3"/>
  <c r="AG771" i="3"/>
  <c r="AE771" i="3"/>
  <c r="AF771" i="3" s="1"/>
  <c r="AC771" i="3"/>
  <c r="AB771" i="3"/>
  <c r="AA771" i="3"/>
  <c r="Z771" i="3"/>
  <c r="Y771" i="3"/>
  <c r="X771" i="3"/>
  <c r="D771" i="3"/>
  <c r="AH770" i="3"/>
  <c r="AG770" i="3"/>
  <c r="AI770" i="3" s="1"/>
  <c r="AE770" i="3"/>
  <c r="AF770" i="3" s="1"/>
  <c r="AC770" i="3"/>
  <c r="AB770" i="3"/>
  <c r="AA770" i="3"/>
  <c r="Z770" i="3"/>
  <c r="Y770" i="3"/>
  <c r="X770" i="3"/>
  <c r="D770" i="3"/>
  <c r="AH769" i="3"/>
  <c r="AG769" i="3"/>
  <c r="AI769" i="3" s="1"/>
  <c r="AF769" i="3"/>
  <c r="AE769" i="3"/>
  <c r="AC769" i="3"/>
  <c r="AB769" i="3"/>
  <c r="AA769" i="3"/>
  <c r="Z769" i="3"/>
  <c r="Y769" i="3"/>
  <c r="X769" i="3"/>
  <c r="D769" i="3"/>
  <c r="AG768" i="3"/>
  <c r="AE768" i="3"/>
  <c r="AF768" i="3" s="1"/>
  <c r="AC768" i="3"/>
  <c r="AB768" i="3"/>
  <c r="AA768" i="3"/>
  <c r="Z768" i="3"/>
  <c r="Y768" i="3"/>
  <c r="X768" i="3"/>
  <c r="D768" i="3"/>
  <c r="AG767" i="3"/>
  <c r="AF767" i="3"/>
  <c r="AE767" i="3"/>
  <c r="AC767" i="3"/>
  <c r="AB767" i="3"/>
  <c r="AA767" i="3"/>
  <c r="Z767" i="3"/>
  <c r="Y767" i="3"/>
  <c r="X767" i="3"/>
  <c r="D767" i="3"/>
  <c r="AE766" i="3"/>
  <c r="AC766" i="3"/>
  <c r="AB766" i="3"/>
  <c r="AA766" i="3"/>
  <c r="Z766" i="3"/>
  <c r="Y766" i="3"/>
  <c r="X766" i="3"/>
  <c r="D766" i="3"/>
  <c r="AE765" i="3"/>
  <c r="AG765" i="3" s="1"/>
  <c r="AH765" i="3" s="1"/>
  <c r="AC765" i="3"/>
  <c r="AB765" i="3"/>
  <c r="AA765" i="3"/>
  <c r="Z765" i="3"/>
  <c r="Y765" i="3"/>
  <c r="X765" i="3"/>
  <c r="D765" i="3"/>
  <c r="AE764" i="3"/>
  <c r="AF764" i="3" s="1"/>
  <c r="AC764" i="3"/>
  <c r="AB764" i="3"/>
  <c r="AA764" i="3"/>
  <c r="Z764" i="3"/>
  <c r="Y764" i="3"/>
  <c r="X764" i="3"/>
  <c r="D764" i="3"/>
  <c r="AE763" i="3"/>
  <c r="AC763" i="3"/>
  <c r="AB763" i="3"/>
  <c r="AA763" i="3"/>
  <c r="Z763" i="3"/>
  <c r="Y763" i="3"/>
  <c r="X763" i="3"/>
  <c r="D763" i="3"/>
  <c r="AI762" i="3"/>
  <c r="AH762" i="3"/>
  <c r="AG762" i="3"/>
  <c r="AE762" i="3"/>
  <c r="AF762" i="3" s="1"/>
  <c r="AC762" i="3"/>
  <c r="AB762" i="3"/>
  <c r="AA762" i="3"/>
  <c r="Z762" i="3"/>
  <c r="Y762" i="3"/>
  <c r="X762" i="3"/>
  <c r="D762" i="3"/>
  <c r="AE761" i="3"/>
  <c r="AC761" i="3"/>
  <c r="AB761" i="3"/>
  <c r="AA761" i="3"/>
  <c r="Z761" i="3"/>
  <c r="Y761" i="3"/>
  <c r="X761" i="3"/>
  <c r="D761" i="3"/>
  <c r="AI760" i="3"/>
  <c r="AH760" i="3"/>
  <c r="AG760" i="3"/>
  <c r="AE760" i="3"/>
  <c r="AF760" i="3" s="1"/>
  <c r="AC760" i="3"/>
  <c r="AB760" i="3"/>
  <c r="AA760" i="3"/>
  <c r="Z760" i="3"/>
  <c r="Y760" i="3"/>
  <c r="X760" i="3"/>
  <c r="D760" i="3"/>
  <c r="AE759" i="3"/>
  <c r="AC759" i="3"/>
  <c r="AB759" i="3"/>
  <c r="AA759" i="3"/>
  <c r="Z759" i="3"/>
  <c r="Y759" i="3"/>
  <c r="X759" i="3"/>
  <c r="D759" i="3"/>
  <c r="AI758" i="3"/>
  <c r="AH758" i="3"/>
  <c r="AG758" i="3"/>
  <c r="AE758" i="3"/>
  <c r="AF758" i="3" s="1"/>
  <c r="AC758" i="3"/>
  <c r="AB758" i="3"/>
  <c r="AA758" i="3"/>
  <c r="Z758" i="3"/>
  <c r="Y758" i="3"/>
  <c r="X758" i="3"/>
  <c r="D758" i="3"/>
  <c r="AE757" i="3"/>
  <c r="AC757" i="3"/>
  <c r="AB757" i="3"/>
  <c r="AA757" i="3"/>
  <c r="Z757" i="3"/>
  <c r="Y757" i="3"/>
  <c r="X757" i="3"/>
  <c r="D757" i="3"/>
  <c r="AI756" i="3"/>
  <c r="AH756" i="3"/>
  <c r="AG756" i="3"/>
  <c r="AE756" i="3"/>
  <c r="AF756" i="3" s="1"/>
  <c r="AC756" i="3"/>
  <c r="AB756" i="3"/>
  <c r="AA756" i="3"/>
  <c r="Z756" i="3"/>
  <c r="Y756" i="3"/>
  <c r="X756" i="3"/>
  <c r="D756" i="3"/>
  <c r="AE755" i="3"/>
  <c r="AC755" i="3"/>
  <c r="AB755" i="3"/>
  <c r="AA755" i="3"/>
  <c r="Z755" i="3"/>
  <c r="Y755" i="3"/>
  <c r="X755" i="3"/>
  <c r="D755" i="3"/>
  <c r="AI754" i="3"/>
  <c r="AH754" i="3"/>
  <c r="AG754" i="3"/>
  <c r="AE754" i="3"/>
  <c r="AF754" i="3" s="1"/>
  <c r="AC754" i="3"/>
  <c r="AB754" i="3"/>
  <c r="AA754" i="3"/>
  <c r="Z754" i="3"/>
  <c r="Y754" i="3"/>
  <c r="X754" i="3"/>
  <c r="D754" i="3"/>
  <c r="AE753" i="3"/>
  <c r="AC753" i="3"/>
  <c r="AB753" i="3"/>
  <c r="AA753" i="3"/>
  <c r="Z753" i="3"/>
  <c r="Y753" i="3"/>
  <c r="X753" i="3"/>
  <c r="D753" i="3"/>
  <c r="AI752" i="3"/>
  <c r="AH752" i="3"/>
  <c r="AG752" i="3"/>
  <c r="AE752" i="3"/>
  <c r="AF752" i="3" s="1"/>
  <c r="AC752" i="3"/>
  <c r="AB752" i="3"/>
  <c r="AA752" i="3"/>
  <c r="Z752" i="3"/>
  <c r="Y752" i="3"/>
  <c r="X752" i="3"/>
  <c r="D752" i="3"/>
  <c r="AE751" i="3"/>
  <c r="AC751" i="3"/>
  <c r="AB751" i="3"/>
  <c r="AA751" i="3"/>
  <c r="Z751" i="3"/>
  <c r="Y751" i="3"/>
  <c r="X751" i="3"/>
  <c r="D751" i="3"/>
  <c r="AI750" i="3"/>
  <c r="AH750" i="3"/>
  <c r="AG750" i="3"/>
  <c r="AE750" i="3"/>
  <c r="AF750" i="3" s="1"/>
  <c r="AC750" i="3"/>
  <c r="AB750" i="3"/>
  <c r="AA750" i="3"/>
  <c r="Z750" i="3"/>
  <c r="Y750" i="3"/>
  <c r="X750" i="3"/>
  <c r="D750" i="3"/>
  <c r="AH749" i="3"/>
  <c r="AG749" i="3"/>
  <c r="AI749" i="3" s="1"/>
  <c r="AE749" i="3"/>
  <c r="AF749" i="3" s="1"/>
  <c r="AC749" i="3"/>
  <c r="AB749" i="3"/>
  <c r="AA749" i="3"/>
  <c r="Z749" i="3"/>
  <c r="Y749" i="3"/>
  <c r="X749" i="3"/>
  <c r="D749" i="3"/>
  <c r="AI748" i="3"/>
  <c r="AH748" i="3"/>
  <c r="AG748" i="3"/>
  <c r="AE748" i="3"/>
  <c r="AF748" i="3" s="1"/>
  <c r="AC748" i="3"/>
  <c r="AB748" i="3"/>
  <c r="AA748" i="3"/>
  <c r="Z748" i="3"/>
  <c r="Y748" i="3"/>
  <c r="X748" i="3"/>
  <c r="D748" i="3"/>
  <c r="AG747" i="3"/>
  <c r="AI747" i="3" s="1"/>
  <c r="AE747" i="3"/>
  <c r="AF747" i="3" s="1"/>
  <c r="AC747" i="3"/>
  <c r="AB747" i="3"/>
  <c r="AA747" i="3"/>
  <c r="Z747" i="3"/>
  <c r="Y747" i="3"/>
  <c r="X747" i="3"/>
  <c r="D747" i="3"/>
  <c r="AI746" i="3"/>
  <c r="AH746" i="3"/>
  <c r="AG746" i="3"/>
  <c r="AE746" i="3"/>
  <c r="AF746" i="3" s="1"/>
  <c r="AC746" i="3"/>
  <c r="AB746" i="3"/>
  <c r="AA746" i="3"/>
  <c r="Z746" i="3"/>
  <c r="Y746" i="3"/>
  <c r="X746" i="3"/>
  <c r="D746" i="3"/>
  <c r="AH745" i="3"/>
  <c r="AG745" i="3"/>
  <c r="AI745" i="3" s="1"/>
  <c r="AE745" i="3"/>
  <c r="AF745" i="3" s="1"/>
  <c r="AC745" i="3"/>
  <c r="AB745" i="3"/>
  <c r="AA745" i="3"/>
  <c r="Z745" i="3"/>
  <c r="Y745" i="3"/>
  <c r="X745" i="3"/>
  <c r="D745" i="3"/>
  <c r="AI744" i="3"/>
  <c r="AH744" i="3"/>
  <c r="AG744" i="3"/>
  <c r="AE744" i="3"/>
  <c r="AF744" i="3" s="1"/>
  <c r="AC744" i="3"/>
  <c r="AB744" i="3"/>
  <c r="AA744" i="3"/>
  <c r="Z744" i="3"/>
  <c r="Y744" i="3"/>
  <c r="X744" i="3"/>
  <c r="D744" i="3"/>
  <c r="AG743" i="3"/>
  <c r="AI743" i="3" s="1"/>
  <c r="AE743" i="3"/>
  <c r="AF743" i="3" s="1"/>
  <c r="AC743" i="3"/>
  <c r="AB743" i="3"/>
  <c r="AA743" i="3"/>
  <c r="Z743" i="3"/>
  <c r="Y743" i="3"/>
  <c r="X743" i="3"/>
  <c r="D743" i="3"/>
  <c r="AI742" i="3"/>
  <c r="AH742" i="3"/>
  <c r="AG742" i="3"/>
  <c r="AE742" i="3"/>
  <c r="AF742" i="3" s="1"/>
  <c r="AC742" i="3"/>
  <c r="AB742" i="3"/>
  <c r="AA742" i="3"/>
  <c r="Z742" i="3"/>
  <c r="Y742" i="3"/>
  <c r="X742" i="3"/>
  <c r="D742" i="3"/>
  <c r="AE741" i="3"/>
  <c r="AF741" i="3" s="1"/>
  <c r="AC741" i="3"/>
  <c r="AB741" i="3"/>
  <c r="AA741" i="3"/>
  <c r="Z741" i="3"/>
  <c r="Y741" i="3"/>
  <c r="X741" i="3"/>
  <c r="D741" i="3"/>
  <c r="AI740" i="3"/>
  <c r="AG740" i="3"/>
  <c r="AH740" i="3" s="1"/>
  <c r="AE740" i="3"/>
  <c r="AF740" i="3" s="1"/>
  <c r="AC740" i="3"/>
  <c r="AB740" i="3"/>
  <c r="AA740" i="3"/>
  <c r="Z740" i="3"/>
  <c r="Y740" i="3"/>
  <c r="X740" i="3"/>
  <c r="D740" i="3"/>
  <c r="AG739" i="3"/>
  <c r="AI739" i="3" s="1"/>
  <c r="AE739" i="3"/>
  <c r="AF739" i="3" s="1"/>
  <c r="AC739" i="3"/>
  <c r="AB739" i="3"/>
  <c r="AA739" i="3"/>
  <c r="Z739" i="3"/>
  <c r="Y739" i="3"/>
  <c r="X739" i="3"/>
  <c r="D739" i="3"/>
  <c r="AG738" i="3"/>
  <c r="AI738" i="3" s="1"/>
  <c r="AE738" i="3"/>
  <c r="AF738" i="3" s="1"/>
  <c r="AC738" i="3"/>
  <c r="AB738" i="3"/>
  <c r="AA738" i="3"/>
  <c r="Z738" i="3"/>
  <c r="Y738" i="3"/>
  <c r="X738" i="3"/>
  <c r="D738" i="3"/>
  <c r="AE737" i="3"/>
  <c r="AF737" i="3" s="1"/>
  <c r="AC737" i="3"/>
  <c r="AB737" i="3"/>
  <c r="AA737" i="3"/>
  <c r="Z737" i="3"/>
  <c r="Y737" i="3"/>
  <c r="X737" i="3"/>
  <c r="D737" i="3"/>
  <c r="AI736" i="3"/>
  <c r="AG736" i="3"/>
  <c r="AH736" i="3" s="1"/>
  <c r="AE736" i="3"/>
  <c r="AF736" i="3" s="1"/>
  <c r="AC736" i="3"/>
  <c r="AB736" i="3"/>
  <c r="AA736" i="3"/>
  <c r="Z736" i="3"/>
  <c r="Y736" i="3"/>
  <c r="X736" i="3"/>
  <c r="D736" i="3"/>
  <c r="AE735" i="3"/>
  <c r="AF735" i="3" s="1"/>
  <c r="AC735" i="3"/>
  <c r="AB735" i="3"/>
  <c r="AA735" i="3"/>
  <c r="Z735" i="3"/>
  <c r="Y735" i="3"/>
  <c r="X735" i="3"/>
  <c r="D735" i="3"/>
  <c r="AI734" i="3"/>
  <c r="AH734" i="3"/>
  <c r="AG734" i="3"/>
  <c r="AE734" i="3"/>
  <c r="AF734" i="3" s="1"/>
  <c r="AC734" i="3"/>
  <c r="AB734" i="3"/>
  <c r="AA734" i="3"/>
  <c r="Z734" i="3"/>
  <c r="Y734" i="3"/>
  <c r="X734" i="3"/>
  <c r="D734" i="3"/>
  <c r="AE733" i="3"/>
  <c r="AF733" i="3" s="1"/>
  <c r="AC733" i="3"/>
  <c r="AB733" i="3"/>
  <c r="AA733" i="3"/>
  <c r="Z733" i="3"/>
  <c r="Y733" i="3"/>
  <c r="X733" i="3"/>
  <c r="D733" i="3"/>
  <c r="AI732" i="3"/>
  <c r="AH732" i="3"/>
  <c r="AG732" i="3"/>
  <c r="AE732" i="3"/>
  <c r="AF732" i="3" s="1"/>
  <c r="AC732" i="3"/>
  <c r="AB732" i="3"/>
  <c r="AA732" i="3"/>
  <c r="Z732" i="3"/>
  <c r="Y732" i="3"/>
  <c r="X732" i="3"/>
  <c r="D732" i="3"/>
  <c r="AG731" i="3"/>
  <c r="AI731" i="3" s="1"/>
  <c r="AE731" i="3"/>
  <c r="AF731" i="3" s="1"/>
  <c r="AC731" i="3"/>
  <c r="AB731" i="3"/>
  <c r="AA731" i="3"/>
  <c r="Z731" i="3"/>
  <c r="Y731" i="3"/>
  <c r="X731" i="3"/>
  <c r="D731" i="3"/>
  <c r="AG730" i="3"/>
  <c r="AI730" i="3" s="1"/>
  <c r="AE730" i="3"/>
  <c r="AF730" i="3" s="1"/>
  <c r="AC730" i="3"/>
  <c r="AB730" i="3"/>
  <c r="AA730" i="3"/>
  <c r="Z730" i="3"/>
  <c r="Y730" i="3"/>
  <c r="X730" i="3"/>
  <c r="D730" i="3"/>
  <c r="AH729" i="3"/>
  <c r="AG729" i="3"/>
  <c r="AI729" i="3" s="1"/>
  <c r="AE729" i="3"/>
  <c r="AF729" i="3" s="1"/>
  <c r="AC729" i="3"/>
  <c r="AB729" i="3"/>
  <c r="AA729" i="3"/>
  <c r="Z729" i="3"/>
  <c r="Y729" i="3"/>
  <c r="X729" i="3"/>
  <c r="D729" i="3"/>
  <c r="AG728" i="3"/>
  <c r="AI728" i="3" s="1"/>
  <c r="AE728" i="3"/>
  <c r="AF728" i="3" s="1"/>
  <c r="AC728" i="3"/>
  <c r="AB728" i="3"/>
  <c r="AA728" i="3"/>
  <c r="Z728" i="3"/>
  <c r="Y728" i="3"/>
  <c r="X728" i="3"/>
  <c r="D728" i="3"/>
  <c r="AE727" i="3"/>
  <c r="AF727" i="3" s="1"/>
  <c r="AC727" i="3"/>
  <c r="AB727" i="3"/>
  <c r="AA727" i="3"/>
  <c r="Z727" i="3"/>
  <c r="Y727" i="3"/>
  <c r="X727" i="3"/>
  <c r="D727" i="3"/>
  <c r="AI726" i="3"/>
  <c r="AH726" i="3"/>
  <c r="AG726" i="3"/>
  <c r="AE726" i="3"/>
  <c r="AF726" i="3" s="1"/>
  <c r="AC726" i="3"/>
  <c r="AB726" i="3"/>
  <c r="AA726" i="3"/>
  <c r="Z726" i="3"/>
  <c r="Y726" i="3"/>
  <c r="X726" i="3"/>
  <c r="D726" i="3"/>
  <c r="AE725" i="3"/>
  <c r="AF725" i="3" s="1"/>
  <c r="AC725" i="3"/>
  <c r="AB725" i="3"/>
  <c r="AA725" i="3"/>
  <c r="Z725" i="3"/>
  <c r="Y725" i="3"/>
  <c r="X725" i="3"/>
  <c r="D725" i="3"/>
  <c r="AI724" i="3"/>
  <c r="AG724" i="3"/>
  <c r="AH724" i="3" s="1"/>
  <c r="AE724" i="3"/>
  <c r="AF724" i="3" s="1"/>
  <c r="AC724" i="3"/>
  <c r="AB724" i="3"/>
  <c r="AA724" i="3"/>
  <c r="Z724" i="3"/>
  <c r="Y724" i="3"/>
  <c r="X724" i="3"/>
  <c r="D724" i="3"/>
  <c r="AG723" i="3"/>
  <c r="AI723" i="3" s="1"/>
  <c r="AE723" i="3"/>
  <c r="AF723" i="3" s="1"/>
  <c r="AC723" i="3"/>
  <c r="AB723" i="3"/>
  <c r="AA723" i="3"/>
  <c r="Z723" i="3"/>
  <c r="Y723" i="3"/>
  <c r="X723" i="3"/>
  <c r="D723" i="3"/>
  <c r="AG722" i="3"/>
  <c r="AI722" i="3" s="1"/>
  <c r="AE722" i="3"/>
  <c r="AF722" i="3" s="1"/>
  <c r="AC722" i="3"/>
  <c r="AB722" i="3"/>
  <c r="AA722" i="3"/>
  <c r="Z722" i="3"/>
  <c r="Y722" i="3"/>
  <c r="X722" i="3"/>
  <c r="D722" i="3"/>
  <c r="AE721" i="3"/>
  <c r="AF721" i="3" s="1"/>
  <c r="AC721" i="3"/>
  <c r="AB721" i="3"/>
  <c r="AA721" i="3"/>
  <c r="Z721" i="3"/>
  <c r="Y721" i="3"/>
  <c r="X721" i="3"/>
  <c r="D721" i="3"/>
  <c r="AG720" i="3"/>
  <c r="AI720" i="3" s="1"/>
  <c r="AE720" i="3"/>
  <c r="AF720" i="3" s="1"/>
  <c r="AC720" i="3"/>
  <c r="AB720" i="3"/>
  <c r="AA720" i="3"/>
  <c r="Z720" i="3"/>
  <c r="Y720" i="3"/>
  <c r="X720" i="3"/>
  <c r="D720" i="3"/>
  <c r="AE719" i="3"/>
  <c r="AF719" i="3" s="1"/>
  <c r="AC719" i="3"/>
  <c r="AB719" i="3"/>
  <c r="AA719" i="3"/>
  <c r="Z719" i="3"/>
  <c r="Y719" i="3"/>
  <c r="X719" i="3"/>
  <c r="D719" i="3"/>
  <c r="AI718" i="3"/>
  <c r="AH718" i="3"/>
  <c r="AG718" i="3"/>
  <c r="AE718" i="3"/>
  <c r="AF718" i="3" s="1"/>
  <c r="AC718" i="3"/>
  <c r="AB718" i="3"/>
  <c r="AA718" i="3"/>
  <c r="Z718" i="3"/>
  <c r="Y718" i="3"/>
  <c r="X718" i="3"/>
  <c r="D718" i="3"/>
  <c r="AE717" i="3"/>
  <c r="AF717" i="3" s="1"/>
  <c r="AC717" i="3"/>
  <c r="AB717" i="3"/>
  <c r="AA717" i="3"/>
  <c r="Z717" i="3"/>
  <c r="Y717" i="3"/>
  <c r="X717" i="3"/>
  <c r="D717" i="3"/>
  <c r="AI716" i="3"/>
  <c r="AH716" i="3"/>
  <c r="AG716" i="3"/>
  <c r="AE716" i="3"/>
  <c r="AF716" i="3" s="1"/>
  <c r="AC716" i="3"/>
  <c r="AB716" i="3"/>
  <c r="AA716" i="3"/>
  <c r="Z716" i="3"/>
  <c r="Y716" i="3"/>
  <c r="X716" i="3"/>
  <c r="D716" i="3"/>
  <c r="AG715" i="3"/>
  <c r="AI715" i="3" s="1"/>
  <c r="AE715" i="3"/>
  <c r="AF715" i="3" s="1"/>
  <c r="AC715" i="3"/>
  <c r="AB715" i="3"/>
  <c r="AA715" i="3"/>
  <c r="Z715" i="3"/>
  <c r="Y715" i="3"/>
  <c r="X715" i="3"/>
  <c r="D715" i="3"/>
  <c r="AG714" i="3"/>
  <c r="AI714" i="3" s="1"/>
  <c r="AE714" i="3"/>
  <c r="AF714" i="3" s="1"/>
  <c r="AC714" i="3"/>
  <c r="AB714" i="3"/>
  <c r="AA714" i="3"/>
  <c r="Z714" i="3"/>
  <c r="Y714" i="3"/>
  <c r="X714" i="3"/>
  <c r="D714" i="3"/>
  <c r="AH713" i="3"/>
  <c r="AG713" i="3"/>
  <c r="AI713" i="3" s="1"/>
  <c r="AE713" i="3"/>
  <c r="AF713" i="3" s="1"/>
  <c r="AC713" i="3"/>
  <c r="AB713" i="3"/>
  <c r="AA713" i="3"/>
  <c r="Z713" i="3"/>
  <c r="Y713" i="3"/>
  <c r="X713" i="3"/>
  <c r="D713" i="3"/>
  <c r="AG712" i="3"/>
  <c r="AI712" i="3" s="1"/>
  <c r="AE712" i="3"/>
  <c r="AF712" i="3" s="1"/>
  <c r="AC712" i="3"/>
  <c r="AB712" i="3"/>
  <c r="AA712" i="3"/>
  <c r="Z712" i="3"/>
  <c r="Y712" i="3"/>
  <c r="X712" i="3"/>
  <c r="D712" i="3"/>
  <c r="AE711" i="3"/>
  <c r="AF711" i="3" s="1"/>
  <c r="AC711" i="3"/>
  <c r="AB711" i="3"/>
  <c r="AA711" i="3"/>
  <c r="Z711" i="3"/>
  <c r="Y711" i="3"/>
  <c r="X711" i="3"/>
  <c r="D711" i="3"/>
  <c r="AI710" i="3"/>
  <c r="AH710" i="3"/>
  <c r="AG710" i="3"/>
  <c r="AE710" i="3"/>
  <c r="AF710" i="3" s="1"/>
  <c r="AC710" i="3"/>
  <c r="AB710" i="3"/>
  <c r="AA710" i="3"/>
  <c r="Z710" i="3"/>
  <c r="Y710" i="3"/>
  <c r="X710" i="3"/>
  <c r="D710" i="3"/>
  <c r="AE709" i="3"/>
  <c r="AF709" i="3" s="1"/>
  <c r="AC709" i="3"/>
  <c r="AB709" i="3"/>
  <c r="AA709" i="3"/>
  <c r="Z709" i="3"/>
  <c r="Y709" i="3"/>
  <c r="X709" i="3"/>
  <c r="D709" i="3"/>
  <c r="AI708" i="3"/>
  <c r="AG708" i="3"/>
  <c r="AH708" i="3" s="1"/>
  <c r="AE708" i="3"/>
  <c r="AF708" i="3" s="1"/>
  <c r="AC708" i="3"/>
  <c r="AB708" i="3"/>
  <c r="AA708" i="3"/>
  <c r="Z708" i="3"/>
  <c r="Y708" i="3"/>
  <c r="X708" i="3"/>
  <c r="D708" i="3"/>
  <c r="AG707" i="3"/>
  <c r="AI707" i="3" s="1"/>
  <c r="AE707" i="3"/>
  <c r="AF707" i="3" s="1"/>
  <c r="AC707" i="3"/>
  <c r="AB707" i="3"/>
  <c r="AA707" i="3"/>
  <c r="Z707" i="3"/>
  <c r="Y707" i="3"/>
  <c r="X707" i="3"/>
  <c r="D707" i="3"/>
  <c r="AG706" i="3"/>
  <c r="AI706" i="3" s="1"/>
  <c r="AE706" i="3"/>
  <c r="AF706" i="3" s="1"/>
  <c r="AC706" i="3"/>
  <c r="AB706" i="3"/>
  <c r="AA706" i="3"/>
  <c r="Z706" i="3"/>
  <c r="Y706" i="3"/>
  <c r="X706" i="3"/>
  <c r="D706" i="3"/>
  <c r="AE705" i="3"/>
  <c r="AF705" i="3" s="1"/>
  <c r="AC705" i="3"/>
  <c r="AB705" i="3"/>
  <c r="AA705" i="3"/>
  <c r="Z705" i="3"/>
  <c r="Y705" i="3"/>
  <c r="X705" i="3"/>
  <c r="D705" i="3"/>
  <c r="AG704" i="3"/>
  <c r="AI704" i="3" s="1"/>
  <c r="AE704" i="3"/>
  <c r="AF704" i="3" s="1"/>
  <c r="AC704" i="3"/>
  <c r="AB704" i="3"/>
  <c r="AA704" i="3"/>
  <c r="Z704" i="3"/>
  <c r="Y704" i="3"/>
  <c r="X704" i="3"/>
  <c r="D704" i="3"/>
  <c r="AE703" i="3"/>
  <c r="AF703" i="3" s="1"/>
  <c r="AC703" i="3"/>
  <c r="AB703" i="3"/>
  <c r="AA703" i="3"/>
  <c r="Z703" i="3"/>
  <c r="Y703" i="3"/>
  <c r="X703" i="3"/>
  <c r="D703" i="3"/>
  <c r="AI702" i="3"/>
  <c r="AH702" i="3"/>
  <c r="AG702" i="3"/>
  <c r="AE702" i="3"/>
  <c r="AF702" i="3" s="1"/>
  <c r="AC702" i="3"/>
  <c r="AB702" i="3"/>
  <c r="AA702" i="3"/>
  <c r="Z702" i="3"/>
  <c r="Y702" i="3"/>
  <c r="X702" i="3"/>
  <c r="D702" i="3"/>
  <c r="AE701" i="3"/>
  <c r="AF701" i="3" s="1"/>
  <c r="AC701" i="3"/>
  <c r="AB701" i="3"/>
  <c r="AA701" i="3"/>
  <c r="Z701" i="3"/>
  <c r="Y701" i="3"/>
  <c r="X701" i="3"/>
  <c r="D701" i="3"/>
  <c r="AI700" i="3"/>
  <c r="AH700" i="3"/>
  <c r="AG700" i="3"/>
  <c r="AE700" i="3"/>
  <c r="AF700" i="3" s="1"/>
  <c r="AC700" i="3"/>
  <c r="AB700" i="3"/>
  <c r="AA700" i="3"/>
  <c r="Z700" i="3"/>
  <c r="Y700" i="3"/>
  <c r="X700" i="3"/>
  <c r="D700" i="3"/>
  <c r="AG699" i="3"/>
  <c r="AI699" i="3" s="1"/>
  <c r="AE699" i="3"/>
  <c r="AF699" i="3" s="1"/>
  <c r="AC699" i="3"/>
  <c r="AB699" i="3"/>
  <c r="AA699" i="3"/>
  <c r="Z699" i="3"/>
  <c r="Y699" i="3"/>
  <c r="X699" i="3"/>
  <c r="D699" i="3"/>
  <c r="AE698" i="3"/>
  <c r="AF698" i="3" s="1"/>
  <c r="AC698" i="3"/>
  <c r="AB698" i="3"/>
  <c r="AA698" i="3"/>
  <c r="Z698" i="3"/>
  <c r="Y698" i="3"/>
  <c r="X698" i="3"/>
  <c r="D698" i="3"/>
  <c r="AE697" i="3"/>
  <c r="AF697" i="3" s="1"/>
  <c r="AC697" i="3"/>
  <c r="AB697" i="3"/>
  <c r="AA697" i="3"/>
  <c r="Z697" i="3"/>
  <c r="Y697" i="3"/>
  <c r="X697" i="3"/>
  <c r="D697" i="3"/>
  <c r="AE696" i="3"/>
  <c r="AF696" i="3" s="1"/>
  <c r="AC696" i="3"/>
  <c r="AB696" i="3"/>
  <c r="AA696" i="3"/>
  <c r="Z696" i="3"/>
  <c r="Y696" i="3"/>
  <c r="X696" i="3"/>
  <c r="D696" i="3"/>
  <c r="AG695" i="3"/>
  <c r="AI695" i="3" s="1"/>
  <c r="AE695" i="3"/>
  <c r="AF695" i="3" s="1"/>
  <c r="AC695" i="3"/>
  <c r="AB695" i="3"/>
  <c r="AA695" i="3"/>
  <c r="Z695" i="3"/>
  <c r="Y695" i="3"/>
  <c r="X695" i="3"/>
  <c r="D695" i="3"/>
  <c r="AE694" i="3"/>
  <c r="AF694" i="3" s="1"/>
  <c r="AC694" i="3"/>
  <c r="AB694" i="3"/>
  <c r="AA694" i="3"/>
  <c r="Z694" i="3"/>
  <c r="Y694" i="3"/>
  <c r="X694" i="3"/>
  <c r="D694" i="3"/>
  <c r="AE693" i="3"/>
  <c r="AF693" i="3" s="1"/>
  <c r="AC693" i="3"/>
  <c r="AB693" i="3"/>
  <c r="AA693" i="3"/>
  <c r="Z693" i="3"/>
  <c r="Y693" i="3"/>
  <c r="X693" i="3"/>
  <c r="D693" i="3"/>
  <c r="AI692" i="3"/>
  <c r="AH692" i="3"/>
  <c r="AG692" i="3"/>
  <c r="AE692" i="3"/>
  <c r="AF692" i="3" s="1"/>
  <c r="AC692" i="3"/>
  <c r="AB692" i="3"/>
  <c r="AA692" i="3"/>
  <c r="Z692" i="3"/>
  <c r="Y692" i="3"/>
  <c r="X692" i="3"/>
  <c r="D692" i="3"/>
  <c r="AG691" i="3"/>
  <c r="AI691" i="3" s="1"/>
  <c r="AE691" i="3"/>
  <c r="AF691" i="3" s="1"/>
  <c r="AC691" i="3"/>
  <c r="AB691" i="3"/>
  <c r="AA691" i="3"/>
  <c r="Z691" i="3"/>
  <c r="Y691" i="3"/>
  <c r="X691" i="3"/>
  <c r="D691" i="3"/>
  <c r="AG690" i="3"/>
  <c r="AI690" i="3" s="1"/>
  <c r="AE690" i="3"/>
  <c r="AF690" i="3" s="1"/>
  <c r="AC690" i="3"/>
  <c r="AB690" i="3"/>
  <c r="AA690" i="3"/>
  <c r="Z690" i="3"/>
  <c r="Y690" i="3"/>
  <c r="X690" i="3"/>
  <c r="D690" i="3"/>
  <c r="AG689" i="3"/>
  <c r="AI689" i="3" s="1"/>
  <c r="AF689" i="3"/>
  <c r="AE689" i="3"/>
  <c r="AC689" i="3"/>
  <c r="AB689" i="3"/>
  <c r="AA689" i="3"/>
  <c r="Z689" i="3"/>
  <c r="Y689" i="3"/>
  <c r="X689" i="3"/>
  <c r="D689" i="3"/>
  <c r="AE688" i="3"/>
  <c r="AF688" i="3" s="1"/>
  <c r="AC688" i="3"/>
  <c r="AB688" i="3"/>
  <c r="AA688" i="3"/>
  <c r="Z688" i="3"/>
  <c r="Y688" i="3"/>
  <c r="X688" i="3"/>
  <c r="D688" i="3"/>
  <c r="AE687" i="3"/>
  <c r="AG687" i="3" s="1"/>
  <c r="AC687" i="3"/>
  <c r="AB687" i="3"/>
  <c r="AA687" i="3"/>
  <c r="Z687" i="3"/>
  <c r="Y687" i="3"/>
  <c r="X687" i="3"/>
  <c r="D687" i="3"/>
  <c r="AE686" i="3"/>
  <c r="AF686" i="3" s="1"/>
  <c r="AC686" i="3"/>
  <c r="AB686" i="3"/>
  <c r="AA686" i="3"/>
  <c r="Z686" i="3"/>
  <c r="Y686" i="3"/>
  <c r="X686" i="3"/>
  <c r="D686" i="3"/>
  <c r="AE685" i="3"/>
  <c r="AG685" i="3" s="1"/>
  <c r="AC685" i="3"/>
  <c r="AB685" i="3"/>
  <c r="AA685" i="3"/>
  <c r="Z685" i="3"/>
  <c r="Y685" i="3"/>
  <c r="X685" i="3"/>
  <c r="D685" i="3"/>
  <c r="AE684" i="3"/>
  <c r="AG684" i="3" s="1"/>
  <c r="AC684" i="3"/>
  <c r="AB684" i="3"/>
  <c r="AA684" i="3"/>
  <c r="Z684" i="3"/>
  <c r="Y684" i="3"/>
  <c r="X684" i="3"/>
  <c r="D684" i="3"/>
  <c r="AE683" i="3"/>
  <c r="AG683" i="3" s="1"/>
  <c r="AC683" i="3"/>
  <c r="AB683" i="3"/>
  <c r="AA683" i="3"/>
  <c r="Z683" i="3"/>
  <c r="Y683" i="3"/>
  <c r="X683" i="3"/>
  <c r="D683" i="3"/>
  <c r="AE682" i="3"/>
  <c r="AG682" i="3" s="1"/>
  <c r="AC682" i="3"/>
  <c r="AB682" i="3"/>
  <c r="AA682" i="3"/>
  <c r="Z682" i="3"/>
  <c r="Y682" i="3"/>
  <c r="X682" i="3"/>
  <c r="D682" i="3"/>
  <c r="AE681" i="3"/>
  <c r="AG681" i="3" s="1"/>
  <c r="AC681" i="3"/>
  <c r="AB681" i="3"/>
  <c r="AA681" i="3"/>
  <c r="Z681" i="3"/>
  <c r="Y681" i="3"/>
  <c r="X681" i="3"/>
  <c r="D681" i="3"/>
  <c r="AI680" i="3"/>
  <c r="AH680" i="3"/>
  <c r="AG680" i="3"/>
  <c r="AE680" i="3"/>
  <c r="AF680" i="3" s="1"/>
  <c r="AC680" i="3"/>
  <c r="AB680" i="3"/>
  <c r="AA680" i="3"/>
  <c r="Z680" i="3"/>
  <c r="Y680" i="3"/>
  <c r="X680" i="3"/>
  <c r="D680" i="3"/>
  <c r="AH679" i="3"/>
  <c r="AG679" i="3"/>
  <c r="AI679" i="3" s="1"/>
  <c r="AE679" i="3"/>
  <c r="AF679" i="3" s="1"/>
  <c r="AC679" i="3"/>
  <c r="AB679" i="3"/>
  <c r="AA679" i="3"/>
  <c r="Z679" i="3"/>
  <c r="Y679" i="3"/>
  <c r="X679" i="3"/>
  <c r="D679" i="3"/>
  <c r="AH678" i="3"/>
  <c r="AG678" i="3"/>
  <c r="AI678" i="3" s="1"/>
  <c r="AE678" i="3"/>
  <c r="AF678" i="3" s="1"/>
  <c r="AC678" i="3"/>
  <c r="AB678" i="3"/>
  <c r="AA678" i="3"/>
  <c r="Z678" i="3"/>
  <c r="Y678" i="3"/>
  <c r="X678" i="3"/>
  <c r="D678" i="3"/>
  <c r="AH677" i="3"/>
  <c r="AG677" i="3"/>
  <c r="AI677" i="3" s="1"/>
  <c r="AE677" i="3"/>
  <c r="AF677" i="3" s="1"/>
  <c r="AC677" i="3"/>
  <c r="AB677" i="3"/>
  <c r="AA677" i="3"/>
  <c r="Z677" i="3"/>
  <c r="Y677" i="3"/>
  <c r="X677" i="3"/>
  <c r="D677" i="3"/>
  <c r="AH676" i="3"/>
  <c r="AG676" i="3"/>
  <c r="AI676" i="3" s="1"/>
  <c r="AE676" i="3"/>
  <c r="AF676" i="3" s="1"/>
  <c r="AC676" i="3"/>
  <c r="AB676" i="3"/>
  <c r="AA676" i="3"/>
  <c r="Z676" i="3"/>
  <c r="Y676" i="3"/>
  <c r="X676" i="3"/>
  <c r="D676" i="3"/>
  <c r="AH675" i="3"/>
  <c r="AG675" i="3"/>
  <c r="AI675" i="3" s="1"/>
  <c r="AE675" i="3"/>
  <c r="AF675" i="3" s="1"/>
  <c r="AC675" i="3"/>
  <c r="AB675" i="3"/>
  <c r="AA675" i="3"/>
  <c r="Z675" i="3"/>
  <c r="Y675" i="3"/>
  <c r="X675" i="3"/>
  <c r="D675" i="3"/>
  <c r="AH674" i="3"/>
  <c r="AG674" i="3"/>
  <c r="AI674" i="3" s="1"/>
  <c r="AE674" i="3"/>
  <c r="AF674" i="3" s="1"/>
  <c r="AC674" i="3"/>
  <c r="AB674" i="3"/>
  <c r="AA674" i="3"/>
  <c r="Z674" i="3"/>
  <c r="Y674" i="3"/>
  <c r="X674" i="3"/>
  <c r="D674" i="3"/>
  <c r="AH673" i="3"/>
  <c r="AG673" i="3"/>
  <c r="AI673" i="3" s="1"/>
  <c r="AE673" i="3"/>
  <c r="AF673" i="3" s="1"/>
  <c r="AC673" i="3"/>
  <c r="AB673" i="3"/>
  <c r="AA673" i="3"/>
  <c r="Z673" i="3"/>
  <c r="Y673" i="3"/>
  <c r="X673" i="3"/>
  <c r="D673" i="3"/>
  <c r="AH672" i="3"/>
  <c r="AG672" i="3"/>
  <c r="AI672" i="3" s="1"/>
  <c r="AE672" i="3"/>
  <c r="AF672" i="3" s="1"/>
  <c r="AC672" i="3"/>
  <c r="AB672" i="3"/>
  <c r="AA672" i="3"/>
  <c r="Z672" i="3"/>
  <c r="Y672" i="3"/>
  <c r="X672" i="3"/>
  <c r="D672" i="3"/>
  <c r="AH671" i="3"/>
  <c r="AG671" i="3"/>
  <c r="AI671" i="3" s="1"/>
  <c r="AE671" i="3"/>
  <c r="AF671" i="3" s="1"/>
  <c r="AC671" i="3"/>
  <c r="AB671" i="3"/>
  <c r="AA671" i="3"/>
  <c r="Z671" i="3"/>
  <c r="Y671" i="3"/>
  <c r="X671" i="3"/>
  <c r="D671" i="3"/>
  <c r="AH670" i="3"/>
  <c r="AG670" i="3"/>
  <c r="AI670" i="3" s="1"/>
  <c r="AE670" i="3"/>
  <c r="AF670" i="3" s="1"/>
  <c r="AC670" i="3"/>
  <c r="AB670" i="3"/>
  <c r="AA670" i="3"/>
  <c r="Z670" i="3"/>
  <c r="Y670" i="3"/>
  <c r="X670" i="3"/>
  <c r="D670" i="3"/>
  <c r="AH669" i="3"/>
  <c r="AG669" i="3"/>
  <c r="AI669" i="3" s="1"/>
  <c r="AE669" i="3"/>
  <c r="AF669" i="3" s="1"/>
  <c r="AC669" i="3"/>
  <c r="AB669" i="3"/>
  <c r="AA669" i="3"/>
  <c r="Z669" i="3"/>
  <c r="Y669" i="3"/>
  <c r="X669" i="3"/>
  <c r="D669" i="3"/>
  <c r="AH668" i="3"/>
  <c r="AG668" i="3"/>
  <c r="AI668" i="3" s="1"/>
  <c r="AE668" i="3"/>
  <c r="AF668" i="3" s="1"/>
  <c r="AC668" i="3"/>
  <c r="AB668" i="3"/>
  <c r="AA668" i="3"/>
  <c r="Z668" i="3"/>
  <c r="Y668" i="3"/>
  <c r="X668" i="3"/>
  <c r="D668" i="3"/>
  <c r="AH667" i="3"/>
  <c r="AG667" i="3"/>
  <c r="AI667" i="3" s="1"/>
  <c r="AE667" i="3"/>
  <c r="AF667" i="3" s="1"/>
  <c r="AC667" i="3"/>
  <c r="AB667" i="3"/>
  <c r="AA667" i="3"/>
  <c r="Z667" i="3"/>
  <c r="Y667" i="3"/>
  <c r="X667" i="3"/>
  <c r="D667" i="3"/>
  <c r="AH666" i="3"/>
  <c r="AG666" i="3"/>
  <c r="AI666" i="3" s="1"/>
  <c r="AE666" i="3"/>
  <c r="AF666" i="3" s="1"/>
  <c r="AC666" i="3"/>
  <c r="AB666" i="3"/>
  <c r="AA666" i="3"/>
  <c r="Z666" i="3"/>
  <c r="Y666" i="3"/>
  <c r="X666" i="3"/>
  <c r="D666" i="3"/>
  <c r="AH665" i="3"/>
  <c r="AG665" i="3"/>
  <c r="AI665" i="3" s="1"/>
  <c r="AE665" i="3"/>
  <c r="AF665" i="3" s="1"/>
  <c r="AC665" i="3"/>
  <c r="AB665" i="3"/>
  <c r="AA665" i="3"/>
  <c r="Z665" i="3"/>
  <c r="Y665" i="3"/>
  <c r="X665" i="3"/>
  <c r="D665" i="3"/>
  <c r="AH664" i="3"/>
  <c r="AG664" i="3"/>
  <c r="AI664" i="3" s="1"/>
  <c r="AE664" i="3"/>
  <c r="AF664" i="3" s="1"/>
  <c r="AC664" i="3"/>
  <c r="AB664" i="3"/>
  <c r="AA664" i="3"/>
  <c r="Z664" i="3"/>
  <c r="Y664" i="3"/>
  <c r="X664" i="3"/>
  <c r="D664" i="3"/>
  <c r="AH663" i="3"/>
  <c r="AG663" i="3"/>
  <c r="AI663" i="3" s="1"/>
  <c r="AE663" i="3"/>
  <c r="AF663" i="3" s="1"/>
  <c r="AC663" i="3"/>
  <c r="AB663" i="3"/>
  <c r="AA663" i="3"/>
  <c r="Z663" i="3"/>
  <c r="Y663" i="3"/>
  <c r="X663" i="3"/>
  <c r="D663" i="3"/>
  <c r="AH662" i="3"/>
  <c r="AG662" i="3"/>
  <c r="AI662" i="3" s="1"/>
  <c r="AE662" i="3"/>
  <c r="AF662" i="3" s="1"/>
  <c r="AC662" i="3"/>
  <c r="AB662" i="3"/>
  <c r="AA662" i="3"/>
  <c r="Z662" i="3"/>
  <c r="Y662" i="3"/>
  <c r="X662" i="3"/>
  <c r="D662" i="3"/>
  <c r="AH661" i="3"/>
  <c r="AG661" i="3"/>
  <c r="AI661" i="3" s="1"/>
  <c r="AE661" i="3"/>
  <c r="AF661" i="3" s="1"/>
  <c r="AC661" i="3"/>
  <c r="AB661" i="3"/>
  <c r="AA661" i="3"/>
  <c r="Z661" i="3"/>
  <c r="Y661" i="3"/>
  <c r="X661" i="3"/>
  <c r="D661" i="3"/>
  <c r="AH660" i="3"/>
  <c r="AG660" i="3"/>
  <c r="AI660" i="3" s="1"/>
  <c r="AE660" i="3"/>
  <c r="AF660" i="3" s="1"/>
  <c r="AC660" i="3"/>
  <c r="AB660" i="3"/>
  <c r="AA660" i="3"/>
  <c r="Z660" i="3"/>
  <c r="Y660" i="3"/>
  <c r="X660" i="3"/>
  <c r="D660" i="3"/>
  <c r="AH659" i="3"/>
  <c r="AG659" i="3"/>
  <c r="AI659" i="3" s="1"/>
  <c r="AE659" i="3"/>
  <c r="AF659" i="3" s="1"/>
  <c r="AC659" i="3"/>
  <c r="AB659" i="3"/>
  <c r="AA659" i="3"/>
  <c r="Z659" i="3"/>
  <c r="Y659" i="3"/>
  <c r="X659" i="3"/>
  <c r="D659" i="3"/>
  <c r="AH658" i="3"/>
  <c r="AG658" i="3"/>
  <c r="AI658" i="3" s="1"/>
  <c r="AE658" i="3"/>
  <c r="AF658" i="3" s="1"/>
  <c r="AC658" i="3"/>
  <c r="AB658" i="3"/>
  <c r="AA658" i="3"/>
  <c r="Z658" i="3"/>
  <c r="Y658" i="3"/>
  <c r="X658" i="3"/>
  <c r="D658" i="3"/>
  <c r="AH657" i="3"/>
  <c r="AG657" i="3"/>
  <c r="AI657" i="3" s="1"/>
  <c r="AE657" i="3"/>
  <c r="AF657" i="3" s="1"/>
  <c r="AC657" i="3"/>
  <c r="AB657" i="3"/>
  <c r="AA657" i="3"/>
  <c r="Z657" i="3"/>
  <c r="Y657" i="3"/>
  <c r="X657" i="3"/>
  <c r="D657" i="3"/>
  <c r="AH656" i="3"/>
  <c r="AG656" i="3"/>
  <c r="AI656" i="3" s="1"/>
  <c r="AE656" i="3"/>
  <c r="AF656" i="3" s="1"/>
  <c r="AC656" i="3"/>
  <c r="AB656" i="3"/>
  <c r="AA656" i="3"/>
  <c r="Z656" i="3"/>
  <c r="Y656" i="3"/>
  <c r="X656" i="3"/>
  <c r="D656" i="3"/>
  <c r="AH655" i="3"/>
  <c r="AG655" i="3"/>
  <c r="AI655" i="3" s="1"/>
  <c r="AE655" i="3"/>
  <c r="AF655" i="3" s="1"/>
  <c r="AC655" i="3"/>
  <c r="AB655" i="3"/>
  <c r="AA655" i="3"/>
  <c r="Z655" i="3"/>
  <c r="Y655" i="3"/>
  <c r="X655" i="3"/>
  <c r="D655" i="3"/>
  <c r="AH654" i="3"/>
  <c r="AG654" i="3"/>
  <c r="AI654" i="3" s="1"/>
  <c r="AE654" i="3"/>
  <c r="AF654" i="3" s="1"/>
  <c r="AC654" i="3"/>
  <c r="AB654" i="3"/>
  <c r="AA654" i="3"/>
  <c r="Z654" i="3"/>
  <c r="Y654" i="3"/>
  <c r="X654" i="3"/>
  <c r="D654" i="3"/>
  <c r="AH653" i="3"/>
  <c r="AG653" i="3"/>
  <c r="AI653" i="3" s="1"/>
  <c r="AE653" i="3"/>
  <c r="AF653" i="3" s="1"/>
  <c r="AC653" i="3"/>
  <c r="AB653" i="3"/>
  <c r="AA653" i="3"/>
  <c r="Z653" i="3"/>
  <c r="Y653" i="3"/>
  <c r="X653" i="3"/>
  <c r="D653" i="3"/>
  <c r="AH652" i="3"/>
  <c r="AG652" i="3"/>
  <c r="AI652" i="3" s="1"/>
  <c r="AE652" i="3"/>
  <c r="AF652" i="3" s="1"/>
  <c r="AC652" i="3"/>
  <c r="AB652" i="3"/>
  <c r="AA652" i="3"/>
  <c r="Z652" i="3"/>
  <c r="Y652" i="3"/>
  <c r="X652" i="3"/>
  <c r="D652" i="3"/>
  <c r="AH651" i="3"/>
  <c r="AG651" i="3"/>
  <c r="AI651" i="3" s="1"/>
  <c r="AE651" i="3"/>
  <c r="AF651" i="3" s="1"/>
  <c r="AC651" i="3"/>
  <c r="AB651" i="3"/>
  <c r="AA651" i="3"/>
  <c r="Z651" i="3"/>
  <c r="Y651" i="3"/>
  <c r="X651" i="3"/>
  <c r="D651" i="3"/>
  <c r="AH650" i="3"/>
  <c r="AG650" i="3"/>
  <c r="AI650" i="3" s="1"/>
  <c r="AE650" i="3"/>
  <c r="AF650" i="3" s="1"/>
  <c r="AC650" i="3"/>
  <c r="AB650" i="3"/>
  <c r="AA650" i="3"/>
  <c r="Z650" i="3"/>
  <c r="Y650" i="3"/>
  <c r="X650" i="3"/>
  <c r="D650" i="3"/>
  <c r="AH649" i="3"/>
  <c r="AG649" i="3"/>
  <c r="AI649" i="3" s="1"/>
  <c r="AE649" i="3"/>
  <c r="AF649" i="3" s="1"/>
  <c r="AC649" i="3"/>
  <c r="AB649" i="3"/>
  <c r="AA649" i="3"/>
  <c r="Z649" i="3"/>
  <c r="Y649" i="3"/>
  <c r="X649" i="3"/>
  <c r="D649" i="3"/>
  <c r="AH648" i="3"/>
  <c r="AG648" i="3"/>
  <c r="AI648" i="3" s="1"/>
  <c r="AE648" i="3"/>
  <c r="AF648" i="3" s="1"/>
  <c r="AC648" i="3"/>
  <c r="AB648" i="3"/>
  <c r="AA648" i="3"/>
  <c r="Z648" i="3"/>
  <c r="Y648" i="3"/>
  <c r="X648" i="3"/>
  <c r="D648" i="3"/>
  <c r="AH647" i="3"/>
  <c r="AG647" i="3"/>
  <c r="AI647" i="3" s="1"/>
  <c r="AE647" i="3"/>
  <c r="AF647" i="3" s="1"/>
  <c r="AC647" i="3"/>
  <c r="AB647" i="3"/>
  <c r="AA647" i="3"/>
  <c r="Z647" i="3"/>
  <c r="Y647" i="3"/>
  <c r="X647" i="3"/>
  <c r="D647" i="3"/>
  <c r="AH646" i="3"/>
  <c r="AG646" i="3"/>
  <c r="AI646" i="3" s="1"/>
  <c r="AE646" i="3"/>
  <c r="AF646" i="3" s="1"/>
  <c r="AC646" i="3"/>
  <c r="AB646" i="3"/>
  <c r="AA646" i="3"/>
  <c r="Z646" i="3"/>
  <c r="Y646" i="3"/>
  <c r="X646" i="3"/>
  <c r="D646" i="3"/>
  <c r="AH645" i="3"/>
  <c r="AG645" i="3"/>
  <c r="AI645" i="3" s="1"/>
  <c r="AE645" i="3"/>
  <c r="AF645" i="3" s="1"/>
  <c r="AC645" i="3"/>
  <c r="AB645" i="3"/>
  <c r="AA645" i="3"/>
  <c r="Z645" i="3"/>
  <c r="Y645" i="3"/>
  <c r="X645" i="3"/>
  <c r="D645" i="3"/>
  <c r="AH644" i="3"/>
  <c r="AG644" i="3"/>
  <c r="AI644" i="3" s="1"/>
  <c r="AE644" i="3"/>
  <c r="AF644" i="3" s="1"/>
  <c r="AC644" i="3"/>
  <c r="AB644" i="3"/>
  <c r="AA644" i="3"/>
  <c r="Z644" i="3"/>
  <c r="Y644" i="3"/>
  <c r="X644" i="3"/>
  <c r="D644" i="3"/>
  <c r="AG643" i="3"/>
  <c r="AE643" i="3"/>
  <c r="AF643" i="3" s="1"/>
  <c r="AC643" i="3"/>
  <c r="AB643" i="3"/>
  <c r="AA643" i="3"/>
  <c r="Z643" i="3"/>
  <c r="Y643" i="3"/>
  <c r="X643" i="3"/>
  <c r="D643" i="3"/>
  <c r="AH642" i="3"/>
  <c r="AG642" i="3"/>
  <c r="AI642" i="3" s="1"/>
  <c r="AE642" i="3"/>
  <c r="AF642" i="3" s="1"/>
  <c r="AC642" i="3"/>
  <c r="AB642" i="3"/>
  <c r="AA642" i="3"/>
  <c r="Z642" i="3"/>
  <c r="Y642" i="3"/>
  <c r="X642" i="3"/>
  <c r="D642" i="3"/>
  <c r="AG641" i="3"/>
  <c r="AI641" i="3" s="1"/>
  <c r="AE641" i="3"/>
  <c r="AF641" i="3" s="1"/>
  <c r="AC641" i="3"/>
  <c r="AB641" i="3"/>
  <c r="AA641" i="3"/>
  <c r="Z641" i="3"/>
  <c r="Y641" i="3"/>
  <c r="X641" i="3"/>
  <c r="D641" i="3"/>
  <c r="AG640" i="3"/>
  <c r="AI640" i="3" s="1"/>
  <c r="AE640" i="3"/>
  <c r="AF640" i="3" s="1"/>
  <c r="AC640" i="3"/>
  <c r="AB640" i="3"/>
  <c r="AA640" i="3"/>
  <c r="Z640" i="3"/>
  <c r="Y640" i="3"/>
  <c r="X640" i="3"/>
  <c r="D640" i="3"/>
  <c r="AG639" i="3"/>
  <c r="AE639" i="3"/>
  <c r="AF639" i="3" s="1"/>
  <c r="AC639" i="3"/>
  <c r="AB639" i="3"/>
  <c r="AA639" i="3"/>
  <c r="Z639" i="3"/>
  <c r="Y639" i="3"/>
  <c r="X639" i="3"/>
  <c r="D639" i="3"/>
  <c r="AH638" i="3"/>
  <c r="AG638" i="3"/>
  <c r="AI638" i="3" s="1"/>
  <c r="AE638" i="3"/>
  <c r="AF638" i="3" s="1"/>
  <c r="AC638" i="3"/>
  <c r="AB638" i="3"/>
  <c r="AA638" i="3"/>
  <c r="Z638" i="3"/>
  <c r="Y638" i="3"/>
  <c r="X638" i="3"/>
  <c r="D638" i="3"/>
  <c r="AG637" i="3"/>
  <c r="AI637" i="3" s="1"/>
  <c r="AE637" i="3"/>
  <c r="AF637" i="3" s="1"/>
  <c r="AC637" i="3"/>
  <c r="AB637" i="3"/>
  <c r="AA637" i="3"/>
  <c r="Z637" i="3"/>
  <c r="Y637" i="3"/>
  <c r="X637" i="3"/>
  <c r="D637" i="3"/>
  <c r="AG636" i="3"/>
  <c r="AI636" i="3" s="1"/>
  <c r="AF636" i="3"/>
  <c r="AE636" i="3"/>
  <c r="AC636" i="3"/>
  <c r="AB636" i="3"/>
  <c r="AA636" i="3"/>
  <c r="Z636" i="3"/>
  <c r="Y636" i="3"/>
  <c r="X636" i="3"/>
  <c r="D636" i="3"/>
  <c r="AH635" i="3"/>
  <c r="AG635" i="3"/>
  <c r="AI635" i="3" s="1"/>
  <c r="AE635" i="3"/>
  <c r="AF635" i="3" s="1"/>
  <c r="AC635" i="3"/>
  <c r="AB635" i="3"/>
  <c r="AA635" i="3"/>
  <c r="Z635" i="3"/>
  <c r="Y635" i="3"/>
  <c r="X635" i="3"/>
  <c r="D635" i="3"/>
  <c r="AH634" i="3"/>
  <c r="AG634" i="3"/>
  <c r="AI634" i="3" s="1"/>
  <c r="AF634" i="3"/>
  <c r="AE634" i="3"/>
  <c r="AC634" i="3"/>
  <c r="AB634" i="3"/>
  <c r="AA634" i="3"/>
  <c r="Z634" i="3"/>
  <c r="Y634" i="3"/>
  <c r="X634" i="3"/>
  <c r="D634" i="3"/>
  <c r="AG633" i="3"/>
  <c r="AI633" i="3" s="1"/>
  <c r="AE633" i="3"/>
  <c r="AF633" i="3" s="1"/>
  <c r="AC633" i="3"/>
  <c r="AB633" i="3"/>
  <c r="AA633" i="3"/>
  <c r="Z633" i="3"/>
  <c r="Y633" i="3"/>
  <c r="X633" i="3"/>
  <c r="D633" i="3"/>
  <c r="AG632" i="3"/>
  <c r="AF632" i="3"/>
  <c r="AE632" i="3"/>
  <c r="AC632" i="3"/>
  <c r="AB632" i="3"/>
  <c r="AA632" i="3"/>
  <c r="Z632" i="3"/>
  <c r="Y632" i="3"/>
  <c r="X632" i="3"/>
  <c r="D632" i="3"/>
  <c r="AH631" i="3"/>
  <c r="AG631" i="3"/>
  <c r="AI631" i="3" s="1"/>
  <c r="AE631" i="3"/>
  <c r="AF631" i="3" s="1"/>
  <c r="AC631" i="3"/>
  <c r="AB631" i="3"/>
  <c r="AA631" i="3"/>
  <c r="Z631" i="3"/>
  <c r="Y631" i="3"/>
  <c r="X631" i="3"/>
  <c r="D631" i="3"/>
  <c r="AH630" i="3"/>
  <c r="AG630" i="3"/>
  <c r="AI630" i="3" s="1"/>
  <c r="AF630" i="3"/>
  <c r="AE630" i="3"/>
  <c r="AC630" i="3"/>
  <c r="AB630" i="3"/>
  <c r="AA630" i="3"/>
  <c r="Z630" i="3"/>
  <c r="Y630" i="3"/>
  <c r="X630" i="3"/>
  <c r="D630" i="3"/>
  <c r="AG629" i="3"/>
  <c r="AE629" i="3"/>
  <c r="AF629" i="3" s="1"/>
  <c r="AC629" i="3"/>
  <c r="AB629" i="3"/>
  <c r="AA629" i="3"/>
  <c r="Z629" i="3"/>
  <c r="Y629" i="3"/>
  <c r="X629" i="3"/>
  <c r="D629" i="3"/>
  <c r="AH628" i="3"/>
  <c r="AG628" i="3"/>
  <c r="AI628" i="3" s="1"/>
  <c r="AF628" i="3"/>
  <c r="AE628" i="3"/>
  <c r="AC628" i="3"/>
  <c r="AB628" i="3"/>
  <c r="AA628" i="3"/>
  <c r="Z628" i="3"/>
  <c r="Y628" i="3"/>
  <c r="X628" i="3"/>
  <c r="D628" i="3"/>
  <c r="AH627" i="3"/>
  <c r="AG627" i="3"/>
  <c r="AI627" i="3" s="1"/>
  <c r="AE627" i="3"/>
  <c r="AF627" i="3" s="1"/>
  <c r="AC627" i="3"/>
  <c r="AB627" i="3"/>
  <c r="AA627" i="3"/>
  <c r="Z627" i="3"/>
  <c r="Y627" i="3"/>
  <c r="X627" i="3"/>
  <c r="D627" i="3"/>
  <c r="AH626" i="3"/>
  <c r="AG626" i="3"/>
  <c r="AI626" i="3" s="1"/>
  <c r="AF626" i="3"/>
  <c r="AE626" i="3"/>
  <c r="AC626" i="3"/>
  <c r="AB626" i="3"/>
  <c r="AA626" i="3"/>
  <c r="Z626" i="3"/>
  <c r="Y626" i="3"/>
  <c r="X626" i="3"/>
  <c r="D626" i="3"/>
  <c r="AH625" i="3"/>
  <c r="AG625" i="3"/>
  <c r="AI625" i="3" s="1"/>
  <c r="AE625" i="3"/>
  <c r="AF625" i="3" s="1"/>
  <c r="AC625" i="3"/>
  <c r="AB625" i="3"/>
  <c r="AA625" i="3"/>
  <c r="Z625" i="3"/>
  <c r="Y625" i="3"/>
  <c r="X625" i="3"/>
  <c r="D625" i="3"/>
  <c r="AG624" i="3"/>
  <c r="AI624" i="3" s="1"/>
  <c r="AF624" i="3"/>
  <c r="AE624" i="3"/>
  <c r="AC624" i="3"/>
  <c r="AB624" i="3"/>
  <c r="AA624" i="3"/>
  <c r="Z624" i="3"/>
  <c r="Y624" i="3"/>
  <c r="X624" i="3"/>
  <c r="D624" i="3"/>
  <c r="AH623" i="3"/>
  <c r="AG623" i="3"/>
  <c r="AI623" i="3" s="1"/>
  <c r="AE623" i="3"/>
  <c r="AF623" i="3" s="1"/>
  <c r="AC623" i="3"/>
  <c r="AB623" i="3"/>
  <c r="AA623" i="3"/>
  <c r="Z623" i="3"/>
  <c r="Y623" i="3"/>
  <c r="X623" i="3"/>
  <c r="D623" i="3"/>
  <c r="AH622" i="3"/>
  <c r="AG622" i="3"/>
  <c r="AI622" i="3" s="1"/>
  <c r="AF622" i="3"/>
  <c r="AE622" i="3"/>
  <c r="AC622" i="3"/>
  <c r="AB622" i="3"/>
  <c r="AA622" i="3"/>
  <c r="Z622" i="3"/>
  <c r="Y622" i="3"/>
  <c r="X622" i="3"/>
  <c r="D622" i="3"/>
  <c r="AG621" i="3"/>
  <c r="AI621" i="3" s="1"/>
  <c r="AE621" i="3"/>
  <c r="AF621" i="3" s="1"/>
  <c r="AC621" i="3"/>
  <c r="AB621" i="3"/>
  <c r="AA621" i="3"/>
  <c r="Z621" i="3"/>
  <c r="Y621" i="3"/>
  <c r="X621" i="3"/>
  <c r="D621" i="3"/>
  <c r="AG620" i="3"/>
  <c r="AI620" i="3" s="1"/>
  <c r="AF620" i="3"/>
  <c r="AE620" i="3"/>
  <c r="AC620" i="3"/>
  <c r="AB620" i="3"/>
  <c r="AA620" i="3"/>
  <c r="Z620" i="3"/>
  <c r="Y620" i="3"/>
  <c r="X620" i="3"/>
  <c r="D620" i="3"/>
  <c r="AH619" i="3"/>
  <c r="AG619" i="3"/>
  <c r="AI619" i="3" s="1"/>
  <c r="AE619" i="3"/>
  <c r="AF619" i="3" s="1"/>
  <c r="AC619" i="3"/>
  <c r="AB619" i="3"/>
  <c r="AA619" i="3"/>
  <c r="Z619" i="3"/>
  <c r="Y619" i="3"/>
  <c r="X619" i="3"/>
  <c r="D619" i="3"/>
  <c r="AH618" i="3"/>
  <c r="AG618" i="3"/>
  <c r="AI618" i="3" s="1"/>
  <c r="AF618" i="3"/>
  <c r="AE618" i="3"/>
  <c r="AC618" i="3"/>
  <c r="AB618" i="3"/>
  <c r="AA618" i="3"/>
  <c r="Z618" i="3"/>
  <c r="Y618" i="3"/>
  <c r="X618" i="3"/>
  <c r="D618" i="3"/>
  <c r="AG617" i="3"/>
  <c r="AI617" i="3" s="1"/>
  <c r="AE617" i="3"/>
  <c r="AF617" i="3" s="1"/>
  <c r="AC617" i="3"/>
  <c r="AB617" i="3"/>
  <c r="AA617" i="3"/>
  <c r="Z617" i="3"/>
  <c r="Y617" i="3"/>
  <c r="X617" i="3"/>
  <c r="D617" i="3"/>
  <c r="AG616" i="3"/>
  <c r="AF616" i="3"/>
  <c r="AE616" i="3"/>
  <c r="AC616" i="3"/>
  <c r="AB616" i="3"/>
  <c r="AA616" i="3"/>
  <c r="Z616" i="3"/>
  <c r="Y616" i="3"/>
  <c r="X616" i="3"/>
  <c r="D616" i="3"/>
  <c r="AG615" i="3"/>
  <c r="AE615" i="3"/>
  <c r="AF615" i="3" s="1"/>
  <c r="AC615" i="3"/>
  <c r="AB615" i="3"/>
  <c r="AA615" i="3"/>
  <c r="Z615" i="3"/>
  <c r="Y615" i="3"/>
  <c r="X615" i="3"/>
  <c r="D615" i="3"/>
  <c r="AH614" i="3"/>
  <c r="AG614" i="3"/>
  <c r="AI614" i="3" s="1"/>
  <c r="AF614" i="3"/>
  <c r="AE614" i="3"/>
  <c r="AC614" i="3"/>
  <c r="AB614" i="3"/>
  <c r="AA614" i="3"/>
  <c r="Z614" i="3"/>
  <c r="Y614" i="3"/>
  <c r="X614" i="3"/>
  <c r="D614" i="3"/>
  <c r="AG613" i="3"/>
  <c r="AE613" i="3"/>
  <c r="AF613" i="3" s="1"/>
  <c r="AC613" i="3"/>
  <c r="AB613" i="3"/>
  <c r="AA613" i="3"/>
  <c r="Z613" i="3"/>
  <c r="Y613" i="3"/>
  <c r="X613" i="3"/>
  <c r="D613" i="3"/>
  <c r="AH612" i="3"/>
  <c r="AG612" i="3"/>
  <c r="AI612" i="3" s="1"/>
  <c r="AF612" i="3"/>
  <c r="AE612" i="3"/>
  <c r="AC612" i="3"/>
  <c r="AB612" i="3"/>
  <c r="AA612" i="3"/>
  <c r="Z612" i="3"/>
  <c r="Y612" i="3"/>
  <c r="X612" i="3"/>
  <c r="D612" i="3"/>
  <c r="AH611" i="3"/>
  <c r="AG611" i="3"/>
  <c r="AI611" i="3" s="1"/>
  <c r="AE611" i="3"/>
  <c r="AF611" i="3" s="1"/>
  <c r="AC611" i="3"/>
  <c r="AB611" i="3"/>
  <c r="AA611" i="3"/>
  <c r="Z611" i="3"/>
  <c r="Y611" i="3"/>
  <c r="X611" i="3"/>
  <c r="D611" i="3"/>
  <c r="AH610" i="3"/>
  <c r="AG610" i="3"/>
  <c r="AI610" i="3" s="1"/>
  <c r="AF610" i="3"/>
  <c r="AE610" i="3"/>
  <c r="AC610" i="3"/>
  <c r="AB610" i="3"/>
  <c r="AA610" i="3"/>
  <c r="Z610" i="3"/>
  <c r="Y610" i="3"/>
  <c r="X610" i="3"/>
  <c r="D610" i="3"/>
  <c r="AH609" i="3"/>
  <c r="AG609" i="3"/>
  <c r="AI609" i="3" s="1"/>
  <c r="AE609" i="3"/>
  <c r="AF609" i="3" s="1"/>
  <c r="AC609" i="3"/>
  <c r="AB609" i="3"/>
  <c r="AA609" i="3"/>
  <c r="Z609" i="3"/>
  <c r="Y609" i="3"/>
  <c r="X609" i="3"/>
  <c r="D609" i="3"/>
  <c r="AH608" i="3"/>
  <c r="AG608" i="3"/>
  <c r="AI608" i="3" s="1"/>
  <c r="AF608" i="3"/>
  <c r="AE608" i="3"/>
  <c r="AC608" i="3"/>
  <c r="AB608" i="3"/>
  <c r="AA608" i="3"/>
  <c r="Z608" i="3"/>
  <c r="Y608" i="3"/>
  <c r="X608" i="3"/>
  <c r="D608" i="3"/>
  <c r="AH607" i="3"/>
  <c r="AG607" i="3"/>
  <c r="AI607" i="3" s="1"/>
  <c r="AE607" i="3"/>
  <c r="AF607" i="3" s="1"/>
  <c r="AC607" i="3"/>
  <c r="AB607" i="3"/>
  <c r="AA607" i="3"/>
  <c r="Z607" i="3"/>
  <c r="Y607" i="3"/>
  <c r="X607" i="3"/>
  <c r="D607" i="3"/>
  <c r="AH606" i="3"/>
  <c r="AG606" i="3"/>
  <c r="AI606" i="3" s="1"/>
  <c r="AF606" i="3"/>
  <c r="AE606" i="3"/>
  <c r="AC606" i="3"/>
  <c r="AB606" i="3"/>
  <c r="AA606" i="3"/>
  <c r="Z606" i="3"/>
  <c r="Y606" i="3"/>
  <c r="X606" i="3"/>
  <c r="D606" i="3"/>
  <c r="AH605" i="3"/>
  <c r="AG605" i="3"/>
  <c r="AI605" i="3" s="1"/>
  <c r="AE605" i="3"/>
  <c r="AF605" i="3" s="1"/>
  <c r="AC605" i="3"/>
  <c r="AB605" i="3"/>
  <c r="AA605" i="3"/>
  <c r="Z605" i="3"/>
  <c r="Y605" i="3"/>
  <c r="X605" i="3"/>
  <c r="D605" i="3"/>
  <c r="AG604" i="3"/>
  <c r="AI604" i="3" s="1"/>
  <c r="AF604" i="3"/>
  <c r="AE604" i="3"/>
  <c r="AC604" i="3"/>
  <c r="AB604" i="3"/>
  <c r="AA604" i="3"/>
  <c r="Z604" i="3"/>
  <c r="Y604" i="3"/>
  <c r="X604" i="3"/>
  <c r="D604" i="3"/>
  <c r="AH603" i="3"/>
  <c r="AG603" i="3"/>
  <c r="AI603" i="3" s="1"/>
  <c r="AE603" i="3"/>
  <c r="AF603" i="3" s="1"/>
  <c r="AC603" i="3"/>
  <c r="AB603" i="3"/>
  <c r="AA603" i="3"/>
  <c r="Z603" i="3"/>
  <c r="Y603" i="3"/>
  <c r="X603" i="3"/>
  <c r="D603" i="3"/>
  <c r="AG602" i="3"/>
  <c r="AF602" i="3"/>
  <c r="AE602" i="3"/>
  <c r="AC602" i="3"/>
  <c r="AB602" i="3"/>
  <c r="AA602" i="3"/>
  <c r="Z602" i="3"/>
  <c r="Y602" i="3"/>
  <c r="X602" i="3"/>
  <c r="D602" i="3"/>
  <c r="AG601" i="3"/>
  <c r="AI601" i="3" s="1"/>
  <c r="AE601" i="3"/>
  <c r="AF601" i="3" s="1"/>
  <c r="AC601" i="3"/>
  <c r="AB601" i="3"/>
  <c r="AA601" i="3"/>
  <c r="Z601" i="3"/>
  <c r="Y601" i="3"/>
  <c r="X601" i="3"/>
  <c r="D601" i="3"/>
  <c r="AG600" i="3"/>
  <c r="AF600" i="3"/>
  <c r="AE600" i="3"/>
  <c r="AC600" i="3"/>
  <c r="AB600" i="3"/>
  <c r="AA600" i="3"/>
  <c r="Z600" i="3"/>
  <c r="Y600" i="3"/>
  <c r="X600" i="3"/>
  <c r="D600" i="3"/>
  <c r="AG599" i="3"/>
  <c r="AE599" i="3"/>
  <c r="AF599" i="3" s="1"/>
  <c r="AC599" i="3"/>
  <c r="AB599" i="3"/>
  <c r="AA599" i="3"/>
  <c r="Z599" i="3"/>
  <c r="Y599" i="3"/>
  <c r="X599" i="3"/>
  <c r="D599" i="3"/>
  <c r="AH598" i="3"/>
  <c r="AG598" i="3"/>
  <c r="AI598" i="3" s="1"/>
  <c r="AF598" i="3"/>
  <c r="AE598" i="3"/>
  <c r="AC598" i="3"/>
  <c r="AB598" i="3"/>
  <c r="AA598" i="3"/>
  <c r="Z598" i="3"/>
  <c r="Y598" i="3"/>
  <c r="X598" i="3"/>
  <c r="D598" i="3"/>
  <c r="AG597" i="3"/>
  <c r="AE597" i="3"/>
  <c r="AF597" i="3" s="1"/>
  <c r="AC597" i="3"/>
  <c r="AB597" i="3"/>
  <c r="AA597" i="3"/>
  <c r="Z597" i="3"/>
  <c r="Y597" i="3"/>
  <c r="X597" i="3"/>
  <c r="D597" i="3"/>
  <c r="AH596" i="3"/>
  <c r="AG596" i="3"/>
  <c r="AI596" i="3" s="1"/>
  <c r="AF596" i="3"/>
  <c r="AE596" i="3"/>
  <c r="AC596" i="3"/>
  <c r="AB596" i="3"/>
  <c r="AA596" i="3"/>
  <c r="Z596" i="3"/>
  <c r="Y596" i="3"/>
  <c r="X596" i="3"/>
  <c r="D596" i="3"/>
  <c r="AH595" i="3"/>
  <c r="AG595" i="3"/>
  <c r="AI595" i="3" s="1"/>
  <c r="AE595" i="3"/>
  <c r="AF595" i="3" s="1"/>
  <c r="AC595" i="3"/>
  <c r="AB595" i="3"/>
  <c r="AA595" i="3"/>
  <c r="Z595" i="3"/>
  <c r="Y595" i="3"/>
  <c r="X595" i="3"/>
  <c r="D595" i="3"/>
  <c r="AH594" i="3"/>
  <c r="AG594" i="3"/>
  <c r="AI594" i="3" s="1"/>
  <c r="AF594" i="3"/>
  <c r="AE594" i="3"/>
  <c r="AC594" i="3"/>
  <c r="AB594" i="3"/>
  <c r="AA594" i="3"/>
  <c r="Z594" i="3"/>
  <c r="Y594" i="3"/>
  <c r="X594" i="3"/>
  <c r="D594" i="3"/>
  <c r="AH593" i="3"/>
  <c r="AG593" i="3"/>
  <c r="AI593" i="3" s="1"/>
  <c r="AE593" i="3"/>
  <c r="AF593" i="3" s="1"/>
  <c r="AC593" i="3"/>
  <c r="AB593" i="3"/>
  <c r="AA593" i="3"/>
  <c r="Z593" i="3"/>
  <c r="Y593" i="3"/>
  <c r="X593" i="3"/>
  <c r="D593" i="3"/>
  <c r="AH592" i="3"/>
  <c r="AG592" i="3"/>
  <c r="AI592" i="3" s="1"/>
  <c r="AF592" i="3"/>
  <c r="AE592" i="3"/>
  <c r="AC592" i="3"/>
  <c r="AB592" i="3"/>
  <c r="AA592" i="3"/>
  <c r="Z592" i="3"/>
  <c r="Y592" i="3"/>
  <c r="X592" i="3"/>
  <c r="D592" i="3"/>
  <c r="AH591" i="3"/>
  <c r="AG591" i="3"/>
  <c r="AI591" i="3" s="1"/>
  <c r="AE591" i="3"/>
  <c r="AF591" i="3" s="1"/>
  <c r="AC591" i="3"/>
  <c r="AB591" i="3"/>
  <c r="AA591" i="3"/>
  <c r="Z591" i="3"/>
  <c r="Y591" i="3"/>
  <c r="X591" i="3"/>
  <c r="D591" i="3"/>
  <c r="AH590" i="3"/>
  <c r="AG590" i="3"/>
  <c r="AI590" i="3" s="1"/>
  <c r="AF590" i="3"/>
  <c r="AE590" i="3"/>
  <c r="AC590" i="3"/>
  <c r="AB590" i="3"/>
  <c r="AA590" i="3"/>
  <c r="Z590" i="3"/>
  <c r="Y590" i="3"/>
  <c r="X590" i="3"/>
  <c r="D590" i="3"/>
  <c r="AH589" i="3"/>
  <c r="AG589" i="3"/>
  <c r="AI589" i="3" s="1"/>
  <c r="AE589" i="3"/>
  <c r="AF589" i="3" s="1"/>
  <c r="AC589" i="3"/>
  <c r="AB589" i="3"/>
  <c r="AA589" i="3"/>
  <c r="Z589" i="3"/>
  <c r="Y589" i="3"/>
  <c r="X589" i="3"/>
  <c r="D589" i="3"/>
  <c r="AG588" i="3"/>
  <c r="AI588" i="3" s="1"/>
  <c r="AF588" i="3"/>
  <c r="AE588" i="3"/>
  <c r="AC588" i="3"/>
  <c r="AB588" i="3"/>
  <c r="AA588" i="3"/>
  <c r="Z588" i="3"/>
  <c r="Y588" i="3"/>
  <c r="X588" i="3"/>
  <c r="D588" i="3"/>
  <c r="AH587" i="3"/>
  <c r="AG587" i="3"/>
  <c r="AI587" i="3" s="1"/>
  <c r="AE587" i="3"/>
  <c r="AF587" i="3" s="1"/>
  <c r="AC587" i="3"/>
  <c r="AB587" i="3"/>
  <c r="AA587" i="3"/>
  <c r="Z587" i="3"/>
  <c r="Y587" i="3"/>
  <c r="X587" i="3"/>
  <c r="D587" i="3"/>
  <c r="AG586" i="3"/>
  <c r="AF586" i="3"/>
  <c r="AE586" i="3"/>
  <c r="AC586" i="3"/>
  <c r="AB586" i="3"/>
  <c r="AA586" i="3"/>
  <c r="Z586" i="3"/>
  <c r="Y586" i="3"/>
  <c r="X586" i="3"/>
  <c r="D586" i="3"/>
  <c r="AG585" i="3"/>
  <c r="AI585" i="3" s="1"/>
  <c r="AE585" i="3"/>
  <c r="AF585" i="3" s="1"/>
  <c r="AC585" i="3"/>
  <c r="AB585" i="3"/>
  <c r="AA585" i="3"/>
  <c r="Z585" i="3"/>
  <c r="Y585" i="3"/>
  <c r="X585" i="3"/>
  <c r="D585" i="3"/>
  <c r="AG584" i="3"/>
  <c r="AF584" i="3"/>
  <c r="AE584" i="3"/>
  <c r="AC584" i="3"/>
  <c r="AB584" i="3"/>
  <c r="AA584" i="3"/>
  <c r="Z584" i="3"/>
  <c r="Y584" i="3"/>
  <c r="X584" i="3"/>
  <c r="D584" i="3"/>
  <c r="AG583" i="3"/>
  <c r="AE583" i="3"/>
  <c r="AF583" i="3" s="1"/>
  <c r="AC583" i="3"/>
  <c r="AB583" i="3"/>
  <c r="AA583" i="3"/>
  <c r="Z583" i="3"/>
  <c r="Y583" i="3"/>
  <c r="X583" i="3"/>
  <c r="D583" i="3"/>
  <c r="AH582" i="3"/>
  <c r="AG582" i="3"/>
  <c r="AI582" i="3" s="1"/>
  <c r="AF582" i="3"/>
  <c r="AE582" i="3"/>
  <c r="AC582" i="3"/>
  <c r="AB582" i="3"/>
  <c r="AA582" i="3"/>
  <c r="Z582" i="3"/>
  <c r="Y582" i="3"/>
  <c r="X582" i="3"/>
  <c r="D582" i="3"/>
  <c r="AG581" i="3"/>
  <c r="AE581" i="3"/>
  <c r="AF581" i="3" s="1"/>
  <c r="AC581" i="3"/>
  <c r="AB581" i="3"/>
  <c r="AA581" i="3"/>
  <c r="Z581" i="3"/>
  <c r="Y581" i="3"/>
  <c r="X581" i="3"/>
  <c r="D581" i="3"/>
  <c r="AH580" i="3"/>
  <c r="AG580" i="3"/>
  <c r="AI580" i="3" s="1"/>
  <c r="AF580" i="3"/>
  <c r="AE580" i="3"/>
  <c r="AC580" i="3"/>
  <c r="AB580" i="3"/>
  <c r="AA580" i="3"/>
  <c r="Z580" i="3"/>
  <c r="Y580" i="3"/>
  <c r="X580" i="3"/>
  <c r="D580" i="3"/>
  <c r="AH579" i="3"/>
  <c r="AG579" i="3"/>
  <c r="AI579" i="3" s="1"/>
  <c r="AE579" i="3"/>
  <c r="AF579" i="3" s="1"/>
  <c r="AC579" i="3"/>
  <c r="AB579" i="3"/>
  <c r="AA579" i="3"/>
  <c r="Z579" i="3"/>
  <c r="Y579" i="3"/>
  <c r="X579" i="3"/>
  <c r="D579" i="3"/>
  <c r="AF578" i="3"/>
  <c r="AE578" i="3"/>
  <c r="AG578" i="3" s="1"/>
  <c r="AC578" i="3"/>
  <c r="AB578" i="3"/>
  <c r="AA578" i="3"/>
  <c r="Z578" i="3"/>
  <c r="Y578" i="3"/>
  <c r="X578" i="3"/>
  <c r="D578" i="3"/>
  <c r="AG577" i="3"/>
  <c r="AE577" i="3"/>
  <c r="AF577" i="3" s="1"/>
  <c r="AC577" i="3"/>
  <c r="AB577" i="3"/>
  <c r="AA577" i="3"/>
  <c r="Z577" i="3"/>
  <c r="Y577" i="3"/>
  <c r="X577" i="3"/>
  <c r="D577" i="3"/>
  <c r="AE576" i="3"/>
  <c r="AC576" i="3"/>
  <c r="AB576" i="3"/>
  <c r="AA576" i="3"/>
  <c r="Z576" i="3"/>
  <c r="Y576" i="3"/>
  <c r="X576" i="3"/>
  <c r="D576" i="3"/>
  <c r="AE575" i="3"/>
  <c r="AC575" i="3"/>
  <c r="AB575" i="3"/>
  <c r="AA575" i="3"/>
  <c r="Z575" i="3"/>
  <c r="Y575" i="3"/>
  <c r="X575" i="3"/>
  <c r="D575" i="3"/>
  <c r="AI574" i="3"/>
  <c r="AH574" i="3"/>
  <c r="AG574" i="3"/>
  <c r="AF574" i="3"/>
  <c r="AE574" i="3"/>
  <c r="AC574" i="3"/>
  <c r="AB574" i="3"/>
  <c r="AA574" i="3"/>
  <c r="Z574" i="3"/>
  <c r="Y574" i="3"/>
  <c r="X574" i="3"/>
  <c r="D574" i="3"/>
  <c r="AH573" i="3"/>
  <c r="AG573" i="3"/>
  <c r="AI573" i="3" s="1"/>
  <c r="AE573" i="3"/>
  <c r="AF573" i="3" s="1"/>
  <c r="AC573" i="3"/>
  <c r="AB573" i="3"/>
  <c r="AA573" i="3"/>
  <c r="Z573" i="3"/>
  <c r="Y573" i="3"/>
  <c r="X573" i="3"/>
  <c r="D573" i="3"/>
  <c r="AH572" i="3"/>
  <c r="AG572" i="3"/>
  <c r="AI572" i="3" s="1"/>
  <c r="AE572" i="3"/>
  <c r="AF572" i="3" s="1"/>
  <c r="AC572" i="3"/>
  <c r="AB572" i="3"/>
  <c r="AA572" i="3"/>
  <c r="Z572" i="3"/>
  <c r="Y572" i="3"/>
  <c r="X572" i="3"/>
  <c r="D572" i="3"/>
  <c r="AG571" i="3"/>
  <c r="AE571" i="3"/>
  <c r="AF571" i="3" s="1"/>
  <c r="AC571" i="3"/>
  <c r="AB571" i="3"/>
  <c r="AA571" i="3"/>
  <c r="Z571" i="3"/>
  <c r="Y571" i="3"/>
  <c r="X571" i="3"/>
  <c r="D571" i="3"/>
  <c r="AG570" i="3"/>
  <c r="AF570" i="3"/>
  <c r="AE570" i="3"/>
  <c r="AC570" i="3"/>
  <c r="AB570" i="3"/>
  <c r="AA570" i="3"/>
  <c r="Z570" i="3"/>
  <c r="Y570" i="3"/>
  <c r="X570" i="3"/>
  <c r="D570" i="3"/>
  <c r="AE569" i="3"/>
  <c r="AC569" i="3"/>
  <c r="AB569" i="3"/>
  <c r="AA569" i="3"/>
  <c r="Z569" i="3"/>
  <c r="Y569" i="3"/>
  <c r="X569" i="3"/>
  <c r="D569" i="3"/>
  <c r="AI568" i="3"/>
  <c r="AF568" i="3"/>
  <c r="AE568" i="3"/>
  <c r="AG568" i="3" s="1"/>
  <c r="AH568" i="3" s="1"/>
  <c r="AC568" i="3"/>
  <c r="AB568" i="3"/>
  <c r="AA568" i="3"/>
  <c r="Z568" i="3"/>
  <c r="Y568" i="3"/>
  <c r="X568" i="3"/>
  <c r="D568" i="3"/>
  <c r="AI567" i="3"/>
  <c r="AG567" i="3"/>
  <c r="AH567" i="3" s="1"/>
  <c r="AE567" i="3"/>
  <c r="AF567" i="3" s="1"/>
  <c r="AC567" i="3"/>
  <c r="AB567" i="3"/>
  <c r="AA567" i="3"/>
  <c r="Z567" i="3"/>
  <c r="Y567" i="3"/>
  <c r="X567" i="3"/>
  <c r="D567" i="3"/>
  <c r="AE566" i="3"/>
  <c r="AC566" i="3"/>
  <c r="AB566" i="3"/>
  <c r="AA566" i="3"/>
  <c r="Z566" i="3"/>
  <c r="Y566" i="3"/>
  <c r="X566" i="3"/>
  <c r="D566" i="3"/>
  <c r="AE565" i="3"/>
  <c r="AF565" i="3" s="1"/>
  <c r="AC565" i="3"/>
  <c r="AB565" i="3"/>
  <c r="AA565" i="3"/>
  <c r="Z565" i="3"/>
  <c r="Y565" i="3"/>
  <c r="X565" i="3"/>
  <c r="D565" i="3"/>
  <c r="AG564" i="3"/>
  <c r="AF564" i="3"/>
  <c r="AE564" i="3"/>
  <c r="AC564" i="3"/>
  <c r="AB564" i="3"/>
  <c r="AA564" i="3"/>
  <c r="Z564" i="3"/>
  <c r="Y564" i="3"/>
  <c r="X564" i="3"/>
  <c r="D564" i="3"/>
  <c r="AG563" i="3"/>
  <c r="AI563" i="3" s="1"/>
  <c r="AE563" i="3"/>
  <c r="AF563" i="3" s="1"/>
  <c r="AC563" i="3"/>
  <c r="AB563" i="3"/>
  <c r="AA563" i="3"/>
  <c r="Z563" i="3"/>
  <c r="Y563" i="3"/>
  <c r="X563" i="3"/>
  <c r="D563" i="3"/>
  <c r="AF562" i="3"/>
  <c r="AE562" i="3"/>
  <c r="AG562" i="3" s="1"/>
  <c r="AC562" i="3"/>
  <c r="AB562" i="3"/>
  <c r="AA562" i="3"/>
  <c r="Z562" i="3"/>
  <c r="Y562" i="3"/>
  <c r="X562" i="3"/>
  <c r="D562" i="3"/>
  <c r="AE561" i="3"/>
  <c r="AF561" i="3" s="1"/>
  <c r="AC561" i="3"/>
  <c r="AB561" i="3"/>
  <c r="AA561" i="3"/>
  <c r="Z561" i="3"/>
  <c r="Y561" i="3"/>
  <c r="X561" i="3"/>
  <c r="D561" i="3"/>
  <c r="AE560" i="3"/>
  <c r="AC560" i="3"/>
  <c r="AB560" i="3"/>
  <c r="AA560" i="3"/>
  <c r="Z560" i="3"/>
  <c r="Y560" i="3"/>
  <c r="X560" i="3"/>
  <c r="D560" i="3"/>
  <c r="AE559" i="3"/>
  <c r="AC559" i="3"/>
  <c r="AB559" i="3"/>
  <c r="AA559" i="3"/>
  <c r="Z559" i="3"/>
  <c r="Y559" i="3"/>
  <c r="X559" i="3"/>
  <c r="D559" i="3"/>
  <c r="AI558" i="3"/>
  <c r="AH558" i="3"/>
  <c r="AG558" i="3"/>
  <c r="AF558" i="3"/>
  <c r="AE558" i="3"/>
  <c r="AC558" i="3"/>
  <c r="AB558" i="3"/>
  <c r="AA558" i="3"/>
  <c r="Z558" i="3"/>
  <c r="Y558" i="3"/>
  <c r="X558" i="3"/>
  <c r="D558" i="3"/>
  <c r="AE557" i="3"/>
  <c r="AC557" i="3"/>
  <c r="AB557" i="3"/>
  <c r="AA557" i="3"/>
  <c r="Z557" i="3"/>
  <c r="Y557" i="3"/>
  <c r="X557" i="3"/>
  <c r="D557" i="3"/>
  <c r="AI556" i="3"/>
  <c r="AH556" i="3"/>
  <c r="AG556" i="3"/>
  <c r="AF556" i="3"/>
  <c r="AE556" i="3"/>
  <c r="AC556" i="3"/>
  <c r="AB556" i="3"/>
  <c r="AA556" i="3"/>
  <c r="Z556" i="3"/>
  <c r="Y556" i="3"/>
  <c r="X556" i="3"/>
  <c r="D556" i="3"/>
  <c r="AE555" i="3"/>
  <c r="AC555" i="3"/>
  <c r="AB555" i="3"/>
  <c r="AA555" i="3"/>
  <c r="Z555" i="3"/>
  <c r="Y555" i="3"/>
  <c r="X555" i="3"/>
  <c r="D555" i="3"/>
  <c r="AI554" i="3"/>
  <c r="AH554" i="3"/>
  <c r="AG554" i="3"/>
  <c r="AF554" i="3"/>
  <c r="AE554" i="3"/>
  <c r="AC554" i="3"/>
  <c r="AB554" i="3"/>
  <c r="AA554" i="3"/>
  <c r="Z554" i="3"/>
  <c r="Y554" i="3"/>
  <c r="X554" i="3"/>
  <c r="D554" i="3"/>
  <c r="AE553" i="3"/>
  <c r="AC553" i="3"/>
  <c r="AB553" i="3"/>
  <c r="AA553" i="3"/>
  <c r="Z553" i="3"/>
  <c r="Y553" i="3"/>
  <c r="X553" i="3"/>
  <c r="D553" i="3"/>
  <c r="AI552" i="3"/>
  <c r="AH552" i="3"/>
  <c r="AG552" i="3"/>
  <c r="AF552" i="3"/>
  <c r="AE552" i="3"/>
  <c r="AC552" i="3"/>
  <c r="AB552" i="3"/>
  <c r="AA552" i="3"/>
  <c r="Z552" i="3"/>
  <c r="Y552" i="3"/>
  <c r="X552" i="3"/>
  <c r="D552" i="3"/>
  <c r="AE551" i="3"/>
  <c r="AC551" i="3"/>
  <c r="AB551" i="3"/>
  <c r="AA551" i="3"/>
  <c r="Z551" i="3"/>
  <c r="Y551" i="3"/>
  <c r="X551" i="3"/>
  <c r="D551" i="3"/>
  <c r="AI550" i="3"/>
  <c r="AH550" i="3"/>
  <c r="AG550" i="3"/>
  <c r="AF550" i="3"/>
  <c r="AE550" i="3"/>
  <c r="AC550" i="3"/>
  <c r="AB550" i="3"/>
  <c r="AA550" i="3"/>
  <c r="Z550" i="3"/>
  <c r="Y550" i="3"/>
  <c r="X550" i="3"/>
  <c r="D550" i="3"/>
  <c r="AE549" i="3"/>
  <c r="AC549" i="3"/>
  <c r="AB549" i="3"/>
  <c r="AA549" i="3"/>
  <c r="Z549" i="3"/>
  <c r="Y549" i="3"/>
  <c r="X549" i="3"/>
  <c r="D549" i="3"/>
  <c r="AI548" i="3"/>
  <c r="AH548" i="3"/>
  <c r="AG548" i="3"/>
  <c r="AF548" i="3"/>
  <c r="AE548" i="3"/>
  <c r="AC548" i="3"/>
  <c r="AB548" i="3"/>
  <c r="AA548" i="3"/>
  <c r="Z548" i="3"/>
  <c r="Y548" i="3"/>
  <c r="X548" i="3"/>
  <c r="D548" i="3"/>
  <c r="AE547" i="3"/>
  <c r="AC547" i="3"/>
  <c r="AB547" i="3"/>
  <c r="AA547" i="3"/>
  <c r="Z547" i="3"/>
  <c r="Y547" i="3"/>
  <c r="X547" i="3"/>
  <c r="D547" i="3"/>
  <c r="AI546" i="3"/>
  <c r="AH546" i="3"/>
  <c r="AG546" i="3"/>
  <c r="AF546" i="3"/>
  <c r="AE546" i="3"/>
  <c r="AC546" i="3"/>
  <c r="AB546" i="3"/>
  <c r="AA546" i="3"/>
  <c r="Z546" i="3"/>
  <c r="Y546" i="3"/>
  <c r="X546" i="3"/>
  <c r="D546" i="3"/>
  <c r="AE545" i="3"/>
  <c r="AC545" i="3"/>
  <c r="AB545" i="3"/>
  <c r="AA545" i="3"/>
  <c r="Z545" i="3"/>
  <c r="Y545" i="3"/>
  <c r="X545" i="3"/>
  <c r="D545" i="3"/>
  <c r="AI544" i="3"/>
  <c r="AH544" i="3"/>
  <c r="AG544" i="3"/>
  <c r="AF544" i="3"/>
  <c r="AE544" i="3"/>
  <c r="AC544" i="3"/>
  <c r="AB544" i="3"/>
  <c r="AA544" i="3"/>
  <c r="Z544" i="3"/>
  <c r="Y544" i="3"/>
  <c r="X544" i="3"/>
  <c r="D544" i="3"/>
  <c r="AE543" i="3"/>
  <c r="AC543" i="3"/>
  <c r="AB543" i="3"/>
  <c r="AA543" i="3"/>
  <c r="Z543" i="3"/>
  <c r="Y543" i="3"/>
  <c r="X543" i="3"/>
  <c r="D543" i="3"/>
  <c r="AI542" i="3"/>
  <c r="AH542" i="3"/>
  <c r="AG542" i="3"/>
  <c r="AF542" i="3"/>
  <c r="AE542" i="3"/>
  <c r="AC542" i="3"/>
  <c r="AB542" i="3"/>
  <c r="AA542" i="3"/>
  <c r="Z542" i="3"/>
  <c r="Y542" i="3"/>
  <c r="X542" i="3"/>
  <c r="D542" i="3"/>
  <c r="AE541" i="3"/>
  <c r="AC541" i="3"/>
  <c r="AB541" i="3"/>
  <c r="AA541" i="3"/>
  <c r="Z541" i="3"/>
  <c r="Y541" i="3"/>
  <c r="X541" i="3"/>
  <c r="D541" i="3"/>
  <c r="AI540" i="3"/>
  <c r="AH540" i="3"/>
  <c r="AG540" i="3"/>
  <c r="AF540" i="3"/>
  <c r="AE540" i="3"/>
  <c r="AC540" i="3"/>
  <c r="AB540" i="3"/>
  <c r="AA540" i="3"/>
  <c r="Z540" i="3"/>
  <c r="Y540" i="3"/>
  <c r="X540" i="3"/>
  <c r="D540" i="3"/>
  <c r="AE539" i="3"/>
  <c r="AC539" i="3"/>
  <c r="AB539" i="3"/>
  <c r="AA539" i="3"/>
  <c r="Z539" i="3"/>
  <c r="Y539" i="3"/>
  <c r="X539" i="3"/>
  <c r="D539" i="3"/>
  <c r="AI538" i="3"/>
  <c r="AH538" i="3"/>
  <c r="AG538" i="3"/>
  <c r="AF538" i="3"/>
  <c r="AE538" i="3"/>
  <c r="AC538" i="3"/>
  <c r="AB538" i="3"/>
  <c r="AA538" i="3"/>
  <c r="Z538" i="3"/>
  <c r="Y538" i="3"/>
  <c r="X538" i="3"/>
  <c r="D538" i="3"/>
  <c r="AE537" i="3"/>
  <c r="AC537" i="3"/>
  <c r="AB537" i="3"/>
  <c r="AA537" i="3"/>
  <c r="Z537" i="3"/>
  <c r="Y537" i="3"/>
  <c r="X537" i="3"/>
  <c r="D537" i="3"/>
  <c r="AI536" i="3"/>
  <c r="AH536" i="3"/>
  <c r="AG536" i="3"/>
  <c r="AF536" i="3"/>
  <c r="AE536" i="3"/>
  <c r="AC536" i="3"/>
  <c r="AB536" i="3"/>
  <c r="AA536" i="3"/>
  <c r="Z536" i="3"/>
  <c r="Y536" i="3"/>
  <c r="X536" i="3"/>
  <c r="D536" i="3"/>
  <c r="AE535" i="3"/>
  <c r="AC535" i="3"/>
  <c r="AB535" i="3"/>
  <c r="AA535" i="3"/>
  <c r="Z535" i="3"/>
  <c r="Y535" i="3"/>
  <c r="X535" i="3"/>
  <c r="D535" i="3"/>
  <c r="AI534" i="3"/>
  <c r="AH534" i="3"/>
  <c r="AG534" i="3"/>
  <c r="AF534" i="3"/>
  <c r="AE534" i="3"/>
  <c r="AC534" i="3"/>
  <c r="AB534" i="3"/>
  <c r="AA534" i="3"/>
  <c r="Z534" i="3"/>
  <c r="Y534" i="3"/>
  <c r="X534" i="3"/>
  <c r="D534" i="3"/>
  <c r="AE533" i="3"/>
  <c r="AC533" i="3"/>
  <c r="AB533" i="3"/>
  <c r="AA533" i="3"/>
  <c r="Z533" i="3"/>
  <c r="Y533" i="3"/>
  <c r="X533" i="3"/>
  <c r="D533" i="3"/>
  <c r="AI532" i="3"/>
  <c r="AH532" i="3"/>
  <c r="AG532" i="3"/>
  <c r="AF532" i="3"/>
  <c r="AE532" i="3"/>
  <c r="AC532" i="3"/>
  <c r="AB532" i="3"/>
  <c r="AA532" i="3"/>
  <c r="Z532" i="3"/>
  <c r="Y532" i="3"/>
  <c r="X532" i="3"/>
  <c r="D532" i="3"/>
  <c r="AE531" i="3"/>
  <c r="AC531" i="3"/>
  <c r="AB531" i="3"/>
  <c r="AA531" i="3"/>
  <c r="Z531" i="3"/>
  <c r="Y531" i="3"/>
  <c r="X531" i="3"/>
  <c r="D531" i="3"/>
  <c r="AI530" i="3"/>
  <c r="AH530" i="3"/>
  <c r="AG530" i="3"/>
  <c r="AF530" i="3"/>
  <c r="AE530" i="3"/>
  <c r="AC530" i="3"/>
  <c r="AB530" i="3"/>
  <c r="AA530" i="3"/>
  <c r="Z530" i="3"/>
  <c r="Y530" i="3"/>
  <c r="X530" i="3"/>
  <c r="D530" i="3"/>
  <c r="AE529" i="3"/>
  <c r="AC529" i="3"/>
  <c r="AB529" i="3"/>
  <c r="AA529" i="3"/>
  <c r="Z529" i="3"/>
  <c r="Y529" i="3"/>
  <c r="X529" i="3"/>
  <c r="D529" i="3"/>
  <c r="AI528" i="3"/>
  <c r="AH528" i="3"/>
  <c r="AG528" i="3"/>
  <c r="AF528" i="3"/>
  <c r="AE528" i="3"/>
  <c r="AC528" i="3"/>
  <c r="AB528" i="3"/>
  <c r="AA528" i="3"/>
  <c r="Z528" i="3"/>
  <c r="Y528" i="3"/>
  <c r="X528" i="3"/>
  <c r="D528" i="3"/>
  <c r="AE527" i="3"/>
  <c r="AC527" i="3"/>
  <c r="AB527" i="3"/>
  <c r="AA527" i="3"/>
  <c r="Z527" i="3"/>
  <c r="Y527" i="3"/>
  <c r="X527" i="3"/>
  <c r="D527" i="3"/>
  <c r="AI526" i="3"/>
  <c r="AH526" i="3"/>
  <c r="AG526" i="3"/>
  <c r="AF526" i="3"/>
  <c r="AE526" i="3"/>
  <c r="AC526" i="3"/>
  <c r="AB526" i="3"/>
  <c r="AA526" i="3"/>
  <c r="Z526" i="3"/>
  <c r="Y526" i="3"/>
  <c r="X526" i="3"/>
  <c r="D526" i="3"/>
  <c r="AE525" i="3"/>
  <c r="AC525" i="3"/>
  <c r="AB525" i="3"/>
  <c r="AA525" i="3"/>
  <c r="Z525" i="3"/>
  <c r="Y525" i="3"/>
  <c r="X525" i="3"/>
  <c r="D525" i="3"/>
  <c r="AI524" i="3"/>
  <c r="AH524" i="3"/>
  <c r="AG524" i="3"/>
  <c r="AF524" i="3"/>
  <c r="AE524" i="3"/>
  <c r="AC524" i="3"/>
  <c r="AB524" i="3"/>
  <c r="AA524" i="3"/>
  <c r="Z524" i="3"/>
  <c r="Y524" i="3"/>
  <c r="X524" i="3"/>
  <c r="D524" i="3"/>
  <c r="AE523" i="3"/>
  <c r="AC523" i="3"/>
  <c r="AB523" i="3"/>
  <c r="AA523" i="3"/>
  <c r="Z523" i="3"/>
  <c r="Y523" i="3"/>
  <c r="X523" i="3"/>
  <c r="D523" i="3"/>
  <c r="AI522" i="3"/>
  <c r="AH522" i="3"/>
  <c r="AG522" i="3"/>
  <c r="AF522" i="3"/>
  <c r="AE522" i="3"/>
  <c r="AC522" i="3"/>
  <c r="AB522" i="3"/>
  <c r="AA522" i="3"/>
  <c r="Z522" i="3"/>
  <c r="Y522" i="3"/>
  <c r="X522" i="3"/>
  <c r="D522" i="3"/>
  <c r="AE521" i="3"/>
  <c r="AC521" i="3"/>
  <c r="AB521" i="3"/>
  <c r="AA521" i="3"/>
  <c r="Z521" i="3"/>
  <c r="Y521" i="3"/>
  <c r="X521" i="3"/>
  <c r="D521" i="3"/>
  <c r="AI520" i="3"/>
  <c r="AH520" i="3"/>
  <c r="AG520" i="3"/>
  <c r="AF520" i="3"/>
  <c r="AE520" i="3"/>
  <c r="AC520" i="3"/>
  <c r="AB520" i="3"/>
  <c r="AA520" i="3"/>
  <c r="Z520" i="3"/>
  <c r="Y520" i="3"/>
  <c r="X520" i="3"/>
  <c r="D520" i="3"/>
  <c r="AE519" i="3"/>
  <c r="AF519" i="3" s="1"/>
  <c r="AC519" i="3"/>
  <c r="AB519" i="3"/>
  <c r="AA519" i="3"/>
  <c r="Z519" i="3"/>
  <c r="Y519" i="3"/>
  <c r="X519" i="3"/>
  <c r="D519" i="3"/>
  <c r="AI518" i="3"/>
  <c r="AH518" i="3"/>
  <c r="AG518" i="3"/>
  <c r="AF518" i="3"/>
  <c r="AE518" i="3"/>
  <c r="AC518" i="3"/>
  <c r="AB518" i="3"/>
  <c r="AA518" i="3"/>
  <c r="Z518" i="3"/>
  <c r="Y518" i="3"/>
  <c r="X518" i="3"/>
  <c r="D518" i="3"/>
  <c r="AE517" i="3"/>
  <c r="AF517" i="3" s="1"/>
  <c r="AC517" i="3"/>
  <c r="AB517" i="3"/>
  <c r="AA517" i="3"/>
  <c r="Z517" i="3"/>
  <c r="Y517" i="3"/>
  <c r="X517" i="3"/>
  <c r="D517" i="3"/>
  <c r="AI516" i="3"/>
  <c r="AH516" i="3"/>
  <c r="AG516" i="3"/>
  <c r="AF516" i="3"/>
  <c r="AE516" i="3"/>
  <c r="AC516" i="3"/>
  <c r="AB516" i="3"/>
  <c r="AA516" i="3"/>
  <c r="Z516" i="3"/>
  <c r="Y516" i="3"/>
  <c r="X516" i="3"/>
  <c r="D516" i="3"/>
  <c r="AE515" i="3"/>
  <c r="AF515" i="3" s="1"/>
  <c r="AC515" i="3"/>
  <c r="AB515" i="3"/>
  <c r="AA515" i="3"/>
  <c r="Z515" i="3"/>
  <c r="Y515" i="3"/>
  <c r="X515" i="3"/>
  <c r="D515" i="3"/>
  <c r="AI514" i="3"/>
  <c r="AH514" i="3"/>
  <c r="AG514" i="3"/>
  <c r="AF514" i="3"/>
  <c r="AE514" i="3"/>
  <c r="AC514" i="3"/>
  <c r="AB514" i="3"/>
  <c r="AA514" i="3"/>
  <c r="Z514" i="3"/>
  <c r="Y514" i="3"/>
  <c r="X514" i="3"/>
  <c r="D514" i="3"/>
  <c r="AG513" i="3"/>
  <c r="AI513" i="3" s="1"/>
  <c r="AE513" i="3"/>
  <c r="AF513" i="3" s="1"/>
  <c r="AC513" i="3"/>
  <c r="AB513" i="3"/>
  <c r="AA513" i="3"/>
  <c r="Z513" i="3"/>
  <c r="Y513" i="3"/>
  <c r="X513" i="3"/>
  <c r="D513" i="3"/>
  <c r="AI512" i="3"/>
  <c r="AH512" i="3"/>
  <c r="AG512" i="3"/>
  <c r="AF512" i="3"/>
  <c r="AE512" i="3"/>
  <c r="AC512" i="3"/>
  <c r="AB512" i="3"/>
  <c r="AA512" i="3"/>
  <c r="Z512" i="3"/>
  <c r="Y512" i="3"/>
  <c r="X512" i="3"/>
  <c r="D512" i="3"/>
  <c r="AE511" i="3"/>
  <c r="AF511" i="3" s="1"/>
  <c r="AC511" i="3"/>
  <c r="AB511" i="3"/>
  <c r="AA511" i="3"/>
  <c r="Z511" i="3"/>
  <c r="Y511" i="3"/>
  <c r="X511" i="3"/>
  <c r="D511" i="3"/>
  <c r="AI510" i="3"/>
  <c r="AH510" i="3"/>
  <c r="AG510" i="3"/>
  <c r="AF510" i="3"/>
  <c r="AE510" i="3"/>
  <c r="AC510" i="3"/>
  <c r="AB510" i="3"/>
  <c r="AA510" i="3"/>
  <c r="Z510" i="3"/>
  <c r="Y510" i="3"/>
  <c r="X510" i="3"/>
  <c r="D510" i="3"/>
  <c r="AE509" i="3"/>
  <c r="AF509" i="3" s="1"/>
  <c r="AC509" i="3"/>
  <c r="AB509" i="3"/>
  <c r="AA509" i="3"/>
  <c r="Z509" i="3"/>
  <c r="Y509" i="3"/>
  <c r="X509" i="3"/>
  <c r="D509" i="3"/>
  <c r="AI508" i="3"/>
  <c r="AH508" i="3"/>
  <c r="AG508" i="3"/>
  <c r="AF508" i="3"/>
  <c r="AE508" i="3"/>
  <c r="AC508" i="3"/>
  <c r="AB508" i="3"/>
  <c r="AA508" i="3"/>
  <c r="Z508" i="3"/>
  <c r="Y508" i="3"/>
  <c r="X508" i="3"/>
  <c r="D508" i="3"/>
  <c r="AE507" i="3"/>
  <c r="AF507" i="3" s="1"/>
  <c r="AC507" i="3"/>
  <c r="AB507" i="3"/>
  <c r="AA507" i="3"/>
  <c r="Z507" i="3"/>
  <c r="Y507" i="3"/>
  <c r="X507" i="3"/>
  <c r="D507" i="3"/>
  <c r="AG506" i="3"/>
  <c r="AH506" i="3" s="1"/>
  <c r="AF506" i="3"/>
  <c r="AE506" i="3"/>
  <c r="AC506" i="3"/>
  <c r="AB506" i="3"/>
  <c r="AA506" i="3"/>
  <c r="Z506" i="3"/>
  <c r="Y506" i="3"/>
  <c r="X506" i="3"/>
  <c r="D506" i="3"/>
  <c r="AG505" i="3"/>
  <c r="AI505" i="3" s="1"/>
  <c r="AE505" i="3"/>
  <c r="AF505" i="3" s="1"/>
  <c r="AC505" i="3"/>
  <c r="AB505" i="3"/>
  <c r="AA505" i="3"/>
  <c r="Z505" i="3"/>
  <c r="Y505" i="3"/>
  <c r="X505" i="3"/>
  <c r="D505" i="3"/>
  <c r="AG504" i="3"/>
  <c r="AI504" i="3" s="1"/>
  <c r="AF504" i="3"/>
  <c r="AE504" i="3"/>
  <c r="AC504" i="3"/>
  <c r="AB504" i="3"/>
  <c r="AA504" i="3"/>
  <c r="Z504" i="3"/>
  <c r="Y504" i="3"/>
  <c r="X504" i="3"/>
  <c r="D504" i="3"/>
  <c r="AE503" i="3"/>
  <c r="AF503" i="3" s="1"/>
  <c r="AC503" i="3"/>
  <c r="AB503" i="3"/>
  <c r="AA503" i="3"/>
  <c r="Z503" i="3"/>
  <c r="Y503" i="3"/>
  <c r="X503" i="3"/>
  <c r="D503" i="3"/>
  <c r="AH502" i="3"/>
  <c r="AG502" i="3"/>
  <c r="AI502" i="3" s="1"/>
  <c r="AF502" i="3"/>
  <c r="AE502" i="3"/>
  <c r="AC502" i="3"/>
  <c r="AB502" i="3"/>
  <c r="AA502" i="3"/>
  <c r="Z502" i="3"/>
  <c r="Y502" i="3"/>
  <c r="X502" i="3"/>
  <c r="D502" i="3"/>
  <c r="AE501" i="3"/>
  <c r="AF501" i="3" s="1"/>
  <c r="AC501" i="3"/>
  <c r="AB501" i="3"/>
  <c r="AA501" i="3"/>
  <c r="Z501" i="3"/>
  <c r="Y501" i="3"/>
  <c r="X501" i="3"/>
  <c r="D501" i="3"/>
  <c r="AI500" i="3"/>
  <c r="AG500" i="3"/>
  <c r="AH500" i="3" s="1"/>
  <c r="AF500" i="3"/>
  <c r="AE500" i="3"/>
  <c r="AC500" i="3"/>
  <c r="AB500" i="3"/>
  <c r="AA500" i="3"/>
  <c r="Z500" i="3"/>
  <c r="Y500" i="3"/>
  <c r="X500" i="3"/>
  <c r="D500" i="3"/>
  <c r="AE499" i="3"/>
  <c r="AF499" i="3" s="1"/>
  <c r="AC499" i="3"/>
  <c r="AB499" i="3"/>
  <c r="AA499" i="3"/>
  <c r="Z499" i="3"/>
  <c r="Y499" i="3"/>
  <c r="X499" i="3"/>
  <c r="D499" i="3"/>
  <c r="AG498" i="3"/>
  <c r="AH498" i="3" s="1"/>
  <c r="AF498" i="3"/>
  <c r="AE498" i="3"/>
  <c r="AC498" i="3"/>
  <c r="AB498" i="3"/>
  <c r="AA498" i="3"/>
  <c r="Z498" i="3"/>
  <c r="Y498" i="3"/>
  <c r="X498" i="3"/>
  <c r="D498" i="3"/>
  <c r="AG497" i="3"/>
  <c r="AI497" i="3" s="1"/>
  <c r="AE497" i="3"/>
  <c r="AF497" i="3" s="1"/>
  <c r="AC497" i="3"/>
  <c r="AB497" i="3"/>
  <c r="AA497" i="3"/>
  <c r="Z497" i="3"/>
  <c r="Y497" i="3"/>
  <c r="X497" i="3"/>
  <c r="D497" i="3"/>
  <c r="AG496" i="3"/>
  <c r="AI496" i="3" s="1"/>
  <c r="AF496" i="3"/>
  <c r="AE496" i="3"/>
  <c r="AC496" i="3"/>
  <c r="AB496" i="3"/>
  <c r="AA496" i="3"/>
  <c r="Z496" i="3"/>
  <c r="Y496" i="3"/>
  <c r="X496" i="3"/>
  <c r="D496" i="3"/>
  <c r="AE495" i="3"/>
  <c r="AF495" i="3" s="1"/>
  <c r="AC495" i="3"/>
  <c r="AB495" i="3"/>
  <c r="AA495" i="3"/>
  <c r="Z495" i="3"/>
  <c r="Y495" i="3"/>
  <c r="X495" i="3"/>
  <c r="D495" i="3"/>
  <c r="AH494" i="3"/>
  <c r="AG494" i="3"/>
  <c r="AI494" i="3" s="1"/>
  <c r="AF494" i="3"/>
  <c r="AE494" i="3"/>
  <c r="AC494" i="3"/>
  <c r="AB494" i="3"/>
  <c r="AA494" i="3"/>
  <c r="Z494" i="3"/>
  <c r="Y494" i="3"/>
  <c r="X494" i="3"/>
  <c r="D494" i="3"/>
  <c r="AE493" i="3"/>
  <c r="AF493" i="3" s="1"/>
  <c r="AC493" i="3"/>
  <c r="AB493" i="3"/>
  <c r="AA493" i="3"/>
  <c r="Z493" i="3"/>
  <c r="Y493" i="3"/>
  <c r="X493" i="3"/>
  <c r="D493" i="3"/>
  <c r="AI492" i="3"/>
  <c r="AG492" i="3"/>
  <c r="AH492" i="3" s="1"/>
  <c r="AF492" i="3"/>
  <c r="AE492" i="3"/>
  <c r="AC492" i="3"/>
  <c r="AB492" i="3"/>
  <c r="AA492" i="3"/>
  <c r="Z492" i="3"/>
  <c r="Y492" i="3"/>
  <c r="X492" i="3"/>
  <c r="D492" i="3"/>
  <c r="AE491" i="3"/>
  <c r="AF491" i="3" s="1"/>
  <c r="AC491" i="3"/>
  <c r="AB491" i="3"/>
  <c r="AA491" i="3"/>
  <c r="Z491" i="3"/>
  <c r="Y491" i="3"/>
  <c r="X491" i="3"/>
  <c r="D491" i="3"/>
  <c r="AG490" i="3"/>
  <c r="AH490" i="3" s="1"/>
  <c r="AF490" i="3"/>
  <c r="AE490" i="3"/>
  <c r="AC490" i="3"/>
  <c r="AB490" i="3"/>
  <c r="AA490" i="3"/>
  <c r="Z490" i="3"/>
  <c r="Y490" i="3"/>
  <c r="X490" i="3"/>
  <c r="D490" i="3"/>
  <c r="AG489" i="3"/>
  <c r="AI489" i="3" s="1"/>
  <c r="AE489" i="3"/>
  <c r="AF489" i="3" s="1"/>
  <c r="AC489" i="3"/>
  <c r="AB489" i="3"/>
  <c r="AA489" i="3"/>
  <c r="Z489" i="3"/>
  <c r="Y489" i="3"/>
  <c r="X489" i="3"/>
  <c r="D489" i="3"/>
  <c r="AG488" i="3"/>
  <c r="AI488" i="3" s="1"/>
  <c r="AF488" i="3"/>
  <c r="AE488" i="3"/>
  <c r="AC488" i="3"/>
  <c r="AB488" i="3"/>
  <c r="AA488" i="3"/>
  <c r="Z488" i="3"/>
  <c r="Y488" i="3"/>
  <c r="X488" i="3"/>
  <c r="D488" i="3"/>
  <c r="AE487" i="3"/>
  <c r="AF487" i="3" s="1"/>
  <c r="AC487" i="3"/>
  <c r="AB487" i="3"/>
  <c r="AA487" i="3"/>
  <c r="Z487" i="3"/>
  <c r="Y487" i="3"/>
  <c r="X487" i="3"/>
  <c r="D487" i="3"/>
  <c r="AH486" i="3"/>
  <c r="AG486" i="3"/>
  <c r="AI486" i="3" s="1"/>
  <c r="AF486" i="3"/>
  <c r="AE486" i="3"/>
  <c r="AC486" i="3"/>
  <c r="AB486" i="3"/>
  <c r="AA486" i="3"/>
  <c r="Z486" i="3"/>
  <c r="Y486" i="3"/>
  <c r="X486" i="3"/>
  <c r="D486" i="3"/>
  <c r="AE485" i="3"/>
  <c r="AF485" i="3" s="1"/>
  <c r="AC485" i="3"/>
  <c r="AB485" i="3"/>
  <c r="AA485" i="3"/>
  <c r="Z485" i="3"/>
  <c r="Y485" i="3"/>
  <c r="X485" i="3"/>
  <c r="D485" i="3"/>
  <c r="AI484" i="3"/>
  <c r="AG484" i="3"/>
  <c r="AH484" i="3" s="1"/>
  <c r="AF484" i="3"/>
  <c r="AE484" i="3"/>
  <c r="AC484" i="3"/>
  <c r="AB484" i="3"/>
  <c r="AA484" i="3"/>
  <c r="Z484" i="3"/>
  <c r="Y484" i="3"/>
  <c r="X484" i="3"/>
  <c r="D484" i="3"/>
  <c r="AE483" i="3"/>
  <c r="AF483" i="3" s="1"/>
  <c r="AC483" i="3"/>
  <c r="AB483" i="3"/>
  <c r="AA483" i="3"/>
  <c r="Z483" i="3"/>
  <c r="Y483" i="3"/>
  <c r="X483" i="3"/>
  <c r="D483" i="3"/>
  <c r="AG482" i="3"/>
  <c r="AH482" i="3" s="1"/>
  <c r="AF482" i="3"/>
  <c r="AE482" i="3"/>
  <c r="AC482" i="3"/>
  <c r="AB482" i="3"/>
  <c r="AA482" i="3"/>
  <c r="Z482" i="3"/>
  <c r="Y482" i="3"/>
  <c r="X482" i="3"/>
  <c r="D482" i="3"/>
  <c r="AG481" i="3"/>
  <c r="AI481" i="3" s="1"/>
  <c r="AE481" i="3"/>
  <c r="AF481" i="3" s="1"/>
  <c r="AC481" i="3"/>
  <c r="AB481" i="3"/>
  <c r="AA481" i="3"/>
  <c r="Z481" i="3"/>
  <c r="Y481" i="3"/>
  <c r="X481" i="3"/>
  <c r="D481" i="3"/>
  <c r="AG480" i="3"/>
  <c r="AI480" i="3" s="1"/>
  <c r="AF480" i="3"/>
  <c r="AE480" i="3"/>
  <c r="AC480" i="3"/>
  <c r="AB480" i="3"/>
  <c r="AA480" i="3"/>
  <c r="Z480" i="3"/>
  <c r="Y480" i="3"/>
  <c r="X480" i="3"/>
  <c r="D480" i="3"/>
  <c r="AE479" i="3"/>
  <c r="AF479" i="3" s="1"/>
  <c r="AC479" i="3"/>
  <c r="AB479" i="3"/>
  <c r="AA479" i="3"/>
  <c r="Z479" i="3"/>
  <c r="Y479" i="3"/>
  <c r="X479" i="3"/>
  <c r="D479" i="3"/>
  <c r="AG478" i="3"/>
  <c r="AI478" i="3" s="1"/>
  <c r="AF478" i="3"/>
  <c r="AE478" i="3"/>
  <c r="AC478" i="3"/>
  <c r="AB478" i="3"/>
  <c r="AA478" i="3"/>
  <c r="Z478" i="3"/>
  <c r="Y478" i="3"/>
  <c r="X478" i="3"/>
  <c r="D478" i="3"/>
  <c r="AE477" i="3"/>
  <c r="AF477" i="3" s="1"/>
  <c r="AC477" i="3"/>
  <c r="AB477" i="3"/>
  <c r="AA477" i="3"/>
  <c r="Z477" i="3"/>
  <c r="Y477" i="3"/>
  <c r="X477" i="3"/>
  <c r="D477" i="3"/>
  <c r="AI476" i="3"/>
  <c r="AG476" i="3"/>
  <c r="AH476" i="3" s="1"/>
  <c r="AF476" i="3"/>
  <c r="AE476" i="3"/>
  <c r="AC476" i="3"/>
  <c r="AB476" i="3"/>
  <c r="AA476" i="3"/>
  <c r="Z476" i="3"/>
  <c r="Y476" i="3"/>
  <c r="X476" i="3"/>
  <c r="D476" i="3"/>
  <c r="AE475" i="3"/>
  <c r="AF475" i="3" s="1"/>
  <c r="AC475" i="3"/>
  <c r="AB475" i="3"/>
  <c r="AA475" i="3"/>
  <c r="Z475" i="3"/>
  <c r="Y475" i="3"/>
  <c r="X475" i="3"/>
  <c r="D475" i="3"/>
  <c r="AG474" i="3"/>
  <c r="AH474" i="3" s="1"/>
  <c r="AF474" i="3"/>
  <c r="AE474" i="3"/>
  <c r="AC474" i="3"/>
  <c r="AB474" i="3"/>
  <c r="AA474" i="3"/>
  <c r="Z474" i="3"/>
  <c r="Y474" i="3"/>
  <c r="X474" i="3"/>
  <c r="D474" i="3"/>
  <c r="AE473" i="3"/>
  <c r="AF473" i="3" s="1"/>
  <c r="AC473" i="3"/>
  <c r="AB473" i="3"/>
  <c r="AA473" i="3"/>
  <c r="Z473" i="3"/>
  <c r="Y473" i="3"/>
  <c r="X473" i="3"/>
  <c r="D473" i="3"/>
  <c r="AI472" i="3"/>
  <c r="AG472" i="3"/>
  <c r="AH472" i="3" s="1"/>
  <c r="AF472" i="3"/>
  <c r="AE472" i="3"/>
  <c r="AC472" i="3"/>
  <c r="AB472" i="3"/>
  <c r="AA472" i="3"/>
  <c r="Z472" i="3"/>
  <c r="Y472" i="3"/>
  <c r="X472" i="3"/>
  <c r="D472" i="3"/>
  <c r="AE471" i="3"/>
  <c r="AF471" i="3" s="1"/>
  <c r="AC471" i="3"/>
  <c r="AB471" i="3"/>
  <c r="AA471" i="3"/>
  <c r="Z471" i="3"/>
  <c r="Y471" i="3"/>
  <c r="X471" i="3"/>
  <c r="D471" i="3"/>
  <c r="AG470" i="3"/>
  <c r="AI470" i="3" s="1"/>
  <c r="AF470" i="3"/>
  <c r="AE470" i="3"/>
  <c r="AC470" i="3"/>
  <c r="AB470" i="3"/>
  <c r="AA470" i="3"/>
  <c r="Z470" i="3"/>
  <c r="Y470" i="3"/>
  <c r="X470" i="3"/>
  <c r="D470" i="3"/>
  <c r="AE469" i="3"/>
  <c r="AF469" i="3" s="1"/>
  <c r="AC469" i="3"/>
  <c r="AB469" i="3"/>
  <c r="AA469" i="3"/>
  <c r="Z469" i="3"/>
  <c r="Y469" i="3"/>
  <c r="X469" i="3"/>
  <c r="D469" i="3"/>
  <c r="AI468" i="3"/>
  <c r="AG468" i="3"/>
  <c r="AH468" i="3" s="1"/>
  <c r="AF468" i="3"/>
  <c r="AE468" i="3"/>
  <c r="AC468" i="3"/>
  <c r="AB468" i="3"/>
  <c r="AA468" i="3"/>
  <c r="Z468" i="3"/>
  <c r="Y468" i="3"/>
  <c r="X468" i="3"/>
  <c r="D468" i="3"/>
  <c r="AE467" i="3"/>
  <c r="AF467" i="3" s="1"/>
  <c r="AC467" i="3"/>
  <c r="AB467" i="3"/>
  <c r="AA467" i="3"/>
  <c r="Z467" i="3"/>
  <c r="Y467" i="3"/>
  <c r="X467" i="3"/>
  <c r="D467" i="3"/>
  <c r="AG466" i="3"/>
  <c r="AH466" i="3" s="1"/>
  <c r="AF466" i="3"/>
  <c r="AE466" i="3"/>
  <c r="AC466" i="3"/>
  <c r="AB466" i="3"/>
  <c r="AA466" i="3"/>
  <c r="Z466" i="3"/>
  <c r="Y466" i="3"/>
  <c r="X466" i="3"/>
  <c r="D466" i="3"/>
  <c r="AE465" i="3"/>
  <c r="AF465" i="3" s="1"/>
  <c r="AC465" i="3"/>
  <c r="AB465" i="3"/>
  <c r="AA465" i="3"/>
  <c r="Z465" i="3"/>
  <c r="Y465" i="3"/>
  <c r="X465" i="3"/>
  <c r="D465" i="3"/>
  <c r="AI464" i="3"/>
  <c r="AG464" i="3"/>
  <c r="AH464" i="3" s="1"/>
  <c r="AF464" i="3"/>
  <c r="AE464" i="3"/>
  <c r="AC464" i="3"/>
  <c r="AB464" i="3"/>
  <c r="AA464" i="3"/>
  <c r="Z464" i="3"/>
  <c r="Y464" i="3"/>
  <c r="X464" i="3"/>
  <c r="D464" i="3"/>
  <c r="AE463" i="3"/>
  <c r="AF463" i="3" s="1"/>
  <c r="AC463" i="3"/>
  <c r="AB463" i="3"/>
  <c r="AA463" i="3"/>
  <c r="Z463" i="3"/>
  <c r="Y463" i="3"/>
  <c r="X463" i="3"/>
  <c r="D463" i="3"/>
  <c r="AG462" i="3"/>
  <c r="AI462" i="3" s="1"/>
  <c r="AF462" i="3"/>
  <c r="AE462" i="3"/>
  <c r="AC462" i="3"/>
  <c r="AB462" i="3"/>
  <c r="AA462" i="3"/>
  <c r="Z462" i="3"/>
  <c r="Y462" i="3"/>
  <c r="X462" i="3"/>
  <c r="D462" i="3"/>
  <c r="AE461" i="3"/>
  <c r="AF461" i="3" s="1"/>
  <c r="AC461" i="3"/>
  <c r="AB461" i="3"/>
  <c r="AA461" i="3"/>
  <c r="Z461" i="3"/>
  <c r="Y461" i="3"/>
  <c r="X461" i="3"/>
  <c r="D461" i="3"/>
  <c r="AG460" i="3"/>
  <c r="AI460" i="3" s="1"/>
  <c r="AF460" i="3"/>
  <c r="AE460" i="3"/>
  <c r="AC460" i="3"/>
  <c r="AB460" i="3"/>
  <c r="AA460" i="3"/>
  <c r="Z460" i="3"/>
  <c r="Y460" i="3"/>
  <c r="X460" i="3"/>
  <c r="D460" i="3"/>
  <c r="AE459" i="3"/>
  <c r="AF459" i="3" s="1"/>
  <c r="AC459" i="3"/>
  <c r="AB459" i="3"/>
  <c r="AA459" i="3"/>
  <c r="Z459" i="3"/>
  <c r="Y459" i="3"/>
  <c r="X459" i="3"/>
  <c r="D459" i="3"/>
  <c r="AG458" i="3"/>
  <c r="AH458" i="3" s="1"/>
  <c r="AF458" i="3"/>
  <c r="AE458" i="3"/>
  <c r="AC458" i="3"/>
  <c r="AB458" i="3"/>
  <c r="AA458" i="3"/>
  <c r="Z458" i="3"/>
  <c r="Y458" i="3"/>
  <c r="X458" i="3"/>
  <c r="D458" i="3"/>
  <c r="AE457" i="3"/>
  <c r="AF457" i="3" s="1"/>
  <c r="AC457" i="3"/>
  <c r="AB457" i="3"/>
  <c r="AA457" i="3"/>
  <c r="Z457" i="3"/>
  <c r="Y457" i="3"/>
  <c r="X457" i="3"/>
  <c r="D457" i="3"/>
  <c r="AI456" i="3"/>
  <c r="AG456" i="3"/>
  <c r="AH456" i="3" s="1"/>
  <c r="AF456" i="3"/>
  <c r="AE456" i="3"/>
  <c r="AC456" i="3"/>
  <c r="AB456" i="3"/>
  <c r="AA456" i="3"/>
  <c r="Z456" i="3"/>
  <c r="Y456" i="3"/>
  <c r="X456" i="3"/>
  <c r="D456" i="3"/>
  <c r="AE455" i="3"/>
  <c r="AF455" i="3" s="1"/>
  <c r="AC455" i="3"/>
  <c r="AB455" i="3"/>
  <c r="AA455" i="3"/>
  <c r="Z455" i="3"/>
  <c r="Y455" i="3"/>
  <c r="X455" i="3"/>
  <c r="D455" i="3"/>
  <c r="AG454" i="3"/>
  <c r="AI454" i="3" s="1"/>
  <c r="AF454" i="3"/>
  <c r="AE454" i="3"/>
  <c r="AC454" i="3"/>
  <c r="AB454" i="3"/>
  <c r="AA454" i="3"/>
  <c r="Z454" i="3"/>
  <c r="Y454" i="3"/>
  <c r="X454" i="3"/>
  <c r="D454" i="3"/>
  <c r="AE453" i="3"/>
  <c r="AF453" i="3" s="1"/>
  <c r="AC453" i="3"/>
  <c r="AB453" i="3"/>
  <c r="AA453" i="3"/>
  <c r="Z453" i="3"/>
  <c r="Y453" i="3"/>
  <c r="X453" i="3"/>
  <c r="D453" i="3"/>
  <c r="AG452" i="3"/>
  <c r="AI452" i="3" s="1"/>
  <c r="AF452" i="3"/>
  <c r="AE452" i="3"/>
  <c r="AC452" i="3"/>
  <c r="AB452" i="3"/>
  <c r="AA452" i="3"/>
  <c r="Z452" i="3"/>
  <c r="Y452" i="3"/>
  <c r="X452" i="3"/>
  <c r="D452" i="3"/>
  <c r="AE451" i="3"/>
  <c r="AF451" i="3" s="1"/>
  <c r="AC451" i="3"/>
  <c r="AB451" i="3"/>
  <c r="AA451" i="3"/>
  <c r="Z451" i="3"/>
  <c r="Y451" i="3"/>
  <c r="X451" i="3"/>
  <c r="D451" i="3"/>
  <c r="AG450" i="3"/>
  <c r="AH450" i="3" s="1"/>
  <c r="AF450" i="3"/>
  <c r="AE450" i="3"/>
  <c r="AC450" i="3"/>
  <c r="AB450" i="3"/>
  <c r="AA450" i="3"/>
  <c r="Z450" i="3"/>
  <c r="Y450" i="3"/>
  <c r="X450" i="3"/>
  <c r="D450" i="3"/>
  <c r="AE449" i="3"/>
  <c r="AF449" i="3" s="1"/>
  <c r="AC449" i="3"/>
  <c r="AB449" i="3"/>
  <c r="AA449" i="3"/>
  <c r="Z449" i="3"/>
  <c r="Y449" i="3"/>
  <c r="X449" i="3"/>
  <c r="D449" i="3"/>
  <c r="AI448" i="3"/>
  <c r="AG448" i="3"/>
  <c r="AH448" i="3" s="1"/>
  <c r="AF448" i="3"/>
  <c r="AE448" i="3"/>
  <c r="AC448" i="3"/>
  <c r="AB448" i="3"/>
  <c r="AA448" i="3"/>
  <c r="Z448" i="3"/>
  <c r="Y448" i="3"/>
  <c r="X448" i="3"/>
  <c r="D448" i="3"/>
  <c r="AE447" i="3"/>
  <c r="AF447" i="3" s="1"/>
  <c r="AC447" i="3"/>
  <c r="AB447" i="3"/>
  <c r="AA447" i="3"/>
  <c r="Z447" i="3"/>
  <c r="Y447" i="3"/>
  <c r="X447" i="3"/>
  <c r="D447" i="3"/>
  <c r="AG446" i="3"/>
  <c r="AI446" i="3" s="1"/>
  <c r="AF446" i="3"/>
  <c r="AE446" i="3"/>
  <c r="AC446" i="3"/>
  <c r="AB446" i="3"/>
  <c r="AA446" i="3"/>
  <c r="Z446" i="3"/>
  <c r="Y446" i="3"/>
  <c r="X446" i="3"/>
  <c r="D446" i="3"/>
  <c r="AE445" i="3"/>
  <c r="AF445" i="3" s="1"/>
  <c r="AC445" i="3"/>
  <c r="AB445" i="3"/>
  <c r="AA445" i="3"/>
  <c r="Z445" i="3"/>
  <c r="Y445" i="3"/>
  <c r="X445" i="3"/>
  <c r="D445" i="3"/>
  <c r="AG444" i="3"/>
  <c r="AI444" i="3" s="1"/>
  <c r="AF444" i="3"/>
  <c r="AE444" i="3"/>
  <c r="AC444" i="3"/>
  <c r="AB444" i="3"/>
  <c r="AA444" i="3"/>
  <c r="Z444" i="3"/>
  <c r="Y444" i="3"/>
  <c r="X444" i="3"/>
  <c r="D444" i="3"/>
  <c r="AE443" i="3"/>
  <c r="AF443" i="3" s="1"/>
  <c r="AC443" i="3"/>
  <c r="AB443" i="3"/>
  <c r="AA443" i="3"/>
  <c r="Z443" i="3"/>
  <c r="Y443" i="3"/>
  <c r="X443" i="3"/>
  <c r="D443" i="3"/>
  <c r="AG442" i="3"/>
  <c r="AH442" i="3" s="1"/>
  <c r="AF442" i="3"/>
  <c r="AE442" i="3"/>
  <c r="AC442" i="3"/>
  <c r="AB442" i="3"/>
  <c r="AA442" i="3"/>
  <c r="Z442" i="3"/>
  <c r="Y442" i="3"/>
  <c r="X442" i="3"/>
  <c r="D442" i="3"/>
  <c r="AE441" i="3"/>
  <c r="AF441" i="3" s="1"/>
  <c r="AC441" i="3"/>
  <c r="AB441" i="3"/>
  <c r="AA441" i="3"/>
  <c r="Z441" i="3"/>
  <c r="Y441" i="3"/>
  <c r="X441" i="3"/>
  <c r="D441" i="3"/>
  <c r="AI440" i="3"/>
  <c r="AG440" i="3"/>
  <c r="AH440" i="3" s="1"/>
  <c r="AF440" i="3"/>
  <c r="AE440" i="3"/>
  <c r="AC440" i="3"/>
  <c r="AB440" i="3"/>
  <c r="AA440" i="3"/>
  <c r="Z440" i="3"/>
  <c r="Y440" i="3"/>
  <c r="X440" i="3"/>
  <c r="D440" i="3"/>
  <c r="AE439" i="3"/>
  <c r="AF439" i="3" s="1"/>
  <c r="AC439" i="3"/>
  <c r="AB439" i="3"/>
  <c r="AA439" i="3"/>
  <c r="Z439" i="3"/>
  <c r="Y439" i="3"/>
  <c r="X439" i="3"/>
  <c r="D439" i="3"/>
  <c r="AG438" i="3"/>
  <c r="AI438" i="3" s="1"/>
  <c r="AF438" i="3"/>
  <c r="AE438" i="3"/>
  <c r="AC438" i="3"/>
  <c r="AB438" i="3"/>
  <c r="AA438" i="3"/>
  <c r="Z438" i="3"/>
  <c r="Y438" i="3"/>
  <c r="X438" i="3"/>
  <c r="D438" i="3"/>
  <c r="AE437" i="3"/>
  <c r="AF437" i="3" s="1"/>
  <c r="AC437" i="3"/>
  <c r="AB437" i="3"/>
  <c r="AA437" i="3"/>
  <c r="Z437" i="3"/>
  <c r="Y437" i="3"/>
  <c r="X437" i="3"/>
  <c r="D437" i="3"/>
  <c r="AG436" i="3"/>
  <c r="AI436" i="3" s="1"/>
  <c r="AF436" i="3"/>
  <c r="AE436" i="3"/>
  <c r="AC436" i="3"/>
  <c r="AB436" i="3"/>
  <c r="AA436" i="3"/>
  <c r="Z436" i="3"/>
  <c r="Y436" i="3"/>
  <c r="X436" i="3"/>
  <c r="D436" i="3"/>
  <c r="AE435" i="3"/>
  <c r="AF435" i="3" s="1"/>
  <c r="AC435" i="3"/>
  <c r="AB435" i="3"/>
  <c r="AA435" i="3"/>
  <c r="Z435" i="3"/>
  <c r="Y435" i="3"/>
  <c r="X435" i="3"/>
  <c r="D435" i="3"/>
  <c r="AG434" i="3"/>
  <c r="AH434" i="3" s="1"/>
  <c r="AF434" i="3"/>
  <c r="AE434" i="3"/>
  <c r="AC434" i="3"/>
  <c r="AB434" i="3"/>
  <c r="AA434" i="3"/>
  <c r="Z434" i="3"/>
  <c r="Y434" i="3"/>
  <c r="X434" i="3"/>
  <c r="D434" i="3"/>
  <c r="AE433" i="3"/>
  <c r="AF433" i="3" s="1"/>
  <c r="AC433" i="3"/>
  <c r="AB433" i="3"/>
  <c r="AA433" i="3"/>
  <c r="Z433" i="3"/>
  <c r="Y433" i="3"/>
  <c r="X433" i="3"/>
  <c r="D433" i="3"/>
  <c r="AI432" i="3"/>
  <c r="AG432" i="3"/>
  <c r="AH432" i="3" s="1"/>
  <c r="AF432" i="3"/>
  <c r="AE432" i="3"/>
  <c r="AC432" i="3"/>
  <c r="AB432" i="3"/>
  <c r="AA432" i="3"/>
  <c r="Z432" i="3"/>
  <c r="Y432" i="3"/>
  <c r="X432" i="3"/>
  <c r="D432" i="3"/>
  <c r="AF431" i="3"/>
  <c r="AE431" i="3"/>
  <c r="AG431" i="3" s="1"/>
  <c r="AC431" i="3"/>
  <c r="AB431" i="3"/>
  <c r="AA431" i="3"/>
  <c r="Z431" i="3"/>
  <c r="Y431" i="3"/>
  <c r="X431" i="3"/>
  <c r="D431" i="3"/>
  <c r="AI430" i="3"/>
  <c r="AH430" i="3"/>
  <c r="AG430" i="3"/>
  <c r="AF430" i="3"/>
  <c r="AE430" i="3"/>
  <c r="AC430" i="3"/>
  <c r="AB430" i="3"/>
  <c r="AA430" i="3"/>
  <c r="Z430" i="3"/>
  <c r="Y430" i="3"/>
  <c r="X430" i="3"/>
  <c r="D430" i="3"/>
  <c r="AG429" i="3"/>
  <c r="AI429" i="3" s="1"/>
  <c r="AE429" i="3"/>
  <c r="AF429" i="3" s="1"/>
  <c r="AC429" i="3"/>
  <c r="AB429" i="3"/>
  <c r="AA429" i="3"/>
  <c r="Z429" i="3"/>
  <c r="Y429" i="3"/>
  <c r="X429" i="3"/>
  <c r="D429" i="3"/>
  <c r="AG428" i="3"/>
  <c r="AI428" i="3" s="1"/>
  <c r="AF428" i="3"/>
  <c r="AE428" i="3"/>
  <c r="AC428" i="3"/>
  <c r="AB428" i="3"/>
  <c r="AA428" i="3"/>
  <c r="Z428" i="3"/>
  <c r="Y428" i="3"/>
  <c r="X428" i="3"/>
  <c r="D428" i="3"/>
  <c r="AH427" i="3"/>
  <c r="AG427" i="3"/>
  <c r="AI427" i="3" s="1"/>
  <c r="AF427" i="3"/>
  <c r="AE427" i="3"/>
  <c r="AC427" i="3"/>
  <c r="AB427" i="3"/>
  <c r="AA427" i="3"/>
  <c r="Z427" i="3"/>
  <c r="Y427" i="3"/>
  <c r="X427" i="3"/>
  <c r="D427" i="3"/>
  <c r="AH426" i="3"/>
  <c r="AG426" i="3"/>
  <c r="AI426" i="3" s="1"/>
  <c r="AF426" i="3"/>
  <c r="AE426" i="3"/>
  <c r="AC426" i="3"/>
  <c r="AB426" i="3"/>
  <c r="AA426" i="3"/>
  <c r="Z426" i="3"/>
  <c r="Y426" i="3"/>
  <c r="X426" i="3"/>
  <c r="D426" i="3"/>
  <c r="AH425" i="3"/>
  <c r="AG425" i="3"/>
  <c r="AI425" i="3" s="1"/>
  <c r="AF425" i="3"/>
  <c r="AE425" i="3"/>
  <c r="AC425" i="3"/>
  <c r="AB425" i="3"/>
  <c r="AA425" i="3"/>
  <c r="Z425" i="3"/>
  <c r="Y425" i="3"/>
  <c r="X425" i="3"/>
  <c r="D425" i="3"/>
  <c r="AH424" i="3"/>
  <c r="AG424" i="3"/>
  <c r="AI424" i="3" s="1"/>
  <c r="AF424" i="3"/>
  <c r="AE424" i="3"/>
  <c r="AC424" i="3"/>
  <c r="AB424" i="3"/>
  <c r="AA424" i="3"/>
  <c r="Z424" i="3"/>
  <c r="Y424" i="3"/>
  <c r="X424" i="3"/>
  <c r="D424" i="3"/>
  <c r="AH423" i="3"/>
  <c r="AG423" i="3"/>
  <c r="AI423" i="3" s="1"/>
  <c r="AF423" i="3"/>
  <c r="AE423" i="3"/>
  <c r="AC423" i="3"/>
  <c r="AB423" i="3"/>
  <c r="AA423" i="3"/>
  <c r="Z423" i="3"/>
  <c r="Y423" i="3"/>
  <c r="X423" i="3"/>
  <c r="D423" i="3"/>
  <c r="AH422" i="3"/>
  <c r="AG422" i="3"/>
  <c r="AI422" i="3" s="1"/>
  <c r="AF422" i="3"/>
  <c r="AE422" i="3"/>
  <c r="AC422" i="3"/>
  <c r="AB422" i="3"/>
  <c r="AA422" i="3"/>
  <c r="Z422" i="3"/>
  <c r="Y422" i="3"/>
  <c r="X422" i="3"/>
  <c r="D422" i="3"/>
  <c r="AH421" i="3"/>
  <c r="AG421" i="3"/>
  <c r="AI421" i="3" s="1"/>
  <c r="AF421" i="3"/>
  <c r="AE421" i="3"/>
  <c r="AC421" i="3"/>
  <c r="AB421" i="3"/>
  <c r="AA421" i="3"/>
  <c r="Z421" i="3"/>
  <c r="Y421" i="3"/>
  <c r="X421" i="3"/>
  <c r="D421" i="3"/>
  <c r="AH420" i="3"/>
  <c r="AG420" i="3"/>
  <c r="AI420" i="3" s="1"/>
  <c r="AF420" i="3"/>
  <c r="AE420" i="3"/>
  <c r="AC420" i="3"/>
  <c r="AB420" i="3"/>
  <c r="AA420" i="3"/>
  <c r="Z420" i="3"/>
  <c r="Y420" i="3"/>
  <c r="X420" i="3"/>
  <c r="D420" i="3"/>
  <c r="AH419" i="3"/>
  <c r="AG419" i="3"/>
  <c r="AI419" i="3" s="1"/>
  <c r="AF419" i="3"/>
  <c r="AE419" i="3"/>
  <c r="AC419" i="3"/>
  <c r="AB419" i="3"/>
  <c r="AA419" i="3"/>
  <c r="Z419" i="3"/>
  <c r="Y419" i="3"/>
  <c r="X419" i="3"/>
  <c r="D419" i="3"/>
  <c r="AH418" i="3"/>
  <c r="AG418" i="3"/>
  <c r="AI418" i="3" s="1"/>
  <c r="AF418" i="3"/>
  <c r="AE418" i="3"/>
  <c r="AC418" i="3"/>
  <c r="AB418" i="3"/>
  <c r="AA418" i="3"/>
  <c r="Z418" i="3"/>
  <c r="Y418" i="3"/>
  <c r="X418" i="3"/>
  <c r="D418" i="3"/>
  <c r="AH417" i="3"/>
  <c r="AG417" i="3"/>
  <c r="AI417" i="3" s="1"/>
  <c r="AF417" i="3"/>
  <c r="AE417" i="3"/>
  <c r="AC417" i="3"/>
  <c r="AB417" i="3"/>
  <c r="AA417" i="3"/>
  <c r="Z417" i="3"/>
  <c r="Y417" i="3"/>
  <c r="X417" i="3"/>
  <c r="D417" i="3"/>
  <c r="AH416" i="3"/>
  <c r="AG416" i="3"/>
  <c r="AI416" i="3" s="1"/>
  <c r="AF416" i="3"/>
  <c r="AE416" i="3"/>
  <c r="AC416" i="3"/>
  <c r="AB416" i="3"/>
  <c r="AA416" i="3"/>
  <c r="Z416" i="3"/>
  <c r="Y416" i="3"/>
  <c r="X416" i="3"/>
  <c r="D416" i="3"/>
  <c r="AH415" i="3"/>
  <c r="AG415" i="3"/>
  <c r="AI415" i="3" s="1"/>
  <c r="AF415" i="3"/>
  <c r="AE415" i="3"/>
  <c r="AC415" i="3"/>
  <c r="AB415" i="3"/>
  <c r="AA415" i="3"/>
  <c r="Z415" i="3"/>
  <c r="Y415" i="3"/>
  <c r="X415" i="3"/>
  <c r="D415" i="3"/>
  <c r="AH414" i="3"/>
  <c r="AG414" i="3"/>
  <c r="AI414" i="3" s="1"/>
  <c r="AF414" i="3"/>
  <c r="AE414" i="3"/>
  <c r="AC414" i="3"/>
  <c r="AB414" i="3"/>
  <c r="AA414" i="3"/>
  <c r="Z414" i="3"/>
  <c r="Y414" i="3"/>
  <c r="X414" i="3"/>
  <c r="D414" i="3"/>
  <c r="AH413" i="3"/>
  <c r="AG413" i="3"/>
  <c r="AI413" i="3" s="1"/>
  <c r="AF413" i="3"/>
  <c r="AE413" i="3"/>
  <c r="AC413" i="3"/>
  <c r="AB413" i="3"/>
  <c r="AA413" i="3"/>
  <c r="Z413" i="3"/>
  <c r="Y413" i="3"/>
  <c r="X413" i="3"/>
  <c r="D413" i="3"/>
  <c r="AH412" i="3"/>
  <c r="AG412" i="3"/>
  <c r="AI412" i="3" s="1"/>
  <c r="AF412" i="3"/>
  <c r="AE412" i="3"/>
  <c r="AC412" i="3"/>
  <c r="AB412" i="3"/>
  <c r="AA412" i="3"/>
  <c r="Z412" i="3"/>
  <c r="Y412" i="3"/>
  <c r="X412" i="3"/>
  <c r="D412" i="3"/>
  <c r="AH411" i="3"/>
  <c r="AG411" i="3"/>
  <c r="AI411" i="3" s="1"/>
  <c r="AF411" i="3"/>
  <c r="AE411" i="3"/>
  <c r="AC411" i="3"/>
  <c r="AB411" i="3"/>
  <c r="AA411" i="3"/>
  <c r="Z411" i="3"/>
  <c r="Y411" i="3"/>
  <c r="X411" i="3"/>
  <c r="D411" i="3"/>
  <c r="AH410" i="3"/>
  <c r="AG410" i="3"/>
  <c r="AI410" i="3" s="1"/>
  <c r="AF410" i="3"/>
  <c r="AE410" i="3"/>
  <c r="AC410" i="3"/>
  <c r="AB410" i="3"/>
  <c r="AA410" i="3"/>
  <c r="Z410" i="3"/>
  <c r="Y410" i="3"/>
  <c r="X410" i="3"/>
  <c r="D410" i="3"/>
  <c r="AH409" i="3"/>
  <c r="AG409" i="3"/>
  <c r="AI409" i="3" s="1"/>
  <c r="AF409" i="3"/>
  <c r="AE409" i="3"/>
  <c r="AC409" i="3"/>
  <c r="AB409" i="3"/>
  <c r="AA409" i="3"/>
  <c r="Z409" i="3"/>
  <c r="Y409" i="3"/>
  <c r="X409" i="3"/>
  <c r="D409" i="3"/>
  <c r="AH408" i="3"/>
  <c r="AG408" i="3"/>
  <c r="AI408" i="3" s="1"/>
  <c r="AF408" i="3"/>
  <c r="AE408" i="3"/>
  <c r="AC408" i="3"/>
  <c r="AB408" i="3"/>
  <c r="AA408" i="3"/>
  <c r="Z408" i="3"/>
  <c r="Y408" i="3"/>
  <c r="X408" i="3"/>
  <c r="D408" i="3"/>
  <c r="AH407" i="3"/>
  <c r="AG407" i="3"/>
  <c r="AI407" i="3" s="1"/>
  <c r="AF407" i="3"/>
  <c r="AE407" i="3"/>
  <c r="AC407" i="3"/>
  <c r="AB407" i="3"/>
  <c r="AA407" i="3"/>
  <c r="Z407" i="3"/>
  <c r="Y407" i="3"/>
  <c r="X407" i="3"/>
  <c r="D407" i="3"/>
  <c r="AH406" i="3"/>
  <c r="AG406" i="3"/>
  <c r="AI406" i="3" s="1"/>
  <c r="AF406" i="3"/>
  <c r="AE406" i="3"/>
  <c r="AC406" i="3"/>
  <c r="AB406" i="3"/>
  <c r="AA406" i="3"/>
  <c r="Z406" i="3"/>
  <c r="Y406" i="3"/>
  <c r="X406" i="3"/>
  <c r="D406" i="3"/>
  <c r="AH405" i="3"/>
  <c r="AG405" i="3"/>
  <c r="AI405" i="3" s="1"/>
  <c r="AF405" i="3"/>
  <c r="AE405" i="3"/>
  <c r="AC405" i="3"/>
  <c r="AB405" i="3"/>
  <c r="AA405" i="3"/>
  <c r="Z405" i="3"/>
  <c r="Y405" i="3"/>
  <c r="X405" i="3"/>
  <c r="D405" i="3"/>
  <c r="AH404" i="3"/>
  <c r="AG404" i="3"/>
  <c r="AI404" i="3" s="1"/>
  <c r="AF404" i="3"/>
  <c r="AE404" i="3"/>
  <c r="AC404" i="3"/>
  <c r="AB404" i="3"/>
  <c r="AA404" i="3"/>
  <c r="Z404" i="3"/>
  <c r="Y404" i="3"/>
  <c r="X404" i="3"/>
  <c r="D404" i="3"/>
  <c r="AH403" i="3"/>
  <c r="AG403" i="3"/>
  <c r="AI403" i="3" s="1"/>
  <c r="AF403" i="3"/>
  <c r="AE403" i="3"/>
  <c r="AC403" i="3"/>
  <c r="AB403" i="3"/>
  <c r="AA403" i="3"/>
  <c r="Z403" i="3"/>
  <c r="Y403" i="3"/>
  <c r="X403" i="3"/>
  <c r="D403" i="3"/>
  <c r="AH402" i="3"/>
  <c r="AG402" i="3"/>
  <c r="AI402" i="3" s="1"/>
  <c r="AF402" i="3"/>
  <c r="AE402" i="3"/>
  <c r="AC402" i="3"/>
  <c r="AB402" i="3"/>
  <c r="AA402" i="3"/>
  <c r="Z402" i="3"/>
  <c r="Y402" i="3"/>
  <c r="X402" i="3"/>
  <c r="D402" i="3"/>
  <c r="AH401" i="3"/>
  <c r="AG401" i="3"/>
  <c r="AI401" i="3" s="1"/>
  <c r="AF401" i="3"/>
  <c r="AE401" i="3"/>
  <c r="AC401" i="3"/>
  <c r="AB401" i="3"/>
  <c r="AA401" i="3"/>
  <c r="Z401" i="3"/>
  <c r="Y401" i="3"/>
  <c r="X401" i="3"/>
  <c r="D401" i="3"/>
  <c r="AH400" i="3"/>
  <c r="AG400" i="3"/>
  <c r="AI400" i="3" s="1"/>
  <c r="AF400" i="3"/>
  <c r="AE400" i="3"/>
  <c r="AC400" i="3"/>
  <c r="AB400" i="3"/>
  <c r="AA400" i="3"/>
  <c r="Z400" i="3"/>
  <c r="Y400" i="3"/>
  <c r="X400" i="3"/>
  <c r="D400" i="3"/>
  <c r="AH399" i="3"/>
  <c r="AG399" i="3"/>
  <c r="AI399" i="3" s="1"/>
  <c r="AF399" i="3"/>
  <c r="AE399" i="3"/>
  <c r="AC399" i="3"/>
  <c r="AB399" i="3"/>
  <c r="AA399" i="3"/>
  <c r="Z399" i="3"/>
  <c r="Y399" i="3"/>
  <c r="X399" i="3"/>
  <c r="D399" i="3"/>
  <c r="AH398" i="3"/>
  <c r="AG398" i="3"/>
  <c r="AI398" i="3" s="1"/>
  <c r="AF398" i="3"/>
  <c r="AE398" i="3"/>
  <c r="AC398" i="3"/>
  <c r="AB398" i="3"/>
  <c r="AA398" i="3"/>
  <c r="Z398" i="3"/>
  <c r="Y398" i="3"/>
  <c r="X398" i="3"/>
  <c r="D398" i="3"/>
  <c r="AH397" i="3"/>
  <c r="AG397" i="3"/>
  <c r="AI397" i="3" s="1"/>
  <c r="AF397" i="3"/>
  <c r="AE397" i="3"/>
  <c r="AC397" i="3"/>
  <c r="AB397" i="3"/>
  <c r="AA397" i="3"/>
  <c r="Z397" i="3"/>
  <c r="Y397" i="3"/>
  <c r="X397" i="3"/>
  <c r="D397" i="3"/>
  <c r="AH396" i="3"/>
  <c r="AG396" i="3"/>
  <c r="AI396" i="3" s="1"/>
  <c r="AF396" i="3"/>
  <c r="AE396" i="3"/>
  <c r="AC396" i="3"/>
  <c r="AB396" i="3"/>
  <c r="AA396" i="3"/>
  <c r="Z396" i="3"/>
  <c r="Y396" i="3"/>
  <c r="X396" i="3"/>
  <c r="D396" i="3"/>
  <c r="AH395" i="3"/>
  <c r="AG395" i="3"/>
  <c r="AI395" i="3" s="1"/>
  <c r="AF395" i="3"/>
  <c r="AE395" i="3"/>
  <c r="AC395" i="3"/>
  <c r="AB395" i="3"/>
  <c r="AA395" i="3"/>
  <c r="Z395" i="3"/>
  <c r="Y395" i="3"/>
  <c r="X395" i="3"/>
  <c r="D395" i="3"/>
  <c r="AH394" i="3"/>
  <c r="AG394" i="3"/>
  <c r="AI394" i="3" s="1"/>
  <c r="AF394" i="3"/>
  <c r="AE394" i="3"/>
  <c r="AC394" i="3"/>
  <c r="AB394" i="3"/>
  <c r="AA394" i="3"/>
  <c r="Z394" i="3"/>
  <c r="Y394" i="3"/>
  <c r="X394" i="3"/>
  <c r="D394" i="3"/>
  <c r="AH393" i="3"/>
  <c r="AG393" i="3"/>
  <c r="AI393" i="3" s="1"/>
  <c r="AF393" i="3"/>
  <c r="AE393" i="3"/>
  <c r="AC393" i="3"/>
  <c r="AB393" i="3"/>
  <c r="AA393" i="3"/>
  <c r="Z393" i="3"/>
  <c r="Y393" i="3"/>
  <c r="X393" i="3"/>
  <c r="D393" i="3"/>
  <c r="AH392" i="3"/>
  <c r="AG392" i="3"/>
  <c r="AI392" i="3" s="1"/>
  <c r="AF392" i="3"/>
  <c r="AE392" i="3"/>
  <c r="AC392" i="3"/>
  <c r="AB392" i="3"/>
  <c r="AA392" i="3"/>
  <c r="Z392" i="3"/>
  <c r="Y392" i="3"/>
  <c r="X392" i="3"/>
  <c r="D392" i="3"/>
  <c r="AH391" i="3"/>
  <c r="AG391" i="3"/>
  <c r="AI391" i="3" s="1"/>
  <c r="AF391" i="3"/>
  <c r="AE391" i="3"/>
  <c r="AC391" i="3"/>
  <c r="AB391" i="3"/>
  <c r="AA391" i="3"/>
  <c r="Z391" i="3"/>
  <c r="Y391" i="3"/>
  <c r="X391" i="3"/>
  <c r="D391" i="3"/>
  <c r="AH390" i="3"/>
  <c r="AG390" i="3"/>
  <c r="AI390" i="3" s="1"/>
  <c r="AF390" i="3"/>
  <c r="AE390" i="3"/>
  <c r="AC390" i="3"/>
  <c r="AB390" i="3"/>
  <c r="AA390" i="3"/>
  <c r="Z390" i="3"/>
  <c r="Y390" i="3"/>
  <c r="X390" i="3"/>
  <c r="D390" i="3"/>
  <c r="AH389" i="3"/>
  <c r="AG389" i="3"/>
  <c r="AI389" i="3" s="1"/>
  <c r="AF389" i="3"/>
  <c r="AE389" i="3"/>
  <c r="AC389" i="3"/>
  <c r="AB389" i="3"/>
  <c r="AA389" i="3"/>
  <c r="Z389" i="3"/>
  <c r="Y389" i="3"/>
  <c r="X389" i="3"/>
  <c r="D389" i="3"/>
  <c r="AH388" i="3"/>
  <c r="AG388" i="3"/>
  <c r="AI388" i="3" s="1"/>
  <c r="AF388" i="3"/>
  <c r="AE388" i="3"/>
  <c r="AC388" i="3"/>
  <c r="AB388" i="3"/>
  <c r="AA388" i="3"/>
  <c r="Z388" i="3"/>
  <c r="Y388" i="3"/>
  <c r="X388" i="3"/>
  <c r="D388" i="3"/>
  <c r="AH387" i="3"/>
  <c r="AG387" i="3"/>
  <c r="AI387" i="3" s="1"/>
  <c r="AF387" i="3"/>
  <c r="AE387" i="3"/>
  <c r="AC387" i="3"/>
  <c r="AB387" i="3"/>
  <c r="AA387" i="3"/>
  <c r="Z387" i="3"/>
  <c r="Y387" i="3"/>
  <c r="X387" i="3"/>
  <c r="D387" i="3"/>
  <c r="AH386" i="3"/>
  <c r="AG386" i="3"/>
  <c r="AI386" i="3" s="1"/>
  <c r="AF386" i="3"/>
  <c r="AE386" i="3"/>
  <c r="AC386" i="3"/>
  <c r="AB386" i="3"/>
  <c r="AA386" i="3"/>
  <c r="Z386" i="3"/>
  <c r="Y386" i="3"/>
  <c r="X386" i="3"/>
  <c r="D386" i="3"/>
  <c r="AH385" i="3"/>
  <c r="AG385" i="3"/>
  <c r="AI385" i="3" s="1"/>
  <c r="AF385" i="3"/>
  <c r="AE385" i="3"/>
  <c r="AC385" i="3"/>
  <c r="AB385" i="3"/>
  <c r="AA385" i="3"/>
  <c r="Z385" i="3"/>
  <c r="Y385" i="3"/>
  <c r="X385" i="3"/>
  <c r="D385" i="3"/>
  <c r="AH384" i="3"/>
  <c r="AG384" i="3"/>
  <c r="AI384" i="3" s="1"/>
  <c r="AF384" i="3"/>
  <c r="AE384" i="3"/>
  <c r="AC384" i="3"/>
  <c r="AB384" i="3"/>
  <c r="AA384" i="3"/>
  <c r="Z384" i="3"/>
  <c r="Y384" i="3"/>
  <c r="X384" i="3"/>
  <c r="D384" i="3"/>
  <c r="AH383" i="3"/>
  <c r="AG383" i="3"/>
  <c r="AI383" i="3" s="1"/>
  <c r="AF383" i="3"/>
  <c r="AE383" i="3"/>
  <c r="AC383" i="3"/>
  <c r="AB383" i="3"/>
  <c r="AA383" i="3"/>
  <c r="Z383" i="3"/>
  <c r="Y383" i="3"/>
  <c r="X383" i="3"/>
  <c r="D383" i="3"/>
  <c r="AH382" i="3"/>
  <c r="AG382" i="3"/>
  <c r="AI382" i="3" s="1"/>
  <c r="AF382" i="3"/>
  <c r="AE382" i="3"/>
  <c r="AC382" i="3"/>
  <c r="AB382" i="3"/>
  <c r="AA382" i="3"/>
  <c r="Z382" i="3"/>
  <c r="Y382" i="3"/>
  <c r="X382" i="3"/>
  <c r="D382" i="3"/>
  <c r="AH381" i="3"/>
  <c r="AG381" i="3"/>
  <c r="AI381" i="3" s="1"/>
  <c r="AF381" i="3"/>
  <c r="AE381" i="3"/>
  <c r="AC381" i="3"/>
  <c r="AB381" i="3"/>
  <c r="AA381" i="3"/>
  <c r="Z381" i="3"/>
  <c r="Y381" i="3"/>
  <c r="X381" i="3"/>
  <c r="D381" i="3"/>
  <c r="AH380" i="3"/>
  <c r="AG380" i="3"/>
  <c r="AI380" i="3" s="1"/>
  <c r="AF380" i="3"/>
  <c r="AE380" i="3"/>
  <c r="AC380" i="3"/>
  <c r="AB380" i="3"/>
  <c r="AA380" i="3"/>
  <c r="Z380" i="3"/>
  <c r="Y380" i="3"/>
  <c r="X380" i="3"/>
  <c r="D380" i="3"/>
  <c r="AH379" i="3"/>
  <c r="AG379" i="3"/>
  <c r="AI379" i="3" s="1"/>
  <c r="AF379" i="3"/>
  <c r="AE379" i="3"/>
  <c r="AC379" i="3"/>
  <c r="AB379" i="3"/>
  <c r="AA379" i="3"/>
  <c r="Z379" i="3"/>
  <c r="Y379" i="3"/>
  <c r="X379" i="3"/>
  <c r="D379" i="3"/>
  <c r="AH378" i="3"/>
  <c r="AG378" i="3"/>
  <c r="AI378" i="3" s="1"/>
  <c r="AF378" i="3"/>
  <c r="AE378" i="3"/>
  <c r="AC378" i="3"/>
  <c r="AB378" i="3"/>
  <c r="AA378" i="3"/>
  <c r="Z378" i="3"/>
  <c r="Y378" i="3"/>
  <c r="X378" i="3"/>
  <c r="D378" i="3"/>
  <c r="AH377" i="3"/>
  <c r="AG377" i="3"/>
  <c r="AI377" i="3" s="1"/>
  <c r="AF377" i="3"/>
  <c r="AE377" i="3"/>
  <c r="AC377" i="3"/>
  <c r="AB377" i="3"/>
  <c r="AA377" i="3"/>
  <c r="Z377" i="3"/>
  <c r="Y377" i="3"/>
  <c r="X377" i="3"/>
  <c r="D377" i="3"/>
  <c r="AH376" i="3"/>
  <c r="AG376" i="3"/>
  <c r="AI376" i="3" s="1"/>
  <c r="AF376" i="3"/>
  <c r="AE376" i="3"/>
  <c r="AC376" i="3"/>
  <c r="AB376" i="3"/>
  <c r="AA376" i="3"/>
  <c r="Z376" i="3"/>
  <c r="Y376" i="3"/>
  <c r="X376" i="3"/>
  <c r="D376" i="3"/>
  <c r="AH375" i="3"/>
  <c r="AG375" i="3"/>
  <c r="AI375" i="3" s="1"/>
  <c r="AF375" i="3"/>
  <c r="AE375" i="3"/>
  <c r="AC375" i="3"/>
  <c r="AB375" i="3"/>
  <c r="AA375" i="3"/>
  <c r="Z375" i="3"/>
  <c r="Y375" i="3"/>
  <c r="X375" i="3"/>
  <c r="D375" i="3"/>
  <c r="AH374" i="3"/>
  <c r="AG374" i="3"/>
  <c r="AI374" i="3" s="1"/>
  <c r="AF374" i="3"/>
  <c r="AE374" i="3"/>
  <c r="AC374" i="3"/>
  <c r="AB374" i="3"/>
  <c r="AA374" i="3"/>
  <c r="Z374" i="3"/>
  <c r="Y374" i="3"/>
  <c r="X374" i="3"/>
  <c r="D374" i="3"/>
  <c r="AH373" i="3"/>
  <c r="AG373" i="3"/>
  <c r="AI373" i="3" s="1"/>
  <c r="AF373" i="3"/>
  <c r="AE373" i="3"/>
  <c r="AC373" i="3"/>
  <c r="AB373" i="3"/>
  <c r="AA373" i="3"/>
  <c r="Z373" i="3"/>
  <c r="Y373" i="3"/>
  <c r="X373" i="3"/>
  <c r="D373" i="3"/>
  <c r="AH372" i="3"/>
  <c r="AG372" i="3"/>
  <c r="AI372" i="3" s="1"/>
  <c r="AF372" i="3"/>
  <c r="AE372" i="3"/>
  <c r="AC372" i="3"/>
  <c r="AB372" i="3"/>
  <c r="AA372" i="3"/>
  <c r="Z372" i="3"/>
  <c r="Y372" i="3"/>
  <c r="X372" i="3"/>
  <c r="D372" i="3"/>
  <c r="AH371" i="3"/>
  <c r="AG371" i="3"/>
  <c r="AI371" i="3" s="1"/>
  <c r="AF371" i="3"/>
  <c r="AE371" i="3"/>
  <c r="AC371" i="3"/>
  <c r="AB371" i="3"/>
  <c r="AA371" i="3"/>
  <c r="Z371" i="3"/>
  <c r="Y371" i="3"/>
  <c r="X371" i="3"/>
  <c r="D371" i="3"/>
  <c r="AH370" i="3"/>
  <c r="AG370" i="3"/>
  <c r="AI370" i="3" s="1"/>
  <c r="AF370" i="3"/>
  <c r="AE370" i="3"/>
  <c r="AC370" i="3"/>
  <c r="AB370" i="3"/>
  <c r="AA370" i="3"/>
  <c r="Z370" i="3"/>
  <c r="Y370" i="3"/>
  <c r="X370" i="3"/>
  <c r="D370" i="3"/>
  <c r="AH369" i="3"/>
  <c r="AG369" i="3"/>
  <c r="AI369" i="3" s="1"/>
  <c r="AF369" i="3"/>
  <c r="AE369" i="3"/>
  <c r="AC369" i="3"/>
  <c r="AB369" i="3"/>
  <c r="AA369" i="3"/>
  <c r="Z369" i="3"/>
  <c r="Y369" i="3"/>
  <c r="X369" i="3"/>
  <c r="D369" i="3"/>
  <c r="AH368" i="3"/>
  <c r="AG368" i="3"/>
  <c r="AI368" i="3" s="1"/>
  <c r="AF368" i="3"/>
  <c r="AE368" i="3"/>
  <c r="AC368" i="3"/>
  <c r="AB368" i="3"/>
  <c r="AA368" i="3"/>
  <c r="Z368" i="3"/>
  <c r="Y368" i="3"/>
  <c r="X368" i="3"/>
  <c r="D368" i="3"/>
  <c r="AH367" i="3"/>
  <c r="AG367" i="3"/>
  <c r="AI367" i="3" s="1"/>
  <c r="AF367" i="3"/>
  <c r="AE367" i="3"/>
  <c r="AC367" i="3"/>
  <c r="AB367" i="3"/>
  <c r="AA367" i="3"/>
  <c r="Z367" i="3"/>
  <c r="Y367" i="3"/>
  <c r="X367" i="3"/>
  <c r="D367" i="3"/>
  <c r="AH366" i="3"/>
  <c r="AG366" i="3"/>
  <c r="AI366" i="3" s="1"/>
  <c r="AF366" i="3"/>
  <c r="AE366" i="3"/>
  <c r="AC366" i="3"/>
  <c r="AB366" i="3"/>
  <c r="AA366" i="3"/>
  <c r="Z366" i="3"/>
  <c r="Y366" i="3"/>
  <c r="X366" i="3"/>
  <c r="D366" i="3"/>
  <c r="AH365" i="3"/>
  <c r="AG365" i="3"/>
  <c r="AI365" i="3" s="1"/>
  <c r="AF365" i="3"/>
  <c r="AE365" i="3"/>
  <c r="AC365" i="3"/>
  <c r="AB365" i="3"/>
  <c r="AA365" i="3"/>
  <c r="Z365" i="3"/>
  <c r="Y365" i="3"/>
  <c r="X365" i="3"/>
  <c r="D365" i="3"/>
  <c r="AH364" i="3"/>
  <c r="AG364" i="3"/>
  <c r="AI364" i="3" s="1"/>
  <c r="AF364" i="3"/>
  <c r="AE364" i="3"/>
  <c r="AC364" i="3"/>
  <c r="AB364" i="3"/>
  <c r="AA364" i="3"/>
  <c r="Z364" i="3"/>
  <c r="Y364" i="3"/>
  <c r="X364" i="3"/>
  <c r="D364" i="3"/>
  <c r="AH363" i="3"/>
  <c r="AG363" i="3"/>
  <c r="AI363" i="3" s="1"/>
  <c r="AF363" i="3"/>
  <c r="AE363" i="3"/>
  <c r="AC363" i="3"/>
  <c r="AB363" i="3"/>
  <c r="AA363" i="3"/>
  <c r="Z363" i="3"/>
  <c r="Y363" i="3"/>
  <c r="X363" i="3"/>
  <c r="D363" i="3"/>
  <c r="AH362" i="3"/>
  <c r="AG362" i="3"/>
  <c r="AI362" i="3" s="1"/>
  <c r="AF362" i="3"/>
  <c r="AE362" i="3"/>
  <c r="AC362" i="3"/>
  <c r="AB362" i="3"/>
  <c r="AA362" i="3"/>
  <c r="Z362" i="3"/>
  <c r="Y362" i="3"/>
  <c r="X362" i="3"/>
  <c r="D362" i="3"/>
  <c r="AH361" i="3"/>
  <c r="AG361" i="3"/>
  <c r="AI361" i="3" s="1"/>
  <c r="AF361" i="3"/>
  <c r="AE361" i="3"/>
  <c r="AC361" i="3"/>
  <c r="AB361" i="3"/>
  <c r="AA361" i="3"/>
  <c r="Z361" i="3"/>
  <c r="Y361" i="3"/>
  <c r="X361" i="3"/>
  <c r="D361" i="3"/>
  <c r="AH360" i="3"/>
  <c r="AG360" i="3"/>
  <c r="AI360" i="3" s="1"/>
  <c r="AF360" i="3"/>
  <c r="AE360" i="3"/>
  <c r="AC360" i="3"/>
  <c r="AB360" i="3"/>
  <c r="AA360" i="3"/>
  <c r="Z360" i="3"/>
  <c r="Y360" i="3"/>
  <c r="X360" i="3"/>
  <c r="D360" i="3"/>
  <c r="AH359" i="3"/>
  <c r="AG359" i="3"/>
  <c r="AI359" i="3" s="1"/>
  <c r="AF359" i="3"/>
  <c r="AE359" i="3"/>
  <c r="AC359" i="3"/>
  <c r="AB359" i="3"/>
  <c r="AA359" i="3"/>
  <c r="Z359" i="3"/>
  <c r="Y359" i="3"/>
  <c r="X359" i="3"/>
  <c r="D359" i="3"/>
  <c r="AH358" i="3"/>
  <c r="AG358" i="3"/>
  <c r="AI358" i="3" s="1"/>
  <c r="AF358" i="3"/>
  <c r="AE358" i="3"/>
  <c r="AC358" i="3"/>
  <c r="AB358" i="3"/>
  <c r="AA358" i="3"/>
  <c r="Z358" i="3"/>
  <c r="Y358" i="3"/>
  <c r="X358" i="3"/>
  <c r="D358" i="3"/>
  <c r="AH357" i="3"/>
  <c r="AG357" i="3"/>
  <c r="AI357" i="3" s="1"/>
  <c r="AF357" i="3"/>
  <c r="AE357" i="3"/>
  <c r="AC357" i="3"/>
  <c r="AB357" i="3"/>
  <c r="AA357" i="3"/>
  <c r="Z357" i="3"/>
  <c r="Y357" i="3"/>
  <c r="X357" i="3"/>
  <c r="D357" i="3"/>
  <c r="AH356" i="3"/>
  <c r="AG356" i="3"/>
  <c r="AI356" i="3" s="1"/>
  <c r="AF356" i="3"/>
  <c r="AE356" i="3"/>
  <c r="AC356" i="3"/>
  <c r="AB356" i="3"/>
  <c r="AA356" i="3"/>
  <c r="Z356" i="3"/>
  <c r="Y356" i="3"/>
  <c r="X356" i="3"/>
  <c r="D356" i="3"/>
  <c r="AH355" i="3"/>
  <c r="AG355" i="3"/>
  <c r="AI355" i="3" s="1"/>
  <c r="AF355" i="3"/>
  <c r="AE355" i="3"/>
  <c r="AC355" i="3"/>
  <c r="AB355" i="3"/>
  <c r="AA355" i="3"/>
  <c r="Z355" i="3"/>
  <c r="Y355" i="3"/>
  <c r="X355" i="3"/>
  <c r="D355" i="3"/>
  <c r="AH354" i="3"/>
  <c r="AG354" i="3"/>
  <c r="AI354" i="3" s="1"/>
  <c r="AF354" i="3"/>
  <c r="AE354" i="3"/>
  <c r="AC354" i="3"/>
  <c r="AB354" i="3"/>
  <c r="AA354" i="3"/>
  <c r="Z354" i="3"/>
  <c r="Y354" i="3"/>
  <c r="X354" i="3"/>
  <c r="D354" i="3"/>
  <c r="AH353" i="3"/>
  <c r="AG353" i="3"/>
  <c r="AI353" i="3" s="1"/>
  <c r="AF353" i="3"/>
  <c r="AE353" i="3"/>
  <c r="AC353" i="3"/>
  <c r="AB353" i="3"/>
  <c r="AA353" i="3"/>
  <c r="Z353" i="3"/>
  <c r="Y353" i="3"/>
  <c r="X353" i="3"/>
  <c r="D353" i="3"/>
  <c r="AH352" i="3"/>
  <c r="AG352" i="3"/>
  <c r="AI352" i="3" s="1"/>
  <c r="AF352" i="3"/>
  <c r="AE352" i="3"/>
  <c r="AC352" i="3"/>
  <c r="AB352" i="3"/>
  <c r="AA352" i="3"/>
  <c r="Z352" i="3"/>
  <c r="Y352" i="3"/>
  <c r="X352" i="3"/>
  <c r="D352" i="3"/>
  <c r="AH351" i="3"/>
  <c r="AG351" i="3"/>
  <c r="AI351" i="3" s="1"/>
  <c r="AF351" i="3"/>
  <c r="AE351" i="3"/>
  <c r="AC351" i="3"/>
  <c r="AB351" i="3"/>
  <c r="AA351" i="3"/>
  <c r="Z351" i="3"/>
  <c r="Y351" i="3"/>
  <c r="X351" i="3"/>
  <c r="D351" i="3"/>
  <c r="AH350" i="3"/>
  <c r="AG350" i="3"/>
  <c r="AI350" i="3" s="1"/>
  <c r="AF350" i="3"/>
  <c r="AE350" i="3"/>
  <c r="AC350" i="3"/>
  <c r="AB350" i="3"/>
  <c r="AA350" i="3"/>
  <c r="Z350" i="3"/>
  <c r="Y350" i="3"/>
  <c r="X350" i="3"/>
  <c r="D350" i="3"/>
  <c r="AH349" i="3"/>
  <c r="AG349" i="3"/>
  <c r="AI349" i="3" s="1"/>
  <c r="AF349" i="3"/>
  <c r="AE349" i="3"/>
  <c r="AC349" i="3"/>
  <c r="AB349" i="3"/>
  <c r="AA349" i="3"/>
  <c r="Z349" i="3"/>
  <c r="Y349" i="3"/>
  <c r="X349" i="3"/>
  <c r="D349" i="3"/>
  <c r="AH348" i="3"/>
  <c r="AG348" i="3"/>
  <c r="AI348" i="3" s="1"/>
  <c r="AF348" i="3"/>
  <c r="AE348" i="3"/>
  <c r="AC348" i="3"/>
  <c r="AB348" i="3"/>
  <c r="AA348" i="3"/>
  <c r="Z348" i="3"/>
  <c r="Y348" i="3"/>
  <c r="X348" i="3"/>
  <c r="D348" i="3"/>
  <c r="AH347" i="3"/>
  <c r="AG347" i="3"/>
  <c r="AI347" i="3" s="1"/>
  <c r="AF347" i="3"/>
  <c r="AE347" i="3"/>
  <c r="AC347" i="3"/>
  <c r="AB347" i="3"/>
  <c r="AA347" i="3"/>
  <c r="Z347" i="3"/>
  <c r="Y347" i="3"/>
  <c r="X347" i="3"/>
  <c r="D347" i="3"/>
  <c r="AH346" i="3"/>
  <c r="AG346" i="3"/>
  <c r="AI346" i="3" s="1"/>
  <c r="AF346" i="3"/>
  <c r="AE346" i="3"/>
  <c r="AC346" i="3"/>
  <c r="AB346" i="3"/>
  <c r="AA346" i="3"/>
  <c r="Z346" i="3"/>
  <c r="Y346" i="3"/>
  <c r="X346" i="3"/>
  <c r="D346" i="3"/>
  <c r="AH345" i="3"/>
  <c r="AG345" i="3"/>
  <c r="AI345" i="3" s="1"/>
  <c r="AF345" i="3"/>
  <c r="AE345" i="3"/>
  <c r="AC345" i="3"/>
  <c r="AB345" i="3"/>
  <c r="AA345" i="3"/>
  <c r="Z345" i="3"/>
  <c r="Y345" i="3"/>
  <c r="X345" i="3"/>
  <c r="D345" i="3"/>
  <c r="AH344" i="3"/>
  <c r="AG344" i="3"/>
  <c r="AI344" i="3" s="1"/>
  <c r="AF344" i="3"/>
  <c r="AE344" i="3"/>
  <c r="AC344" i="3"/>
  <c r="AB344" i="3"/>
  <c r="AA344" i="3"/>
  <c r="Z344" i="3"/>
  <c r="Y344" i="3"/>
  <c r="X344" i="3"/>
  <c r="D344" i="3"/>
  <c r="AH343" i="3"/>
  <c r="AG343" i="3"/>
  <c r="AI343" i="3" s="1"/>
  <c r="AF343" i="3"/>
  <c r="AE343" i="3"/>
  <c r="AC343" i="3"/>
  <c r="AB343" i="3"/>
  <c r="AA343" i="3"/>
  <c r="Z343" i="3"/>
  <c r="Y343" i="3"/>
  <c r="X343" i="3"/>
  <c r="D343" i="3"/>
  <c r="AH342" i="3"/>
  <c r="AG342" i="3"/>
  <c r="AI342" i="3" s="1"/>
  <c r="AF342" i="3"/>
  <c r="AE342" i="3"/>
  <c r="AC342" i="3"/>
  <c r="AB342" i="3"/>
  <c r="AA342" i="3"/>
  <c r="Z342" i="3"/>
  <c r="Y342" i="3"/>
  <c r="X342" i="3"/>
  <c r="D342" i="3"/>
  <c r="AH341" i="3"/>
  <c r="AG341" i="3"/>
  <c r="AI341" i="3" s="1"/>
  <c r="AF341" i="3"/>
  <c r="AE341" i="3"/>
  <c r="AC341" i="3"/>
  <c r="AB341" i="3"/>
  <c r="AA341" i="3"/>
  <c r="Z341" i="3"/>
  <c r="Y341" i="3"/>
  <c r="X341" i="3"/>
  <c r="D341" i="3"/>
  <c r="AH340" i="3"/>
  <c r="AG340" i="3"/>
  <c r="AI340" i="3" s="1"/>
  <c r="AF340" i="3"/>
  <c r="AE340" i="3"/>
  <c r="AC340" i="3"/>
  <c r="AB340" i="3"/>
  <c r="AA340" i="3"/>
  <c r="Z340" i="3"/>
  <c r="Y340" i="3"/>
  <c r="X340" i="3"/>
  <c r="D340" i="3"/>
  <c r="AH339" i="3"/>
  <c r="AG339" i="3"/>
  <c r="AI339" i="3" s="1"/>
  <c r="AF339" i="3"/>
  <c r="AE339" i="3"/>
  <c r="AC339" i="3"/>
  <c r="AB339" i="3"/>
  <c r="AA339" i="3"/>
  <c r="Z339" i="3"/>
  <c r="Y339" i="3"/>
  <c r="X339" i="3"/>
  <c r="D339" i="3"/>
  <c r="AH338" i="3"/>
  <c r="AG338" i="3"/>
  <c r="AI338" i="3" s="1"/>
  <c r="AF338" i="3"/>
  <c r="AE338" i="3"/>
  <c r="AC338" i="3"/>
  <c r="AB338" i="3"/>
  <c r="AA338" i="3"/>
  <c r="Z338" i="3"/>
  <c r="Y338" i="3"/>
  <c r="X338" i="3"/>
  <c r="D338" i="3"/>
  <c r="AH337" i="3"/>
  <c r="AG337" i="3"/>
  <c r="AI337" i="3" s="1"/>
  <c r="AF337" i="3"/>
  <c r="AE337" i="3"/>
  <c r="AC337" i="3"/>
  <c r="AB337" i="3"/>
  <c r="AA337" i="3"/>
  <c r="Z337" i="3"/>
  <c r="Y337" i="3"/>
  <c r="X337" i="3"/>
  <c r="D337" i="3"/>
  <c r="AH336" i="3"/>
  <c r="AG336" i="3"/>
  <c r="AI336" i="3" s="1"/>
  <c r="AF336" i="3"/>
  <c r="AE336" i="3"/>
  <c r="AC336" i="3"/>
  <c r="AB336" i="3"/>
  <c r="AA336" i="3"/>
  <c r="Z336" i="3"/>
  <c r="Y336" i="3"/>
  <c r="X336" i="3"/>
  <c r="D336" i="3"/>
  <c r="AH335" i="3"/>
  <c r="AG335" i="3"/>
  <c r="AI335" i="3" s="1"/>
  <c r="AF335" i="3"/>
  <c r="AE335" i="3"/>
  <c r="AC335" i="3"/>
  <c r="AB335" i="3"/>
  <c r="AA335" i="3"/>
  <c r="Z335" i="3"/>
  <c r="Y335" i="3"/>
  <c r="X335" i="3"/>
  <c r="D335" i="3"/>
  <c r="AH334" i="3"/>
  <c r="AG334" i="3"/>
  <c r="AI334" i="3" s="1"/>
  <c r="AF334" i="3"/>
  <c r="AE334" i="3"/>
  <c r="AC334" i="3"/>
  <c r="AB334" i="3"/>
  <c r="AA334" i="3"/>
  <c r="Z334" i="3"/>
  <c r="Y334" i="3"/>
  <c r="X334" i="3"/>
  <c r="D334" i="3"/>
  <c r="AH333" i="3"/>
  <c r="AG333" i="3"/>
  <c r="AI333" i="3" s="1"/>
  <c r="AF333" i="3"/>
  <c r="AE333" i="3"/>
  <c r="AC333" i="3"/>
  <c r="AB333" i="3"/>
  <c r="AA333" i="3"/>
  <c r="Z333" i="3"/>
  <c r="Y333" i="3"/>
  <c r="X333" i="3"/>
  <c r="D333" i="3"/>
  <c r="AH332" i="3"/>
  <c r="AG332" i="3"/>
  <c r="AI332" i="3" s="1"/>
  <c r="AF332" i="3"/>
  <c r="AE332" i="3"/>
  <c r="AC332" i="3"/>
  <c r="AB332" i="3"/>
  <c r="AA332" i="3"/>
  <c r="Z332" i="3"/>
  <c r="Y332" i="3"/>
  <c r="X332" i="3"/>
  <c r="D332" i="3"/>
  <c r="AH331" i="3"/>
  <c r="AG331" i="3"/>
  <c r="AI331" i="3" s="1"/>
  <c r="AF331" i="3"/>
  <c r="AE331" i="3"/>
  <c r="AC331" i="3"/>
  <c r="AB331" i="3"/>
  <c r="AA331" i="3"/>
  <c r="Z331" i="3"/>
  <c r="Y331" i="3"/>
  <c r="X331" i="3"/>
  <c r="D331" i="3"/>
  <c r="AH330" i="3"/>
  <c r="AG330" i="3"/>
  <c r="AI330" i="3" s="1"/>
  <c r="AF330" i="3"/>
  <c r="AE330" i="3"/>
  <c r="AC330" i="3"/>
  <c r="AB330" i="3"/>
  <c r="AA330" i="3"/>
  <c r="Z330" i="3"/>
  <c r="Y330" i="3"/>
  <c r="X330" i="3"/>
  <c r="D330" i="3"/>
  <c r="AH329" i="3"/>
  <c r="AG329" i="3"/>
  <c r="AI329" i="3" s="1"/>
  <c r="AF329" i="3"/>
  <c r="AE329" i="3"/>
  <c r="AC329" i="3"/>
  <c r="AB329" i="3"/>
  <c r="AA329" i="3"/>
  <c r="Z329" i="3"/>
  <c r="Y329" i="3"/>
  <c r="X329" i="3"/>
  <c r="D329" i="3"/>
  <c r="AH328" i="3"/>
  <c r="AG328" i="3"/>
  <c r="AI328" i="3" s="1"/>
  <c r="AF328" i="3"/>
  <c r="AE328" i="3"/>
  <c r="AC328" i="3"/>
  <c r="AB328" i="3"/>
  <c r="AA328" i="3"/>
  <c r="Z328" i="3"/>
  <c r="Y328" i="3"/>
  <c r="X328" i="3"/>
  <c r="D328" i="3"/>
  <c r="AH327" i="3"/>
  <c r="AG327" i="3"/>
  <c r="AI327" i="3" s="1"/>
  <c r="AF327" i="3"/>
  <c r="AE327" i="3"/>
  <c r="AC327" i="3"/>
  <c r="AB327" i="3"/>
  <c r="AA327" i="3"/>
  <c r="Z327" i="3"/>
  <c r="Y327" i="3"/>
  <c r="X327" i="3"/>
  <c r="D327" i="3"/>
  <c r="AH326" i="3"/>
  <c r="AG326" i="3"/>
  <c r="AI326" i="3" s="1"/>
  <c r="AF326" i="3"/>
  <c r="AE326" i="3"/>
  <c r="AC326" i="3"/>
  <c r="AB326" i="3"/>
  <c r="AA326" i="3"/>
  <c r="Z326" i="3"/>
  <c r="Y326" i="3"/>
  <c r="X326" i="3"/>
  <c r="D326" i="3"/>
  <c r="AH325" i="3"/>
  <c r="AG325" i="3"/>
  <c r="AI325" i="3" s="1"/>
  <c r="AF325" i="3"/>
  <c r="AE325" i="3"/>
  <c r="AC325" i="3"/>
  <c r="AB325" i="3"/>
  <c r="AA325" i="3"/>
  <c r="Z325" i="3"/>
  <c r="Y325" i="3"/>
  <c r="X325" i="3"/>
  <c r="D325" i="3"/>
  <c r="AH324" i="3"/>
  <c r="AG324" i="3"/>
  <c r="AI324" i="3" s="1"/>
  <c r="AF324" i="3"/>
  <c r="AE324" i="3"/>
  <c r="AC324" i="3"/>
  <c r="AB324" i="3"/>
  <c r="AA324" i="3"/>
  <c r="Z324" i="3"/>
  <c r="Y324" i="3"/>
  <c r="X324" i="3"/>
  <c r="D324" i="3"/>
  <c r="AH323" i="3"/>
  <c r="AG323" i="3"/>
  <c r="AI323" i="3" s="1"/>
  <c r="AF323" i="3"/>
  <c r="AE323" i="3"/>
  <c r="AC323" i="3"/>
  <c r="AB323" i="3"/>
  <c r="AA323" i="3"/>
  <c r="Z323" i="3"/>
  <c r="Y323" i="3"/>
  <c r="X323" i="3"/>
  <c r="D323" i="3"/>
  <c r="AH322" i="3"/>
  <c r="AG322" i="3"/>
  <c r="AI322" i="3" s="1"/>
  <c r="AF322" i="3"/>
  <c r="AE322" i="3"/>
  <c r="AC322" i="3"/>
  <c r="AB322" i="3"/>
  <c r="AA322" i="3"/>
  <c r="Z322" i="3"/>
  <c r="Y322" i="3"/>
  <c r="X322" i="3"/>
  <c r="D322" i="3"/>
  <c r="AH321" i="3"/>
  <c r="AG321" i="3"/>
  <c r="AI321" i="3" s="1"/>
  <c r="AF321" i="3"/>
  <c r="AE321" i="3"/>
  <c r="AC321" i="3"/>
  <c r="AB321" i="3"/>
  <c r="AA321" i="3"/>
  <c r="Z321" i="3"/>
  <c r="Y321" i="3"/>
  <c r="X321" i="3"/>
  <c r="D321" i="3"/>
  <c r="AG320" i="3"/>
  <c r="AI320" i="3" s="1"/>
  <c r="AF320" i="3"/>
  <c r="AE320" i="3"/>
  <c r="AC320" i="3"/>
  <c r="AB320" i="3"/>
  <c r="AA320" i="3"/>
  <c r="Z320" i="3"/>
  <c r="Y320" i="3"/>
  <c r="X320" i="3"/>
  <c r="D320" i="3"/>
  <c r="AG319" i="3"/>
  <c r="AI319" i="3" s="1"/>
  <c r="AF319" i="3"/>
  <c r="AE319" i="3"/>
  <c r="AC319" i="3"/>
  <c r="AB319" i="3"/>
  <c r="AA319" i="3"/>
  <c r="Z319" i="3"/>
  <c r="Y319" i="3"/>
  <c r="X319" i="3"/>
  <c r="D319" i="3"/>
  <c r="AH318" i="3"/>
  <c r="AG318" i="3"/>
  <c r="AI318" i="3" s="1"/>
  <c r="AF318" i="3"/>
  <c r="AE318" i="3"/>
  <c r="AC318" i="3"/>
  <c r="AB318" i="3"/>
  <c r="AA318" i="3"/>
  <c r="Z318" i="3"/>
  <c r="Y318" i="3"/>
  <c r="X318" i="3"/>
  <c r="D318" i="3"/>
  <c r="AG317" i="3"/>
  <c r="AI317" i="3" s="1"/>
  <c r="AF317" i="3"/>
  <c r="AE317" i="3"/>
  <c r="AC317" i="3"/>
  <c r="AB317" i="3"/>
  <c r="AA317" i="3"/>
  <c r="Z317" i="3"/>
  <c r="Y317" i="3"/>
  <c r="X317" i="3"/>
  <c r="D317" i="3"/>
  <c r="AH316" i="3"/>
  <c r="AG316" i="3"/>
  <c r="AI316" i="3" s="1"/>
  <c r="AF316" i="3"/>
  <c r="AE316" i="3"/>
  <c r="AC316" i="3"/>
  <c r="AB316" i="3"/>
  <c r="AA316" i="3"/>
  <c r="Z316" i="3"/>
  <c r="Y316" i="3"/>
  <c r="X316" i="3"/>
  <c r="D316" i="3"/>
  <c r="AG315" i="3"/>
  <c r="AI315" i="3" s="1"/>
  <c r="AF315" i="3"/>
  <c r="AE315" i="3"/>
  <c r="AC315" i="3"/>
  <c r="AB315" i="3"/>
  <c r="AA315" i="3"/>
  <c r="Z315" i="3"/>
  <c r="Y315" i="3"/>
  <c r="X315" i="3"/>
  <c r="D315" i="3"/>
  <c r="AH314" i="3"/>
  <c r="AG314" i="3"/>
  <c r="AI314" i="3" s="1"/>
  <c r="AF314" i="3"/>
  <c r="AE314" i="3"/>
  <c r="AC314" i="3"/>
  <c r="AB314" i="3"/>
  <c r="AA314" i="3"/>
  <c r="Z314" i="3"/>
  <c r="Y314" i="3"/>
  <c r="X314" i="3"/>
  <c r="D314" i="3"/>
  <c r="AG313" i="3"/>
  <c r="AI313" i="3" s="1"/>
  <c r="AF313" i="3"/>
  <c r="AE313" i="3"/>
  <c r="AC313" i="3"/>
  <c r="AB313" i="3"/>
  <c r="AA313" i="3"/>
  <c r="Z313" i="3"/>
  <c r="Y313" i="3"/>
  <c r="X313" i="3"/>
  <c r="D313" i="3"/>
  <c r="AG312" i="3"/>
  <c r="AI312" i="3" s="1"/>
  <c r="AF312" i="3"/>
  <c r="AE312" i="3"/>
  <c r="AC312" i="3"/>
  <c r="AB312" i="3"/>
  <c r="AA312" i="3"/>
  <c r="Z312" i="3"/>
  <c r="Y312" i="3"/>
  <c r="X312" i="3"/>
  <c r="D312" i="3"/>
  <c r="AG311" i="3"/>
  <c r="AI311" i="3" s="1"/>
  <c r="AF311" i="3"/>
  <c r="AE311" i="3"/>
  <c r="AC311" i="3"/>
  <c r="AB311" i="3"/>
  <c r="AA311" i="3"/>
  <c r="Z311" i="3"/>
  <c r="Y311" i="3"/>
  <c r="X311" i="3"/>
  <c r="D311" i="3"/>
  <c r="AH310" i="3"/>
  <c r="AG310" i="3"/>
  <c r="AI310" i="3" s="1"/>
  <c r="AF310" i="3"/>
  <c r="AE310" i="3"/>
  <c r="AC310" i="3"/>
  <c r="AB310" i="3"/>
  <c r="AA310" i="3"/>
  <c r="Z310" i="3"/>
  <c r="Y310" i="3"/>
  <c r="X310" i="3"/>
  <c r="D310" i="3"/>
  <c r="AG309" i="3"/>
  <c r="AI309" i="3" s="1"/>
  <c r="AF309" i="3"/>
  <c r="AE309" i="3"/>
  <c r="AC309" i="3"/>
  <c r="AB309" i="3"/>
  <c r="AA309" i="3"/>
  <c r="Z309" i="3"/>
  <c r="Y309" i="3"/>
  <c r="X309" i="3"/>
  <c r="D309" i="3"/>
  <c r="AH308" i="3"/>
  <c r="AG308" i="3"/>
  <c r="AI308" i="3" s="1"/>
  <c r="AF308" i="3"/>
  <c r="AE308" i="3"/>
  <c r="AC308" i="3"/>
  <c r="AB308" i="3"/>
  <c r="AA308" i="3"/>
  <c r="Z308" i="3"/>
  <c r="Y308" i="3"/>
  <c r="X308" i="3"/>
  <c r="D308" i="3"/>
  <c r="AG307" i="3"/>
  <c r="AI307" i="3" s="1"/>
  <c r="AF307" i="3"/>
  <c r="AE307" i="3"/>
  <c r="AC307" i="3"/>
  <c r="AB307" i="3"/>
  <c r="AA307" i="3"/>
  <c r="Z307" i="3"/>
  <c r="Y307" i="3"/>
  <c r="X307" i="3"/>
  <c r="D307" i="3"/>
  <c r="AH306" i="3"/>
  <c r="AG306" i="3"/>
  <c r="AI306" i="3" s="1"/>
  <c r="AF306" i="3"/>
  <c r="AE306" i="3"/>
  <c r="AC306" i="3"/>
  <c r="AB306" i="3"/>
  <c r="AA306" i="3"/>
  <c r="Z306" i="3"/>
  <c r="Y306" i="3"/>
  <c r="X306" i="3"/>
  <c r="D306" i="3"/>
  <c r="AG305" i="3"/>
  <c r="AI305" i="3" s="1"/>
  <c r="AF305" i="3"/>
  <c r="AE305" i="3"/>
  <c r="AC305" i="3"/>
  <c r="AB305" i="3"/>
  <c r="AA305" i="3"/>
  <c r="Z305" i="3"/>
  <c r="Y305" i="3"/>
  <c r="X305" i="3"/>
  <c r="D305" i="3"/>
  <c r="AG304" i="3"/>
  <c r="AI304" i="3" s="1"/>
  <c r="AF304" i="3"/>
  <c r="AE304" i="3"/>
  <c r="AC304" i="3"/>
  <c r="AB304" i="3"/>
  <c r="AA304" i="3"/>
  <c r="Z304" i="3"/>
  <c r="Y304" i="3"/>
  <c r="X304" i="3"/>
  <c r="D304" i="3"/>
  <c r="AG303" i="3"/>
  <c r="AI303" i="3" s="1"/>
  <c r="AF303" i="3"/>
  <c r="AE303" i="3"/>
  <c r="AC303" i="3"/>
  <c r="AB303" i="3"/>
  <c r="AA303" i="3"/>
  <c r="Z303" i="3"/>
  <c r="Y303" i="3"/>
  <c r="X303" i="3"/>
  <c r="D303" i="3"/>
  <c r="AH302" i="3"/>
  <c r="AG302" i="3"/>
  <c r="AI302" i="3" s="1"/>
  <c r="AF302" i="3"/>
  <c r="AE302" i="3"/>
  <c r="AC302" i="3"/>
  <c r="AB302" i="3"/>
  <c r="AA302" i="3"/>
  <c r="Z302" i="3"/>
  <c r="Y302" i="3"/>
  <c r="X302" i="3"/>
  <c r="D302" i="3"/>
  <c r="AG301" i="3"/>
  <c r="AI301" i="3" s="1"/>
  <c r="AF301" i="3"/>
  <c r="AE301" i="3"/>
  <c r="AC301" i="3"/>
  <c r="AB301" i="3"/>
  <c r="AA301" i="3"/>
  <c r="Z301" i="3"/>
  <c r="Y301" i="3"/>
  <c r="X301" i="3"/>
  <c r="D301" i="3"/>
  <c r="AH300" i="3"/>
  <c r="AG300" i="3"/>
  <c r="AI300" i="3" s="1"/>
  <c r="AF300" i="3"/>
  <c r="AE300" i="3"/>
  <c r="AC300" i="3"/>
  <c r="AB300" i="3"/>
  <c r="AA300" i="3"/>
  <c r="Z300" i="3"/>
  <c r="Y300" i="3"/>
  <c r="X300" i="3"/>
  <c r="D300" i="3"/>
  <c r="AG299" i="3"/>
  <c r="AI299" i="3" s="1"/>
  <c r="AF299" i="3"/>
  <c r="AE299" i="3"/>
  <c r="AC299" i="3"/>
  <c r="AB299" i="3"/>
  <c r="AA299" i="3"/>
  <c r="Z299" i="3"/>
  <c r="Y299" i="3"/>
  <c r="X299" i="3"/>
  <c r="D299" i="3"/>
  <c r="AH298" i="3"/>
  <c r="AG298" i="3"/>
  <c r="AI298" i="3" s="1"/>
  <c r="AF298" i="3"/>
  <c r="AE298" i="3"/>
  <c r="AC298" i="3"/>
  <c r="AB298" i="3"/>
  <c r="AA298" i="3"/>
  <c r="Z298" i="3"/>
  <c r="Y298" i="3"/>
  <c r="X298" i="3"/>
  <c r="D298" i="3"/>
  <c r="AG297" i="3"/>
  <c r="AI297" i="3" s="1"/>
  <c r="AF297" i="3"/>
  <c r="AE297" i="3"/>
  <c r="AC297" i="3"/>
  <c r="AB297" i="3"/>
  <c r="AA297" i="3"/>
  <c r="Z297" i="3"/>
  <c r="Y297" i="3"/>
  <c r="X297" i="3"/>
  <c r="D297" i="3"/>
  <c r="AG296" i="3"/>
  <c r="AI296" i="3" s="1"/>
  <c r="AF296" i="3"/>
  <c r="AE296" i="3"/>
  <c r="AC296" i="3"/>
  <c r="AB296" i="3"/>
  <c r="AA296" i="3"/>
  <c r="Z296" i="3"/>
  <c r="Y296" i="3"/>
  <c r="X296" i="3"/>
  <c r="D296" i="3"/>
  <c r="AG295" i="3"/>
  <c r="AI295" i="3" s="1"/>
  <c r="AF295" i="3"/>
  <c r="AE295" i="3"/>
  <c r="AC295" i="3"/>
  <c r="AB295" i="3"/>
  <c r="AA295" i="3"/>
  <c r="Z295" i="3"/>
  <c r="Y295" i="3"/>
  <c r="X295" i="3"/>
  <c r="D295" i="3"/>
  <c r="AH294" i="3"/>
  <c r="AG294" i="3"/>
  <c r="AI294" i="3" s="1"/>
  <c r="AF294" i="3"/>
  <c r="AE294" i="3"/>
  <c r="AC294" i="3"/>
  <c r="AB294" i="3"/>
  <c r="AA294" i="3"/>
  <c r="Z294" i="3"/>
  <c r="Y294" i="3"/>
  <c r="X294" i="3"/>
  <c r="D294" i="3"/>
  <c r="AG293" i="3"/>
  <c r="AI293" i="3" s="1"/>
  <c r="AF293" i="3"/>
  <c r="AE293" i="3"/>
  <c r="AC293" i="3"/>
  <c r="AB293" i="3"/>
  <c r="AA293" i="3"/>
  <c r="Z293" i="3"/>
  <c r="Y293" i="3"/>
  <c r="X293" i="3"/>
  <c r="D293" i="3"/>
  <c r="AH292" i="3"/>
  <c r="AG292" i="3"/>
  <c r="AI292" i="3" s="1"/>
  <c r="AF292" i="3"/>
  <c r="AE292" i="3"/>
  <c r="AC292" i="3"/>
  <c r="AB292" i="3"/>
  <c r="AA292" i="3"/>
  <c r="Z292" i="3"/>
  <c r="Y292" i="3"/>
  <c r="X292" i="3"/>
  <c r="D292" i="3"/>
  <c r="AG291" i="3"/>
  <c r="AI291" i="3" s="1"/>
  <c r="AF291" i="3"/>
  <c r="AE291" i="3"/>
  <c r="AC291" i="3"/>
  <c r="AB291" i="3"/>
  <c r="AA291" i="3"/>
  <c r="Z291" i="3"/>
  <c r="Y291" i="3"/>
  <c r="X291" i="3"/>
  <c r="D291" i="3"/>
  <c r="AH290" i="3"/>
  <c r="AG290" i="3"/>
  <c r="AI290" i="3" s="1"/>
  <c r="AF290" i="3"/>
  <c r="AE290" i="3"/>
  <c r="AC290" i="3"/>
  <c r="AB290" i="3"/>
  <c r="AA290" i="3"/>
  <c r="Z290" i="3"/>
  <c r="Y290" i="3"/>
  <c r="X290" i="3"/>
  <c r="D290" i="3"/>
  <c r="AG289" i="3"/>
  <c r="AI289" i="3" s="1"/>
  <c r="AF289" i="3"/>
  <c r="AE289" i="3"/>
  <c r="AC289" i="3"/>
  <c r="AB289" i="3"/>
  <c r="AA289" i="3"/>
  <c r="Z289" i="3"/>
  <c r="Y289" i="3"/>
  <c r="X289" i="3"/>
  <c r="D289" i="3"/>
  <c r="AG288" i="3"/>
  <c r="AI288" i="3" s="1"/>
  <c r="AF288" i="3"/>
  <c r="AE288" i="3"/>
  <c r="AC288" i="3"/>
  <c r="AB288" i="3"/>
  <c r="AA288" i="3"/>
  <c r="Z288" i="3"/>
  <c r="Y288" i="3"/>
  <c r="X288" i="3"/>
  <c r="D288" i="3"/>
  <c r="AG287" i="3"/>
  <c r="AI287" i="3" s="1"/>
  <c r="AF287" i="3"/>
  <c r="AE287" i="3"/>
  <c r="AC287" i="3"/>
  <c r="AB287" i="3"/>
  <c r="AA287" i="3"/>
  <c r="Z287" i="3"/>
  <c r="Y287" i="3"/>
  <c r="X287" i="3"/>
  <c r="D287" i="3"/>
  <c r="AH286" i="3"/>
  <c r="AG286" i="3"/>
  <c r="AI286" i="3" s="1"/>
  <c r="AF286" i="3"/>
  <c r="AE286" i="3"/>
  <c r="AC286" i="3"/>
  <c r="AB286" i="3"/>
  <c r="AA286" i="3"/>
  <c r="Z286" i="3"/>
  <c r="Y286" i="3"/>
  <c r="X286" i="3"/>
  <c r="D286" i="3"/>
  <c r="AG285" i="3"/>
  <c r="AI285" i="3" s="1"/>
  <c r="AF285" i="3"/>
  <c r="AE285" i="3"/>
  <c r="AC285" i="3"/>
  <c r="AB285" i="3"/>
  <c r="AA285" i="3"/>
  <c r="Z285" i="3"/>
  <c r="Y285" i="3"/>
  <c r="X285" i="3"/>
  <c r="D285" i="3"/>
  <c r="AH284" i="3"/>
  <c r="AG284" i="3"/>
  <c r="AI284" i="3" s="1"/>
  <c r="AF284" i="3"/>
  <c r="AE284" i="3"/>
  <c r="AC284" i="3"/>
  <c r="AB284" i="3"/>
  <c r="AA284" i="3"/>
  <c r="Z284" i="3"/>
  <c r="Y284" i="3"/>
  <c r="X284" i="3"/>
  <c r="D284" i="3"/>
  <c r="AG283" i="3"/>
  <c r="AI283" i="3" s="1"/>
  <c r="AF283" i="3"/>
  <c r="AE283" i="3"/>
  <c r="AC283" i="3"/>
  <c r="AB283" i="3"/>
  <c r="AA283" i="3"/>
  <c r="Z283" i="3"/>
  <c r="Y283" i="3"/>
  <c r="X283" i="3"/>
  <c r="D283" i="3"/>
  <c r="AH282" i="3"/>
  <c r="AG282" i="3"/>
  <c r="AI282" i="3" s="1"/>
  <c r="AF282" i="3"/>
  <c r="AE282" i="3"/>
  <c r="AC282" i="3"/>
  <c r="AB282" i="3"/>
  <c r="AA282" i="3"/>
  <c r="Z282" i="3"/>
  <c r="Y282" i="3"/>
  <c r="X282" i="3"/>
  <c r="D282" i="3"/>
  <c r="AG281" i="3"/>
  <c r="AI281" i="3" s="1"/>
  <c r="AF281" i="3"/>
  <c r="AE281" i="3"/>
  <c r="AC281" i="3"/>
  <c r="AB281" i="3"/>
  <c r="AA281" i="3"/>
  <c r="Z281" i="3"/>
  <c r="Y281" i="3"/>
  <c r="X281" i="3"/>
  <c r="D281" i="3"/>
  <c r="AG280" i="3"/>
  <c r="AI280" i="3" s="1"/>
  <c r="AF280" i="3"/>
  <c r="AE280" i="3"/>
  <c r="AC280" i="3"/>
  <c r="AB280" i="3"/>
  <c r="AA280" i="3"/>
  <c r="Z280" i="3"/>
  <c r="Y280" i="3"/>
  <c r="X280" i="3"/>
  <c r="D280" i="3"/>
  <c r="AG279" i="3"/>
  <c r="AI279" i="3" s="1"/>
  <c r="AF279" i="3"/>
  <c r="AE279" i="3"/>
  <c r="AC279" i="3"/>
  <c r="AB279" i="3"/>
  <c r="AA279" i="3"/>
  <c r="Z279" i="3"/>
  <c r="Y279" i="3"/>
  <c r="X279" i="3"/>
  <c r="D279" i="3"/>
  <c r="AH278" i="3"/>
  <c r="AG278" i="3"/>
  <c r="AI278" i="3" s="1"/>
  <c r="AF278" i="3"/>
  <c r="AE278" i="3"/>
  <c r="AC278" i="3"/>
  <c r="AB278" i="3"/>
  <c r="AA278" i="3"/>
  <c r="Z278" i="3"/>
  <c r="Y278" i="3"/>
  <c r="X278" i="3"/>
  <c r="D278" i="3"/>
  <c r="AG277" i="3"/>
  <c r="AI277" i="3" s="1"/>
  <c r="AF277" i="3"/>
  <c r="AE277" i="3"/>
  <c r="AC277" i="3"/>
  <c r="AB277" i="3"/>
  <c r="AA277" i="3"/>
  <c r="Z277" i="3"/>
  <c r="Y277" i="3"/>
  <c r="X277" i="3"/>
  <c r="D277" i="3"/>
  <c r="AH276" i="3"/>
  <c r="AG276" i="3"/>
  <c r="AI276" i="3" s="1"/>
  <c r="AF276" i="3"/>
  <c r="AE276" i="3"/>
  <c r="AC276" i="3"/>
  <c r="AB276" i="3"/>
  <c r="AA276" i="3"/>
  <c r="Z276" i="3"/>
  <c r="Y276" i="3"/>
  <c r="X276" i="3"/>
  <c r="D276" i="3"/>
  <c r="AG275" i="3"/>
  <c r="AI275" i="3" s="1"/>
  <c r="AF275" i="3"/>
  <c r="AE275" i="3"/>
  <c r="AC275" i="3"/>
  <c r="AB275" i="3"/>
  <c r="AA275" i="3"/>
  <c r="Z275" i="3"/>
  <c r="Y275" i="3"/>
  <c r="X275" i="3"/>
  <c r="D275" i="3"/>
  <c r="AH274" i="3"/>
  <c r="AG274" i="3"/>
  <c r="AI274" i="3" s="1"/>
  <c r="AF274" i="3"/>
  <c r="AE274" i="3"/>
  <c r="AC274" i="3"/>
  <c r="AB274" i="3"/>
  <c r="AA274" i="3"/>
  <c r="Z274" i="3"/>
  <c r="Y274" i="3"/>
  <c r="X274" i="3"/>
  <c r="D274" i="3"/>
  <c r="AG273" i="3"/>
  <c r="AI273" i="3" s="1"/>
  <c r="AF273" i="3"/>
  <c r="AE273" i="3"/>
  <c r="AC273" i="3"/>
  <c r="AB273" i="3"/>
  <c r="AA273" i="3"/>
  <c r="Z273" i="3"/>
  <c r="Y273" i="3"/>
  <c r="X273" i="3"/>
  <c r="D273" i="3"/>
  <c r="AG272" i="3"/>
  <c r="AI272" i="3" s="1"/>
  <c r="AF272" i="3"/>
  <c r="AE272" i="3"/>
  <c r="AC272" i="3"/>
  <c r="AB272" i="3"/>
  <c r="AA272" i="3"/>
  <c r="Z272" i="3"/>
  <c r="Y272" i="3"/>
  <c r="X272" i="3"/>
  <c r="D272" i="3"/>
  <c r="AG271" i="3"/>
  <c r="AI271" i="3" s="1"/>
  <c r="AF271" i="3"/>
  <c r="AE271" i="3"/>
  <c r="AC271" i="3"/>
  <c r="AB271" i="3"/>
  <c r="AA271" i="3"/>
  <c r="Z271" i="3"/>
  <c r="Y271" i="3"/>
  <c r="X271" i="3"/>
  <c r="D271" i="3"/>
  <c r="AH270" i="3"/>
  <c r="AG270" i="3"/>
  <c r="AI270" i="3" s="1"/>
  <c r="AF270" i="3"/>
  <c r="AE270" i="3"/>
  <c r="AC270" i="3"/>
  <c r="AB270" i="3"/>
  <c r="AA270" i="3"/>
  <c r="Z270" i="3"/>
  <c r="Y270" i="3"/>
  <c r="X270" i="3"/>
  <c r="D270" i="3"/>
  <c r="AG269" i="3"/>
  <c r="AI269" i="3" s="1"/>
  <c r="AF269" i="3"/>
  <c r="AE269" i="3"/>
  <c r="AC269" i="3"/>
  <c r="AB269" i="3"/>
  <c r="AA269" i="3"/>
  <c r="Z269" i="3"/>
  <c r="Y269" i="3"/>
  <c r="X269" i="3"/>
  <c r="D269" i="3"/>
  <c r="AH268" i="3"/>
  <c r="AG268" i="3"/>
  <c r="AI268" i="3" s="1"/>
  <c r="AF268" i="3"/>
  <c r="AE268" i="3"/>
  <c r="AC268" i="3"/>
  <c r="AB268" i="3"/>
  <c r="AA268" i="3"/>
  <c r="Z268" i="3"/>
  <c r="Y268" i="3"/>
  <c r="X268" i="3"/>
  <c r="D268" i="3"/>
  <c r="AG267" i="3"/>
  <c r="AI267" i="3" s="1"/>
  <c r="AF267" i="3"/>
  <c r="AE267" i="3"/>
  <c r="AC267" i="3"/>
  <c r="AB267" i="3"/>
  <c r="AA267" i="3"/>
  <c r="Z267" i="3"/>
  <c r="Y267" i="3"/>
  <c r="X267" i="3"/>
  <c r="D267" i="3"/>
  <c r="AH266" i="3"/>
  <c r="AG266" i="3"/>
  <c r="AI266" i="3" s="1"/>
  <c r="AF266" i="3"/>
  <c r="AE266" i="3"/>
  <c r="AC266" i="3"/>
  <c r="AB266" i="3"/>
  <c r="AA266" i="3"/>
  <c r="Z266" i="3"/>
  <c r="Y266" i="3"/>
  <c r="X266" i="3"/>
  <c r="D266" i="3"/>
  <c r="AG265" i="3"/>
  <c r="AI265" i="3" s="1"/>
  <c r="AF265" i="3"/>
  <c r="AE265" i="3"/>
  <c r="AC265" i="3"/>
  <c r="AB265" i="3"/>
  <c r="AA265" i="3"/>
  <c r="Z265" i="3"/>
  <c r="Y265" i="3"/>
  <c r="X265" i="3"/>
  <c r="D265" i="3"/>
  <c r="AG264" i="3"/>
  <c r="AI264" i="3" s="1"/>
  <c r="AF264" i="3"/>
  <c r="AE264" i="3"/>
  <c r="AC264" i="3"/>
  <c r="AB264" i="3"/>
  <c r="AA264" i="3"/>
  <c r="Z264" i="3"/>
  <c r="Y264" i="3"/>
  <c r="X264" i="3"/>
  <c r="D264" i="3"/>
  <c r="AG263" i="3"/>
  <c r="AI263" i="3" s="1"/>
  <c r="AF263" i="3"/>
  <c r="AE263" i="3"/>
  <c r="AC263" i="3"/>
  <c r="AB263" i="3"/>
  <c r="AA263" i="3"/>
  <c r="Z263" i="3"/>
  <c r="Y263" i="3"/>
  <c r="X263" i="3"/>
  <c r="D263" i="3"/>
  <c r="AH262" i="3"/>
  <c r="AG262" i="3"/>
  <c r="AI262" i="3" s="1"/>
  <c r="AF262" i="3"/>
  <c r="AE262" i="3"/>
  <c r="AC262" i="3"/>
  <c r="AB262" i="3"/>
  <c r="AA262" i="3"/>
  <c r="Z262" i="3"/>
  <c r="Y262" i="3"/>
  <c r="X262" i="3"/>
  <c r="D262" i="3"/>
  <c r="AG261" i="3"/>
  <c r="AI261" i="3" s="1"/>
  <c r="AF261" i="3"/>
  <c r="AE261" i="3"/>
  <c r="AC261" i="3"/>
  <c r="AB261" i="3"/>
  <c r="AA261" i="3"/>
  <c r="Z261" i="3"/>
  <c r="Y261" i="3"/>
  <c r="X261" i="3"/>
  <c r="D261" i="3"/>
  <c r="AH260" i="3"/>
  <c r="AG260" i="3"/>
  <c r="AI260" i="3" s="1"/>
  <c r="AF260" i="3"/>
  <c r="AE260" i="3"/>
  <c r="AC260" i="3"/>
  <c r="AB260" i="3"/>
  <c r="AA260" i="3"/>
  <c r="Z260" i="3"/>
  <c r="Y260" i="3"/>
  <c r="X260" i="3"/>
  <c r="D260" i="3"/>
  <c r="AG259" i="3"/>
  <c r="AI259" i="3" s="1"/>
  <c r="AF259" i="3"/>
  <c r="AE259" i="3"/>
  <c r="AC259" i="3"/>
  <c r="AB259" i="3"/>
  <c r="AA259" i="3"/>
  <c r="Z259" i="3"/>
  <c r="Y259" i="3"/>
  <c r="X259" i="3"/>
  <c r="D259" i="3"/>
  <c r="AH258" i="3"/>
  <c r="AG258" i="3"/>
  <c r="AI258" i="3" s="1"/>
  <c r="AF258" i="3"/>
  <c r="AE258" i="3"/>
  <c r="AC258" i="3"/>
  <c r="AB258" i="3"/>
  <c r="AA258" i="3"/>
  <c r="Z258" i="3"/>
  <c r="Y258" i="3"/>
  <c r="X258" i="3"/>
  <c r="D258" i="3"/>
  <c r="AG257" i="3"/>
  <c r="AI257" i="3" s="1"/>
  <c r="AF257" i="3"/>
  <c r="AE257" i="3"/>
  <c r="AC257" i="3"/>
  <c r="AB257" i="3"/>
  <c r="AA257" i="3"/>
  <c r="Z257" i="3"/>
  <c r="Y257" i="3"/>
  <c r="X257" i="3"/>
  <c r="D257" i="3"/>
  <c r="AG256" i="3"/>
  <c r="AI256" i="3" s="1"/>
  <c r="AF256" i="3"/>
  <c r="AE256" i="3"/>
  <c r="AC256" i="3"/>
  <c r="AB256" i="3"/>
  <c r="AA256" i="3"/>
  <c r="Z256" i="3"/>
  <c r="Y256" i="3"/>
  <c r="X256" i="3"/>
  <c r="D256" i="3"/>
  <c r="AG255" i="3"/>
  <c r="AI255" i="3" s="1"/>
  <c r="AF255" i="3"/>
  <c r="AE255" i="3"/>
  <c r="AC255" i="3"/>
  <c r="AB255" i="3"/>
  <c r="AA255" i="3"/>
  <c r="Z255" i="3"/>
  <c r="Y255" i="3"/>
  <c r="X255" i="3"/>
  <c r="D255" i="3"/>
  <c r="AH254" i="3"/>
  <c r="AG254" i="3"/>
  <c r="AI254" i="3" s="1"/>
  <c r="AF254" i="3"/>
  <c r="AE254" i="3"/>
  <c r="AC254" i="3"/>
  <c r="AB254" i="3"/>
  <c r="AA254" i="3"/>
  <c r="Z254" i="3"/>
  <c r="Y254" i="3"/>
  <c r="X254" i="3"/>
  <c r="D254" i="3"/>
  <c r="AG253" i="3"/>
  <c r="AI253" i="3" s="1"/>
  <c r="AF253" i="3"/>
  <c r="AE253" i="3"/>
  <c r="AC253" i="3"/>
  <c r="AB253" i="3"/>
  <c r="AA253" i="3"/>
  <c r="Z253" i="3"/>
  <c r="Y253" i="3"/>
  <c r="X253" i="3"/>
  <c r="D253" i="3"/>
  <c r="AH252" i="3"/>
  <c r="AG252" i="3"/>
  <c r="AI252" i="3" s="1"/>
  <c r="AF252" i="3"/>
  <c r="AE252" i="3"/>
  <c r="AC252" i="3"/>
  <c r="AB252" i="3"/>
  <c r="AA252" i="3"/>
  <c r="Z252" i="3"/>
  <c r="Y252" i="3"/>
  <c r="X252" i="3"/>
  <c r="D252" i="3"/>
  <c r="AG251" i="3"/>
  <c r="AI251" i="3" s="1"/>
  <c r="AF251" i="3"/>
  <c r="AE251" i="3"/>
  <c r="AC251" i="3"/>
  <c r="AB251" i="3"/>
  <c r="AA251" i="3"/>
  <c r="Z251" i="3"/>
  <c r="Y251" i="3"/>
  <c r="X251" i="3"/>
  <c r="D251" i="3"/>
  <c r="AG250" i="3"/>
  <c r="AI250" i="3" s="1"/>
  <c r="AF250" i="3"/>
  <c r="AE250" i="3"/>
  <c r="AC250" i="3"/>
  <c r="AB250" i="3"/>
  <c r="AA250" i="3"/>
  <c r="Z250" i="3"/>
  <c r="Y250" i="3"/>
  <c r="X250" i="3"/>
  <c r="D250" i="3"/>
  <c r="AG249" i="3"/>
  <c r="AI249" i="3" s="1"/>
  <c r="AF249" i="3"/>
  <c r="AE249" i="3"/>
  <c r="AC249" i="3"/>
  <c r="AB249" i="3"/>
  <c r="AA249" i="3"/>
  <c r="Z249" i="3"/>
  <c r="Y249" i="3"/>
  <c r="X249" i="3"/>
  <c r="D249" i="3"/>
  <c r="AG248" i="3"/>
  <c r="AI248" i="3" s="1"/>
  <c r="AF248" i="3"/>
  <c r="AE248" i="3"/>
  <c r="AC248" i="3"/>
  <c r="AB248" i="3"/>
  <c r="AA248" i="3"/>
  <c r="Z248" i="3"/>
  <c r="Y248" i="3"/>
  <c r="X248" i="3"/>
  <c r="D248" i="3"/>
  <c r="AG247" i="3"/>
  <c r="AI247" i="3" s="1"/>
  <c r="AF247" i="3"/>
  <c r="AE247" i="3"/>
  <c r="AC247" i="3"/>
  <c r="AB247" i="3"/>
  <c r="AA247" i="3"/>
  <c r="Z247" i="3"/>
  <c r="Y247" i="3"/>
  <c r="X247" i="3"/>
  <c r="D247" i="3"/>
  <c r="AH246" i="3"/>
  <c r="AG246" i="3"/>
  <c r="AI246" i="3" s="1"/>
  <c r="AF246" i="3"/>
  <c r="AE246" i="3"/>
  <c r="AC246" i="3"/>
  <c r="AB246" i="3"/>
  <c r="AA246" i="3"/>
  <c r="Z246" i="3"/>
  <c r="Y246" i="3"/>
  <c r="X246" i="3"/>
  <c r="D246" i="3"/>
  <c r="AG245" i="3"/>
  <c r="AI245" i="3" s="1"/>
  <c r="AF245" i="3"/>
  <c r="AE245" i="3"/>
  <c r="AC245" i="3"/>
  <c r="AB245" i="3"/>
  <c r="AA245" i="3"/>
  <c r="Z245" i="3"/>
  <c r="Y245" i="3"/>
  <c r="X245" i="3"/>
  <c r="D245" i="3"/>
  <c r="AH244" i="3"/>
  <c r="AG244" i="3"/>
  <c r="AI244" i="3" s="1"/>
  <c r="AF244" i="3"/>
  <c r="AE244" i="3"/>
  <c r="AC244" i="3"/>
  <c r="AB244" i="3"/>
  <c r="AA244" i="3"/>
  <c r="Z244" i="3"/>
  <c r="Y244" i="3"/>
  <c r="X244" i="3"/>
  <c r="D244" i="3"/>
  <c r="AG243" i="3"/>
  <c r="AI243" i="3" s="1"/>
  <c r="AF243" i="3"/>
  <c r="AE243" i="3"/>
  <c r="AC243" i="3"/>
  <c r="AB243" i="3"/>
  <c r="AA243" i="3"/>
  <c r="Z243" i="3"/>
  <c r="Y243" i="3"/>
  <c r="X243" i="3"/>
  <c r="D243" i="3"/>
  <c r="AG242" i="3"/>
  <c r="AI242" i="3" s="1"/>
  <c r="AF242" i="3"/>
  <c r="AE242" i="3"/>
  <c r="AC242" i="3"/>
  <c r="AB242" i="3"/>
  <c r="AA242" i="3"/>
  <c r="Z242" i="3"/>
  <c r="Y242" i="3"/>
  <c r="X242" i="3"/>
  <c r="D242" i="3"/>
  <c r="AG241" i="3"/>
  <c r="AI241" i="3" s="1"/>
  <c r="AF241" i="3"/>
  <c r="AE241" i="3"/>
  <c r="AC241" i="3"/>
  <c r="AB241" i="3"/>
  <c r="AA241" i="3"/>
  <c r="Z241" i="3"/>
  <c r="Y241" i="3"/>
  <c r="X241" i="3"/>
  <c r="D241" i="3"/>
  <c r="AG240" i="3"/>
  <c r="AI240" i="3" s="1"/>
  <c r="AF240" i="3"/>
  <c r="AE240" i="3"/>
  <c r="AC240" i="3"/>
  <c r="AB240" i="3"/>
  <c r="AA240" i="3"/>
  <c r="Z240" i="3"/>
  <c r="Y240" i="3"/>
  <c r="X240" i="3"/>
  <c r="D240" i="3"/>
  <c r="AG239" i="3"/>
  <c r="AI239" i="3" s="1"/>
  <c r="AF239" i="3"/>
  <c r="AE239" i="3"/>
  <c r="AC239" i="3"/>
  <c r="AB239" i="3"/>
  <c r="AA239" i="3"/>
  <c r="Z239" i="3"/>
  <c r="Y239" i="3"/>
  <c r="X239" i="3"/>
  <c r="D239" i="3"/>
  <c r="AH238" i="3"/>
  <c r="AG238" i="3"/>
  <c r="AI238" i="3" s="1"/>
  <c r="AF238" i="3"/>
  <c r="AE238" i="3"/>
  <c r="AC238" i="3"/>
  <c r="AB238" i="3"/>
  <c r="AA238" i="3"/>
  <c r="Z238" i="3"/>
  <c r="Y238" i="3"/>
  <c r="X238" i="3"/>
  <c r="D238" i="3"/>
  <c r="AG237" i="3"/>
  <c r="AI237" i="3" s="1"/>
  <c r="AF237" i="3"/>
  <c r="AE237" i="3"/>
  <c r="AC237" i="3"/>
  <c r="AB237" i="3"/>
  <c r="AA237" i="3"/>
  <c r="Z237" i="3"/>
  <c r="Y237" i="3"/>
  <c r="X237" i="3"/>
  <c r="D237" i="3"/>
  <c r="AH236" i="3"/>
  <c r="AG236" i="3"/>
  <c r="AI236" i="3" s="1"/>
  <c r="AF236" i="3"/>
  <c r="AE236" i="3"/>
  <c r="AC236" i="3"/>
  <c r="AB236" i="3"/>
  <c r="AA236" i="3"/>
  <c r="Z236" i="3"/>
  <c r="Y236" i="3"/>
  <c r="X236" i="3"/>
  <c r="D236" i="3"/>
  <c r="AG235" i="3"/>
  <c r="AI235" i="3" s="1"/>
  <c r="AF235" i="3"/>
  <c r="AE235" i="3"/>
  <c r="AC235" i="3"/>
  <c r="AB235" i="3"/>
  <c r="AA235" i="3"/>
  <c r="Z235" i="3"/>
  <c r="Y235" i="3"/>
  <c r="X235" i="3"/>
  <c r="D235" i="3"/>
  <c r="AG234" i="3"/>
  <c r="AI234" i="3" s="1"/>
  <c r="AF234" i="3"/>
  <c r="AE234" i="3"/>
  <c r="AC234" i="3"/>
  <c r="AB234" i="3"/>
  <c r="AA234" i="3"/>
  <c r="Z234" i="3"/>
  <c r="Y234" i="3"/>
  <c r="X234" i="3"/>
  <c r="D234" i="3"/>
  <c r="AG233" i="3"/>
  <c r="AI233" i="3" s="1"/>
  <c r="AF233" i="3"/>
  <c r="AE233" i="3"/>
  <c r="AC233" i="3"/>
  <c r="AB233" i="3"/>
  <c r="AA233" i="3"/>
  <c r="Z233" i="3"/>
  <c r="Y233" i="3"/>
  <c r="X233" i="3"/>
  <c r="D233" i="3"/>
  <c r="AG232" i="3"/>
  <c r="AI232" i="3" s="1"/>
  <c r="AF232" i="3"/>
  <c r="AE232" i="3"/>
  <c r="AC232" i="3"/>
  <c r="AB232" i="3"/>
  <c r="AA232" i="3"/>
  <c r="Z232" i="3"/>
  <c r="Y232" i="3"/>
  <c r="X232" i="3"/>
  <c r="D232" i="3"/>
  <c r="AH231" i="3"/>
  <c r="AG231" i="3"/>
  <c r="AI231" i="3" s="1"/>
  <c r="AF231" i="3"/>
  <c r="AE231" i="3"/>
  <c r="AC231" i="3"/>
  <c r="AB231" i="3"/>
  <c r="AA231" i="3"/>
  <c r="Z231" i="3"/>
  <c r="Y231" i="3"/>
  <c r="X231" i="3"/>
  <c r="D231" i="3"/>
  <c r="AH230" i="3"/>
  <c r="AG230" i="3"/>
  <c r="AI230" i="3" s="1"/>
  <c r="AF230" i="3"/>
  <c r="AE230" i="3"/>
  <c r="AC230" i="3"/>
  <c r="AB230" i="3"/>
  <c r="AA230" i="3"/>
  <c r="Z230" i="3"/>
  <c r="Y230" i="3"/>
  <c r="X230" i="3"/>
  <c r="D230" i="3"/>
  <c r="AG229" i="3"/>
  <c r="AI229" i="3" s="1"/>
  <c r="AF229" i="3"/>
  <c r="AE229" i="3"/>
  <c r="AC229" i="3"/>
  <c r="AB229" i="3"/>
  <c r="AA229" i="3"/>
  <c r="Z229" i="3"/>
  <c r="Y229" i="3"/>
  <c r="X229" i="3"/>
  <c r="D229" i="3"/>
  <c r="AH228" i="3"/>
  <c r="AG228" i="3"/>
  <c r="AI228" i="3" s="1"/>
  <c r="AF228" i="3"/>
  <c r="AE228" i="3"/>
  <c r="AC228" i="3"/>
  <c r="AB228" i="3"/>
  <c r="AA228" i="3"/>
  <c r="Z228" i="3"/>
  <c r="Y228" i="3"/>
  <c r="X228" i="3"/>
  <c r="D228" i="3"/>
  <c r="AG227" i="3"/>
  <c r="AI227" i="3" s="1"/>
  <c r="AF227" i="3"/>
  <c r="AE227" i="3"/>
  <c r="AC227" i="3"/>
  <c r="AB227" i="3"/>
  <c r="AA227" i="3"/>
  <c r="Z227" i="3"/>
  <c r="Y227" i="3"/>
  <c r="X227" i="3"/>
  <c r="D227" i="3"/>
  <c r="AG226" i="3"/>
  <c r="AI226" i="3" s="1"/>
  <c r="AF226" i="3"/>
  <c r="AE226" i="3"/>
  <c r="AC226" i="3"/>
  <c r="AB226" i="3"/>
  <c r="AA226" i="3"/>
  <c r="Z226" i="3"/>
  <c r="Y226" i="3"/>
  <c r="X226" i="3"/>
  <c r="D226" i="3"/>
  <c r="AG225" i="3"/>
  <c r="AI225" i="3" s="1"/>
  <c r="AF225" i="3"/>
  <c r="AE225" i="3"/>
  <c r="AC225" i="3"/>
  <c r="AB225" i="3"/>
  <c r="AA225" i="3"/>
  <c r="Z225" i="3"/>
  <c r="Y225" i="3"/>
  <c r="X225" i="3"/>
  <c r="D225" i="3"/>
  <c r="AG224" i="3"/>
  <c r="AI224" i="3" s="1"/>
  <c r="AF224" i="3"/>
  <c r="AE224" i="3"/>
  <c r="AC224" i="3"/>
  <c r="AB224" i="3"/>
  <c r="AA224" i="3"/>
  <c r="Z224" i="3"/>
  <c r="Y224" i="3"/>
  <c r="X224" i="3"/>
  <c r="D224" i="3"/>
  <c r="AH223" i="3"/>
  <c r="AG223" i="3"/>
  <c r="AI223" i="3" s="1"/>
  <c r="AF223" i="3"/>
  <c r="AE223" i="3"/>
  <c r="AC223" i="3"/>
  <c r="AB223" i="3"/>
  <c r="AA223" i="3"/>
  <c r="Z223" i="3"/>
  <c r="Y223" i="3"/>
  <c r="X223" i="3"/>
  <c r="D223" i="3"/>
  <c r="AH222" i="3"/>
  <c r="AG222" i="3"/>
  <c r="AI222" i="3" s="1"/>
  <c r="AF222" i="3"/>
  <c r="AE222" i="3"/>
  <c r="AC222" i="3"/>
  <c r="AB222" i="3"/>
  <c r="AA222" i="3"/>
  <c r="Z222" i="3"/>
  <c r="Y222" i="3"/>
  <c r="X222" i="3"/>
  <c r="D222" i="3"/>
  <c r="AG221" i="3"/>
  <c r="AI221" i="3" s="1"/>
  <c r="AF221" i="3"/>
  <c r="AE221" i="3"/>
  <c r="AC221" i="3"/>
  <c r="AB221" i="3"/>
  <c r="AA221" i="3"/>
  <c r="Z221" i="3"/>
  <c r="Y221" i="3"/>
  <c r="X221" i="3"/>
  <c r="D221" i="3"/>
  <c r="AH220" i="3"/>
  <c r="AG220" i="3"/>
  <c r="AI220" i="3" s="1"/>
  <c r="AF220" i="3"/>
  <c r="AE220" i="3"/>
  <c r="AC220" i="3"/>
  <c r="AB220" i="3"/>
  <c r="AA220" i="3"/>
  <c r="Z220" i="3"/>
  <c r="Y220" i="3"/>
  <c r="X220" i="3"/>
  <c r="D220" i="3"/>
  <c r="AG219" i="3"/>
  <c r="AI219" i="3" s="1"/>
  <c r="AF219" i="3"/>
  <c r="AE219" i="3"/>
  <c r="AC219" i="3"/>
  <c r="AB219" i="3"/>
  <c r="AA219" i="3"/>
  <c r="Z219" i="3"/>
  <c r="Y219" i="3"/>
  <c r="X219" i="3"/>
  <c r="D219" i="3"/>
  <c r="AG218" i="3"/>
  <c r="AI218" i="3" s="1"/>
  <c r="AF218" i="3"/>
  <c r="AE218" i="3"/>
  <c r="AC218" i="3"/>
  <c r="AB218" i="3"/>
  <c r="AA218" i="3"/>
  <c r="Z218" i="3"/>
  <c r="Y218" i="3"/>
  <c r="X218" i="3"/>
  <c r="D218" i="3"/>
  <c r="AG217" i="3"/>
  <c r="AI217" i="3" s="1"/>
  <c r="AF217" i="3"/>
  <c r="AE217" i="3"/>
  <c r="AC217" i="3"/>
  <c r="AB217" i="3"/>
  <c r="AA217" i="3"/>
  <c r="Z217" i="3"/>
  <c r="Y217" i="3"/>
  <c r="X217" i="3"/>
  <c r="D217" i="3"/>
  <c r="AG216" i="3"/>
  <c r="AI216" i="3" s="1"/>
  <c r="AF216" i="3"/>
  <c r="AE216" i="3"/>
  <c r="AC216" i="3"/>
  <c r="AB216" i="3"/>
  <c r="AA216" i="3"/>
  <c r="Z216" i="3"/>
  <c r="Y216" i="3"/>
  <c r="X216" i="3"/>
  <c r="D216" i="3"/>
  <c r="AH215" i="3"/>
  <c r="AG215" i="3"/>
  <c r="AI215" i="3" s="1"/>
  <c r="AF215" i="3"/>
  <c r="AE215" i="3"/>
  <c r="AC215" i="3"/>
  <c r="AB215" i="3"/>
  <c r="AA215" i="3"/>
  <c r="Z215" i="3"/>
  <c r="Y215" i="3"/>
  <c r="X215" i="3"/>
  <c r="D215" i="3"/>
  <c r="AH214" i="3"/>
  <c r="AG214" i="3"/>
  <c r="AI214" i="3" s="1"/>
  <c r="AF214" i="3"/>
  <c r="AE214" i="3"/>
  <c r="AC214" i="3"/>
  <c r="AB214" i="3"/>
  <c r="AA214" i="3"/>
  <c r="Z214" i="3"/>
  <c r="Y214" i="3"/>
  <c r="X214" i="3"/>
  <c r="D214" i="3"/>
  <c r="AG213" i="3"/>
  <c r="AI213" i="3" s="1"/>
  <c r="AF213" i="3"/>
  <c r="AE213" i="3"/>
  <c r="AC213" i="3"/>
  <c r="AB213" i="3"/>
  <c r="AA213" i="3"/>
  <c r="Z213" i="3"/>
  <c r="Y213" i="3"/>
  <c r="X213" i="3"/>
  <c r="D213" i="3"/>
  <c r="AH212" i="3"/>
  <c r="AG212" i="3"/>
  <c r="AI212" i="3" s="1"/>
  <c r="AF212" i="3"/>
  <c r="AE212" i="3"/>
  <c r="AC212" i="3"/>
  <c r="AB212" i="3"/>
  <c r="AA212" i="3"/>
  <c r="Z212" i="3"/>
  <c r="Y212" i="3"/>
  <c r="X212" i="3"/>
  <c r="D212" i="3"/>
  <c r="AG211" i="3"/>
  <c r="AI211" i="3" s="1"/>
  <c r="AF211" i="3"/>
  <c r="AE211" i="3"/>
  <c r="AC211" i="3"/>
  <c r="AB211" i="3"/>
  <c r="AA211" i="3"/>
  <c r="Z211" i="3"/>
  <c r="Y211" i="3"/>
  <c r="X211" i="3"/>
  <c r="D211" i="3"/>
  <c r="AG210" i="3"/>
  <c r="AI210" i="3" s="1"/>
  <c r="AF210" i="3"/>
  <c r="AE210" i="3"/>
  <c r="AC210" i="3"/>
  <c r="AB210" i="3"/>
  <c r="AA210" i="3"/>
  <c r="Z210" i="3"/>
  <c r="Y210" i="3"/>
  <c r="X210" i="3"/>
  <c r="D210" i="3"/>
  <c r="AG209" i="3"/>
  <c r="AI209" i="3" s="1"/>
  <c r="AF209" i="3"/>
  <c r="AE209" i="3"/>
  <c r="AC209" i="3"/>
  <c r="AB209" i="3"/>
  <c r="AA209" i="3"/>
  <c r="Z209" i="3"/>
  <c r="Y209" i="3"/>
  <c r="X209" i="3"/>
  <c r="D209" i="3"/>
  <c r="AG208" i="3"/>
  <c r="AI208" i="3" s="1"/>
  <c r="AF208" i="3"/>
  <c r="AE208" i="3"/>
  <c r="AC208" i="3"/>
  <c r="AB208" i="3"/>
  <c r="AA208" i="3"/>
  <c r="Z208" i="3"/>
  <c r="Y208" i="3"/>
  <c r="X208" i="3"/>
  <c r="D208" i="3"/>
  <c r="AH207" i="3"/>
  <c r="AG207" i="3"/>
  <c r="AI207" i="3" s="1"/>
  <c r="AF207" i="3"/>
  <c r="AE207" i="3"/>
  <c r="AC207" i="3"/>
  <c r="AB207" i="3"/>
  <c r="AA207" i="3"/>
  <c r="Z207" i="3"/>
  <c r="Y207" i="3"/>
  <c r="X207" i="3"/>
  <c r="D207" i="3"/>
  <c r="AH206" i="3"/>
  <c r="AG206" i="3"/>
  <c r="AI206" i="3" s="1"/>
  <c r="AF206" i="3"/>
  <c r="AE206" i="3"/>
  <c r="AC206" i="3"/>
  <c r="AB206" i="3"/>
  <c r="AA206" i="3"/>
  <c r="Z206" i="3"/>
  <c r="Y206" i="3"/>
  <c r="X206" i="3"/>
  <c r="D206" i="3"/>
  <c r="AG205" i="3"/>
  <c r="AI205" i="3" s="1"/>
  <c r="AF205" i="3"/>
  <c r="AE205" i="3"/>
  <c r="AC205" i="3"/>
  <c r="AB205" i="3"/>
  <c r="AA205" i="3"/>
  <c r="Z205" i="3"/>
  <c r="Y205" i="3"/>
  <c r="X205" i="3"/>
  <c r="D205" i="3"/>
  <c r="AH204" i="3"/>
  <c r="AG204" i="3"/>
  <c r="AI204" i="3" s="1"/>
  <c r="AF204" i="3"/>
  <c r="AE204" i="3"/>
  <c r="AC204" i="3"/>
  <c r="AB204" i="3"/>
  <c r="AA204" i="3"/>
  <c r="Z204" i="3"/>
  <c r="Y204" i="3"/>
  <c r="X204" i="3"/>
  <c r="D204" i="3"/>
  <c r="AG203" i="3"/>
  <c r="AI203" i="3" s="1"/>
  <c r="AF203" i="3"/>
  <c r="AE203" i="3"/>
  <c r="AC203" i="3"/>
  <c r="AB203" i="3"/>
  <c r="AA203" i="3"/>
  <c r="Z203" i="3"/>
  <c r="Y203" i="3"/>
  <c r="X203" i="3"/>
  <c r="D203" i="3"/>
  <c r="AG202" i="3"/>
  <c r="AI202" i="3" s="1"/>
  <c r="AF202" i="3"/>
  <c r="AE202" i="3"/>
  <c r="AC202" i="3"/>
  <c r="AB202" i="3"/>
  <c r="AA202" i="3"/>
  <c r="Z202" i="3"/>
  <c r="Y202" i="3"/>
  <c r="X202" i="3"/>
  <c r="D202" i="3"/>
  <c r="AG201" i="3"/>
  <c r="AI201" i="3" s="1"/>
  <c r="AF201" i="3"/>
  <c r="AE201" i="3"/>
  <c r="AC201" i="3"/>
  <c r="AB201" i="3"/>
  <c r="AA201" i="3"/>
  <c r="Z201" i="3"/>
  <c r="Y201" i="3"/>
  <c r="X201" i="3"/>
  <c r="D201" i="3"/>
  <c r="AG200" i="3"/>
  <c r="AI200" i="3" s="1"/>
  <c r="AF200" i="3"/>
  <c r="AE200" i="3"/>
  <c r="AC200" i="3"/>
  <c r="AB200" i="3"/>
  <c r="AA200" i="3"/>
  <c r="Z200" i="3"/>
  <c r="Y200" i="3"/>
  <c r="X200" i="3"/>
  <c r="D200" i="3"/>
  <c r="AH199" i="3"/>
  <c r="AG199" i="3"/>
  <c r="AI199" i="3" s="1"/>
  <c r="AF199" i="3"/>
  <c r="AE199" i="3"/>
  <c r="AC199" i="3"/>
  <c r="AB199" i="3"/>
  <c r="AA199" i="3"/>
  <c r="Z199" i="3"/>
  <c r="Y199" i="3"/>
  <c r="X199" i="3"/>
  <c r="D199" i="3"/>
  <c r="AH198" i="3"/>
  <c r="AG198" i="3"/>
  <c r="AI198" i="3" s="1"/>
  <c r="AF198" i="3"/>
  <c r="AE198" i="3"/>
  <c r="AC198" i="3"/>
  <c r="AB198" i="3"/>
  <c r="AA198" i="3"/>
  <c r="Z198" i="3"/>
  <c r="Y198" i="3"/>
  <c r="X198" i="3"/>
  <c r="D198" i="3"/>
  <c r="AG197" i="3"/>
  <c r="AI197" i="3" s="1"/>
  <c r="AF197" i="3"/>
  <c r="AE197" i="3"/>
  <c r="AC197" i="3"/>
  <c r="AB197" i="3"/>
  <c r="AA197" i="3"/>
  <c r="Z197" i="3"/>
  <c r="Y197" i="3"/>
  <c r="X197" i="3"/>
  <c r="D197" i="3"/>
  <c r="AH196" i="3"/>
  <c r="AG196" i="3"/>
  <c r="AI196" i="3" s="1"/>
  <c r="AF196" i="3"/>
  <c r="AE196" i="3"/>
  <c r="AC196" i="3"/>
  <c r="AB196" i="3"/>
  <c r="AA196" i="3"/>
  <c r="Z196" i="3"/>
  <c r="Y196" i="3"/>
  <c r="X196" i="3"/>
  <c r="D196" i="3"/>
  <c r="AG195" i="3"/>
  <c r="AI195" i="3" s="1"/>
  <c r="AF195" i="3"/>
  <c r="AE195" i="3"/>
  <c r="AC195" i="3"/>
  <c r="AB195" i="3"/>
  <c r="AA195" i="3"/>
  <c r="Z195" i="3"/>
  <c r="Y195" i="3"/>
  <c r="X195" i="3"/>
  <c r="D195" i="3"/>
  <c r="AG194" i="3"/>
  <c r="AI194" i="3" s="1"/>
  <c r="AF194" i="3"/>
  <c r="AE194" i="3"/>
  <c r="AC194" i="3"/>
  <c r="AB194" i="3"/>
  <c r="AA194" i="3"/>
  <c r="Z194" i="3"/>
  <c r="Y194" i="3"/>
  <c r="X194" i="3"/>
  <c r="D194" i="3"/>
  <c r="AG193" i="3"/>
  <c r="AI193" i="3" s="1"/>
  <c r="AF193" i="3"/>
  <c r="AE193" i="3"/>
  <c r="AC193" i="3"/>
  <c r="AB193" i="3"/>
  <c r="AA193" i="3"/>
  <c r="Z193" i="3"/>
  <c r="Y193" i="3"/>
  <c r="X193" i="3"/>
  <c r="D193" i="3"/>
  <c r="AG192" i="3"/>
  <c r="AI192" i="3" s="1"/>
  <c r="AF192" i="3"/>
  <c r="AE192" i="3"/>
  <c r="AC192" i="3"/>
  <c r="AB192" i="3"/>
  <c r="AA192" i="3"/>
  <c r="Z192" i="3"/>
  <c r="Y192" i="3"/>
  <c r="X192" i="3"/>
  <c r="D192" i="3"/>
  <c r="AH191" i="3"/>
  <c r="AG191" i="3"/>
  <c r="AI191" i="3" s="1"/>
  <c r="AF191" i="3"/>
  <c r="AE191" i="3"/>
  <c r="AC191" i="3"/>
  <c r="AB191" i="3"/>
  <c r="AA191" i="3"/>
  <c r="Z191" i="3"/>
  <c r="Y191" i="3"/>
  <c r="X191" i="3"/>
  <c r="D191" i="3"/>
  <c r="AH190" i="3"/>
  <c r="AG190" i="3"/>
  <c r="AI190" i="3" s="1"/>
  <c r="AF190" i="3"/>
  <c r="AE190" i="3"/>
  <c r="AC190" i="3"/>
  <c r="AB190" i="3"/>
  <c r="AA190" i="3"/>
  <c r="Z190" i="3"/>
  <c r="Y190" i="3"/>
  <c r="X190" i="3"/>
  <c r="D190" i="3"/>
  <c r="AG189" i="3"/>
  <c r="AI189" i="3" s="1"/>
  <c r="AF189" i="3"/>
  <c r="AE189" i="3"/>
  <c r="AC189" i="3"/>
  <c r="AB189" i="3"/>
  <c r="AA189" i="3"/>
  <c r="Z189" i="3"/>
  <c r="Y189" i="3"/>
  <c r="X189" i="3"/>
  <c r="D189" i="3"/>
  <c r="AH188" i="3"/>
  <c r="AG188" i="3"/>
  <c r="AI188" i="3" s="1"/>
  <c r="AF188" i="3"/>
  <c r="AE188" i="3"/>
  <c r="AC188" i="3"/>
  <c r="AB188" i="3"/>
  <c r="AA188" i="3"/>
  <c r="Z188" i="3"/>
  <c r="Y188" i="3"/>
  <c r="X188" i="3"/>
  <c r="D188" i="3"/>
  <c r="AG187" i="3"/>
  <c r="AI187" i="3" s="1"/>
  <c r="AF187" i="3"/>
  <c r="AE187" i="3"/>
  <c r="AC187" i="3"/>
  <c r="AB187" i="3"/>
  <c r="AA187" i="3"/>
  <c r="Z187" i="3"/>
  <c r="Y187" i="3"/>
  <c r="X187" i="3"/>
  <c r="D187" i="3"/>
  <c r="AG186" i="3"/>
  <c r="AI186" i="3" s="1"/>
  <c r="AF186" i="3"/>
  <c r="AE186" i="3"/>
  <c r="AC186" i="3"/>
  <c r="AB186" i="3"/>
  <c r="AA186" i="3"/>
  <c r="Z186" i="3"/>
  <c r="Y186" i="3"/>
  <c r="X186" i="3"/>
  <c r="D186" i="3"/>
  <c r="AG185" i="3"/>
  <c r="AI185" i="3" s="1"/>
  <c r="AF185" i="3"/>
  <c r="AE185" i="3"/>
  <c r="AC185" i="3"/>
  <c r="AB185" i="3"/>
  <c r="AA185" i="3"/>
  <c r="Z185" i="3"/>
  <c r="Y185" i="3"/>
  <c r="X185" i="3"/>
  <c r="D185" i="3"/>
  <c r="AG184" i="3"/>
  <c r="AI184" i="3" s="1"/>
  <c r="AF184" i="3"/>
  <c r="AE184" i="3"/>
  <c r="AC184" i="3"/>
  <c r="AB184" i="3"/>
  <c r="AA184" i="3"/>
  <c r="Z184" i="3"/>
  <c r="Y184" i="3"/>
  <c r="X184" i="3"/>
  <c r="D184" i="3"/>
  <c r="AH183" i="3"/>
  <c r="AG183" i="3"/>
  <c r="AI183" i="3" s="1"/>
  <c r="AF183" i="3"/>
  <c r="AE183" i="3"/>
  <c r="AC183" i="3"/>
  <c r="AB183" i="3"/>
  <c r="AA183" i="3"/>
  <c r="Z183" i="3"/>
  <c r="Y183" i="3"/>
  <c r="X183" i="3"/>
  <c r="D183" i="3"/>
  <c r="AH182" i="3"/>
  <c r="AG182" i="3"/>
  <c r="AI182" i="3" s="1"/>
  <c r="AF182" i="3"/>
  <c r="AE182" i="3"/>
  <c r="AC182" i="3"/>
  <c r="AB182" i="3"/>
  <c r="AA182" i="3"/>
  <c r="Z182" i="3"/>
  <c r="Y182" i="3"/>
  <c r="X182" i="3"/>
  <c r="D182" i="3"/>
  <c r="AG181" i="3"/>
  <c r="AI181" i="3" s="1"/>
  <c r="AF181" i="3"/>
  <c r="AE181" i="3"/>
  <c r="AC181" i="3"/>
  <c r="AB181" i="3"/>
  <c r="AA181" i="3"/>
  <c r="Z181" i="3"/>
  <c r="Y181" i="3"/>
  <c r="X181" i="3"/>
  <c r="D181" i="3"/>
  <c r="AH180" i="3"/>
  <c r="AG180" i="3"/>
  <c r="AI180" i="3" s="1"/>
  <c r="AF180" i="3"/>
  <c r="AE180" i="3"/>
  <c r="AC180" i="3"/>
  <c r="AB180" i="3"/>
  <c r="AA180" i="3"/>
  <c r="Z180" i="3"/>
  <c r="Y180" i="3"/>
  <c r="X180" i="3"/>
  <c r="D180" i="3"/>
  <c r="AG179" i="3"/>
  <c r="AI179" i="3" s="1"/>
  <c r="AF179" i="3"/>
  <c r="AE179" i="3"/>
  <c r="AC179" i="3"/>
  <c r="AB179" i="3"/>
  <c r="AA179" i="3"/>
  <c r="Z179" i="3"/>
  <c r="Y179" i="3"/>
  <c r="X179" i="3"/>
  <c r="D179" i="3"/>
  <c r="AG178" i="3"/>
  <c r="AI178" i="3" s="1"/>
  <c r="AF178" i="3"/>
  <c r="AE178" i="3"/>
  <c r="AC178" i="3"/>
  <c r="AB178" i="3"/>
  <c r="AA178" i="3"/>
  <c r="Z178" i="3"/>
  <c r="Y178" i="3"/>
  <c r="X178" i="3"/>
  <c r="D178" i="3"/>
  <c r="AG177" i="3"/>
  <c r="AI177" i="3" s="1"/>
  <c r="AF177" i="3"/>
  <c r="AE177" i="3"/>
  <c r="AC177" i="3"/>
  <c r="AB177" i="3"/>
  <c r="AA177" i="3"/>
  <c r="Z177" i="3"/>
  <c r="Y177" i="3"/>
  <c r="X177" i="3"/>
  <c r="D177" i="3"/>
  <c r="AG176" i="3"/>
  <c r="AI176" i="3" s="1"/>
  <c r="AF176" i="3"/>
  <c r="AE176" i="3"/>
  <c r="AC176" i="3"/>
  <c r="AB176" i="3"/>
  <c r="AA176" i="3"/>
  <c r="Z176" i="3"/>
  <c r="Y176" i="3"/>
  <c r="X176" i="3"/>
  <c r="D176" i="3"/>
  <c r="AG175" i="3"/>
  <c r="AI175" i="3" s="1"/>
  <c r="AF175" i="3"/>
  <c r="AE175" i="3"/>
  <c r="AC175" i="3"/>
  <c r="AB175" i="3"/>
  <c r="AA175" i="3"/>
  <c r="Z175" i="3"/>
  <c r="Y175" i="3"/>
  <c r="X175" i="3"/>
  <c r="D175" i="3"/>
  <c r="AH174" i="3"/>
  <c r="AG174" i="3"/>
  <c r="AI174" i="3" s="1"/>
  <c r="AF174" i="3"/>
  <c r="AE174" i="3"/>
  <c r="AC174" i="3"/>
  <c r="AB174" i="3"/>
  <c r="AA174" i="3"/>
  <c r="Z174" i="3"/>
  <c r="Y174" i="3"/>
  <c r="X174" i="3"/>
  <c r="D174" i="3"/>
  <c r="AG173" i="3"/>
  <c r="AI173" i="3" s="1"/>
  <c r="AF173" i="3"/>
  <c r="AE173" i="3"/>
  <c r="AC173" i="3"/>
  <c r="AB173" i="3"/>
  <c r="AA173" i="3"/>
  <c r="Z173" i="3"/>
  <c r="Y173" i="3"/>
  <c r="X173" i="3"/>
  <c r="D173" i="3"/>
  <c r="AH172" i="3"/>
  <c r="AG172" i="3"/>
  <c r="AI172" i="3" s="1"/>
  <c r="AF172" i="3"/>
  <c r="AE172" i="3"/>
  <c r="AC172" i="3"/>
  <c r="AB172" i="3"/>
  <c r="AA172" i="3"/>
  <c r="Z172" i="3"/>
  <c r="Y172" i="3"/>
  <c r="X172" i="3"/>
  <c r="D172" i="3"/>
  <c r="AG171" i="3"/>
  <c r="AI171" i="3" s="1"/>
  <c r="AF171" i="3"/>
  <c r="AE171" i="3"/>
  <c r="AC171" i="3"/>
  <c r="AB171" i="3"/>
  <c r="AA171" i="3"/>
  <c r="Z171" i="3"/>
  <c r="Y171" i="3"/>
  <c r="X171" i="3"/>
  <c r="D171" i="3"/>
  <c r="AG170" i="3"/>
  <c r="AI170" i="3" s="1"/>
  <c r="AF170" i="3"/>
  <c r="AE170" i="3"/>
  <c r="AC170" i="3"/>
  <c r="AB170" i="3"/>
  <c r="AA170" i="3"/>
  <c r="Z170" i="3"/>
  <c r="Y170" i="3"/>
  <c r="X170" i="3"/>
  <c r="D170" i="3"/>
  <c r="AG169" i="3"/>
  <c r="AI169" i="3" s="1"/>
  <c r="AF169" i="3"/>
  <c r="AE169" i="3"/>
  <c r="AC169" i="3"/>
  <c r="AB169" i="3"/>
  <c r="AA169" i="3"/>
  <c r="Z169" i="3"/>
  <c r="Y169" i="3"/>
  <c r="X169" i="3"/>
  <c r="D169" i="3"/>
  <c r="AG168" i="3"/>
  <c r="AI168" i="3" s="1"/>
  <c r="AF168" i="3"/>
  <c r="AE168" i="3"/>
  <c r="AC168" i="3"/>
  <c r="AB168" i="3"/>
  <c r="AA168" i="3"/>
  <c r="Z168" i="3"/>
  <c r="Y168" i="3"/>
  <c r="X168" i="3"/>
  <c r="D168" i="3"/>
  <c r="AG167" i="3"/>
  <c r="AI167" i="3" s="1"/>
  <c r="AF167" i="3"/>
  <c r="AE167" i="3"/>
  <c r="AC167" i="3"/>
  <c r="AB167" i="3"/>
  <c r="AA167" i="3"/>
  <c r="Z167" i="3"/>
  <c r="Y167" i="3"/>
  <c r="X167" i="3"/>
  <c r="D167" i="3"/>
  <c r="AH166" i="3"/>
  <c r="AG166" i="3"/>
  <c r="AI166" i="3" s="1"/>
  <c r="AF166" i="3"/>
  <c r="AE166" i="3"/>
  <c r="AC166" i="3"/>
  <c r="AB166" i="3"/>
  <c r="AA166" i="3"/>
  <c r="Z166" i="3"/>
  <c r="Y166" i="3"/>
  <c r="X166" i="3"/>
  <c r="D166" i="3"/>
  <c r="AG165" i="3"/>
  <c r="AI165" i="3" s="1"/>
  <c r="AF165" i="3"/>
  <c r="AE165" i="3"/>
  <c r="AC165" i="3"/>
  <c r="AB165" i="3"/>
  <c r="AA165" i="3"/>
  <c r="Z165" i="3"/>
  <c r="Y165" i="3"/>
  <c r="X165" i="3"/>
  <c r="D165" i="3"/>
  <c r="AH164" i="3"/>
  <c r="AG164" i="3"/>
  <c r="AI164" i="3" s="1"/>
  <c r="AF164" i="3"/>
  <c r="AE164" i="3"/>
  <c r="AC164" i="3"/>
  <c r="AB164" i="3"/>
  <c r="AA164" i="3"/>
  <c r="Z164" i="3"/>
  <c r="Y164" i="3"/>
  <c r="X164" i="3"/>
  <c r="D164" i="3"/>
  <c r="AG163" i="3"/>
  <c r="AI163" i="3" s="1"/>
  <c r="AF163" i="3"/>
  <c r="AE163" i="3"/>
  <c r="AC163" i="3"/>
  <c r="AB163" i="3"/>
  <c r="AA163" i="3"/>
  <c r="Z163" i="3"/>
  <c r="Y163" i="3"/>
  <c r="X163" i="3"/>
  <c r="D163" i="3"/>
  <c r="AG162" i="3"/>
  <c r="AI162" i="3" s="1"/>
  <c r="AF162" i="3"/>
  <c r="AE162" i="3"/>
  <c r="AC162" i="3"/>
  <c r="AB162" i="3"/>
  <c r="AA162" i="3"/>
  <c r="Z162" i="3"/>
  <c r="Y162" i="3"/>
  <c r="X162" i="3"/>
  <c r="D162" i="3"/>
  <c r="AG161" i="3"/>
  <c r="AI161" i="3" s="1"/>
  <c r="AF161" i="3"/>
  <c r="AE161" i="3"/>
  <c r="AC161" i="3"/>
  <c r="AB161" i="3"/>
  <c r="AA161" i="3"/>
  <c r="Z161" i="3"/>
  <c r="Y161" i="3"/>
  <c r="X161" i="3"/>
  <c r="D161" i="3"/>
  <c r="AG160" i="3"/>
  <c r="AI160" i="3" s="1"/>
  <c r="AF160" i="3"/>
  <c r="AE160" i="3"/>
  <c r="AC160" i="3"/>
  <c r="AB160" i="3"/>
  <c r="AA160" i="3"/>
  <c r="Z160" i="3"/>
  <c r="Y160" i="3"/>
  <c r="X160" i="3"/>
  <c r="D160" i="3"/>
  <c r="AH159" i="3"/>
  <c r="AG159" i="3"/>
  <c r="AI159" i="3" s="1"/>
  <c r="AF159" i="3"/>
  <c r="AE159" i="3"/>
  <c r="AC159" i="3"/>
  <c r="AB159" i="3"/>
  <c r="AA159" i="3"/>
  <c r="Z159" i="3"/>
  <c r="Y159" i="3"/>
  <c r="X159" i="3"/>
  <c r="D159" i="3"/>
  <c r="AH158" i="3"/>
  <c r="AG158" i="3"/>
  <c r="AI158" i="3" s="1"/>
  <c r="AF158" i="3"/>
  <c r="AE158" i="3"/>
  <c r="AC158" i="3"/>
  <c r="AB158" i="3"/>
  <c r="AA158" i="3"/>
  <c r="Z158" i="3"/>
  <c r="Y158" i="3"/>
  <c r="X158" i="3"/>
  <c r="D158" i="3"/>
  <c r="AG157" i="3"/>
  <c r="AI157" i="3" s="1"/>
  <c r="AF157" i="3"/>
  <c r="AE157" i="3"/>
  <c r="AC157" i="3"/>
  <c r="AB157" i="3"/>
  <c r="AA157" i="3"/>
  <c r="Z157" i="3"/>
  <c r="Y157" i="3"/>
  <c r="X157" i="3"/>
  <c r="D157" i="3"/>
  <c r="AH156" i="3"/>
  <c r="AG156" i="3"/>
  <c r="AI156" i="3" s="1"/>
  <c r="AF156" i="3"/>
  <c r="AE156" i="3"/>
  <c r="AC156" i="3"/>
  <c r="AB156" i="3"/>
  <c r="AA156" i="3"/>
  <c r="Z156" i="3"/>
  <c r="Y156" i="3"/>
  <c r="X156" i="3"/>
  <c r="D156" i="3"/>
  <c r="AG155" i="3"/>
  <c r="AI155" i="3" s="1"/>
  <c r="AF155" i="3"/>
  <c r="AE155" i="3"/>
  <c r="AC155" i="3"/>
  <c r="AB155" i="3"/>
  <c r="AA155" i="3"/>
  <c r="Z155" i="3"/>
  <c r="Y155" i="3"/>
  <c r="X155" i="3"/>
  <c r="D155" i="3"/>
  <c r="AG154" i="3"/>
  <c r="AI154" i="3" s="1"/>
  <c r="AF154" i="3"/>
  <c r="AE154" i="3"/>
  <c r="AC154" i="3"/>
  <c r="AB154" i="3"/>
  <c r="AA154" i="3"/>
  <c r="Z154" i="3"/>
  <c r="Y154" i="3"/>
  <c r="X154" i="3"/>
  <c r="D154" i="3"/>
  <c r="AG153" i="3"/>
  <c r="AI153" i="3" s="1"/>
  <c r="AF153" i="3"/>
  <c r="AE153" i="3"/>
  <c r="AC153" i="3"/>
  <c r="AB153" i="3"/>
  <c r="AA153" i="3"/>
  <c r="Z153" i="3"/>
  <c r="Y153" i="3"/>
  <c r="X153" i="3"/>
  <c r="D153" i="3"/>
  <c r="AG152" i="3"/>
  <c r="AI152" i="3" s="1"/>
  <c r="AF152" i="3"/>
  <c r="AE152" i="3"/>
  <c r="AC152" i="3"/>
  <c r="AB152" i="3"/>
  <c r="AA152" i="3"/>
  <c r="Z152" i="3"/>
  <c r="Y152" i="3"/>
  <c r="X152" i="3"/>
  <c r="D152" i="3"/>
  <c r="AH151" i="3"/>
  <c r="AG151" i="3"/>
  <c r="AI151" i="3" s="1"/>
  <c r="AF151" i="3"/>
  <c r="AE151" i="3"/>
  <c r="AC151" i="3"/>
  <c r="AB151" i="3"/>
  <c r="AA151" i="3"/>
  <c r="Z151" i="3"/>
  <c r="Y151" i="3"/>
  <c r="X151" i="3"/>
  <c r="D151" i="3"/>
  <c r="AH150" i="3"/>
  <c r="AG150" i="3"/>
  <c r="AI150" i="3" s="1"/>
  <c r="AF150" i="3"/>
  <c r="AE150" i="3"/>
  <c r="AC150" i="3"/>
  <c r="AB150" i="3"/>
  <c r="AA150" i="3"/>
  <c r="Z150" i="3"/>
  <c r="Y150" i="3"/>
  <c r="X150" i="3"/>
  <c r="D150" i="3"/>
  <c r="AG149" i="3"/>
  <c r="AI149" i="3" s="1"/>
  <c r="AF149" i="3"/>
  <c r="AE149" i="3"/>
  <c r="AC149" i="3"/>
  <c r="AB149" i="3"/>
  <c r="AA149" i="3"/>
  <c r="Z149" i="3"/>
  <c r="Y149" i="3"/>
  <c r="X149" i="3"/>
  <c r="D149" i="3"/>
  <c r="AH148" i="3"/>
  <c r="AG148" i="3"/>
  <c r="AI148" i="3" s="1"/>
  <c r="AF148" i="3"/>
  <c r="AE148" i="3"/>
  <c r="AC148" i="3"/>
  <c r="AB148" i="3"/>
  <c r="AA148" i="3"/>
  <c r="Z148" i="3"/>
  <c r="Y148" i="3"/>
  <c r="X148" i="3"/>
  <c r="D148" i="3"/>
  <c r="AG147" i="3"/>
  <c r="AI147" i="3" s="1"/>
  <c r="AF147" i="3"/>
  <c r="AE147" i="3"/>
  <c r="AC147" i="3"/>
  <c r="AB147" i="3"/>
  <c r="AA147" i="3"/>
  <c r="Z147" i="3"/>
  <c r="Y147" i="3"/>
  <c r="X147" i="3"/>
  <c r="D147" i="3"/>
  <c r="AG146" i="3"/>
  <c r="AI146" i="3" s="1"/>
  <c r="AF146" i="3"/>
  <c r="AE146" i="3"/>
  <c r="AC146" i="3"/>
  <c r="AB146" i="3"/>
  <c r="AA146" i="3"/>
  <c r="Z146" i="3"/>
  <c r="Y146" i="3"/>
  <c r="X146" i="3"/>
  <c r="D146" i="3"/>
  <c r="AG145" i="3"/>
  <c r="AI145" i="3" s="1"/>
  <c r="AF145" i="3"/>
  <c r="AE145" i="3"/>
  <c r="AC145" i="3"/>
  <c r="AB145" i="3"/>
  <c r="AA145" i="3"/>
  <c r="Z145" i="3"/>
  <c r="Y145" i="3"/>
  <c r="X145" i="3"/>
  <c r="D145" i="3"/>
  <c r="AG144" i="3"/>
  <c r="AI144" i="3" s="1"/>
  <c r="AF144" i="3"/>
  <c r="AE144" i="3"/>
  <c r="AC144" i="3"/>
  <c r="AB144" i="3"/>
  <c r="AA144" i="3"/>
  <c r="Z144" i="3"/>
  <c r="Y144" i="3"/>
  <c r="X144" i="3"/>
  <c r="D144" i="3"/>
  <c r="AH143" i="3"/>
  <c r="AG143" i="3"/>
  <c r="AI143" i="3" s="1"/>
  <c r="AF143" i="3"/>
  <c r="AE143" i="3"/>
  <c r="AC143" i="3"/>
  <c r="AB143" i="3"/>
  <c r="AA143" i="3"/>
  <c r="Z143" i="3"/>
  <c r="Y143" i="3"/>
  <c r="X143" i="3"/>
  <c r="D143" i="3"/>
  <c r="AH142" i="3"/>
  <c r="AG142" i="3"/>
  <c r="AI142" i="3" s="1"/>
  <c r="AF142" i="3"/>
  <c r="AE142" i="3"/>
  <c r="AC142" i="3"/>
  <c r="AB142" i="3"/>
  <c r="AA142" i="3"/>
  <c r="Z142" i="3"/>
  <c r="Y142" i="3"/>
  <c r="X142" i="3"/>
  <c r="D142" i="3"/>
  <c r="AG141" i="3"/>
  <c r="AI141" i="3" s="1"/>
  <c r="AF141" i="3"/>
  <c r="AE141" i="3"/>
  <c r="AC141" i="3"/>
  <c r="AB141" i="3"/>
  <c r="AA141" i="3"/>
  <c r="Z141" i="3"/>
  <c r="Y141" i="3"/>
  <c r="X141" i="3"/>
  <c r="D141" i="3"/>
  <c r="AH140" i="3"/>
  <c r="AG140" i="3"/>
  <c r="AI140" i="3" s="1"/>
  <c r="AF140" i="3"/>
  <c r="AE140" i="3"/>
  <c r="AC140" i="3"/>
  <c r="AB140" i="3"/>
  <c r="AA140" i="3"/>
  <c r="Z140" i="3"/>
  <c r="Y140" i="3"/>
  <c r="X140" i="3"/>
  <c r="D140" i="3"/>
  <c r="AE139" i="3"/>
  <c r="AF139" i="3" s="1"/>
  <c r="AC139" i="3"/>
  <c r="AB139" i="3"/>
  <c r="AA139" i="3"/>
  <c r="Z139" i="3"/>
  <c r="Y139" i="3"/>
  <c r="X139" i="3"/>
  <c r="D139" i="3"/>
  <c r="AI138" i="3"/>
  <c r="AH138" i="3"/>
  <c r="AG138" i="3"/>
  <c r="AF138" i="3"/>
  <c r="AE138" i="3"/>
  <c r="AC138" i="3"/>
  <c r="AB138" i="3"/>
  <c r="AA138" i="3"/>
  <c r="Z138" i="3"/>
  <c r="Y138" i="3"/>
  <c r="X138" i="3"/>
  <c r="D138" i="3"/>
  <c r="AE137" i="3"/>
  <c r="AF137" i="3" s="1"/>
  <c r="AC137" i="3"/>
  <c r="AB137" i="3"/>
  <c r="AA137" i="3"/>
  <c r="Z137" i="3"/>
  <c r="Y137" i="3"/>
  <c r="X137" i="3"/>
  <c r="D137" i="3"/>
  <c r="AI136" i="3"/>
  <c r="AH136" i="3"/>
  <c r="AG136" i="3"/>
  <c r="AF136" i="3"/>
  <c r="AE136" i="3"/>
  <c r="AC136" i="3"/>
  <c r="AB136" i="3"/>
  <c r="AA136" i="3"/>
  <c r="Z136" i="3"/>
  <c r="Y136" i="3"/>
  <c r="X136" i="3"/>
  <c r="D136" i="3"/>
  <c r="AE135" i="3"/>
  <c r="AF135" i="3" s="1"/>
  <c r="AC135" i="3"/>
  <c r="AB135" i="3"/>
  <c r="AA135" i="3"/>
  <c r="Z135" i="3"/>
  <c r="Y135" i="3"/>
  <c r="X135" i="3"/>
  <c r="D135" i="3"/>
  <c r="AI134" i="3"/>
  <c r="AH134" i="3"/>
  <c r="AG134" i="3"/>
  <c r="AF134" i="3"/>
  <c r="AE134" i="3"/>
  <c r="AC134" i="3"/>
  <c r="AB134" i="3"/>
  <c r="AA134" i="3"/>
  <c r="Z134" i="3"/>
  <c r="Y134" i="3"/>
  <c r="X134" i="3"/>
  <c r="D134" i="3"/>
  <c r="AE133" i="3"/>
  <c r="AF133" i="3" s="1"/>
  <c r="AC133" i="3"/>
  <c r="AB133" i="3"/>
  <c r="AA133" i="3"/>
  <c r="Z133" i="3"/>
  <c r="Y133" i="3"/>
  <c r="X133" i="3"/>
  <c r="D133" i="3"/>
  <c r="AI132" i="3"/>
  <c r="AH132" i="3"/>
  <c r="AG132" i="3"/>
  <c r="AF132" i="3"/>
  <c r="AE132" i="3"/>
  <c r="AC132" i="3"/>
  <c r="AB132" i="3"/>
  <c r="AA132" i="3"/>
  <c r="Z132" i="3"/>
  <c r="Y132" i="3"/>
  <c r="X132" i="3"/>
  <c r="D132" i="3"/>
  <c r="AE131" i="3"/>
  <c r="AF131" i="3" s="1"/>
  <c r="AC131" i="3"/>
  <c r="AB131" i="3"/>
  <c r="AA131" i="3"/>
  <c r="Z131" i="3"/>
  <c r="Y131" i="3"/>
  <c r="X131" i="3"/>
  <c r="D131" i="3"/>
  <c r="AI130" i="3"/>
  <c r="AH130" i="3"/>
  <c r="AG130" i="3"/>
  <c r="AF130" i="3"/>
  <c r="AE130" i="3"/>
  <c r="AC130" i="3"/>
  <c r="AB130" i="3"/>
  <c r="AA130" i="3"/>
  <c r="Z130" i="3"/>
  <c r="Y130" i="3"/>
  <c r="X130" i="3"/>
  <c r="D130" i="3"/>
  <c r="AE129" i="3"/>
  <c r="AF129" i="3" s="1"/>
  <c r="AC129" i="3"/>
  <c r="AB129" i="3"/>
  <c r="AA129" i="3"/>
  <c r="Z129" i="3"/>
  <c r="Y129" i="3"/>
  <c r="X129" i="3"/>
  <c r="D129" i="3"/>
  <c r="AI128" i="3"/>
  <c r="AH128" i="3"/>
  <c r="AG128" i="3"/>
  <c r="AF128" i="3"/>
  <c r="AE128" i="3"/>
  <c r="AC128" i="3"/>
  <c r="AB128" i="3"/>
  <c r="AA128" i="3"/>
  <c r="Z128" i="3"/>
  <c r="Y128" i="3"/>
  <c r="X128" i="3"/>
  <c r="D128" i="3"/>
  <c r="AE127" i="3"/>
  <c r="AF127" i="3" s="1"/>
  <c r="AC127" i="3"/>
  <c r="AB127" i="3"/>
  <c r="AA127" i="3"/>
  <c r="Z127" i="3"/>
  <c r="Y127" i="3"/>
  <c r="X127" i="3"/>
  <c r="D127" i="3"/>
  <c r="AI126" i="3"/>
  <c r="AH126" i="3"/>
  <c r="AG126" i="3"/>
  <c r="AF126" i="3"/>
  <c r="AE126" i="3"/>
  <c r="AC126" i="3"/>
  <c r="AB126" i="3"/>
  <c r="AA126" i="3"/>
  <c r="Z126" i="3"/>
  <c r="Y126" i="3"/>
  <c r="X126" i="3"/>
  <c r="D126" i="3"/>
  <c r="AE125" i="3"/>
  <c r="AF125" i="3" s="1"/>
  <c r="AC125" i="3"/>
  <c r="AB125" i="3"/>
  <c r="AA125" i="3"/>
  <c r="Z125" i="3"/>
  <c r="Y125" i="3"/>
  <c r="X125" i="3"/>
  <c r="D125" i="3"/>
  <c r="AI124" i="3"/>
  <c r="AH124" i="3"/>
  <c r="AG124" i="3"/>
  <c r="AF124" i="3"/>
  <c r="AE124" i="3"/>
  <c r="AC124" i="3"/>
  <c r="AB124" i="3"/>
  <c r="AA124" i="3"/>
  <c r="Z124" i="3"/>
  <c r="Y124" i="3"/>
  <c r="X124" i="3"/>
  <c r="D124" i="3"/>
  <c r="AE123" i="3"/>
  <c r="AF123" i="3" s="1"/>
  <c r="AC123" i="3"/>
  <c r="AB123" i="3"/>
  <c r="AA123" i="3"/>
  <c r="Z123" i="3"/>
  <c r="Y123" i="3"/>
  <c r="X123" i="3"/>
  <c r="D123" i="3"/>
  <c r="AI122" i="3"/>
  <c r="AH122" i="3"/>
  <c r="AG122" i="3"/>
  <c r="AF122" i="3"/>
  <c r="AE122" i="3"/>
  <c r="AC122" i="3"/>
  <c r="AB122" i="3"/>
  <c r="AA122" i="3"/>
  <c r="Z122" i="3"/>
  <c r="Y122" i="3"/>
  <c r="X122" i="3"/>
  <c r="D122" i="3"/>
  <c r="AE121" i="3"/>
  <c r="AF121" i="3" s="1"/>
  <c r="AC121" i="3"/>
  <c r="AB121" i="3"/>
  <c r="AA121" i="3"/>
  <c r="Z121" i="3"/>
  <c r="Y121" i="3"/>
  <c r="X121" i="3"/>
  <c r="D121" i="3"/>
  <c r="AI120" i="3"/>
  <c r="AH120" i="3"/>
  <c r="AG120" i="3"/>
  <c r="AF120" i="3"/>
  <c r="AE120" i="3"/>
  <c r="AC120" i="3"/>
  <c r="AB120" i="3"/>
  <c r="AA120" i="3"/>
  <c r="Z120" i="3"/>
  <c r="Y120" i="3"/>
  <c r="X120" i="3"/>
  <c r="D120" i="3"/>
  <c r="AE119" i="3"/>
  <c r="AF119" i="3" s="1"/>
  <c r="AC119" i="3"/>
  <c r="AB119" i="3"/>
  <c r="AA119" i="3"/>
  <c r="Z119" i="3"/>
  <c r="Y119" i="3"/>
  <c r="X119" i="3"/>
  <c r="D119" i="3"/>
  <c r="AI118" i="3"/>
  <c r="AH118" i="3"/>
  <c r="AG118" i="3"/>
  <c r="AF118" i="3"/>
  <c r="AE118" i="3"/>
  <c r="AC118" i="3"/>
  <c r="AB118" i="3"/>
  <c r="AA118" i="3"/>
  <c r="Z118" i="3"/>
  <c r="Y118" i="3"/>
  <c r="X118" i="3"/>
  <c r="D118" i="3"/>
  <c r="AE117" i="3"/>
  <c r="AF117" i="3" s="1"/>
  <c r="AC117" i="3"/>
  <c r="AB117" i="3"/>
  <c r="AA117" i="3"/>
  <c r="Z117" i="3"/>
  <c r="Y117" i="3"/>
  <c r="X117" i="3"/>
  <c r="D117" i="3"/>
  <c r="AI116" i="3"/>
  <c r="AH116" i="3"/>
  <c r="AG116" i="3"/>
  <c r="AF116" i="3"/>
  <c r="AE116" i="3"/>
  <c r="AC116" i="3"/>
  <c r="AB116" i="3"/>
  <c r="AA116" i="3"/>
  <c r="Z116" i="3"/>
  <c r="Y116" i="3"/>
  <c r="X116" i="3"/>
  <c r="D116" i="3"/>
  <c r="AE115" i="3"/>
  <c r="AF115" i="3" s="1"/>
  <c r="AC115" i="3"/>
  <c r="AB115" i="3"/>
  <c r="AA115" i="3"/>
  <c r="Z115" i="3"/>
  <c r="Y115" i="3"/>
  <c r="X115" i="3"/>
  <c r="D115" i="3"/>
  <c r="AI114" i="3"/>
  <c r="AH114" i="3"/>
  <c r="AG114" i="3"/>
  <c r="AF114" i="3"/>
  <c r="AE114" i="3"/>
  <c r="AC114" i="3"/>
  <c r="AB114" i="3"/>
  <c r="AA114" i="3"/>
  <c r="Z114" i="3"/>
  <c r="Y114" i="3"/>
  <c r="X114" i="3"/>
  <c r="D114" i="3"/>
  <c r="AE113" i="3"/>
  <c r="AF113" i="3" s="1"/>
  <c r="AC113" i="3"/>
  <c r="AB113" i="3"/>
  <c r="AA113" i="3"/>
  <c r="Z113" i="3"/>
  <c r="Y113" i="3"/>
  <c r="X113" i="3"/>
  <c r="D113" i="3"/>
  <c r="AI112" i="3"/>
  <c r="AH112" i="3"/>
  <c r="AG112" i="3"/>
  <c r="AF112" i="3"/>
  <c r="AE112" i="3"/>
  <c r="AC112" i="3"/>
  <c r="AB112" i="3"/>
  <c r="AA112" i="3"/>
  <c r="Z112" i="3"/>
  <c r="Y112" i="3"/>
  <c r="X112" i="3"/>
  <c r="D112" i="3"/>
  <c r="AE111" i="3"/>
  <c r="AF111" i="3" s="1"/>
  <c r="AC111" i="3"/>
  <c r="AB111" i="3"/>
  <c r="AA111" i="3"/>
  <c r="Z111" i="3"/>
  <c r="Y111" i="3"/>
  <c r="X111" i="3"/>
  <c r="D111" i="3"/>
  <c r="AI110" i="3"/>
  <c r="AH110" i="3"/>
  <c r="AG110" i="3"/>
  <c r="AF110" i="3"/>
  <c r="AE110" i="3"/>
  <c r="AC110" i="3"/>
  <c r="AB110" i="3"/>
  <c r="AA110" i="3"/>
  <c r="Z110" i="3"/>
  <c r="Y110" i="3"/>
  <c r="X110" i="3"/>
  <c r="D110" i="3"/>
  <c r="AE109" i="3"/>
  <c r="AF109" i="3" s="1"/>
  <c r="AC109" i="3"/>
  <c r="AB109" i="3"/>
  <c r="AA109" i="3"/>
  <c r="Z109" i="3"/>
  <c r="Y109" i="3"/>
  <c r="X109" i="3"/>
  <c r="D109" i="3"/>
  <c r="AI108" i="3"/>
  <c r="AH108" i="3"/>
  <c r="AG108" i="3"/>
  <c r="AF108" i="3"/>
  <c r="AE108" i="3"/>
  <c r="AC108" i="3"/>
  <c r="AB108" i="3"/>
  <c r="AA108" i="3"/>
  <c r="Z108" i="3"/>
  <c r="Y108" i="3"/>
  <c r="X108" i="3"/>
  <c r="D108" i="3"/>
  <c r="AE107" i="3"/>
  <c r="AF107" i="3" s="1"/>
  <c r="AC107" i="3"/>
  <c r="AB107" i="3"/>
  <c r="AA107" i="3"/>
  <c r="Z107" i="3"/>
  <c r="Y107" i="3"/>
  <c r="X107" i="3"/>
  <c r="D107" i="3"/>
  <c r="AI106" i="3"/>
  <c r="AH106" i="3"/>
  <c r="AG106" i="3"/>
  <c r="AF106" i="3"/>
  <c r="AE106" i="3"/>
  <c r="AC106" i="3"/>
  <c r="AB106" i="3"/>
  <c r="AA106" i="3"/>
  <c r="Z106" i="3"/>
  <c r="Y106" i="3"/>
  <c r="X106" i="3"/>
  <c r="D106" i="3"/>
  <c r="AE105" i="3"/>
  <c r="AF105" i="3" s="1"/>
  <c r="AC105" i="3"/>
  <c r="AB105" i="3"/>
  <c r="AA105" i="3"/>
  <c r="Z105" i="3"/>
  <c r="Y105" i="3"/>
  <c r="X105" i="3"/>
  <c r="D105" i="3"/>
  <c r="AI104" i="3"/>
  <c r="AH104" i="3"/>
  <c r="AG104" i="3"/>
  <c r="AF104" i="3"/>
  <c r="AE104" i="3"/>
  <c r="AC104" i="3"/>
  <c r="AB104" i="3"/>
  <c r="AA104" i="3"/>
  <c r="Z104" i="3"/>
  <c r="Y104" i="3"/>
  <c r="X104" i="3"/>
  <c r="D104" i="3"/>
  <c r="AE103" i="3"/>
  <c r="AF103" i="3" s="1"/>
  <c r="AC103" i="3"/>
  <c r="AB103" i="3"/>
  <c r="AA103" i="3"/>
  <c r="Z103" i="3"/>
  <c r="Y103" i="3"/>
  <c r="X103" i="3"/>
  <c r="D103" i="3"/>
  <c r="AI102" i="3"/>
  <c r="AH102" i="3"/>
  <c r="AG102" i="3"/>
  <c r="AF102" i="3"/>
  <c r="AE102" i="3"/>
  <c r="AC102" i="3"/>
  <c r="AB102" i="3"/>
  <c r="AA102" i="3"/>
  <c r="Z102" i="3"/>
  <c r="Y102" i="3"/>
  <c r="X102" i="3"/>
  <c r="D102" i="3"/>
  <c r="AE101" i="3"/>
  <c r="AF101" i="3" s="1"/>
  <c r="AC101" i="3"/>
  <c r="AB101" i="3"/>
  <c r="AA101" i="3"/>
  <c r="Z101" i="3"/>
  <c r="Y101" i="3"/>
  <c r="X101" i="3"/>
  <c r="D101" i="3"/>
  <c r="AI100" i="3"/>
  <c r="AH100" i="3"/>
  <c r="AG100" i="3"/>
  <c r="AF100" i="3"/>
  <c r="AE100" i="3"/>
  <c r="AC100" i="3"/>
  <c r="AB100" i="3"/>
  <c r="AA100" i="3"/>
  <c r="Z100" i="3"/>
  <c r="Y100" i="3"/>
  <c r="X100" i="3"/>
  <c r="D100" i="3"/>
  <c r="AE99" i="3"/>
  <c r="AF99" i="3" s="1"/>
  <c r="AC99" i="3"/>
  <c r="AB99" i="3"/>
  <c r="AA99" i="3"/>
  <c r="Z99" i="3"/>
  <c r="Y99" i="3"/>
  <c r="X99" i="3"/>
  <c r="D99" i="3"/>
  <c r="AI98" i="3"/>
  <c r="AH98" i="3"/>
  <c r="AG98" i="3"/>
  <c r="AF98" i="3"/>
  <c r="AE98" i="3"/>
  <c r="AC98" i="3"/>
  <c r="AB98" i="3"/>
  <c r="AA98" i="3"/>
  <c r="Z98" i="3"/>
  <c r="Y98" i="3"/>
  <c r="X98" i="3"/>
  <c r="D98" i="3"/>
  <c r="AE97" i="3"/>
  <c r="AF97" i="3" s="1"/>
  <c r="AC97" i="3"/>
  <c r="AB97" i="3"/>
  <c r="AA97" i="3"/>
  <c r="Z97" i="3"/>
  <c r="Y97" i="3"/>
  <c r="X97" i="3"/>
  <c r="D97" i="3"/>
  <c r="AI96" i="3"/>
  <c r="AH96" i="3"/>
  <c r="AG96" i="3"/>
  <c r="AF96" i="3"/>
  <c r="AE96" i="3"/>
  <c r="AC96" i="3"/>
  <c r="AB96" i="3"/>
  <c r="AA96" i="3"/>
  <c r="Z96" i="3"/>
  <c r="Y96" i="3"/>
  <c r="X96" i="3"/>
  <c r="D96" i="3"/>
  <c r="AH95" i="3"/>
  <c r="AG95" i="3"/>
  <c r="AI95" i="3" s="1"/>
  <c r="AE95" i="3"/>
  <c r="AF95" i="3" s="1"/>
  <c r="AC95" i="3"/>
  <c r="AB95" i="3"/>
  <c r="AA95" i="3"/>
  <c r="Z95" i="3"/>
  <c r="Y95" i="3"/>
  <c r="X95" i="3"/>
  <c r="D95" i="3"/>
  <c r="AI94" i="3"/>
  <c r="AH94" i="3"/>
  <c r="AG94" i="3"/>
  <c r="AF94" i="3"/>
  <c r="AE94" i="3"/>
  <c r="AC94" i="3"/>
  <c r="AB94" i="3"/>
  <c r="AA94" i="3"/>
  <c r="Z94" i="3"/>
  <c r="Y94" i="3"/>
  <c r="X94" i="3"/>
  <c r="D94" i="3"/>
  <c r="AH93" i="3"/>
  <c r="AG93" i="3"/>
  <c r="AI93" i="3" s="1"/>
  <c r="AE93" i="3"/>
  <c r="AF93" i="3" s="1"/>
  <c r="AC93" i="3"/>
  <c r="AB93" i="3"/>
  <c r="AA93" i="3"/>
  <c r="Z93" i="3"/>
  <c r="Y93" i="3"/>
  <c r="X93" i="3"/>
  <c r="D93" i="3"/>
  <c r="AI92" i="3"/>
  <c r="AH92" i="3"/>
  <c r="AG92" i="3"/>
  <c r="AF92" i="3"/>
  <c r="AE92" i="3"/>
  <c r="AC92" i="3"/>
  <c r="AB92" i="3"/>
  <c r="AA92" i="3"/>
  <c r="Z92" i="3"/>
  <c r="Y92" i="3"/>
  <c r="X92" i="3"/>
  <c r="D92" i="3"/>
  <c r="AH91" i="3"/>
  <c r="AG91" i="3"/>
  <c r="AI91" i="3" s="1"/>
  <c r="AE91" i="3"/>
  <c r="AF91" i="3" s="1"/>
  <c r="AC91" i="3"/>
  <c r="AB91" i="3"/>
  <c r="AA91" i="3"/>
  <c r="Z91" i="3"/>
  <c r="Y91" i="3"/>
  <c r="X91" i="3"/>
  <c r="D91" i="3"/>
  <c r="AI90" i="3"/>
  <c r="AH90" i="3"/>
  <c r="AG90" i="3"/>
  <c r="AF90" i="3"/>
  <c r="AE90" i="3"/>
  <c r="AC90" i="3"/>
  <c r="AB90" i="3"/>
  <c r="AA90" i="3"/>
  <c r="Z90" i="3"/>
  <c r="Y90" i="3"/>
  <c r="X90" i="3"/>
  <c r="D90" i="3"/>
  <c r="AH89" i="3"/>
  <c r="AG89" i="3"/>
  <c r="AI89" i="3" s="1"/>
  <c r="AE89" i="3"/>
  <c r="AF89" i="3" s="1"/>
  <c r="AC89" i="3"/>
  <c r="AB89" i="3"/>
  <c r="AA89" i="3"/>
  <c r="Z89" i="3"/>
  <c r="Y89" i="3"/>
  <c r="X89" i="3"/>
  <c r="D89" i="3"/>
  <c r="AI88" i="3"/>
  <c r="AH88" i="3"/>
  <c r="AG88" i="3"/>
  <c r="AF88" i="3"/>
  <c r="AE88" i="3"/>
  <c r="AC88" i="3"/>
  <c r="AB88" i="3"/>
  <c r="AA88" i="3"/>
  <c r="Z88" i="3"/>
  <c r="Y88" i="3"/>
  <c r="X88" i="3"/>
  <c r="D88" i="3"/>
  <c r="AH87" i="3"/>
  <c r="AG87" i="3"/>
  <c r="AI87" i="3" s="1"/>
  <c r="AE87" i="3"/>
  <c r="AF87" i="3" s="1"/>
  <c r="AC87" i="3"/>
  <c r="AB87" i="3"/>
  <c r="AA87" i="3"/>
  <c r="Z87" i="3"/>
  <c r="Y87" i="3"/>
  <c r="X87" i="3"/>
  <c r="D87" i="3"/>
  <c r="AI86" i="3"/>
  <c r="AH86" i="3"/>
  <c r="AG86" i="3"/>
  <c r="AF86" i="3"/>
  <c r="AE86" i="3"/>
  <c r="AC86" i="3"/>
  <c r="AB86" i="3"/>
  <c r="AA86" i="3"/>
  <c r="Z86" i="3"/>
  <c r="Y86" i="3"/>
  <c r="X86" i="3"/>
  <c r="D86" i="3"/>
  <c r="AH85" i="3"/>
  <c r="AG85" i="3"/>
  <c r="AI85" i="3" s="1"/>
  <c r="AE85" i="3"/>
  <c r="AF85" i="3" s="1"/>
  <c r="AC85" i="3"/>
  <c r="AB85" i="3"/>
  <c r="AA85" i="3"/>
  <c r="Z85" i="3"/>
  <c r="Y85" i="3"/>
  <c r="X85" i="3"/>
  <c r="D85" i="3"/>
  <c r="AI84" i="3"/>
  <c r="AH84" i="3"/>
  <c r="AG84" i="3"/>
  <c r="AF84" i="3"/>
  <c r="AE84" i="3"/>
  <c r="AC84" i="3"/>
  <c r="AB84" i="3"/>
  <c r="AA84" i="3"/>
  <c r="Z84" i="3"/>
  <c r="Y84" i="3"/>
  <c r="X84" i="3"/>
  <c r="D84" i="3"/>
  <c r="AH83" i="3"/>
  <c r="AG83" i="3"/>
  <c r="AI83" i="3" s="1"/>
  <c r="AE83" i="3"/>
  <c r="AF83" i="3" s="1"/>
  <c r="AC83" i="3"/>
  <c r="AB83" i="3"/>
  <c r="AA83" i="3"/>
  <c r="Z83" i="3"/>
  <c r="Y83" i="3"/>
  <c r="X83" i="3"/>
  <c r="D83" i="3"/>
  <c r="AI82" i="3"/>
  <c r="AH82" i="3"/>
  <c r="AG82" i="3"/>
  <c r="AF82" i="3"/>
  <c r="AE82" i="3"/>
  <c r="AC82" i="3"/>
  <c r="AB82" i="3"/>
  <c r="AA82" i="3"/>
  <c r="Z82" i="3"/>
  <c r="Y82" i="3"/>
  <c r="X82" i="3"/>
  <c r="D82" i="3"/>
  <c r="AH81" i="3"/>
  <c r="AG81" i="3"/>
  <c r="AI81" i="3" s="1"/>
  <c r="AE81" i="3"/>
  <c r="AF81" i="3" s="1"/>
  <c r="AC81" i="3"/>
  <c r="AB81" i="3"/>
  <c r="AA81" i="3"/>
  <c r="Z81" i="3"/>
  <c r="Y81" i="3"/>
  <c r="X81" i="3"/>
  <c r="D81" i="3"/>
  <c r="AI80" i="3"/>
  <c r="AH80" i="3"/>
  <c r="AG80" i="3"/>
  <c r="AF80" i="3"/>
  <c r="AE80" i="3"/>
  <c r="AC80" i="3"/>
  <c r="AB80" i="3"/>
  <c r="AA80" i="3"/>
  <c r="Z80" i="3"/>
  <c r="Y80" i="3"/>
  <c r="X80" i="3"/>
  <c r="D80" i="3"/>
  <c r="AH79" i="3"/>
  <c r="AG79" i="3"/>
  <c r="AI79" i="3" s="1"/>
  <c r="AE79" i="3"/>
  <c r="AF79" i="3" s="1"/>
  <c r="AC79" i="3"/>
  <c r="AB79" i="3"/>
  <c r="AA79" i="3"/>
  <c r="Z79" i="3"/>
  <c r="Y79" i="3"/>
  <c r="X79" i="3"/>
  <c r="D79" i="3"/>
  <c r="AI78" i="3"/>
  <c r="AH78" i="3"/>
  <c r="AG78" i="3"/>
  <c r="AF78" i="3"/>
  <c r="AE78" i="3"/>
  <c r="AC78" i="3"/>
  <c r="AB78" i="3"/>
  <c r="AA78" i="3"/>
  <c r="Z78" i="3"/>
  <c r="Y78" i="3"/>
  <c r="X78" i="3"/>
  <c r="D78" i="3"/>
  <c r="AH77" i="3"/>
  <c r="AG77" i="3"/>
  <c r="AI77" i="3" s="1"/>
  <c r="AE77" i="3"/>
  <c r="AF77" i="3" s="1"/>
  <c r="AC77" i="3"/>
  <c r="AB77" i="3"/>
  <c r="AA77" i="3"/>
  <c r="Z77" i="3"/>
  <c r="Y77" i="3"/>
  <c r="X77" i="3"/>
  <c r="D77" i="3"/>
  <c r="AI76" i="3"/>
  <c r="AH76" i="3"/>
  <c r="AG76" i="3"/>
  <c r="AF76" i="3"/>
  <c r="AE76" i="3"/>
  <c r="AC76" i="3"/>
  <c r="AB76" i="3"/>
  <c r="AA76" i="3"/>
  <c r="Z76" i="3"/>
  <c r="Y76" i="3"/>
  <c r="X76" i="3"/>
  <c r="D76" i="3"/>
  <c r="AH75" i="3"/>
  <c r="AG75" i="3"/>
  <c r="AI75" i="3" s="1"/>
  <c r="AE75" i="3"/>
  <c r="AF75" i="3" s="1"/>
  <c r="AC75" i="3"/>
  <c r="AB75" i="3"/>
  <c r="AA75" i="3"/>
  <c r="Z75" i="3"/>
  <c r="Y75" i="3"/>
  <c r="X75" i="3"/>
  <c r="D75" i="3"/>
  <c r="AI74" i="3"/>
  <c r="AH74" i="3"/>
  <c r="AG74" i="3"/>
  <c r="AF74" i="3"/>
  <c r="AE74" i="3"/>
  <c r="AC74" i="3"/>
  <c r="AB74" i="3"/>
  <c r="AA74" i="3"/>
  <c r="Z74" i="3"/>
  <c r="Y74" i="3"/>
  <c r="X74" i="3"/>
  <c r="D74" i="3"/>
  <c r="AH73" i="3"/>
  <c r="AG73" i="3"/>
  <c r="AI73" i="3" s="1"/>
  <c r="AE73" i="3"/>
  <c r="AF73" i="3" s="1"/>
  <c r="AC73" i="3"/>
  <c r="AB73" i="3"/>
  <c r="AA73" i="3"/>
  <c r="Z73" i="3"/>
  <c r="Y73" i="3"/>
  <c r="X73" i="3"/>
  <c r="D73" i="3"/>
  <c r="AI72" i="3"/>
  <c r="AH72" i="3"/>
  <c r="AG72" i="3"/>
  <c r="AF72" i="3"/>
  <c r="AE72" i="3"/>
  <c r="AC72" i="3"/>
  <c r="AB72" i="3"/>
  <c r="AA72" i="3"/>
  <c r="Z72" i="3"/>
  <c r="Y72" i="3"/>
  <c r="X72" i="3"/>
  <c r="D72" i="3"/>
  <c r="AH71" i="3"/>
  <c r="AG71" i="3"/>
  <c r="AI71" i="3" s="1"/>
  <c r="AE71" i="3"/>
  <c r="AF71" i="3" s="1"/>
  <c r="AC71" i="3"/>
  <c r="AB71" i="3"/>
  <c r="AA71" i="3"/>
  <c r="Z71" i="3"/>
  <c r="Y71" i="3"/>
  <c r="X71" i="3"/>
  <c r="D71" i="3"/>
  <c r="AI70" i="3"/>
  <c r="AH70" i="3"/>
  <c r="AG70" i="3"/>
  <c r="AF70" i="3"/>
  <c r="AE70" i="3"/>
  <c r="AC70" i="3"/>
  <c r="AB70" i="3"/>
  <c r="AA70" i="3"/>
  <c r="Z70" i="3"/>
  <c r="Y70" i="3"/>
  <c r="X70" i="3"/>
  <c r="D70" i="3"/>
  <c r="AH69" i="3"/>
  <c r="AG69" i="3"/>
  <c r="AI69" i="3" s="1"/>
  <c r="AE69" i="3"/>
  <c r="AF69" i="3" s="1"/>
  <c r="AC69" i="3"/>
  <c r="AB69" i="3"/>
  <c r="AA69" i="3"/>
  <c r="Z69" i="3"/>
  <c r="Y69" i="3"/>
  <c r="X69" i="3"/>
  <c r="D69" i="3"/>
  <c r="AI68" i="3"/>
  <c r="AH68" i="3"/>
  <c r="AG68" i="3"/>
  <c r="AF68" i="3"/>
  <c r="AE68" i="3"/>
  <c r="AC68" i="3"/>
  <c r="AB68" i="3"/>
  <c r="AA68" i="3"/>
  <c r="Z68" i="3"/>
  <c r="Y68" i="3"/>
  <c r="X68" i="3"/>
  <c r="D68" i="3"/>
  <c r="AH67" i="3"/>
  <c r="AG67" i="3"/>
  <c r="AI67" i="3" s="1"/>
  <c r="AE67" i="3"/>
  <c r="AF67" i="3" s="1"/>
  <c r="AC67" i="3"/>
  <c r="AB67" i="3"/>
  <c r="AA67" i="3"/>
  <c r="Z67" i="3"/>
  <c r="Y67" i="3"/>
  <c r="X67" i="3"/>
  <c r="D67" i="3"/>
  <c r="AI66" i="3"/>
  <c r="AH66" i="3"/>
  <c r="AG66" i="3"/>
  <c r="AF66" i="3"/>
  <c r="AE66" i="3"/>
  <c r="AC66" i="3"/>
  <c r="AB66" i="3"/>
  <c r="AA66" i="3"/>
  <c r="Z66" i="3"/>
  <c r="Y66" i="3"/>
  <c r="X66" i="3"/>
  <c r="D66" i="3"/>
  <c r="AH65" i="3"/>
  <c r="AG65" i="3"/>
  <c r="AI65" i="3" s="1"/>
  <c r="AE65" i="3"/>
  <c r="AF65" i="3" s="1"/>
  <c r="AC65" i="3"/>
  <c r="AB65" i="3"/>
  <c r="AA65" i="3"/>
  <c r="Z65" i="3"/>
  <c r="Y65" i="3"/>
  <c r="X65" i="3"/>
  <c r="D65" i="3"/>
  <c r="AI64" i="3"/>
  <c r="AH64" i="3"/>
  <c r="AG64" i="3"/>
  <c r="AF64" i="3"/>
  <c r="AE64" i="3"/>
  <c r="AC64" i="3"/>
  <c r="AB64" i="3"/>
  <c r="AA64" i="3"/>
  <c r="Z64" i="3"/>
  <c r="Y64" i="3"/>
  <c r="X64" i="3"/>
  <c r="D64" i="3"/>
  <c r="AH63" i="3"/>
  <c r="AG63" i="3"/>
  <c r="AI63" i="3" s="1"/>
  <c r="AE63" i="3"/>
  <c r="AF63" i="3" s="1"/>
  <c r="AC63" i="3"/>
  <c r="AB63" i="3"/>
  <c r="AA63" i="3"/>
  <c r="Z63" i="3"/>
  <c r="Y63" i="3"/>
  <c r="X63" i="3"/>
  <c r="D63" i="3"/>
  <c r="AH62" i="3"/>
  <c r="AG62" i="3"/>
  <c r="AI62" i="3" s="1"/>
  <c r="AF62" i="3"/>
  <c r="AE62" i="3"/>
  <c r="AC62" i="3"/>
  <c r="AB62" i="3"/>
  <c r="AA62" i="3"/>
  <c r="Z62" i="3"/>
  <c r="Y62" i="3"/>
  <c r="X62" i="3"/>
  <c r="D62" i="3"/>
  <c r="AH61" i="3"/>
  <c r="AG61" i="3"/>
  <c r="AI61" i="3" s="1"/>
  <c r="AE61" i="3"/>
  <c r="AF61" i="3" s="1"/>
  <c r="AC61" i="3"/>
  <c r="AB61" i="3"/>
  <c r="AA61" i="3"/>
  <c r="Z61" i="3"/>
  <c r="Y61" i="3"/>
  <c r="X61" i="3"/>
  <c r="D61" i="3"/>
  <c r="AH60" i="3"/>
  <c r="AG60" i="3"/>
  <c r="AI60" i="3" s="1"/>
  <c r="AF60" i="3"/>
  <c r="AE60" i="3"/>
  <c r="AC60" i="3"/>
  <c r="AB60" i="3"/>
  <c r="AA60" i="3"/>
  <c r="Z60" i="3"/>
  <c r="Y60" i="3"/>
  <c r="X60" i="3"/>
  <c r="D60" i="3"/>
  <c r="AH59" i="3"/>
  <c r="AG59" i="3"/>
  <c r="AI59" i="3" s="1"/>
  <c r="AE59" i="3"/>
  <c r="AF59" i="3" s="1"/>
  <c r="AC59" i="3"/>
  <c r="AB59" i="3"/>
  <c r="AA59" i="3"/>
  <c r="Z59" i="3"/>
  <c r="Y59" i="3"/>
  <c r="X59" i="3"/>
  <c r="D59" i="3"/>
  <c r="AH58" i="3"/>
  <c r="AG58" i="3"/>
  <c r="AI58" i="3" s="1"/>
  <c r="AF58" i="3"/>
  <c r="AE58" i="3"/>
  <c r="AC58" i="3"/>
  <c r="AB58" i="3"/>
  <c r="AA58" i="3"/>
  <c r="Z58" i="3"/>
  <c r="Y58" i="3"/>
  <c r="X58" i="3"/>
  <c r="D58" i="3"/>
  <c r="AH57" i="3"/>
  <c r="AG57" i="3"/>
  <c r="AI57" i="3" s="1"/>
  <c r="AE57" i="3"/>
  <c r="AF57" i="3" s="1"/>
  <c r="AC57" i="3"/>
  <c r="AB57" i="3"/>
  <c r="AA57" i="3"/>
  <c r="Z57" i="3"/>
  <c r="Y57" i="3"/>
  <c r="X57" i="3"/>
  <c r="D57" i="3"/>
  <c r="AH56" i="3"/>
  <c r="AG56" i="3"/>
  <c r="AI56" i="3" s="1"/>
  <c r="AF56" i="3"/>
  <c r="AE56" i="3"/>
  <c r="AC56" i="3"/>
  <c r="AB56" i="3"/>
  <c r="AA56" i="3"/>
  <c r="Z56" i="3"/>
  <c r="Y56" i="3"/>
  <c r="X56" i="3"/>
  <c r="D56" i="3"/>
  <c r="AH55" i="3"/>
  <c r="AG55" i="3"/>
  <c r="AI55" i="3" s="1"/>
  <c r="AE55" i="3"/>
  <c r="AF55" i="3" s="1"/>
  <c r="AC55" i="3"/>
  <c r="AB55" i="3"/>
  <c r="AA55" i="3"/>
  <c r="Z55" i="3"/>
  <c r="Y55" i="3"/>
  <c r="X55" i="3"/>
  <c r="D55" i="3"/>
  <c r="AH54" i="3"/>
  <c r="AG54" i="3"/>
  <c r="AI54" i="3" s="1"/>
  <c r="AF54" i="3"/>
  <c r="AE54" i="3"/>
  <c r="AC54" i="3"/>
  <c r="AB54" i="3"/>
  <c r="AA54" i="3"/>
  <c r="Z54" i="3"/>
  <c r="Y54" i="3"/>
  <c r="X54" i="3"/>
  <c r="D54" i="3"/>
  <c r="AH53" i="3"/>
  <c r="AG53" i="3"/>
  <c r="AI53" i="3" s="1"/>
  <c r="AE53" i="3"/>
  <c r="AF53" i="3" s="1"/>
  <c r="AC53" i="3"/>
  <c r="AB53" i="3"/>
  <c r="AA53" i="3"/>
  <c r="Z53" i="3"/>
  <c r="Y53" i="3"/>
  <c r="X53" i="3"/>
  <c r="D53" i="3"/>
  <c r="AH52" i="3"/>
  <c r="AG52" i="3"/>
  <c r="AI52" i="3" s="1"/>
  <c r="AF52" i="3"/>
  <c r="AE52" i="3"/>
  <c r="AC52" i="3"/>
  <c r="AB52" i="3"/>
  <c r="AA52" i="3"/>
  <c r="Z52" i="3"/>
  <c r="Y52" i="3"/>
  <c r="X52" i="3"/>
  <c r="D52" i="3"/>
  <c r="AH51" i="3"/>
  <c r="AG51" i="3"/>
  <c r="AI51" i="3" s="1"/>
  <c r="AE51" i="3"/>
  <c r="AF51" i="3" s="1"/>
  <c r="AC51" i="3"/>
  <c r="AB51" i="3"/>
  <c r="AA51" i="3"/>
  <c r="Z51" i="3"/>
  <c r="Y51" i="3"/>
  <c r="X51" i="3"/>
  <c r="D51" i="3"/>
  <c r="AH50" i="3"/>
  <c r="AG50" i="3"/>
  <c r="AI50" i="3" s="1"/>
  <c r="AF50" i="3"/>
  <c r="AE50" i="3"/>
  <c r="AC50" i="3"/>
  <c r="AB50" i="3"/>
  <c r="AA50" i="3"/>
  <c r="Z50" i="3"/>
  <c r="Y50" i="3"/>
  <c r="X50" i="3"/>
  <c r="D50" i="3"/>
  <c r="AH49" i="3"/>
  <c r="AG49" i="3"/>
  <c r="AI49" i="3" s="1"/>
  <c r="AE49" i="3"/>
  <c r="AF49" i="3" s="1"/>
  <c r="AC49" i="3"/>
  <c r="AB49" i="3"/>
  <c r="AA49" i="3"/>
  <c r="Z49" i="3"/>
  <c r="Y49" i="3"/>
  <c r="X49" i="3"/>
  <c r="D49" i="3"/>
  <c r="AH48" i="3"/>
  <c r="AG48" i="3"/>
  <c r="AI48" i="3" s="1"/>
  <c r="AF48" i="3"/>
  <c r="AE48" i="3"/>
  <c r="AC48" i="3"/>
  <c r="AB48" i="3"/>
  <c r="AA48" i="3"/>
  <c r="Z48" i="3"/>
  <c r="Y48" i="3"/>
  <c r="X48" i="3"/>
  <c r="D48" i="3"/>
  <c r="AH47" i="3"/>
  <c r="AG47" i="3"/>
  <c r="AI47" i="3" s="1"/>
  <c r="AE47" i="3"/>
  <c r="AF47" i="3" s="1"/>
  <c r="AC47" i="3"/>
  <c r="AB47" i="3"/>
  <c r="AA47" i="3"/>
  <c r="Z47" i="3"/>
  <c r="Y47" i="3"/>
  <c r="X47" i="3"/>
  <c r="D47" i="3"/>
  <c r="AH46" i="3"/>
  <c r="AG46" i="3"/>
  <c r="AI46" i="3" s="1"/>
  <c r="AF46" i="3"/>
  <c r="AE46" i="3"/>
  <c r="AC46" i="3"/>
  <c r="AB46" i="3"/>
  <c r="AA46" i="3"/>
  <c r="Z46" i="3"/>
  <c r="Y46" i="3"/>
  <c r="X46" i="3"/>
  <c r="D46" i="3"/>
  <c r="AH45" i="3"/>
  <c r="AG45" i="3"/>
  <c r="AI45" i="3" s="1"/>
  <c r="AE45" i="3"/>
  <c r="AF45" i="3" s="1"/>
  <c r="AC45" i="3"/>
  <c r="AB45" i="3"/>
  <c r="AA45" i="3"/>
  <c r="Z45" i="3"/>
  <c r="Y45" i="3"/>
  <c r="X45" i="3"/>
  <c r="D45" i="3"/>
  <c r="AH44" i="3"/>
  <c r="AG44" i="3"/>
  <c r="AI44" i="3" s="1"/>
  <c r="AF44" i="3"/>
  <c r="AE44" i="3"/>
  <c r="AC44" i="3"/>
  <c r="AB44" i="3"/>
  <c r="AA44" i="3"/>
  <c r="Z44" i="3"/>
  <c r="Y44" i="3"/>
  <c r="X44" i="3"/>
  <c r="D44" i="3"/>
  <c r="AH43" i="3"/>
  <c r="AG43" i="3"/>
  <c r="AI43" i="3" s="1"/>
  <c r="AE43" i="3"/>
  <c r="AF43" i="3" s="1"/>
  <c r="AC43" i="3"/>
  <c r="AB43" i="3"/>
  <c r="AA43" i="3"/>
  <c r="Z43" i="3"/>
  <c r="Y43" i="3"/>
  <c r="X43" i="3"/>
  <c r="D43" i="3"/>
  <c r="AH42" i="3"/>
  <c r="AG42" i="3"/>
  <c r="AI42" i="3" s="1"/>
  <c r="AF42" i="3"/>
  <c r="AE42" i="3"/>
  <c r="AC42" i="3"/>
  <c r="AB42" i="3"/>
  <c r="AA42" i="3"/>
  <c r="Z42" i="3"/>
  <c r="Y42" i="3"/>
  <c r="X42" i="3"/>
  <c r="D42" i="3"/>
  <c r="AH41" i="3"/>
  <c r="AG41" i="3"/>
  <c r="AI41" i="3" s="1"/>
  <c r="AE41" i="3"/>
  <c r="AF41" i="3" s="1"/>
  <c r="AC41" i="3"/>
  <c r="AB41" i="3"/>
  <c r="AA41" i="3"/>
  <c r="Z41" i="3"/>
  <c r="Y41" i="3"/>
  <c r="X41" i="3"/>
  <c r="D41" i="3"/>
  <c r="AH40" i="3"/>
  <c r="AG40" i="3"/>
  <c r="AI40" i="3" s="1"/>
  <c r="AF40" i="3"/>
  <c r="AE40" i="3"/>
  <c r="AC40" i="3"/>
  <c r="AB40" i="3"/>
  <c r="AA40" i="3"/>
  <c r="Z40" i="3"/>
  <c r="Y40" i="3"/>
  <c r="X40" i="3"/>
  <c r="D40" i="3"/>
  <c r="AH39" i="3"/>
  <c r="AG39" i="3"/>
  <c r="AI39" i="3" s="1"/>
  <c r="AE39" i="3"/>
  <c r="AF39" i="3" s="1"/>
  <c r="AC39" i="3"/>
  <c r="AB39" i="3"/>
  <c r="AA39" i="3"/>
  <c r="Z39" i="3"/>
  <c r="Y39" i="3"/>
  <c r="X39" i="3"/>
  <c r="D39" i="3"/>
  <c r="AH38" i="3"/>
  <c r="AG38" i="3"/>
  <c r="AI38" i="3" s="1"/>
  <c r="AF38" i="3"/>
  <c r="AE38" i="3"/>
  <c r="AC38" i="3"/>
  <c r="AB38" i="3"/>
  <c r="AA38" i="3"/>
  <c r="Z38" i="3"/>
  <c r="Y38" i="3"/>
  <c r="X38" i="3"/>
  <c r="D38" i="3"/>
  <c r="AH37" i="3"/>
  <c r="AG37" i="3"/>
  <c r="AI37" i="3" s="1"/>
  <c r="AE37" i="3"/>
  <c r="AF37" i="3" s="1"/>
  <c r="AC37" i="3"/>
  <c r="AB37" i="3"/>
  <c r="AA37" i="3"/>
  <c r="Z37" i="3"/>
  <c r="Y37" i="3"/>
  <c r="X37" i="3"/>
  <c r="D37" i="3"/>
  <c r="AH36" i="3"/>
  <c r="AG36" i="3"/>
  <c r="AI36" i="3" s="1"/>
  <c r="AF36" i="3"/>
  <c r="AE36" i="3"/>
  <c r="AC36" i="3"/>
  <c r="AB36" i="3"/>
  <c r="AA36" i="3"/>
  <c r="Z36" i="3"/>
  <c r="Y36" i="3"/>
  <c r="X36" i="3"/>
  <c r="D36" i="3"/>
  <c r="AH35" i="3"/>
  <c r="AG35" i="3"/>
  <c r="AI35" i="3" s="1"/>
  <c r="AE35" i="3"/>
  <c r="AF35" i="3" s="1"/>
  <c r="AC35" i="3"/>
  <c r="AB35" i="3"/>
  <c r="AA35" i="3"/>
  <c r="Z35" i="3"/>
  <c r="Y35" i="3"/>
  <c r="X35" i="3"/>
  <c r="D35" i="3"/>
  <c r="AH34" i="3"/>
  <c r="AG34" i="3"/>
  <c r="AI34" i="3" s="1"/>
  <c r="AF34" i="3"/>
  <c r="AE34" i="3"/>
  <c r="AC34" i="3"/>
  <c r="AB34" i="3"/>
  <c r="AA34" i="3"/>
  <c r="Z34" i="3"/>
  <c r="Y34" i="3"/>
  <c r="X34" i="3"/>
  <c r="D34" i="3"/>
  <c r="AH33" i="3"/>
  <c r="AG33" i="3"/>
  <c r="AI33" i="3" s="1"/>
  <c r="AE33" i="3"/>
  <c r="AF33" i="3" s="1"/>
  <c r="AC33" i="3"/>
  <c r="AB33" i="3"/>
  <c r="AA33" i="3"/>
  <c r="Z33" i="3"/>
  <c r="Y33" i="3"/>
  <c r="X33" i="3"/>
  <c r="D33" i="3"/>
  <c r="AH32" i="3"/>
  <c r="AG32" i="3"/>
  <c r="AI32" i="3" s="1"/>
  <c r="AF32" i="3"/>
  <c r="AE32" i="3"/>
  <c r="AC32" i="3"/>
  <c r="AB32" i="3"/>
  <c r="AA32" i="3"/>
  <c r="Z32" i="3"/>
  <c r="Y32" i="3"/>
  <c r="X32" i="3"/>
  <c r="D32" i="3"/>
  <c r="AH31" i="3"/>
  <c r="AG31" i="3"/>
  <c r="AI31" i="3" s="1"/>
  <c r="AE31" i="3"/>
  <c r="AF31" i="3" s="1"/>
  <c r="AC31" i="3"/>
  <c r="AB31" i="3"/>
  <c r="AA31" i="3"/>
  <c r="Z31" i="3"/>
  <c r="Y31" i="3"/>
  <c r="X31" i="3"/>
  <c r="D31" i="3"/>
  <c r="AH30" i="3"/>
  <c r="AG30" i="3"/>
  <c r="AI30" i="3" s="1"/>
  <c r="AF30" i="3"/>
  <c r="AE30" i="3"/>
  <c r="AC30" i="3"/>
  <c r="AB30" i="3"/>
  <c r="AA30" i="3"/>
  <c r="Z30" i="3"/>
  <c r="Y30" i="3"/>
  <c r="X30" i="3"/>
  <c r="D30" i="3"/>
  <c r="AH29" i="3"/>
  <c r="AG29" i="3"/>
  <c r="AI29" i="3" s="1"/>
  <c r="AE29" i="3"/>
  <c r="AF29" i="3" s="1"/>
  <c r="AC29" i="3"/>
  <c r="AB29" i="3"/>
  <c r="AA29" i="3"/>
  <c r="Z29" i="3"/>
  <c r="Y29" i="3"/>
  <c r="X29" i="3"/>
  <c r="D29" i="3"/>
  <c r="AH28" i="3"/>
  <c r="AG28" i="3"/>
  <c r="AI28" i="3" s="1"/>
  <c r="AF28" i="3"/>
  <c r="AE28" i="3"/>
  <c r="AC28" i="3"/>
  <c r="AB28" i="3"/>
  <c r="AA28" i="3"/>
  <c r="Z28" i="3"/>
  <c r="Y28" i="3"/>
  <c r="X28" i="3"/>
  <c r="D28" i="3"/>
  <c r="AH27" i="3"/>
  <c r="AG27" i="3"/>
  <c r="AI27" i="3" s="1"/>
  <c r="AE27" i="3"/>
  <c r="AF27" i="3" s="1"/>
  <c r="AC27" i="3"/>
  <c r="AB27" i="3"/>
  <c r="AA27" i="3"/>
  <c r="Z27" i="3"/>
  <c r="Y27" i="3"/>
  <c r="X27" i="3"/>
  <c r="D27" i="3"/>
  <c r="AH26" i="3"/>
  <c r="AG26" i="3"/>
  <c r="AI26" i="3" s="1"/>
  <c r="AF26" i="3"/>
  <c r="AE26" i="3"/>
  <c r="AC26" i="3"/>
  <c r="AB26" i="3"/>
  <c r="AA26" i="3"/>
  <c r="Z26" i="3"/>
  <c r="Y26" i="3"/>
  <c r="X26" i="3"/>
  <c r="D26" i="3"/>
  <c r="AH25" i="3"/>
  <c r="AG25" i="3"/>
  <c r="AI25" i="3" s="1"/>
  <c r="AE25" i="3"/>
  <c r="AF25" i="3" s="1"/>
  <c r="AC25" i="3"/>
  <c r="AB25" i="3"/>
  <c r="AA25" i="3"/>
  <c r="Z25" i="3"/>
  <c r="Y25" i="3"/>
  <c r="X25" i="3"/>
  <c r="D25" i="3"/>
  <c r="AH24" i="3"/>
  <c r="AG24" i="3"/>
  <c r="AI24" i="3" s="1"/>
  <c r="AF24" i="3"/>
  <c r="AE24" i="3"/>
  <c r="AC24" i="3"/>
  <c r="AB24" i="3"/>
  <c r="AA24" i="3"/>
  <c r="Z24" i="3"/>
  <c r="Y24" i="3"/>
  <c r="X24" i="3"/>
  <c r="D24" i="3"/>
  <c r="AH23" i="3"/>
  <c r="AG23" i="3"/>
  <c r="AI23" i="3" s="1"/>
  <c r="AE23" i="3"/>
  <c r="AF23" i="3" s="1"/>
  <c r="AC23" i="3"/>
  <c r="AB23" i="3"/>
  <c r="AA23" i="3"/>
  <c r="Z23" i="3"/>
  <c r="Y23" i="3"/>
  <c r="X23" i="3"/>
  <c r="D23" i="3"/>
  <c r="AH22" i="3"/>
  <c r="AG22" i="3"/>
  <c r="AI22" i="3" s="1"/>
  <c r="AF22" i="3"/>
  <c r="AE22" i="3"/>
  <c r="AC22" i="3"/>
  <c r="AB22" i="3"/>
  <c r="AA22" i="3"/>
  <c r="Z22" i="3"/>
  <c r="Y22" i="3"/>
  <c r="X22" i="3"/>
  <c r="D22" i="3"/>
  <c r="AH21" i="3"/>
  <c r="AG21" i="3"/>
  <c r="AI21" i="3" s="1"/>
  <c r="AE21" i="3"/>
  <c r="AF21" i="3" s="1"/>
  <c r="AC21" i="3"/>
  <c r="AB21" i="3"/>
  <c r="AA21" i="3"/>
  <c r="Z21" i="3"/>
  <c r="Y21" i="3"/>
  <c r="X21" i="3"/>
  <c r="D21" i="3"/>
  <c r="AH20" i="3"/>
  <c r="AG20" i="3"/>
  <c r="AI20" i="3" s="1"/>
  <c r="AF20" i="3"/>
  <c r="AE20" i="3"/>
  <c r="AC20" i="3"/>
  <c r="AB20" i="3"/>
  <c r="AA20" i="3"/>
  <c r="Z20" i="3"/>
  <c r="Y20" i="3"/>
  <c r="X20" i="3"/>
  <c r="D20" i="3"/>
  <c r="AH19" i="3"/>
  <c r="AG19" i="3"/>
  <c r="AI19" i="3" s="1"/>
  <c r="AE19" i="3"/>
  <c r="AF19" i="3" s="1"/>
  <c r="AC19" i="3"/>
  <c r="AB19" i="3"/>
  <c r="AA19" i="3"/>
  <c r="Z19" i="3"/>
  <c r="Y19" i="3"/>
  <c r="X19" i="3"/>
  <c r="D19" i="3"/>
  <c r="AH18" i="3"/>
  <c r="AG18" i="3"/>
  <c r="AI18" i="3" s="1"/>
  <c r="AF18" i="3"/>
  <c r="AE18" i="3"/>
  <c r="AC18" i="3"/>
  <c r="AB18" i="3"/>
  <c r="AA18" i="3"/>
  <c r="Z18" i="3"/>
  <c r="Y18" i="3"/>
  <c r="X18" i="3"/>
  <c r="D18" i="3"/>
  <c r="AH17" i="3"/>
  <c r="AG17" i="3"/>
  <c r="AI17" i="3" s="1"/>
  <c r="AE17" i="3"/>
  <c r="AF17" i="3" s="1"/>
  <c r="AC17" i="3"/>
  <c r="AB17" i="3"/>
  <c r="AA17" i="3"/>
  <c r="Z17" i="3"/>
  <c r="Y17" i="3"/>
  <c r="X17" i="3"/>
  <c r="D17" i="3"/>
  <c r="AH16" i="3"/>
  <c r="AG16" i="3"/>
  <c r="AI16" i="3" s="1"/>
  <c r="AF16" i="3"/>
  <c r="AE16" i="3"/>
  <c r="AC16" i="3"/>
  <c r="AB16" i="3"/>
  <c r="AA16" i="3"/>
  <c r="Z16" i="3"/>
  <c r="Y16" i="3"/>
  <c r="X16" i="3"/>
  <c r="D16" i="3"/>
  <c r="AH15" i="3"/>
  <c r="AG15" i="3"/>
  <c r="AI15" i="3" s="1"/>
  <c r="AE15" i="3"/>
  <c r="AF15" i="3" s="1"/>
  <c r="AC15" i="3"/>
  <c r="AB15" i="3"/>
  <c r="AA15" i="3"/>
  <c r="Z15" i="3"/>
  <c r="Y15" i="3"/>
  <c r="X15" i="3"/>
  <c r="D15" i="3"/>
  <c r="AH14" i="3"/>
  <c r="AG14" i="3"/>
  <c r="AI14" i="3" s="1"/>
  <c r="AF14" i="3"/>
  <c r="AE14" i="3"/>
  <c r="AC14" i="3"/>
  <c r="AB14" i="3"/>
  <c r="AA14" i="3"/>
  <c r="Z14" i="3"/>
  <c r="Y14" i="3"/>
  <c r="X14" i="3"/>
  <c r="D14" i="3"/>
  <c r="AH13" i="3"/>
  <c r="AG13" i="3"/>
  <c r="AI13" i="3" s="1"/>
  <c r="AE13" i="3"/>
  <c r="AF13" i="3" s="1"/>
  <c r="AC13" i="3"/>
  <c r="AB13" i="3"/>
  <c r="AA13" i="3"/>
  <c r="Z13" i="3"/>
  <c r="Y13" i="3"/>
  <c r="X13" i="3"/>
  <c r="D13" i="3"/>
  <c r="AH12" i="3"/>
  <c r="AG12" i="3"/>
  <c r="AI12" i="3" s="1"/>
  <c r="AF12" i="3"/>
  <c r="AE12" i="3"/>
  <c r="AC12" i="3"/>
  <c r="AB12" i="3"/>
  <c r="AA12" i="3"/>
  <c r="Z12" i="3"/>
  <c r="Y12" i="3"/>
  <c r="X12" i="3"/>
  <c r="D12" i="3"/>
  <c r="AH11" i="3"/>
  <c r="AG11" i="3"/>
  <c r="AI11" i="3" s="1"/>
  <c r="AE11" i="3"/>
  <c r="AF11" i="3" s="1"/>
  <c r="AC11" i="3"/>
  <c r="AB11" i="3"/>
  <c r="AA11" i="3"/>
  <c r="Z11" i="3"/>
  <c r="Y11" i="3"/>
  <c r="X11" i="3"/>
  <c r="D11" i="3"/>
  <c r="AH10" i="3"/>
  <c r="AG10" i="3"/>
  <c r="AI10" i="3" s="1"/>
  <c r="AF10" i="3"/>
  <c r="AE10" i="3"/>
  <c r="AC10" i="3"/>
  <c r="AB10" i="3"/>
  <c r="AA10" i="3"/>
  <c r="Z10" i="3"/>
  <c r="Y10" i="3"/>
  <c r="X10" i="3"/>
  <c r="D10" i="3"/>
  <c r="AH9" i="3"/>
  <c r="AG9" i="3"/>
  <c r="AI9" i="3" s="1"/>
  <c r="AE9" i="3"/>
  <c r="AF9" i="3" s="1"/>
  <c r="AC9" i="3"/>
  <c r="AB9" i="3"/>
  <c r="AA9" i="3"/>
  <c r="Z9" i="3"/>
  <c r="Y9" i="3"/>
  <c r="X9" i="3"/>
  <c r="D9" i="3"/>
  <c r="AH8" i="3"/>
  <c r="AG8" i="3"/>
  <c r="AI8" i="3" s="1"/>
  <c r="AF8" i="3"/>
  <c r="AE8" i="3"/>
  <c r="AC8" i="3"/>
  <c r="AB8" i="3"/>
  <c r="AA8" i="3"/>
  <c r="Z8" i="3"/>
  <c r="Y8" i="3"/>
  <c r="X8" i="3"/>
  <c r="D8" i="3"/>
  <c r="AH7" i="3"/>
  <c r="AG7" i="3"/>
  <c r="AI7" i="3" s="1"/>
  <c r="AE7" i="3"/>
  <c r="AF7" i="3" s="1"/>
  <c r="AC7" i="3"/>
  <c r="AB7" i="3"/>
  <c r="AA7" i="3"/>
  <c r="Z7" i="3"/>
  <c r="Y7" i="3"/>
  <c r="X7" i="3"/>
  <c r="D7" i="3"/>
  <c r="AH6" i="3"/>
  <c r="AG6" i="3"/>
  <c r="AI6" i="3" s="1"/>
  <c r="AF6" i="3"/>
  <c r="AE6" i="3"/>
  <c r="AC6" i="3"/>
  <c r="AB6" i="3"/>
  <c r="AA6" i="3"/>
  <c r="Z6" i="3"/>
  <c r="Y6" i="3"/>
  <c r="X6" i="3"/>
  <c r="D6" i="3"/>
  <c r="AH5" i="3"/>
  <c r="AG5" i="3"/>
  <c r="AI5" i="3" s="1"/>
  <c r="AE5" i="3"/>
  <c r="AF5" i="3" s="1"/>
  <c r="AC5" i="3"/>
  <c r="AB5" i="3"/>
  <c r="AA5" i="3"/>
  <c r="Z5" i="3"/>
  <c r="Y5" i="3"/>
  <c r="X5" i="3"/>
  <c r="D5" i="3"/>
  <c r="AH4" i="3"/>
  <c r="AG4" i="3"/>
  <c r="AI4" i="3" s="1"/>
  <c r="AF4" i="3"/>
  <c r="AE4" i="3"/>
  <c r="AC4" i="3"/>
  <c r="AB4" i="3"/>
  <c r="AA4" i="3"/>
  <c r="Z4" i="3"/>
  <c r="Y4" i="3"/>
  <c r="X4" i="3"/>
  <c r="D4" i="3"/>
  <c r="AH3" i="3"/>
  <c r="AG3" i="3"/>
  <c r="AI3" i="3" s="1"/>
  <c r="AE3" i="3"/>
  <c r="AF3" i="3" s="1"/>
  <c r="AC3" i="3"/>
  <c r="AB3" i="3"/>
  <c r="AA3" i="3"/>
  <c r="Z3" i="3"/>
  <c r="Y3" i="3"/>
  <c r="X3" i="3"/>
  <c r="D3" i="3"/>
  <c r="AH2" i="3"/>
  <c r="AG2" i="3"/>
  <c r="AI2" i="3" s="1"/>
  <c r="AF2" i="3"/>
  <c r="AE2" i="3"/>
  <c r="AC2" i="3"/>
  <c r="AB2" i="3"/>
  <c r="AA2" i="3"/>
  <c r="Z2" i="3"/>
  <c r="Y2" i="3"/>
  <c r="X2" i="3"/>
  <c r="D2" i="3"/>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2" i="1"/>
  <c r="AE3" i="1"/>
  <c r="AG3" i="1" s="1"/>
  <c r="AE4" i="1"/>
  <c r="AG4" i="1" s="1"/>
  <c r="AE5" i="1"/>
  <c r="AG5" i="1" s="1"/>
  <c r="AE6" i="1"/>
  <c r="AG6" i="1" s="1"/>
  <c r="AE7" i="1"/>
  <c r="AG7" i="1" s="1"/>
  <c r="AE8" i="1"/>
  <c r="AG8" i="1" s="1"/>
  <c r="AE9" i="1"/>
  <c r="AG9" i="1" s="1"/>
  <c r="AI9" i="1" s="1"/>
  <c r="AE10" i="1"/>
  <c r="AG10" i="1" s="1"/>
  <c r="AE11" i="1"/>
  <c r="AG11" i="1" s="1"/>
  <c r="AE12" i="1"/>
  <c r="AG12" i="1" s="1"/>
  <c r="AE13" i="1"/>
  <c r="AG13" i="1" s="1"/>
  <c r="AE14" i="1"/>
  <c r="AG14" i="1" s="1"/>
  <c r="AE15" i="1"/>
  <c r="AG15" i="1" s="1"/>
  <c r="AE16" i="1"/>
  <c r="AG16" i="1" s="1"/>
  <c r="AE17" i="1"/>
  <c r="AG17" i="1" s="1"/>
  <c r="AE18" i="1"/>
  <c r="AG18" i="1" s="1"/>
  <c r="AE19" i="1"/>
  <c r="AG19" i="1" s="1"/>
  <c r="AE20" i="1"/>
  <c r="AG20" i="1" s="1"/>
  <c r="AE21" i="1"/>
  <c r="AG21" i="1" s="1"/>
  <c r="AE22" i="1"/>
  <c r="AG22" i="1" s="1"/>
  <c r="AE23" i="1"/>
  <c r="AG23" i="1" s="1"/>
  <c r="AE24" i="1"/>
  <c r="AG24" i="1" s="1"/>
  <c r="AE25" i="1"/>
  <c r="AG25" i="1" s="1"/>
  <c r="AE26" i="1"/>
  <c r="AG26" i="1" s="1"/>
  <c r="AE27" i="1"/>
  <c r="AG27" i="1" s="1"/>
  <c r="AE28" i="1"/>
  <c r="AG28" i="1" s="1"/>
  <c r="AE29" i="1"/>
  <c r="AG29" i="1" s="1"/>
  <c r="AE30" i="1"/>
  <c r="AG30" i="1" s="1"/>
  <c r="AE31" i="1"/>
  <c r="AG31" i="1" s="1"/>
  <c r="AE32" i="1"/>
  <c r="AG32" i="1" s="1"/>
  <c r="AE33" i="1"/>
  <c r="AG33" i="1" s="1"/>
  <c r="AE34" i="1"/>
  <c r="AG34" i="1" s="1"/>
  <c r="AE35" i="1"/>
  <c r="AG35" i="1" s="1"/>
  <c r="AE36" i="1"/>
  <c r="AG36" i="1" s="1"/>
  <c r="AE37" i="1"/>
  <c r="AG37" i="1" s="1"/>
  <c r="AE38" i="1"/>
  <c r="AG38" i="1" s="1"/>
  <c r="AE39" i="1"/>
  <c r="AG39" i="1" s="1"/>
  <c r="AE40" i="1"/>
  <c r="AG40" i="1" s="1"/>
  <c r="AE41" i="1"/>
  <c r="AG41" i="1" s="1"/>
  <c r="AE42" i="1"/>
  <c r="AG42" i="1" s="1"/>
  <c r="AE43" i="1"/>
  <c r="AG43" i="1" s="1"/>
  <c r="AE44" i="1"/>
  <c r="AG44" i="1" s="1"/>
  <c r="AE45" i="1"/>
  <c r="AG45" i="1" s="1"/>
  <c r="AE46" i="1"/>
  <c r="AG46" i="1" s="1"/>
  <c r="AE47" i="1"/>
  <c r="AG47" i="1" s="1"/>
  <c r="AE48" i="1"/>
  <c r="AG48" i="1" s="1"/>
  <c r="AE49" i="1"/>
  <c r="AG49" i="1" s="1"/>
  <c r="AE50" i="1"/>
  <c r="AG50" i="1" s="1"/>
  <c r="AE51" i="1"/>
  <c r="AG51" i="1" s="1"/>
  <c r="AE52" i="1"/>
  <c r="AG52" i="1" s="1"/>
  <c r="AE53" i="1"/>
  <c r="AG53" i="1" s="1"/>
  <c r="AE54" i="1"/>
  <c r="AG54" i="1" s="1"/>
  <c r="AE55" i="1"/>
  <c r="AG55" i="1" s="1"/>
  <c r="AE56" i="1"/>
  <c r="AG56" i="1" s="1"/>
  <c r="AE57" i="1"/>
  <c r="AG57" i="1" s="1"/>
  <c r="AE58" i="1"/>
  <c r="AG58" i="1" s="1"/>
  <c r="AE59" i="1"/>
  <c r="AG59" i="1" s="1"/>
  <c r="AE60" i="1"/>
  <c r="AG60" i="1" s="1"/>
  <c r="AE61" i="1"/>
  <c r="AG61" i="1" s="1"/>
  <c r="AE62" i="1"/>
  <c r="AG62" i="1" s="1"/>
  <c r="AE63" i="1"/>
  <c r="AG63" i="1" s="1"/>
  <c r="AE64" i="1"/>
  <c r="AG64" i="1" s="1"/>
  <c r="AE65" i="1"/>
  <c r="AG65" i="1" s="1"/>
  <c r="AE66" i="1"/>
  <c r="AG66" i="1" s="1"/>
  <c r="AE67" i="1"/>
  <c r="AG67" i="1" s="1"/>
  <c r="AE68" i="1"/>
  <c r="AG68" i="1" s="1"/>
  <c r="AE69" i="1"/>
  <c r="AG69" i="1" s="1"/>
  <c r="AE70" i="1"/>
  <c r="AG70" i="1" s="1"/>
  <c r="AE71" i="1"/>
  <c r="AG71" i="1" s="1"/>
  <c r="AI71" i="1" s="1"/>
  <c r="AE72" i="1"/>
  <c r="AG72" i="1" s="1"/>
  <c r="AE73" i="1"/>
  <c r="AG73" i="1" s="1"/>
  <c r="AI73" i="1" s="1"/>
  <c r="AE74" i="1"/>
  <c r="AG74" i="1" s="1"/>
  <c r="AE75" i="1"/>
  <c r="AG75" i="1" s="1"/>
  <c r="AE76" i="1"/>
  <c r="AG76" i="1" s="1"/>
  <c r="AE77" i="1"/>
  <c r="AG77" i="1" s="1"/>
  <c r="AE78" i="1"/>
  <c r="AG78" i="1" s="1"/>
  <c r="AE79" i="1"/>
  <c r="AG79" i="1" s="1"/>
  <c r="AE80" i="1"/>
  <c r="AG80" i="1" s="1"/>
  <c r="AE81" i="1"/>
  <c r="AG81" i="1" s="1"/>
  <c r="AE82" i="1"/>
  <c r="AG82" i="1" s="1"/>
  <c r="AE83" i="1"/>
  <c r="AG83" i="1" s="1"/>
  <c r="AE84" i="1"/>
  <c r="AG84" i="1" s="1"/>
  <c r="AE85" i="1"/>
  <c r="AG85" i="1" s="1"/>
  <c r="AE86" i="1"/>
  <c r="AG86" i="1" s="1"/>
  <c r="AE87" i="1"/>
  <c r="AG87" i="1" s="1"/>
  <c r="AE88" i="1"/>
  <c r="AG88" i="1" s="1"/>
  <c r="AE89" i="1"/>
  <c r="AG89" i="1" s="1"/>
  <c r="AE90" i="1"/>
  <c r="AG90" i="1" s="1"/>
  <c r="AE91" i="1"/>
  <c r="AG91" i="1" s="1"/>
  <c r="AE92" i="1"/>
  <c r="AG92" i="1" s="1"/>
  <c r="AE93" i="1"/>
  <c r="AG93" i="1" s="1"/>
  <c r="AE94" i="1"/>
  <c r="AG94" i="1" s="1"/>
  <c r="AE95" i="1"/>
  <c r="AG95" i="1" s="1"/>
  <c r="AE96" i="1"/>
  <c r="AG96" i="1" s="1"/>
  <c r="AE97" i="1"/>
  <c r="AG97" i="1" s="1"/>
  <c r="AE98" i="1"/>
  <c r="AG98" i="1" s="1"/>
  <c r="AE99" i="1"/>
  <c r="AG99" i="1" s="1"/>
  <c r="AE100" i="1"/>
  <c r="AG100" i="1" s="1"/>
  <c r="AE101" i="1"/>
  <c r="AG101" i="1" s="1"/>
  <c r="AE102" i="1"/>
  <c r="AG102" i="1" s="1"/>
  <c r="AE103" i="1"/>
  <c r="AG103" i="1" s="1"/>
  <c r="AI103" i="1" s="1"/>
  <c r="AE104" i="1"/>
  <c r="AG104" i="1" s="1"/>
  <c r="AE105" i="1"/>
  <c r="AG105" i="1" s="1"/>
  <c r="AE106" i="1"/>
  <c r="AG106" i="1" s="1"/>
  <c r="AE107" i="1"/>
  <c r="AG107" i="1" s="1"/>
  <c r="AE108" i="1"/>
  <c r="AG108" i="1" s="1"/>
  <c r="AE109" i="1"/>
  <c r="AG109" i="1" s="1"/>
  <c r="AE110" i="1"/>
  <c r="AG110" i="1" s="1"/>
  <c r="AE111" i="1"/>
  <c r="AG111" i="1" s="1"/>
  <c r="AE112" i="1"/>
  <c r="AG112" i="1" s="1"/>
  <c r="AE113" i="1"/>
  <c r="AG113" i="1" s="1"/>
  <c r="AE114" i="1"/>
  <c r="AG114" i="1" s="1"/>
  <c r="AE115" i="1"/>
  <c r="AG115" i="1" s="1"/>
  <c r="AE116" i="1"/>
  <c r="AG116" i="1" s="1"/>
  <c r="AE117" i="1"/>
  <c r="AG117" i="1" s="1"/>
  <c r="AE118" i="1"/>
  <c r="AG118" i="1" s="1"/>
  <c r="AE119" i="1"/>
  <c r="AG119" i="1" s="1"/>
  <c r="AE120" i="1"/>
  <c r="AG120" i="1" s="1"/>
  <c r="AE121" i="1"/>
  <c r="AG121" i="1" s="1"/>
  <c r="AE122" i="1"/>
  <c r="AG122" i="1" s="1"/>
  <c r="AE123" i="1"/>
  <c r="AG123" i="1" s="1"/>
  <c r="AE124" i="1"/>
  <c r="AG124" i="1" s="1"/>
  <c r="AE125" i="1"/>
  <c r="AG125" i="1" s="1"/>
  <c r="AE126" i="1"/>
  <c r="AG126" i="1" s="1"/>
  <c r="AE127" i="1"/>
  <c r="AG127" i="1" s="1"/>
  <c r="AE128" i="1"/>
  <c r="AG128" i="1" s="1"/>
  <c r="AE129" i="1"/>
  <c r="AG129" i="1" s="1"/>
  <c r="AE130" i="1"/>
  <c r="AG130" i="1" s="1"/>
  <c r="AE131" i="1"/>
  <c r="AG131" i="1" s="1"/>
  <c r="AE132" i="1"/>
  <c r="AG132" i="1" s="1"/>
  <c r="AE133" i="1"/>
  <c r="AG133" i="1" s="1"/>
  <c r="AE134" i="1"/>
  <c r="AG134" i="1" s="1"/>
  <c r="AE135" i="1"/>
  <c r="AG135" i="1" s="1"/>
  <c r="AE136" i="1"/>
  <c r="AG136" i="1" s="1"/>
  <c r="AE137" i="1"/>
  <c r="AG137" i="1" s="1"/>
  <c r="AE138" i="1"/>
  <c r="AG138" i="1" s="1"/>
  <c r="AE139" i="1"/>
  <c r="AG139" i="1" s="1"/>
  <c r="AE140" i="1"/>
  <c r="AG140" i="1" s="1"/>
  <c r="AE141" i="1"/>
  <c r="AG141" i="1" s="1"/>
  <c r="AE142" i="1"/>
  <c r="AG142" i="1" s="1"/>
  <c r="AE143" i="1"/>
  <c r="AG143" i="1" s="1"/>
  <c r="AE144" i="1"/>
  <c r="AG144" i="1" s="1"/>
  <c r="AE145" i="1"/>
  <c r="AG145" i="1" s="1"/>
  <c r="AI145" i="1" s="1"/>
  <c r="AE146" i="1"/>
  <c r="AG146" i="1" s="1"/>
  <c r="AE147" i="1"/>
  <c r="AG147" i="1" s="1"/>
  <c r="AE148" i="1"/>
  <c r="AG148" i="1" s="1"/>
  <c r="AE149" i="1"/>
  <c r="AG149" i="1" s="1"/>
  <c r="AE150" i="1"/>
  <c r="AG150" i="1" s="1"/>
  <c r="AE151" i="1"/>
  <c r="AG151" i="1" s="1"/>
  <c r="AE152" i="1"/>
  <c r="AG152" i="1" s="1"/>
  <c r="AE153" i="1"/>
  <c r="AG153" i="1" s="1"/>
  <c r="AE154" i="1"/>
  <c r="AG154" i="1" s="1"/>
  <c r="AE155" i="1"/>
  <c r="AG155" i="1" s="1"/>
  <c r="AE156" i="1"/>
  <c r="AG156" i="1" s="1"/>
  <c r="AE157" i="1"/>
  <c r="AG157" i="1" s="1"/>
  <c r="AE158" i="1"/>
  <c r="AG158" i="1" s="1"/>
  <c r="AE159" i="1"/>
  <c r="AG159" i="1" s="1"/>
  <c r="AE160" i="1"/>
  <c r="AG160" i="1" s="1"/>
  <c r="AE161" i="1"/>
  <c r="AG161" i="1" s="1"/>
  <c r="AE162" i="1"/>
  <c r="AG162" i="1" s="1"/>
  <c r="AE163" i="1"/>
  <c r="AG163" i="1" s="1"/>
  <c r="AE164" i="1"/>
  <c r="AG164" i="1" s="1"/>
  <c r="AE165" i="1"/>
  <c r="AG165" i="1" s="1"/>
  <c r="AE166" i="1"/>
  <c r="AG166" i="1" s="1"/>
  <c r="AE167" i="1"/>
  <c r="AG167" i="1" s="1"/>
  <c r="AI167" i="1" s="1"/>
  <c r="AE168" i="1"/>
  <c r="AG168" i="1" s="1"/>
  <c r="AE169" i="1"/>
  <c r="AG169" i="1" s="1"/>
  <c r="AE170" i="1"/>
  <c r="AG170" i="1" s="1"/>
  <c r="AE171" i="1"/>
  <c r="AG171" i="1" s="1"/>
  <c r="AE172" i="1"/>
  <c r="AG172" i="1" s="1"/>
  <c r="AE173" i="1"/>
  <c r="AG173" i="1" s="1"/>
  <c r="AE174" i="1"/>
  <c r="AG174" i="1" s="1"/>
  <c r="AE175" i="1"/>
  <c r="AG175" i="1" s="1"/>
  <c r="AE176" i="1"/>
  <c r="AG176" i="1" s="1"/>
  <c r="AI176" i="1" s="1"/>
  <c r="AE177" i="1"/>
  <c r="AG177" i="1" s="1"/>
  <c r="AE178" i="1"/>
  <c r="AG178" i="1" s="1"/>
  <c r="AE179" i="1"/>
  <c r="AG179" i="1" s="1"/>
  <c r="AE180" i="1"/>
  <c r="AG180" i="1" s="1"/>
  <c r="AE181" i="1"/>
  <c r="AG181" i="1" s="1"/>
  <c r="AE182" i="1"/>
  <c r="AG182" i="1" s="1"/>
  <c r="AE183" i="1"/>
  <c r="AG183" i="1" s="1"/>
  <c r="AE184" i="1"/>
  <c r="AG184" i="1" s="1"/>
  <c r="AE185" i="1"/>
  <c r="AG185" i="1" s="1"/>
  <c r="AE186" i="1"/>
  <c r="AG186" i="1" s="1"/>
  <c r="AE187" i="1"/>
  <c r="AG187" i="1" s="1"/>
  <c r="AE188" i="1"/>
  <c r="AG188" i="1" s="1"/>
  <c r="AE189" i="1"/>
  <c r="AG189" i="1" s="1"/>
  <c r="AE190" i="1"/>
  <c r="AG190" i="1" s="1"/>
  <c r="AE191" i="1"/>
  <c r="AG191" i="1" s="1"/>
  <c r="AE192" i="1"/>
  <c r="AG192" i="1" s="1"/>
  <c r="AE193" i="1"/>
  <c r="AG193" i="1" s="1"/>
  <c r="AE194" i="1"/>
  <c r="AG194" i="1" s="1"/>
  <c r="AE195" i="1"/>
  <c r="AG195" i="1" s="1"/>
  <c r="AE196" i="1"/>
  <c r="AG196" i="1" s="1"/>
  <c r="AE197" i="1"/>
  <c r="AG197" i="1" s="1"/>
  <c r="AE198" i="1"/>
  <c r="AG198" i="1" s="1"/>
  <c r="AE199" i="1"/>
  <c r="AG199" i="1" s="1"/>
  <c r="AE200" i="1"/>
  <c r="AG200" i="1" s="1"/>
  <c r="AE201" i="1"/>
  <c r="AG201" i="1" s="1"/>
  <c r="AE202" i="1"/>
  <c r="AG202" i="1" s="1"/>
  <c r="AE203" i="1"/>
  <c r="AG203" i="1" s="1"/>
  <c r="AE204" i="1"/>
  <c r="AG204" i="1" s="1"/>
  <c r="AE205" i="1"/>
  <c r="AG205" i="1" s="1"/>
  <c r="AE206" i="1"/>
  <c r="AG206" i="1" s="1"/>
  <c r="AE207" i="1"/>
  <c r="AG207" i="1" s="1"/>
  <c r="AE208" i="1"/>
  <c r="AG208" i="1" s="1"/>
  <c r="AE209" i="1"/>
  <c r="AG209" i="1" s="1"/>
  <c r="AE210" i="1"/>
  <c r="AG210" i="1" s="1"/>
  <c r="AE211" i="1"/>
  <c r="AG211" i="1" s="1"/>
  <c r="AE212" i="1"/>
  <c r="AG212" i="1" s="1"/>
  <c r="AE213" i="1"/>
  <c r="AG213" i="1" s="1"/>
  <c r="AE214" i="1"/>
  <c r="AG214" i="1" s="1"/>
  <c r="AE215" i="1"/>
  <c r="AG215" i="1" s="1"/>
  <c r="AI215" i="1" s="1"/>
  <c r="AE216" i="1"/>
  <c r="AG216" i="1" s="1"/>
  <c r="AE217" i="1"/>
  <c r="AG217" i="1" s="1"/>
  <c r="AI217" i="1" s="1"/>
  <c r="AE218" i="1"/>
  <c r="AG218" i="1" s="1"/>
  <c r="AE219" i="1"/>
  <c r="AG219" i="1" s="1"/>
  <c r="AE220" i="1"/>
  <c r="AG220" i="1" s="1"/>
  <c r="AE221" i="1"/>
  <c r="AG221" i="1" s="1"/>
  <c r="AE222" i="1"/>
  <c r="AG222" i="1" s="1"/>
  <c r="AE223" i="1"/>
  <c r="AG223" i="1" s="1"/>
  <c r="AE224" i="1"/>
  <c r="AG224" i="1" s="1"/>
  <c r="AE225" i="1"/>
  <c r="AG225" i="1" s="1"/>
  <c r="AE226" i="1"/>
  <c r="AG226" i="1" s="1"/>
  <c r="AE227" i="1"/>
  <c r="AG227" i="1" s="1"/>
  <c r="AE228" i="1"/>
  <c r="AG228" i="1" s="1"/>
  <c r="AE229" i="1"/>
  <c r="AG229" i="1" s="1"/>
  <c r="AE230" i="1"/>
  <c r="AG230" i="1" s="1"/>
  <c r="AE231" i="1"/>
  <c r="AG231" i="1" s="1"/>
  <c r="AE232" i="1"/>
  <c r="AG232" i="1" s="1"/>
  <c r="AE233" i="1"/>
  <c r="AG233" i="1" s="1"/>
  <c r="AI233" i="1" s="1"/>
  <c r="AE234" i="1"/>
  <c r="AG234" i="1" s="1"/>
  <c r="AE235" i="1"/>
  <c r="AG235" i="1" s="1"/>
  <c r="AE236" i="1"/>
  <c r="AG236" i="1" s="1"/>
  <c r="AE237" i="1"/>
  <c r="AG237" i="1" s="1"/>
  <c r="AE238" i="1"/>
  <c r="AG238" i="1" s="1"/>
  <c r="AE239" i="1"/>
  <c r="AG239" i="1" s="1"/>
  <c r="AE240" i="1"/>
  <c r="AG240" i="1" s="1"/>
  <c r="AE241" i="1"/>
  <c r="AG241" i="1" s="1"/>
  <c r="AE242" i="1"/>
  <c r="AG242" i="1" s="1"/>
  <c r="AE243" i="1"/>
  <c r="AG243" i="1" s="1"/>
  <c r="AE244" i="1"/>
  <c r="AG244" i="1" s="1"/>
  <c r="AE245" i="1"/>
  <c r="AG245" i="1" s="1"/>
  <c r="AE246" i="1"/>
  <c r="AG246" i="1" s="1"/>
  <c r="AE247" i="1"/>
  <c r="AG247" i="1" s="1"/>
  <c r="AE248" i="1"/>
  <c r="AG248" i="1" s="1"/>
  <c r="AE249" i="1"/>
  <c r="AG249" i="1" s="1"/>
  <c r="AE250" i="1"/>
  <c r="AG250" i="1" s="1"/>
  <c r="AE251" i="1"/>
  <c r="AG251" i="1" s="1"/>
  <c r="AE252" i="1"/>
  <c r="AG252" i="1" s="1"/>
  <c r="AE253" i="1"/>
  <c r="AG253" i="1" s="1"/>
  <c r="AE254" i="1"/>
  <c r="AG254" i="1" s="1"/>
  <c r="AE255" i="1"/>
  <c r="AG255" i="1" s="1"/>
  <c r="AE256" i="1"/>
  <c r="AG256" i="1" s="1"/>
  <c r="AE257" i="1"/>
  <c r="AG257" i="1" s="1"/>
  <c r="AH257" i="1" s="1"/>
  <c r="AE258" i="1"/>
  <c r="AG258" i="1" s="1"/>
  <c r="AE259" i="1"/>
  <c r="AG259" i="1" s="1"/>
  <c r="AE260" i="1"/>
  <c r="AG260" i="1" s="1"/>
  <c r="AE261" i="1"/>
  <c r="AG261" i="1" s="1"/>
  <c r="AE262" i="1"/>
  <c r="AG262" i="1" s="1"/>
  <c r="AE263" i="1"/>
  <c r="AG263" i="1" s="1"/>
  <c r="AE264" i="1"/>
  <c r="AG264" i="1" s="1"/>
  <c r="AE265" i="1"/>
  <c r="AG265" i="1" s="1"/>
  <c r="AE266" i="1"/>
  <c r="AG266" i="1" s="1"/>
  <c r="AE267" i="1"/>
  <c r="AG267" i="1" s="1"/>
  <c r="AE268" i="1"/>
  <c r="AG268" i="1" s="1"/>
  <c r="AE269" i="1"/>
  <c r="AG269" i="1" s="1"/>
  <c r="AE270" i="1"/>
  <c r="AG270" i="1" s="1"/>
  <c r="AE271" i="1"/>
  <c r="AG271" i="1" s="1"/>
  <c r="AE272" i="1"/>
  <c r="AG272" i="1" s="1"/>
  <c r="AE273" i="1"/>
  <c r="AG273" i="1" s="1"/>
  <c r="AI273" i="1" s="1"/>
  <c r="AE274" i="1"/>
  <c r="AG274" i="1" s="1"/>
  <c r="AE275" i="1"/>
  <c r="AG275" i="1" s="1"/>
  <c r="AE276" i="1"/>
  <c r="AG276" i="1" s="1"/>
  <c r="AE277" i="1"/>
  <c r="AG277" i="1" s="1"/>
  <c r="AE278" i="1"/>
  <c r="AG278" i="1" s="1"/>
  <c r="AE279" i="1"/>
  <c r="AG279" i="1" s="1"/>
  <c r="AI279" i="1" s="1"/>
  <c r="AE280" i="1"/>
  <c r="AG280" i="1" s="1"/>
  <c r="AE281" i="1"/>
  <c r="AG281" i="1" s="1"/>
  <c r="AE282" i="1"/>
  <c r="AG282" i="1" s="1"/>
  <c r="AE283" i="1"/>
  <c r="AG283" i="1" s="1"/>
  <c r="AE284" i="1"/>
  <c r="AG284" i="1" s="1"/>
  <c r="AE285" i="1"/>
  <c r="AG285" i="1" s="1"/>
  <c r="AE286" i="1"/>
  <c r="AG286" i="1" s="1"/>
  <c r="AE287" i="1"/>
  <c r="AG287" i="1" s="1"/>
  <c r="AE288" i="1"/>
  <c r="AG288" i="1" s="1"/>
  <c r="AE289" i="1"/>
  <c r="AG289" i="1" s="1"/>
  <c r="AE290" i="1"/>
  <c r="AG290" i="1" s="1"/>
  <c r="AE291" i="1"/>
  <c r="AG291" i="1" s="1"/>
  <c r="AE292" i="1"/>
  <c r="AG292" i="1" s="1"/>
  <c r="AE293" i="1"/>
  <c r="AG293" i="1" s="1"/>
  <c r="AE294" i="1"/>
  <c r="AG294" i="1" s="1"/>
  <c r="AH294" i="1" s="1"/>
  <c r="AE295" i="1"/>
  <c r="AG295" i="1" s="1"/>
  <c r="AI295" i="1" s="1"/>
  <c r="AE296" i="1"/>
  <c r="AG296" i="1" s="1"/>
  <c r="AE297" i="1"/>
  <c r="AG297" i="1" s="1"/>
  <c r="AE298" i="1"/>
  <c r="AG298" i="1" s="1"/>
  <c r="AE299" i="1"/>
  <c r="AG299" i="1" s="1"/>
  <c r="AE300" i="1"/>
  <c r="AG300" i="1" s="1"/>
  <c r="AE301" i="1"/>
  <c r="AG301" i="1" s="1"/>
  <c r="AE302" i="1"/>
  <c r="AG302" i="1" s="1"/>
  <c r="AE303" i="1"/>
  <c r="AG303" i="1" s="1"/>
  <c r="AE304" i="1"/>
  <c r="AG304" i="1" s="1"/>
  <c r="AE305" i="1"/>
  <c r="AG305" i="1" s="1"/>
  <c r="AE306" i="1"/>
  <c r="AG306" i="1" s="1"/>
  <c r="AE307" i="1"/>
  <c r="AG307" i="1" s="1"/>
  <c r="AE308" i="1"/>
  <c r="AG308" i="1" s="1"/>
  <c r="AE309" i="1"/>
  <c r="AG309" i="1" s="1"/>
  <c r="AE310" i="1"/>
  <c r="AG310" i="1" s="1"/>
  <c r="AE311" i="1"/>
  <c r="AG311" i="1" s="1"/>
  <c r="AE312" i="1"/>
  <c r="AG312" i="1" s="1"/>
  <c r="AE313" i="1"/>
  <c r="AG313" i="1" s="1"/>
  <c r="AE314" i="1"/>
  <c r="AG314" i="1" s="1"/>
  <c r="AE315" i="1"/>
  <c r="AG315" i="1" s="1"/>
  <c r="AE316" i="1"/>
  <c r="AG316" i="1" s="1"/>
  <c r="AE317" i="1"/>
  <c r="AG317" i="1" s="1"/>
  <c r="AE318" i="1"/>
  <c r="AG318" i="1" s="1"/>
  <c r="AI318" i="1" s="1"/>
  <c r="AE319" i="1"/>
  <c r="AG319" i="1" s="1"/>
  <c r="AE320" i="1"/>
  <c r="AG320" i="1" s="1"/>
  <c r="AE321" i="1"/>
  <c r="AG321" i="1" s="1"/>
  <c r="AE322" i="1"/>
  <c r="AG322" i="1" s="1"/>
  <c r="AE323" i="1"/>
  <c r="AG323" i="1" s="1"/>
  <c r="AE324" i="1"/>
  <c r="AG324" i="1" s="1"/>
  <c r="AE325" i="1"/>
  <c r="AG325" i="1" s="1"/>
  <c r="AE326" i="1"/>
  <c r="AG326" i="1" s="1"/>
  <c r="AE327" i="1"/>
  <c r="AG327" i="1" s="1"/>
  <c r="AE328" i="1"/>
  <c r="AG328" i="1" s="1"/>
  <c r="AE329" i="1"/>
  <c r="AG329" i="1" s="1"/>
  <c r="AE330" i="1"/>
  <c r="AG330" i="1" s="1"/>
  <c r="AE331" i="1"/>
  <c r="AG331" i="1" s="1"/>
  <c r="AE332" i="1"/>
  <c r="AG332" i="1" s="1"/>
  <c r="AE333" i="1"/>
  <c r="AG333" i="1" s="1"/>
  <c r="AE334" i="1"/>
  <c r="AG334" i="1" s="1"/>
  <c r="AI334" i="1" s="1"/>
  <c r="AE335" i="1"/>
  <c r="AG335" i="1" s="1"/>
  <c r="AE336" i="1"/>
  <c r="AG336" i="1" s="1"/>
  <c r="AE337" i="1"/>
  <c r="AG337" i="1" s="1"/>
  <c r="AE338" i="1"/>
  <c r="AG338" i="1" s="1"/>
  <c r="AE339" i="1"/>
  <c r="AG339" i="1" s="1"/>
  <c r="AE340" i="1"/>
  <c r="AG340" i="1" s="1"/>
  <c r="AE341" i="1"/>
  <c r="AG341" i="1" s="1"/>
  <c r="AE342" i="1"/>
  <c r="AG342" i="1" s="1"/>
  <c r="AE343" i="1"/>
  <c r="AG343" i="1" s="1"/>
  <c r="AE344" i="1"/>
  <c r="AG344" i="1" s="1"/>
  <c r="AE345" i="1"/>
  <c r="AG345" i="1" s="1"/>
  <c r="AE346" i="1"/>
  <c r="AG346" i="1" s="1"/>
  <c r="AE347" i="1"/>
  <c r="AG347" i="1" s="1"/>
  <c r="AE348" i="1"/>
  <c r="AG348" i="1" s="1"/>
  <c r="AE349" i="1"/>
  <c r="AG349" i="1" s="1"/>
  <c r="AE350" i="1"/>
  <c r="AG350" i="1" s="1"/>
  <c r="AE351" i="1"/>
  <c r="AG351" i="1" s="1"/>
  <c r="AE352" i="1"/>
  <c r="AG352" i="1" s="1"/>
  <c r="AE353" i="1"/>
  <c r="AG353" i="1" s="1"/>
  <c r="AI353" i="1" s="1"/>
  <c r="AE354" i="1"/>
  <c r="AG354" i="1" s="1"/>
  <c r="AE355" i="1"/>
  <c r="AG355" i="1" s="1"/>
  <c r="AE356" i="1"/>
  <c r="AG356" i="1" s="1"/>
  <c r="AE357" i="1"/>
  <c r="AG357" i="1" s="1"/>
  <c r="AE358" i="1"/>
  <c r="AG358" i="1" s="1"/>
  <c r="AE359" i="1"/>
  <c r="AG359" i="1" s="1"/>
  <c r="AE360" i="1"/>
  <c r="AG360" i="1" s="1"/>
  <c r="AE361" i="1"/>
  <c r="AG361" i="1" s="1"/>
  <c r="AE362" i="1"/>
  <c r="AG362" i="1" s="1"/>
  <c r="AE363" i="1"/>
  <c r="AG363" i="1" s="1"/>
  <c r="AE364" i="1"/>
  <c r="AG364" i="1" s="1"/>
  <c r="AE365" i="1"/>
  <c r="AG365" i="1" s="1"/>
  <c r="AE366" i="1"/>
  <c r="AG366" i="1" s="1"/>
  <c r="AE367" i="1"/>
  <c r="AG367" i="1" s="1"/>
  <c r="AE368" i="1"/>
  <c r="AG368" i="1" s="1"/>
  <c r="AE369" i="1"/>
  <c r="AG369" i="1" s="1"/>
  <c r="AE370" i="1"/>
  <c r="AG370" i="1" s="1"/>
  <c r="AE371" i="1"/>
  <c r="AG371" i="1" s="1"/>
  <c r="AE372" i="1"/>
  <c r="AG372" i="1" s="1"/>
  <c r="AE373" i="1"/>
  <c r="AG373" i="1" s="1"/>
  <c r="AE374" i="1"/>
  <c r="AG374" i="1" s="1"/>
  <c r="AI374" i="1" s="1"/>
  <c r="AE375" i="1"/>
  <c r="AG375" i="1" s="1"/>
  <c r="AI375" i="1" s="1"/>
  <c r="AE376" i="1"/>
  <c r="AG376" i="1" s="1"/>
  <c r="AE377" i="1"/>
  <c r="AG377" i="1" s="1"/>
  <c r="AE378" i="1"/>
  <c r="AG378" i="1" s="1"/>
  <c r="AE379" i="1"/>
  <c r="AG379" i="1" s="1"/>
  <c r="AE380" i="1"/>
  <c r="AG380" i="1" s="1"/>
  <c r="AE381" i="1"/>
  <c r="AG381" i="1" s="1"/>
  <c r="AE382" i="1"/>
  <c r="AG382" i="1" s="1"/>
  <c r="AI382" i="1" s="1"/>
  <c r="AE383" i="1"/>
  <c r="AG383" i="1" s="1"/>
  <c r="AE384" i="1"/>
  <c r="AG384" i="1" s="1"/>
  <c r="AE385" i="1"/>
  <c r="AG385" i="1" s="1"/>
  <c r="AE386" i="1"/>
  <c r="AG386" i="1" s="1"/>
  <c r="AE387" i="1"/>
  <c r="AG387" i="1" s="1"/>
  <c r="AE388" i="1"/>
  <c r="AG388" i="1" s="1"/>
  <c r="AE389" i="1"/>
  <c r="AG389" i="1" s="1"/>
  <c r="AE390" i="1"/>
  <c r="AG390" i="1" s="1"/>
  <c r="AE391" i="1"/>
  <c r="AG391" i="1" s="1"/>
  <c r="AE392" i="1"/>
  <c r="AG392" i="1" s="1"/>
  <c r="AE393" i="1"/>
  <c r="AG393" i="1" s="1"/>
  <c r="AI393" i="1" s="1"/>
  <c r="AE394" i="1"/>
  <c r="AG394" i="1" s="1"/>
  <c r="AE395" i="1"/>
  <c r="AG395" i="1" s="1"/>
  <c r="AE396" i="1"/>
  <c r="AG396" i="1" s="1"/>
  <c r="AE397" i="1"/>
  <c r="AG397" i="1" s="1"/>
  <c r="AE398" i="1"/>
  <c r="AG398" i="1" s="1"/>
  <c r="AI398" i="1" s="1"/>
  <c r="AE399" i="1"/>
  <c r="AG399" i="1" s="1"/>
  <c r="AE400" i="1"/>
  <c r="AG400" i="1" s="1"/>
  <c r="AE401" i="1"/>
  <c r="AG401" i="1" s="1"/>
  <c r="AI401" i="1" s="1"/>
  <c r="AE402" i="1"/>
  <c r="AG402" i="1" s="1"/>
  <c r="AE403" i="1"/>
  <c r="AG403" i="1" s="1"/>
  <c r="AE404" i="1"/>
  <c r="AG404" i="1" s="1"/>
  <c r="AE405" i="1"/>
  <c r="AG405" i="1" s="1"/>
  <c r="AE406" i="1"/>
  <c r="AG406" i="1" s="1"/>
  <c r="AE407" i="1"/>
  <c r="AG407" i="1" s="1"/>
  <c r="AE408" i="1"/>
  <c r="AG408" i="1" s="1"/>
  <c r="AE409" i="1"/>
  <c r="AG409" i="1" s="1"/>
  <c r="AE410" i="1"/>
  <c r="AG410" i="1" s="1"/>
  <c r="AE411" i="1"/>
  <c r="AG411" i="1" s="1"/>
  <c r="AE412" i="1"/>
  <c r="AG412" i="1" s="1"/>
  <c r="AE413" i="1"/>
  <c r="AG413" i="1" s="1"/>
  <c r="AE414" i="1"/>
  <c r="AG414" i="1" s="1"/>
  <c r="AE415" i="1"/>
  <c r="AG415" i="1" s="1"/>
  <c r="AE416" i="1"/>
  <c r="AG416" i="1" s="1"/>
  <c r="AE417" i="1"/>
  <c r="AG417" i="1" s="1"/>
  <c r="AI417" i="1" s="1"/>
  <c r="AE418" i="1"/>
  <c r="AG418" i="1" s="1"/>
  <c r="AE419" i="1"/>
  <c r="AG419" i="1" s="1"/>
  <c r="AE420" i="1"/>
  <c r="AG420" i="1" s="1"/>
  <c r="AE421" i="1"/>
  <c r="AG421" i="1" s="1"/>
  <c r="AE422" i="1"/>
  <c r="AG422" i="1" s="1"/>
  <c r="AE423" i="1"/>
  <c r="AG423" i="1" s="1"/>
  <c r="AI423" i="1" s="1"/>
  <c r="AE424" i="1"/>
  <c r="AG424" i="1" s="1"/>
  <c r="AE425" i="1"/>
  <c r="AG425" i="1" s="1"/>
  <c r="AE426" i="1"/>
  <c r="AG426" i="1" s="1"/>
  <c r="AE427" i="1"/>
  <c r="AG427" i="1" s="1"/>
  <c r="AE428" i="1"/>
  <c r="AG428" i="1" s="1"/>
  <c r="AE429" i="1"/>
  <c r="AG429" i="1" s="1"/>
  <c r="AE430" i="1"/>
  <c r="AG430" i="1" s="1"/>
  <c r="AE431" i="1"/>
  <c r="AG431" i="1" s="1"/>
  <c r="AE432" i="1"/>
  <c r="AG432" i="1" s="1"/>
  <c r="AE433" i="1"/>
  <c r="AG433" i="1" s="1"/>
  <c r="AE434" i="1"/>
  <c r="AG434" i="1" s="1"/>
  <c r="AE435" i="1"/>
  <c r="AG435" i="1" s="1"/>
  <c r="AE436" i="1"/>
  <c r="AG436" i="1" s="1"/>
  <c r="AE437" i="1"/>
  <c r="AG437" i="1" s="1"/>
  <c r="AE438" i="1"/>
  <c r="AG438" i="1" s="1"/>
  <c r="AI438" i="1" s="1"/>
  <c r="AE439" i="1"/>
  <c r="AG439" i="1" s="1"/>
  <c r="AI439" i="1" s="1"/>
  <c r="AE440" i="1"/>
  <c r="AG440" i="1" s="1"/>
  <c r="AE441" i="1"/>
  <c r="AG441" i="1" s="1"/>
  <c r="AE442" i="1"/>
  <c r="AG442" i="1" s="1"/>
  <c r="AE443" i="1"/>
  <c r="AG443" i="1" s="1"/>
  <c r="AE444" i="1"/>
  <c r="AG444" i="1" s="1"/>
  <c r="AE445" i="1"/>
  <c r="AG445" i="1" s="1"/>
  <c r="AE446" i="1"/>
  <c r="AG446" i="1" s="1"/>
  <c r="AI446" i="1" s="1"/>
  <c r="AE447" i="1"/>
  <c r="AG447" i="1" s="1"/>
  <c r="AE448" i="1"/>
  <c r="AG448" i="1" s="1"/>
  <c r="AE449" i="1"/>
  <c r="AG449" i="1" s="1"/>
  <c r="AE450" i="1"/>
  <c r="AG450" i="1" s="1"/>
  <c r="AE451" i="1"/>
  <c r="AG451" i="1" s="1"/>
  <c r="AE452" i="1"/>
  <c r="AG452" i="1" s="1"/>
  <c r="AE453" i="1"/>
  <c r="AG453" i="1" s="1"/>
  <c r="AE454" i="1"/>
  <c r="AG454" i="1" s="1"/>
  <c r="AE455" i="1"/>
  <c r="AG455" i="1" s="1"/>
  <c r="AE456" i="1"/>
  <c r="AG456" i="1" s="1"/>
  <c r="AE457" i="1"/>
  <c r="AG457" i="1" s="1"/>
  <c r="AI457" i="1" s="1"/>
  <c r="AE458" i="1"/>
  <c r="AG458" i="1" s="1"/>
  <c r="AE459" i="1"/>
  <c r="AG459" i="1" s="1"/>
  <c r="AE460" i="1"/>
  <c r="AG460" i="1" s="1"/>
  <c r="AE461" i="1"/>
  <c r="AG461" i="1" s="1"/>
  <c r="AE462" i="1"/>
  <c r="AG462" i="1" s="1"/>
  <c r="AI462" i="1" s="1"/>
  <c r="AE463" i="1"/>
  <c r="AG463" i="1" s="1"/>
  <c r="AE464" i="1"/>
  <c r="AG464" i="1" s="1"/>
  <c r="AE465" i="1"/>
  <c r="AG465" i="1" s="1"/>
  <c r="AI465" i="1" s="1"/>
  <c r="AE466" i="1"/>
  <c r="AG466" i="1" s="1"/>
  <c r="AE467" i="1"/>
  <c r="AG467" i="1" s="1"/>
  <c r="AE468" i="1"/>
  <c r="AG468" i="1" s="1"/>
  <c r="AE469" i="1"/>
  <c r="AG469" i="1" s="1"/>
  <c r="AE470" i="1"/>
  <c r="AG470" i="1" s="1"/>
  <c r="AE471" i="1"/>
  <c r="AG471" i="1" s="1"/>
  <c r="AE472" i="1"/>
  <c r="AG472" i="1" s="1"/>
  <c r="AE473" i="1"/>
  <c r="AG473" i="1" s="1"/>
  <c r="AE474" i="1"/>
  <c r="AG474" i="1" s="1"/>
  <c r="AE475" i="1"/>
  <c r="AG475" i="1" s="1"/>
  <c r="AE476" i="1"/>
  <c r="AG476" i="1" s="1"/>
  <c r="AE477" i="1"/>
  <c r="AG477" i="1" s="1"/>
  <c r="AE478" i="1"/>
  <c r="AG478" i="1" s="1"/>
  <c r="AE479" i="1"/>
  <c r="AG479" i="1" s="1"/>
  <c r="AE480" i="1"/>
  <c r="AG480" i="1" s="1"/>
  <c r="AE481" i="1"/>
  <c r="AG481" i="1" s="1"/>
  <c r="AI481" i="1" s="1"/>
  <c r="AE482" i="1"/>
  <c r="AG482" i="1" s="1"/>
  <c r="AE483" i="1"/>
  <c r="AG483" i="1" s="1"/>
  <c r="AE484" i="1"/>
  <c r="AG484" i="1" s="1"/>
  <c r="AE485" i="1"/>
  <c r="AG485" i="1" s="1"/>
  <c r="AE486" i="1"/>
  <c r="AG486" i="1" s="1"/>
  <c r="AE487" i="1"/>
  <c r="AG487" i="1" s="1"/>
  <c r="AI487" i="1" s="1"/>
  <c r="AE488" i="1"/>
  <c r="AG488" i="1" s="1"/>
  <c r="AE489" i="1"/>
  <c r="AG489" i="1" s="1"/>
  <c r="AE490" i="1"/>
  <c r="AG490" i="1" s="1"/>
  <c r="AE491" i="1"/>
  <c r="AG491" i="1" s="1"/>
  <c r="AE492" i="1"/>
  <c r="AG492" i="1" s="1"/>
  <c r="AE493" i="1"/>
  <c r="AG493" i="1" s="1"/>
  <c r="AE494" i="1"/>
  <c r="AG494" i="1" s="1"/>
  <c r="AE495" i="1"/>
  <c r="AG495" i="1" s="1"/>
  <c r="AE496" i="1"/>
  <c r="AG496" i="1" s="1"/>
  <c r="AE497" i="1"/>
  <c r="AG497" i="1" s="1"/>
  <c r="AE498" i="1"/>
  <c r="AG498" i="1" s="1"/>
  <c r="AE499" i="1"/>
  <c r="AG499" i="1" s="1"/>
  <c r="AE500" i="1"/>
  <c r="AG500" i="1" s="1"/>
  <c r="AE501" i="1"/>
  <c r="AG501" i="1" s="1"/>
  <c r="AE502" i="1"/>
  <c r="AG502" i="1" s="1"/>
  <c r="AI502" i="1" s="1"/>
  <c r="AE503" i="1"/>
  <c r="AG503" i="1" s="1"/>
  <c r="AI503" i="1" s="1"/>
  <c r="AE504" i="1"/>
  <c r="AG504" i="1" s="1"/>
  <c r="AE505" i="1"/>
  <c r="AG505" i="1" s="1"/>
  <c r="AE506" i="1"/>
  <c r="AG506" i="1" s="1"/>
  <c r="AE507" i="1"/>
  <c r="AG507" i="1" s="1"/>
  <c r="AE508" i="1"/>
  <c r="AG508" i="1" s="1"/>
  <c r="AE509" i="1"/>
  <c r="AG509" i="1" s="1"/>
  <c r="AE510" i="1"/>
  <c r="AG510" i="1" s="1"/>
  <c r="AI510" i="1" s="1"/>
  <c r="AE511" i="1"/>
  <c r="AG511" i="1" s="1"/>
  <c r="AE512" i="1"/>
  <c r="AG512" i="1" s="1"/>
  <c r="AE513" i="1"/>
  <c r="AG513" i="1" s="1"/>
  <c r="AE514" i="1"/>
  <c r="AG514" i="1" s="1"/>
  <c r="AE515" i="1"/>
  <c r="AG515" i="1" s="1"/>
  <c r="AE516" i="1"/>
  <c r="AG516" i="1" s="1"/>
  <c r="AE517" i="1"/>
  <c r="AG517" i="1" s="1"/>
  <c r="AE518" i="1"/>
  <c r="AG518" i="1" s="1"/>
  <c r="AE519" i="1"/>
  <c r="AG519" i="1" s="1"/>
  <c r="AE520" i="1"/>
  <c r="AG520" i="1" s="1"/>
  <c r="AE521" i="1"/>
  <c r="AG521" i="1" s="1"/>
  <c r="AI521" i="1" s="1"/>
  <c r="AE522" i="1"/>
  <c r="AG522" i="1" s="1"/>
  <c r="AE523" i="1"/>
  <c r="AG523" i="1" s="1"/>
  <c r="AE524" i="1"/>
  <c r="AG524" i="1" s="1"/>
  <c r="AE525" i="1"/>
  <c r="AG525" i="1" s="1"/>
  <c r="AE526" i="1"/>
  <c r="AG526" i="1" s="1"/>
  <c r="AI526" i="1" s="1"/>
  <c r="AE527" i="1"/>
  <c r="AG527" i="1" s="1"/>
  <c r="AE528" i="1"/>
  <c r="AG528" i="1" s="1"/>
  <c r="AE529" i="1"/>
  <c r="AG529" i="1" s="1"/>
  <c r="AI529" i="1" s="1"/>
  <c r="AE530" i="1"/>
  <c r="AG530" i="1" s="1"/>
  <c r="AE531" i="1"/>
  <c r="AG531" i="1" s="1"/>
  <c r="AE532" i="1"/>
  <c r="AG532" i="1" s="1"/>
  <c r="AE533" i="1"/>
  <c r="AG533" i="1" s="1"/>
  <c r="AE534" i="1"/>
  <c r="AG534" i="1" s="1"/>
  <c r="AE535" i="1"/>
  <c r="AG535" i="1" s="1"/>
  <c r="AE536" i="1"/>
  <c r="AG536" i="1" s="1"/>
  <c r="AE537" i="1"/>
  <c r="AG537" i="1" s="1"/>
  <c r="AE538" i="1"/>
  <c r="AG538" i="1" s="1"/>
  <c r="AE539" i="1"/>
  <c r="AG539" i="1" s="1"/>
  <c r="AE540" i="1"/>
  <c r="AG540" i="1" s="1"/>
  <c r="AE541" i="1"/>
  <c r="AG541" i="1" s="1"/>
  <c r="AE542" i="1"/>
  <c r="AG542" i="1" s="1"/>
  <c r="AE543" i="1"/>
  <c r="AG543" i="1" s="1"/>
  <c r="AE544" i="1"/>
  <c r="AG544" i="1" s="1"/>
  <c r="AE545" i="1"/>
  <c r="AG545" i="1" s="1"/>
  <c r="AI545" i="1" s="1"/>
  <c r="AE546" i="1"/>
  <c r="AG546" i="1" s="1"/>
  <c r="AE547" i="1"/>
  <c r="AG547" i="1" s="1"/>
  <c r="AE548" i="1"/>
  <c r="AG548" i="1" s="1"/>
  <c r="AE549" i="1"/>
  <c r="AG549" i="1" s="1"/>
  <c r="AE550" i="1"/>
  <c r="AG550" i="1" s="1"/>
  <c r="AE551" i="1"/>
  <c r="AG551" i="1" s="1"/>
  <c r="AI551" i="1" s="1"/>
  <c r="AE552" i="1"/>
  <c r="AG552" i="1" s="1"/>
  <c r="AE553" i="1"/>
  <c r="AG553" i="1" s="1"/>
  <c r="AE554" i="1"/>
  <c r="AG554" i="1" s="1"/>
  <c r="AE555" i="1"/>
  <c r="AG555" i="1" s="1"/>
  <c r="AE556" i="1"/>
  <c r="AG556" i="1" s="1"/>
  <c r="AE557" i="1"/>
  <c r="AG557" i="1" s="1"/>
  <c r="AE558" i="1"/>
  <c r="AG558" i="1" s="1"/>
  <c r="AE559" i="1"/>
  <c r="AG559" i="1" s="1"/>
  <c r="AE560" i="1"/>
  <c r="AG560" i="1" s="1"/>
  <c r="AE561" i="1"/>
  <c r="AG561" i="1" s="1"/>
  <c r="AE562" i="1"/>
  <c r="AG562" i="1" s="1"/>
  <c r="AE563" i="1"/>
  <c r="AG563" i="1" s="1"/>
  <c r="AE564" i="1"/>
  <c r="AG564" i="1" s="1"/>
  <c r="AE565" i="1"/>
  <c r="AG565" i="1" s="1"/>
  <c r="AE566" i="1"/>
  <c r="AG566" i="1" s="1"/>
  <c r="AI566" i="1" s="1"/>
  <c r="AE567" i="1"/>
  <c r="AG567" i="1" s="1"/>
  <c r="AI567" i="1" s="1"/>
  <c r="AE568" i="1"/>
  <c r="AG568" i="1" s="1"/>
  <c r="AE569" i="1"/>
  <c r="AG569" i="1" s="1"/>
  <c r="AE570" i="1"/>
  <c r="AG570" i="1" s="1"/>
  <c r="AE571" i="1"/>
  <c r="AG571" i="1" s="1"/>
  <c r="AE572" i="1"/>
  <c r="AG572" i="1" s="1"/>
  <c r="AE573" i="1"/>
  <c r="AG573" i="1" s="1"/>
  <c r="AE574" i="1"/>
  <c r="AG574" i="1" s="1"/>
  <c r="AI574" i="1" s="1"/>
  <c r="AE575" i="1"/>
  <c r="AG575" i="1" s="1"/>
  <c r="AE576" i="1"/>
  <c r="AG576" i="1" s="1"/>
  <c r="AE577" i="1"/>
  <c r="AG577" i="1" s="1"/>
  <c r="AE578" i="1"/>
  <c r="AG578" i="1" s="1"/>
  <c r="AE579" i="1"/>
  <c r="AG579" i="1" s="1"/>
  <c r="AE580" i="1"/>
  <c r="AG580" i="1" s="1"/>
  <c r="AE581" i="1"/>
  <c r="AG581" i="1" s="1"/>
  <c r="AE582" i="1"/>
  <c r="AG582" i="1" s="1"/>
  <c r="AE583" i="1"/>
  <c r="AG583" i="1" s="1"/>
  <c r="AE584" i="1"/>
  <c r="AG584" i="1" s="1"/>
  <c r="AE585" i="1"/>
  <c r="AG585" i="1" s="1"/>
  <c r="AI585" i="1" s="1"/>
  <c r="AE586" i="1"/>
  <c r="AG586" i="1" s="1"/>
  <c r="AE587" i="1"/>
  <c r="AG587" i="1" s="1"/>
  <c r="AE588" i="1"/>
  <c r="AG588" i="1" s="1"/>
  <c r="AE589" i="1"/>
  <c r="AG589" i="1" s="1"/>
  <c r="AE590" i="1"/>
  <c r="AG590" i="1" s="1"/>
  <c r="AE591" i="1"/>
  <c r="AG591" i="1" s="1"/>
  <c r="AE592" i="1"/>
  <c r="AG592" i="1" s="1"/>
  <c r="AE593" i="1"/>
  <c r="AG593" i="1" s="1"/>
  <c r="AI593" i="1" s="1"/>
  <c r="AE594" i="1"/>
  <c r="AG594" i="1" s="1"/>
  <c r="AE595" i="1"/>
  <c r="AG595" i="1" s="1"/>
  <c r="AE596" i="1"/>
  <c r="AG596" i="1" s="1"/>
  <c r="AE597" i="1"/>
  <c r="AG597" i="1" s="1"/>
  <c r="AE598" i="1"/>
  <c r="AG598" i="1" s="1"/>
  <c r="AE599" i="1"/>
  <c r="AG599" i="1" s="1"/>
  <c r="AE600" i="1"/>
  <c r="AG600" i="1" s="1"/>
  <c r="AE601" i="1"/>
  <c r="AG601" i="1" s="1"/>
  <c r="AE602" i="1"/>
  <c r="AG602" i="1" s="1"/>
  <c r="AE603" i="1"/>
  <c r="AG603" i="1" s="1"/>
  <c r="AE604" i="1"/>
  <c r="AG604" i="1" s="1"/>
  <c r="AE605" i="1"/>
  <c r="AG605" i="1" s="1"/>
  <c r="AE606" i="1"/>
  <c r="AG606" i="1" s="1"/>
  <c r="AE607" i="1"/>
  <c r="AG607" i="1" s="1"/>
  <c r="AI607" i="1" s="1"/>
  <c r="AE608" i="1"/>
  <c r="AG608" i="1" s="1"/>
  <c r="AE609" i="1"/>
  <c r="AG609" i="1" s="1"/>
  <c r="AI609" i="1" s="1"/>
  <c r="AE610" i="1"/>
  <c r="AG610" i="1" s="1"/>
  <c r="AE611" i="1"/>
  <c r="AG611" i="1" s="1"/>
  <c r="AE612" i="1"/>
  <c r="AG612" i="1" s="1"/>
  <c r="AE613" i="1"/>
  <c r="AG613" i="1" s="1"/>
  <c r="AE614" i="1"/>
  <c r="AG614" i="1" s="1"/>
  <c r="AE615" i="1"/>
  <c r="AG615" i="1" s="1"/>
  <c r="AI615" i="1" s="1"/>
  <c r="AE616" i="1"/>
  <c r="AG616" i="1" s="1"/>
  <c r="AE617" i="1"/>
  <c r="AG617" i="1" s="1"/>
  <c r="AE618" i="1"/>
  <c r="AG618" i="1" s="1"/>
  <c r="AE619" i="1"/>
  <c r="AG619" i="1" s="1"/>
  <c r="AE620" i="1"/>
  <c r="AG620" i="1" s="1"/>
  <c r="AE621" i="1"/>
  <c r="AG621" i="1" s="1"/>
  <c r="AE622" i="1"/>
  <c r="AG622" i="1" s="1"/>
  <c r="AE623" i="1"/>
  <c r="AG623" i="1" s="1"/>
  <c r="AE624" i="1"/>
  <c r="AG624" i="1" s="1"/>
  <c r="AE625" i="1"/>
  <c r="AG625" i="1" s="1"/>
  <c r="AE626" i="1"/>
  <c r="AG626" i="1" s="1"/>
  <c r="AE627" i="1"/>
  <c r="AG627" i="1" s="1"/>
  <c r="AE628" i="1"/>
  <c r="AG628" i="1" s="1"/>
  <c r="AE629" i="1"/>
  <c r="AG629" i="1" s="1"/>
  <c r="AE630" i="1"/>
  <c r="AG630" i="1" s="1"/>
  <c r="AI630" i="1" s="1"/>
  <c r="AE631" i="1"/>
  <c r="AG631" i="1" s="1"/>
  <c r="AI631" i="1" s="1"/>
  <c r="AE632" i="1"/>
  <c r="AG632" i="1" s="1"/>
  <c r="AE633" i="1"/>
  <c r="AG633" i="1" s="1"/>
  <c r="AE634" i="1"/>
  <c r="AG634" i="1" s="1"/>
  <c r="AE635" i="1"/>
  <c r="AG635" i="1" s="1"/>
  <c r="AE636" i="1"/>
  <c r="AG636" i="1" s="1"/>
  <c r="AE637" i="1"/>
  <c r="AG637" i="1" s="1"/>
  <c r="AE638" i="1"/>
  <c r="AG638" i="1" s="1"/>
  <c r="AI638" i="1" s="1"/>
  <c r="AE639" i="1"/>
  <c r="AG639" i="1" s="1"/>
  <c r="AE640" i="1"/>
  <c r="AG640" i="1" s="1"/>
  <c r="AE641" i="1"/>
  <c r="AG641" i="1" s="1"/>
  <c r="AE642" i="1"/>
  <c r="AG642" i="1" s="1"/>
  <c r="AE643" i="1"/>
  <c r="AG643" i="1" s="1"/>
  <c r="AE644" i="1"/>
  <c r="AG644" i="1" s="1"/>
  <c r="AE645" i="1"/>
  <c r="AG645" i="1" s="1"/>
  <c r="AE646" i="1"/>
  <c r="AG646" i="1" s="1"/>
  <c r="AE647" i="1"/>
  <c r="AG647" i="1" s="1"/>
  <c r="AE648" i="1"/>
  <c r="AG648" i="1" s="1"/>
  <c r="AE649" i="1"/>
  <c r="AG649" i="1" s="1"/>
  <c r="AI649" i="1" s="1"/>
  <c r="AE650" i="1"/>
  <c r="AG650" i="1" s="1"/>
  <c r="AE651" i="1"/>
  <c r="AG651" i="1" s="1"/>
  <c r="AE652" i="1"/>
  <c r="AG652" i="1" s="1"/>
  <c r="AE653" i="1"/>
  <c r="AG653" i="1" s="1"/>
  <c r="AE654" i="1"/>
  <c r="AG654" i="1" s="1"/>
  <c r="AI654" i="1" s="1"/>
  <c r="AE655" i="1"/>
  <c r="AG655" i="1" s="1"/>
  <c r="AE656" i="1"/>
  <c r="AG656" i="1" s="1"/>
  <c r="AE657" i="1"/>
  <c r="AG657" i="1" s="1"/>
  <c r="AI657" i="1" s="1"/>
  <c r="AE658" i="1"/>
  <c r="AG658" i="1" s="1"/>
  <c r="AE659" i="1"/>
  <c r="AG659" i="1" s="1"/>
  <c r="AE660" i="1"/>
  <c r="AG660" i="1" s="1"/>
  <c r="AE661" i="1"/>
  <c r="AG661" i="1" s="1"/>
  <c r="AE662" i="1"/>
  <c r="AG662" i="1" s="1"/>
  <c r="AE663" i="1"/>
  <c r="AG663" i="1" s="1"/>
  <c r="AE664" i="1"/>
  <c r="AG664" i="1" s="1"/>
  <c r="AE665" i="1"/>
  <c r="AG665" i="1" s="1"/>
  <c r="AE666" i="1"/>
  <c r="AG666" i="1" s="1"/>
  <c r="AE667" i="1"/>
  <c r="AG667" i="1" s="1"/>
  <c r="AE668" i="1"/>
  <c r="AG668" i="1" s="1"/>
  <c r="AE669" i="1"/>
  <c r="AG669" i="1" s="1"/>
  <c r="AE670" i="1"/>
  <c r="AG670" i="1" s="1"/>
  <c r="AE671" i="1"/>
  <c r="AG671" i="1" s="1"/>
  <c r="AI671" i="1" s="1"/>
  <c r="AE672" i="1"/>
  <c r="AG672" i="1" s="1"/>
  <c r="AE673" i="1"/>
  <c r="AG673" i="1" s="1"/>
  <c r="AI673" i="1" s="1"/>
  <c r="AE674" i="1"/>
  <c r="AG674" i="1" s="1"/>
  <c r="AE675" i="1"/>
  <c r="AG675" i="1" s="1"/>
  <c r="AE676" i="1"/>
  <c r="AG676" i="1" s="1"/>
  <c r="AE677" i="1"/>
  <c r="AG677" i="1" s="1"/>
  <c r="AE678" i="1"/>
  <c r="AG678" i="1" s="1"/>
  <c r="AE679" i="1"/>
  <c r="AG679" i="1" s="1"/>
  <c r="AI679" i="1" s="1"/>
  <c r="AE680" i="1"/>
  <c r="AG680" i="1" s="1"/>
  <c r="AE681" i="1"/>
  <c r="AG681" i="1" s="1"/>
  <c r="AE682" i="1"/>
  <c r="AG682" i="1" s="1"/>
  <c r="AE683" i="1"/>
  <c r="AG683" i="1" s="1"/>
  <c r="AE684" i="1"/>
  <c r="AG684" i="1" s="1"/>
  <c r="AE685" i="1"/>
  <c r="AG685" i="1" s="1"/>
  <c r="AE686" i="1"/>
  <c r="AG686" i="1" s="1"/>
  <c r="AE687" i="1"/>
  <c r="AG687" i="1" s="1"/>
  <c r="AH687" i="1" s="1"/>
  <c r="AE688" i="1"/>
  <c r="AG688" i="1" s="1"/>
  <c r="AE689" i="1"/>
  <c r="AG689" i="1" s="1"/>
  <c r="AE690" i="1"/>
  <c r="AG690" i="1" s="1"/>
  <c r="AE691" i="1"/>
  <c r="AG691" i="1" s="1"/>
  <c r="AE692" i="1"/>
  <c r="AG692" i="1" s="1"/>
  <c r="AE693" i="1"/>
  <c r="AG693" i="1" s="1"/>
  <c r="AE694" i="1"/>
  <c r="AG694" i="1" s="1"/>
  <c r="AI694" i="1" s="1"/>
  <c r="AE695" i="1"/>
  <c r="AG695" i="1" s="1"/>
  <c r="AI695" i="1" s="1"/>
  <c r="AE696" i="1"/>
  <c r="AG696" i="1" s="1"/>
  <c r="AE697" i="1"/>
  <c r="AG697" i="1" s="1"/>
  <c r="AE698" i="1"/>
  <c r="AG698" i="1" s="1"/>
  <c r="AE699" i="1"/>
  <c r="AG699" i="1" s="1"/>
  <c r="AE700" i="1"/>
  <c r="AG700" i="1" s="1"/>
  <c r="AE701" i="1"/>
  <c r="AG701" i="1" s="1"/>
  <c r="AE702" i="1"/>
  <c r="AG702" i="1" s="1"/>
  <c r="AE703" i="1"/>
  <c r="AG703" i="1" s="1"/>
  <c r="AE704" i="1"/>
  <c r="AG704" i="1" s="1"/>
  <c r="AE705" i="1"/>
  <c r="AG705" i="1" s="1"/>
  <c r="AE706" i="1"/>
  <c r="AG706" i="1" s="1"/>
  <c r="AE707" i="1"/>
  <c r="AG707" i="1" s="1"/>
  <c r="AE708" i="1"/>
  <c r="AG708" i="1" s="1"/>
  <c r="AE709" i="1"/>
  <c r="AG709" i="1" s="1"/>
  <c r="AE710" i="1"/>
  <c r="AG710" i="1" s="1"/>
  <c r="AE711" i="1"/>
  <c r="AG711" i="1" s="1"/>
  <c r="AI711" i="1" s="1"/>
  <c r="AE712" i="1"/>
  <c r="AG712" i="1" s="1"/>
  <c r="AE713" i="1"/>
  <c r="AG713" i="1" s="1"/>
  <c r="AI713" i="1" s="1"/>
  <c r="AE714" i="1"/>
  <c r="AG714" i="1" s="1"/>
  <c r="AE715" i="1"/>
  <c r="AG715" i="1" s="1"/>
  <c r="AE716" i="1"/>
  <c r="AG716" i="1" s="1"/>
  <c r="AE717" i="1"/>
  <c r="AG717" i="1" s="1"/>
  <c r="AE718" i="1"/>
  <c r="AG718" i="1" s="1"/>
  <c r="AI718" i="1" s="1"/>
  <c r="AE719" i="1"/>
  <c r="AG719" i="1" s="1"/>
  <c r="AE720" i="1"/>
  <c r="AG720" i="1" s="1"/>
  <c r="AE721" i="1"/>
  <c r="AG721" i="1" s="1"/>
  <c r="AE722" i="1"/>
  <c r="AG722" i="1" s="1"/>
  <c r="AE723" i="1"/>
  <c r="AG723" i="1" s="1"/>
  <c r="AE724" i="1"/>
  <c r="AG724" i="1" s="1"/>
  <c r="AE725" i="1"/>
  <c r="AG725" i="1" s="1"/>
  <c r="AE726" i="1"/>
  <c r="AG726" i="1" s="1"/>
  <c r="AE727" i="1"/>
  <c r="AG727" i="1" s="1"/>
  <c r="AI727" i="1" s="1"/>
  <c r="AE728" i="1"/>
  <c r="AG728" i="1" s="1"/>
  <c r="AE729" i="1"/>
  <c r="AG729" i="1" s="1"/>
  <c r="AI729" i="1" s="1"/>
  <c r="AE730" i="1"/>
  <c r="AG730" i="1" s="1"/>
  <c r="AE731" i="1"/>
  <c r="AG731" i="1" s="1"/>
  <c r="AE732" i="1"/>
  <c r="AG732" i="1" s="1"/>
  <c r="AE733" i="1"/>
  <c r="AG733" i="1" s="1"/>
  <c r="AE734" i="1"/>
  <c r="AG734" i="1" s="1"/>
  <c r="AI734" i="1" s="1"/>
  <c r="AE735" i="1"/>
  <c r="AG735" i="1" s="1"/>
  <c r="AE736" i="1"/>
  <c r="AG736" i="1" s="1"/>
  <c r="AE737" i="1"/>
  <c r="AG737" i="1" s="1"/>
  <c r="AE738" i="1"/>
  <c r="AG738" i="1" s="1"/>
  <c r="AE739" i="1"/>
  <c r="AG739" i="1" s="1"/>
  <c r="AE740" i="1"/>
  <c r="AG740" i="1" s="1"/>
  <c r="AE741" i="1"/>
  <c r="AG741" i="1" s="1"/>
  <c r="AE742" i="1"/>
  <c r="AG742" i="1" s="1"/>
  <c r="AE743" i="1"/>
  <c r="AG743" i="1" s="1"/>
  <c r="AI743" i="1" s="1"/>
  <c r="AE744" i="1"/>
  <c r="AG744" i="1" s="1"/>
  <c r="AE745" i="1"/>
  <c r="AG745" i="1" s="1"/>
  <c r="AI745" i="1" s="1"/>
  <c r="AE746" i="1"/>
  <c r="AG746" i="1" s="1"/>
  <c r="AE747" i="1"/>
  <c r="AG747" i="1" s="1"/>
  <c r="AE748" i="1"/>
  <c r="AG748" i="1" s="1"/>
  <c r="AE749" i="1"/>
  <c r="AG749" i="1" s="1"/>
  <c r="AE750" i="1"/>
  <c r="AG750" i="1" s="1"/>
  <c r="AI750" i="1" s="1"/>
  <c r="AE751" i="1"/>
  <c r="AG751" i="1" s="1"/>
  <c r="AE752" i="1"/>
  <c r="AG752" i="1" s="1"/>
  <c r="AE753" i="1"/>
  <c r="AG753" i="1" s="1"/>
  <c r="AE754" i="1"/>
  <c r="AG754" i="1" s="1"/>
  <c r="AE755" i="1"/>
  <c r="AG755" i="1" s="1"/>
  <c r="AE756" i="1"/>
  <c r="AG756" i="1" s="1"/>
  <c r="AE757" i="1"/>
  <c r="AG757" i="1" s="1"/>
  <c r="AE758" i="1"/>
  <c r="AG758" i="1" s="1"/>
  <c r="AE759" i="1"/>
  <c r="AG759" i="1" s="1"/>
  <c r="AI759" i="1" s="1"/>
  <c r="AE760" i="1"/>
  <c r="AG760" i="1" s="1"/>
  <c r="AE761" i="1"/>
  <c r="AG761" i="1" s="1"/>
  <c r="AI761" i="1" s="1"/>
  <c r="AE762" i="1"/>
  <c r="AG762" i="1" s="1"/>
  <c r="AE763" i="1"/>
  <c r="AG763" i="1" s="1"/>
  <c r="AE764" i="1"/>
  <c r="AG764" i="1" s="1"/>
  <c r="AE765" i="1"/>
  <c r="AG765" i="1" s="1"/>
  <c r="AE766" i="1"/>
  <c r="AG766" i="1" s="1"/>
  <c r="AI766" i="1" s="1"/>
  <c r="AE767" i="1"/>
  <c r="AG767" i="1" s="1"/>
  <c r="AE768" i="1"/>
  <c r="AG768" i="1" s="1"/>
  <c r="AE769" i="1"/>
  <c r="AG769" i="1" s="1"/>
  <c r="AE770" i="1"/>
  <c r="AG770" i="1" s="1"/>
  <c r="AE771" i="1"/>
  <c r="AG771" i="1" s="1"/>
  <c r="AE772" i="1"/>
  <c r="AG772" i="1" s="1"/>
  <c r="AE773" i="1"/>
  <c r="AG773" i="1" s="1"/>
  <c r="AE774" i="1"/>
  <c r="AG774" i="1" s="1"/>
  <c r="AE775" i="1"/>
  <c r="AG775" i="1" s="1"/>
  <c r="AI775" i="1" s="1"/>
  <c r="AE776" i="1"/>
  <c r="AG776" i="1" s="1"/>
  <c r="AE777" i="1"/>
  <c r="AG777" i="1" s="1"/>
  <c r="AI777" i="1" s="1"/>
  <c r="AE778" i="1"/>
  <c r="AG778" i="1" s="1"/>
  <c r="AE779" i="1"/>
  <c r="AG779" i="1" s="1"/>
  <c r="AE780" i="1"/>
  <c r="AG780" i="1" s="1"/>
  <c r="AE781" i="1"/>
  <c r="AG781" i="1" s="1"/>
  <c r="AE782" i="1"/>
  <c r="AG782" i="1" s="1"/>
  <c r="AI782" i="1" s="1"/>
  <c r="AE783" i="1"/>
  <c r="AG783" i="1" s="1"/>
  <c r="AE784" i="1"/>
  <c r="AG784" i="1" s="1"/>
  <c r="AE785" i="1"/>
  <c r="AG785" i="1" s="1"/>
  <c r="AE786" i="1"/>
  <c r="AG786" i="1" s="1"/>
  <c r="AE787" i="1"/>
  <c r="AG787" i="1" s="1"/>
  <c r="AE788" i="1"/>
  <c r="AG788" i="1" s="1"/>
  <c r="AE789" i="1"/>
  <c r="AG789" i="1" s="1"/>
  <c r="AE790" i="1"/>
  <c r="AG790" i="1" s="1"/>
  <c r="AE791" i="1"/>
  <c r="AG791" i="1" s="1"/>
  <c r="AI791" i="1" s="1"/>
  <c r="AE792" i="1"/>
  <c r="AG792" i="1" s="1"/>
  <c r="AE793" i="1"/>
  <c r="AG793" i="1" s="1"/>
  <c r="AI793" i="1" s="1"/>
  <c r="AE794" i="1"/>
  <c r="AG794" i="1" s="1"/>
  <c r="AE795" i="1"/>
  <c r="AG795" i="1" s="1"/>
  <c r="AE796" i="1"/>
  <c r="AG796" i="1" s="1"/>
  <c r="AE797" i="1"/>
  <c r="AG797" i="1" s="1"/>
  <c r="AE798" i="1"/>
  <c r="AG798" i="1" s="1"/>
  <c r="AE799" i="1"/>
  <c r="AG799" i="1" s="1"/>
  <c r="AE800" i="1"/>
  <c r="AG800" i="1" s="1"/>
  <c r="AE801" i="1"/>
  <c r="AG801" i="1" s="1"/>
  <c r="AE802" i="1"/>
  <c r="AG802" i="1" s="1"/>
  <c r="AE803" i="1"/>
  <c r="AG803" i="1" s="1"/>
  <c r="AE804" i="1"/>
  <c r="AG804" i="1" s="1"/>
  <c r="AE805" i="1"/>
  <c r="AG805" i="1" s="1"/>
  <c r="AE806" i="1"/>
  <c r="AG806" i="1" s="1"/>
  <c r="AE807" i="1"/>
  <c r="AG807" i="1" s="1"/>
  <c r="AI807" i="1" s="1"/>
  <c r="AE808" i="1"/>
  <c r="AG808" i="1" s="1"/>
  <c r="AE809" i="1"/>
  <c r="AG809" i="1" s="1"/>
  <c r="AI809" i="1" s="1"/>
  <c r="AE810" i="1"/>
  <c r="AG810" i="1" s="1"/>
  <c r="AE811" i="1"/>
  <c r="AG811" i="1" s="1"/>
  <c r="AE812" i="1"/>
  <c r="AG812" i="1" s="1"/>
  <c r="AE813" i="1"/>
  <c r="AG813" i="1" s="1"/>
  <c r="AE814" i="1"/>
  <c r="AG814" i="1" s="1"/>
  <c r="AE815" i="1"/>
  <c r="AG815" i="1" s="1"/>
  <c r="AE816" i="1"/>
  <c r="AG816" i="1" s="1"/>
  <c r="AE817" i="1"/>
  <c r="AG817" i="1" s="1"/>
  <c r="AE818" i="1"/>
  <c r="AG818" i="1" s="1"/>
  <c r="AE819" i="1"/>
  <c r="AG819" i="1" s="1"/>
  <c r="AE820" i="1"/>
  <c r="AG820" i="1" s="1"/>
  <c r="AE821" i="1"/>
  <c r="AG821" i="1" s="1"/>
  <c r="AE822" i="1"/>
  <c r="AG822" i="1" s="1"/>
  <c r="AE823" i="1"/>
  <c r="AG823" i="1" s="1"/>
  <c r="AI823" i="1" s="1"/>
  <c r="AE824" i="1"/>
  <c r="AG824" i="1" s="1"/>
  <c r="AE825" i="1"/>
  <c r="AG825" i="1" s="1"/>
  <c r="AE826" i="1"/>
  <c r="AG826" i="1" s="1"/>
  <c r="AE827" i="1"/>
  <c r="AG827" i="1" s="1"/>
  <c r="AE828" i="1"/>
  <c r="AG828" i="1" s="1"/>
  <c r="AE829" i="1"/>
  <c r="AG829" i="1" s="1"/>
  <c r="AE830" i="1"/>
  <c r="AG830" i="1" s="1"/>
  <c r="AI830" i="1" s="1"/>
  <c r="AE831" i="1"/>
  <c r="AG831" i="1" s="1"/>
  <c r="AI831" i="1" s="1"/>
  <c r="AE832" i="1"/>
  <c r="AG832" i="1" s="1"/>
  <c r="AE833" i="1"/>
  <c r="AG833" i="1" s="1"/>
  <c r="AI833" i="1" s="1"/>
  <c r="AE834" i="1"/>
  <c r="AG834" i="1" s="1"/>
  <c r="AE835" i="1"/>
  <c r="AG835" i="1" s="1"/>
  <c r="AE836" i="1"/>
  <c r="AG836" i="1" s="1"/>
  <c r="AE837" i="1"/>
  <c r="AG837" i="1" s="1"/>
  <c r="AE838" i="1"/>
  <c r="AG838" i="1" s="1"/>
  <c r="AI838" i="1" s="1"/>
  <c r="AE839" i="1"/>
  <c r="AG839" i="1" s="1"/>
  <c r="AI839" i="1" s="1"/>
  <c r="AE840" i="1"/>
  <c r="AG840" i="1" s="1"/>
  <c r="AE841" i="1"/>
  <c r="AG841" i="1" s="1"/>
  <c r="AI841" i="1" s="1"/>
  <c r="AE842" i="1"/>
  <c r="AG842" i="1" s="1"/>
  <c r="AE843" i="1"/>
  <c r="AG843" i="1" s="1"/>
  <c r="AE844" i="1"/>
  <c r="AG844" i="1" s="1"/>
  <c r="AE845" i="1"/>
  <c r="AG845" i="1" s="1"/>
  <c r="AE846" i="1"/>
  <c r="AG846" i="1" s="1"/>
  <c r="AI846" i="1" s="1"/>
  <c r="AE847" i="1"/>
  <c r="AG847" i="1" s="1"/>
  <c r="AI847" i="1" s="1"/>
  <c r="AE848" i="1"/>
  <c r="AG848" i="1" s="1"/>
  <c r="AE849" i="1"/>
  <c r="AG849" i="1" s="1"/>
  <c r="AI849" i="1" s="1"/>
  <c r="AE850" i="1"/>
  <c r="AG850" i="1" s="1"/>
  <c r="AE851" i="1"/>
  <c r="AG851" i="1" s="1"/>
  <c r="AE852" i="1"/>
  <c r="AG852" i="1" s="1"/>
  <c r="AE853" i="1"/>
  <c r="AG853" i="1" s="1"/>
  <c r="AE854" i="1"/>
  <c r="AG854" i="1" s="1"/>
  <c r="AE855" i="1"/>
  <c r="AG855" i="1" s="1"/>
  <c r="AI855" i="1" s="1"/>
  <c r="AE856" i="1"/>
  <c r="AG856" i="1" s="1"/>
  <c r="AE857" i="1"/>
  <c r="AG857" i="1" s="1"/>
  <c r="AI857" i="1" s="1"/>
  <c r="AE858" i="1"/>
  <c r="AG858" i="1" s="1"/>
  <c r="AE859" i="1"/>
  <c r="AG859" i="1" s="1"/>
  <c r="AE860" i="1"/>
  <c r="AG860" i="1" s="1"/>
  <c r="AE861" i="1"/>
  <c r="AG861" i="1" s="1"/>
  <c r="AE862" i="1"/>
  <c r="AG862" i="1" s="1"/>
  <c r="AI862" i="1" s="1"/>
  <c r="AE863" i="1"/>
  <c r="AG863" i="1" s="1"/>
  <c r="AI863" i="1" s="1"/>
  <c r="AE864" i="1"/>
  <c r="AG864" i="1" s="1"/>
  <c r="AE865" i="1"/>
  <c r="AG865" i="1" s="1"/>
  <c r="AI865" i="1" s="1"/>
  <c r="AE866" i="1"/>
  <c r="AG866" i="1" s="1"/>
  <c r="AE867" i="1"/>
  <c r="AG867" i="1" s="1"/>
  <c r="AE868" i="1"/>
  <c r="AG868" i="1" s="1"/>
  <c r="AE869" i="1"/>
  <c r="AG869" i="1" s="1"/>
  <c r="AE870" i="1"/>
  <c r="AG870" i="1" s="1"/>
  <c r="AE871" i="1"/>
  <c r="AG871" i="1" s="1"/>
  <c r="AI871" i="1" s="1"/>
  <c r="AE872" i="1"/>
  <c r="AG872" i="1" s="1"/>
  <c r="AE873" i="1"/>
  <c r="AG873" i="1" s="1"/>
  <c r="AI873" i="1" s="1"/>
  <c r="AE874" i="1"/>
  <c r="AG874" i="1" s="1"/>
  <c r="AE875" i="1"/>
  <c r="AG875" i="1" s="1"/>
  <c r="AE876" i="1"/>
  <c r="AG876" i="1" s="1"/>
  <c r="AE877" i="1"/>
  <c r="AG877" i="1" s="1"/>
  <c r="AE878" i="1"/>
  <c r="AG878" i="1" s="1"/>
  <c r="AI878" i="1" s="1"/>
  <c r="AE879" i="1"/>
  <c r="AG879" i="1" s="1"/>
  <c r="AI879" i="1" s="1"/>
  <c r="AE880" i="1"/>
  <c r="AG880" i="1" s="1"/>
  <c r="AE881" i="1"/>
  <c r="AG881" i="1" s="1"/>
  <c r="AI881" i="1" s="1"/>
  <c r="AE882" i="1"/>
  <c r="AG882" i="1" s="1"/>
  <c r="AE883" i="1"/>
  <c r="AG883" i="1" s="1"/>
  <c r="AE884" i="1"/>
  <c r="AG884" i="1" s="1"/>
  <c r="AE885" i="1"/>
  <c r="AG885" i="1" s="1"/>
  <c r="AE886" i="1"/>
  <c r="AG886" i="1" s="1"/>
  <c r="AI886" i="1" s="1"/>
  <c r="AE887" i="1"/>
  <c r="AG887" i="1" s="1"/>
  <c r="AI887" i="1" s="1"/>
  <c r="AE888" i="1"/>
  <c r="AG888" i="1" s="1"/>
  <c r="AE889" i="1"/>
  <c r="AG889" i="1" s="1"/>
  <c r="AI889" i="1" s="1"/>
  <c r="AE890" i="1"/>
  <c r="AG890" i="1" s="1"/>
  <c r="AE891" i="1"/>
  <c r="AG891" i="1" s="1"/>
  <c r="AE892" i="1"/>
  <c r="AG892" i="1" s="1"/>
  <c r="AE893" i="1"/>
  <c r="AG893" i="1" s="1"/>
  <c r="AE894" i="1"/>
  <c r="AG894" i="1" s="1"/>
  <c r="AI894" i="1" s="1"/>
  <c r="AE895" i="1"/>
  <c r="AG895" i="1" s="1"/>
  <c r="AI895" i="1" s="1"/>
  <c r="AE896" i="1"/>
  <c r="AG896" i="1" s="1"/>
  <c r="AE897" i="1"/>
  <c r="AG897" i="1" s="1"/>
  <c r="AI897" i="1" s="1"/>
  <c r="AE898" i="1"/>
  <c r="AG898" i="1" s="1"/>
  <c r="AE899" i="1"/>
  <c r="AG899" i="1" s="1"/>
  <c r="AE900" i="1"/>
  <c r="AG900" i="1" s="1"/>
  <c r="AE901" i="1"/>
  <c r="AG901" i="1" s="1"/>
  <c r="AE902" i="1"/>
  <c r="AG902" i="1" s="1"/>
  <c r="AI902" i="1" s="1"/>
  <c r="AE903" i="1"/>
  <c r="AG903" i="1" s="1"/>
  <c r="AI903" i="1" s="1"/>
  <c r="AE904" i="1"/>
  <c r="AG904" i="1" s="1"/>
  <c r="AE905" i="1"/>
  <c r="AG905" i="1" s="1"/>
  <c r="AI905" i="1" s="1"/>
  <c r="AE906" i="1"/>
  <c r="AG906" i="1" s="1"/>
  <c r="AE907" i="1"/>
  <c r="AG907" i="1" s="1"/>
  <c r="AE908" i="1"/>
  <c r="AG908" i="1" s="1"/>
  <c r="AE909" i="1"/>
  <c r="AG909" i="1" s="1"/>
  <c r="AE910" i="1"/>
  <c r="AG910" i="1" s="1"/>
  <c r="AI910" i="1" s="1"/>
  <c r="AE911" i="1"/>
  <c r="AG911" i="1" s="1"/>
  <c r="AI911" i="1" s="1"/>
  <c r="AE912" i="1"/>
  <c r="AG912" i="1" s="1"/>
  <c r="AE913" i="1"/>
  <c r="AG913" i="1" s="1"/>
  <c r="AI913" i="1" s="1"/>
  <c r="AE914" i="1"/>
  <c r="AG914" i="1" s="1"/>
  <c r="AE915" i="1"/>
  <c r="AG915" i="1" s="1"/>
  <c r="AE916" i="1"/>
  <c r="AG916" i="1" s="1"/>
  <c r="AE917" i="1"/>
  <c r="AG917" i="1" s="1"/>
  <c r="AE918" i="1"/>
  <c r="AG918" i="1" s="1"/>
  <c r="AE919" i="1"/>
  <c r="AG919" i="1" s="1"/>
  <c r="AI919" i="1" s="1"/>
  <c r="AE920" i="1"/>
  <c r="AG920" i="1" s="1"/>
  <c r="AE921" i="1"/>
  <c r="AG921" i="1" s="1"/>
  <c r="AI921" i="1" s="1"/>
  <c r="AE922" i="1"/>
  <c r="AG922" i="1" s="1"/>
  <c r="AE923" i="1"/>
  <c r="AG923" i="1" s="1"/>
  <c r="AE924" i="1"/>
  <c r="AG924" i="1" s="1"/>
  <c r="AE925" i="1"/>
  <c r="AG925" i="1" s="1"/>
  <c r="AE926" i="1"/>
  <c r="AG926" i="1" s="1"/>
  <c r="AI926" i="1" s="1"/>
  <c r="AE927" i="1"/>
  <c r="AG927" i="1" s="1"/>
  <c r="AI927" i="1" s="1"/>
  <c r="AE928" i="1"/>
  <c r="AG928" i="1" s="1"/>
  <c r="AE929" i="1"/>
  <c r="AG929" i="1" s="1"/>
  <c r="AI929" i="1" s="1"/>
  <c r="AE930" i="1"/>
  <c r="AG930" i="1" s="1"/>
  <c r="AE931" i="1"/>
  <c r="AG931" i="1" s="1"/>
  <c r="AE932" i="1"/>
  <c r="AG932" i="1" s="1"/>
  <c r="AE933" i="1"/>
  <c r="AG933" i="1" s="1"/>
  <c r="AE2" i="1"/>
  <c r="AG2" i="1" s="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2" i="1"/>
  <c r="AG97" i="3" l="1"/>
  <c r="AG99" i="3"/>
  <c r="AG101" i="3"/>
  <c r="AG103" i="3"/>
  <c r="AG105" i="3"/>
  <c r="AG107" i="3"/>
  <c r="AG109" i="3"/>
  <c r="AG111" i="3"/>
  <c r="AG113" i="3"/>
  <c r="AG115" i="3"/>
  <c r="AG117" i="3"/>
  <c r="AG119" i="3"/>
  <c r="AG121" i="3"/>
  <c r="AG123" i="3"/>
  <c r="AG125" i="3"/>
  <c r="AG127" i="3"/>
  <c r="AG129" i="3"/>
  <c r="AG131" i="3"/>
  <c r="AG133" i="3"/>
  <c r="AG135" i="3"/>
  <c r="AG137" i="3"/>
  <c r="AG139" i="3"/>
  <c r="AH141" i="3"/>
  <c r="AH149" i="3"/>
  <c r="AH157" i="3"/>
  <c r="AH165" i="3"/>
  <c r="AH173" i="3"/>
  <c r="AH181" i="3"/>
  <c r="AH189" i="3"/>
  <c r="AH197" i="3"/>
  <c r="AH205" i="3"/>
  <c r="AH213" i="3"/>
  <c r="AH221" i="3"/>
  <c r="AH229" i="3"/>
  <c r="AH237" i="3"/>
  <c r="AH245" i="3"/>
  <c r="AH253" i="3"/>
  <c r="AH261" i="3"/>
  <c r="AH269" i="3"/>
  <c r="AH277" i="3"/>
  <c r="AH285" i="3"/>
  <c r="AH293" i="3"/>
  <c r="AH301" i="3"/>
  <c r="AH309" i="3"/>
  <c r="AH317" i="3"/>
  <c r="AH144" i="3"/>
  <c r="AH152" i="3"/>
  <c r="AH160" i="3"/>
  <c r="AH168" i="3"/>
  <c r="AH176" i="3"/>
  <c r="AH184" i="3"/>
  <c r="AH192" i="3"/>
  <c r="AH200" i="3"/>
  <c r="AH208" i="3"/>
  <c r="AH216" i="3"/>
  <c r="AH224" i="3"/>
  <c r="AH232" i="3"/>
  <c r="AH240" i="3"/>
  <c r="AH248" i="3"/>
  <c r="AH256" i="3"/>
  <c r="AH264" i="3"/>
  <c r="AH272" i="3"/>
  <c r="AH280" i="3"/>
  <c r="AH288" i="3"/>
  <c r="AH296" i="3"/>
  <c r="AH304" i="3"/>
  <c r="AH312" i="3"/>
  <c r="AH320" i="3"/>
  <c r="AI431" i="3"/>
  <c r="AH431" i="3"/>
  <c r="AH147" i="3"/>
  <c r="AH155" i="3"/>
  <c r="AH163" i="3"/>
  <c r="AH171" i="3"/>
  <c r="AH179" i="3"/>
  <c r="AH187" i="3"/>
  <c r="AH195" i="3"/>
  <c r="AH203" i="3"/>
  <c r="AH211" i="3"/>
  <c r="AH219" i="3"/>
  <c r="AH227" i="3"/>
  <c r="AH235" i="3"/>
  <c r="AH243" i="3"/>
  <c r="AH251" i="3"/>
  <c r="AH259" i="3"/>
  <c r="AH267" i="3"/>
  <c r="AH275" i="3"/>
  <c r="AH283" i="3"/>
  <c r="AH291" i="3"/>
  <c r="AH299" i="3"/>
  <c r="AH307" i="3"/>
  <c r="AH315" i="3"/>
  <c r="AH145" i="3"/>
  <c r="AH153" i="3"/>
  <c r="AH161" i="3"/>
  <c r="AH169" i="3"/>
  <c r="AH177" i="3"/>
  <c r="AH185" i="3"/>
  <c r="AH193" i="3"/>
  <c r="AH201" i="3"/>
  <c r="AH209" i="3"/>
  <c r="AH217" i="3"/>
  <c r="AH225" i="3"/>
  <c r="AH233" i="3"/>
  <c r="AH241" i="3"/>
  <c r="AH249" i="3"/>
  <c r="AH257" i="3"/>
  <c r="AH265" i="3"/>
  <c r="AH273" i="3"/>
  <c r="AH281" i="3"/>
  <c r="AH289" i="3"/>
  <c r="AH297" i="3"/>
  <c r="AH305" i="3"/>
  <c r="AH313" i="3"/>
  <c r="AH167" i="3"/>
  <c r="AH175" i="3"/>
  <c r="AH239" i="3"/>
  <c r="AH247" i="3"/>
  <c r="AH255" i="3"/>
  <c r="AH263" i="3"/>
  <c r="AH271" i="3"/>
  <c r="AH279" i="3"/>
  <c r="AH287" i="3"/>
  <c r="AH295" i="3"/>
  <c r="AH303" i="3"/>
  <c r="AH311" i="3"/>
  <c r="AH319" i="3"/>
  <c r="AH146" i="3"/>
  <c r="AH154" i="3"/>
  <c r="AH162" i="3"/>
  <c r="AH170" i="3"/>
  <c r="AH178" i="3"/>
  <c r="AH186" i="3"/>
  <c r="AH194" i="3"/>
  <c r="AH202" i="3"/>
  <c r="AH210" i="3"/>
  <c r="AH218" i="3"/>
  <c r="AH226" i="3"/>
  <c r="AH234" i="3"/>
  <c r="AH242" i="3"/>
  <c r="AH250" i="3"/>
  <c r="AI434" i="3"/>
  <c r="AI442" i="3"/>
  <c r="AI450" i="3"/>
  <c r="AI458" i="3"/>
  <c r="AI466" i="3"/>
  <c r="AI474" i="3"/>
  <c r="AI482" i="3"/>
  <c r="AI490" i="3"/>
  <c r="AI498" i="3"/>
  <c r="AI506" i="3"/>
  <c r="AG533" i="3"/>
  <c r="AF533" i="3"/>
  <c r="AG549" i="3"/>
  <c r="AF549" i="3"/>
  <c r="AF569" i="3"/>
  <c r="AG569" i="3"/>
  <c r="AI583" i="3"/>
  <c r="AH583" i="3"/>
  <c r="AI613" i="3"/>
  <c r="AH613" i="3"/>
  <c r="AI632" i="3"/>
  <c r="AH632" i="3"/>
  <c r="AG435" i="3"/>
  <c r="AG443" i="3"/>
  <c r="AG451" i="3"/>
  <c r="AG459" i="3"/>
  <c r="AG467" i="3"/>
  <c r="AG475" i="3"/>
  <c r="AH480" i="3"/>
  <c r="AG483" i="3"/>
  <c r="AH488" i="3"/>
  <c r="AG491" i="3"/>
  <c r="AH496" i="3"/>
  <c r="AG499" i="3"/>
  <c r="AH504" i="3"/>
  <c r="AG507" i="3"/>
  <c r="AG515" i="3"/>
  <c r="AG527" i="3"/>
  <c r="AF527" i="3"/>
  <c r="AG543" i="3"/>
  <c r="AF543" i="3"/>
  <c r="AF559" i="3"/>
  <c r="AG559" i="3"/>
  <c r="AI564" i="3"/>
  <c r="AH564" i="3"/>
  <c r="AI629" i="3"/>
  <c r="AH629" i="3"/>
  <c r="AI643" i="3"/>
  <c r="AH643" i="3"/>
  <c r="AG521" i="3"/>
  <c r="AF521" i="3"/>
  <c r="AG537" i="3"/>
  <c r="AF537" i="3"/>
  <c r="AG553" i="3"/>
  <c r="AF553" i="3"/>
  <c r="AG560" i="3"/>
  <c r="AF560" i="3"/>
  <c r="AI570" i="3"/>
  <c r="AH570" i="3"/>
  <c r="AI584" i="3"/>
  <c r="AH584" i="3"/>
  <c r="AI599" i="3"/>
  <c r="AH599" i="3"/>
  <c r="AH428" i="3"/>
  <c r="AG433" i="3"/>
  <c r="AH438" i="3"/>
  <c r="AG441" i="3"/>
  <c r="AH446" i="3"/>
  <c r="AG449" i="3"/>
  <c r="AH454" i="3"/>
  <c r="AG457" i="3"/>
  <c r="AH462" i="3"/>
  <c r="AG465" i="3"/>
  <c r="AH470" i="3"/>
  <c r="AG473" i="3"/>
  <c r="AH478" i="3"/>
  <c r="AG531" i="3"/>
  <c r="AF531" i="3"/>
  <c r="AG547" i="3"/>
  <c r="AF547" i="3"/>
  <c r="AG566" i="3"/>
  <c r="AF566" i="3"/>
  <c r="AI571" i="3"/>
  <c r="AH571" i="3"/>
  <c r="AF575" i="3"/>
  <c r="AG575" i="3"/>
  <c r="AH481" i="3"/>
  <c r="AH489" i="3"/>
  <c r="AH497" i="3"/>
  <c r="AH505" i="3"/>
  <c r="AH513" i="3"/>
  <c r="AG525" i="3"/>
  <c r="AF525" i="3"/>
  <c r="AG541" i="3"/>
  <c r="AF541" i="3"/>
  <c r="AG557" i="3"/>
  <c r="AF557" i="3"/>
  <c r="AG561" i="3"/>
  <c r="AI562" i="3"/>
  <c r="AH562" i="3"/>
  <c r="AG576" i="3"/>
  <c r="AF576" i="3"/>
  <c r="AI581" i="3"/>
  <c r="AH581" i="3"/>
  <c r="AI600" i="3"/>
  <c r="AH600" i="3"/>
  <c r="AI615" i="3"/>
  <c r="AH615" i="3"/>
  <c r="AI639" i="3"/>
  <c r="AH639" i="3"/>
  <c r="AH436" i="3"/>
  <c r="AG439" i="3"/>
  <c r="AH444" i="3"/>
  <c r="AG447" i="3"/>
  <c r="AH452" i="3"/>
  <c r="AG455" i="3"/>
  <c r="AH460" i="3"/>
  <c r="AG463" i="3"/>
  <c r="AG471" i="3"/>
  <c r="AG479" i="3"/>
  <c r="AG487" i="3"/>
  <c r="AG495" i="3"/>
  <c r="AG503" i="3"/>
  <c r="AG511" i="3"/>
  <c r="AG519" i="3"/>
  <c r="AG535" i="3"/>
  <c r="AF535" i="3"/>
  <c r="AG551" i="3"/>
  <c r="AF551" i="3"/>
  <c r="AI577" i="3"/>
  <c r="AH577" i="3"/>
  <c r="AI578" i="3"/>
  <c r="AH578" i="3"/>
  <c r="AI586" i="3"/>
  <c r="AH586" i="3"/>
  <c r="AG529" i="3"/>
  <c r="AF529" i="3"/>
  <c r="AG545" i="3"/>
  <c r="AF545" i="3"/>
  <c r="AI597" i="3"/>
  <c r="AH597" i="3"/>
  <c r="AI616" i="3"/>
  <c r="AH616" i="3"/>
  <c r="AH429" i="3"/>
  <c r="AG437" i="3"/>
  <c r="AG445" i="3"/>
  <c r="AG453" i="3"/>
  <c r="AG461" i="3"/>
  <c r="AG469" i="3"/>
  <c r="AG477" i="3"/>
  <c r="AG485" i="3"/>
  <c r="AG493" i="3"/>
  <c r="AG501" i="3"/>
  <c r="AG509" i="3"/>
  <c r="AG517" i="3"/>
  <c r="AG523" i="3"/>
  <c r="AF523" i="3"/>
  <c r="AG539" i="3"/>
  <c r="AF539" i="3"/>
  <c r="AG555" i="3"/>
  <c r="AF555" i="3"/>
  <c r="AH563" i="3"/>
  <c r="AI602" i="3"/>
  <c r="AH602" i="3"/>
  <c r="AG565" i="3"/>
  <c r="AH585" i="3"/>
  <c r="AH588" i="3"/>
  <c r="AH601" i="3"/>
  <c r="AH604" i="3"/>
  <c r="AH617" i="3"/>
  <c r="AH620" i="3"/>
  <c r="AH633" i="3"/>
  <c r="AH636" i="3"/>
  <c r="AH640" i="3"/>
  <c r="AI681" i="3"/>
  <c r="AH681" i="3"/>
  <c r="AI682" i="3"/>
  <c r="AH682" i="3"/>
  <c r="AI683" i="3"/>
  <c r="AH683" i="3"/>
  <c r="AI684" i="3"/>
  <c r="AH684" i="3"/>
  <c r="AI685" i="3"/>
  <c r="AH685" i="3"/>
  <c r="AI687" i="3"/>
  <c r="AH687" i="3"/>
  <c r="AH621" i="3"/>
  <c r="AH624" i="3"/>
  <c r="AH637" i="3"/>
  <c r="AH641" i="3"/>
  <c r="AI768" i="3"/>
  <c r="AH768" i="3"/>
  <c r="AF772" i="3"/>
  <c r="AG772" i="3"/>
  <c r="AF687" i="3"/>
  <c r="AH691" i="3"/>
  <c r="AG694" i="3"/>
  <c r="AH699" i="3"/>
  <c r="AG709" i="3"/>
  <c r="AH712" i="3"/>
  <c r="AH715" i="3"/>
  <c r="AG725" i="3"/>
  <c r="AH728" i="3"/>
  <c r="AH731" i="3"/>
  <c r="AG741" i="3"/>
  <c r="AH747" i="3"/>
  <c r="AG751" i="3"/>
  <c r="AF751" i="3"/>
  <c r="AG755" i="3"/>
  <c r="AF755" i="3"/>
  <c r="AG759" i="3"/>
  <c r="AF759" i="3"/>
  <c r="AG763" i="3"/>
  <c r="AF763" i="3"/>
  <c r="AG773" i="3"/>
  <c r="AF773" i="3"/>
  <c r="AI785" i="3"/>
  <c r="AH785" i="3"/>
  <c r="AI792" i="3"/>
  <c r="AH792" i="3"/>
  <c r="AF796" i="3"/>
  <c r="AG796" i="3"/>
  <c r="AI824" i="3"/>
  <c r="AH824" i="3"/>
  <c r="AF681" i="3"/>
  <c r="AF683" i="3"/>
  <c r="AF685" i="3"/>
  <c r="AH689" i="3"/>
  <c r="AG697" i="3"/>
  <c r="AG703" i="3"/>
  <c r="AH706" i="3"/>
  <c r="AG719" i="3"/>
  <c r="AH722" i="3"/>
  <c r="AG735" i="3"/>
  <c r="AH738" i="3"/>
  <c r="AI774" i="3"/>
  <c r="AH774" i="3"/>
  <c r="AI775" i="3"/>
  <c r="AH775" i="3"/>
  <c r="AI832" i="3"/>
  <c r="AH832" i="3"/>
  <c r="AI793" i="3"/>
  <c r="AH793" i="3"/>
  <c r="AI800" i="3"/>
  <c r="AH800" i="3"/>
  <c r="AF804" i="3"/>
  <c r="AG804" i="3"/>
  <c r="AI840" i="3"/>
  <c r="AH840" i="3"/>
  <c r="AF765" i="3"/>
  <c r="AI848" i="3"/>
  <c r="AH848" i="3"/>
  <c r="AG688" i="3"/>
  <c r="AH690" i="3"/>
  <c r="AH695" i="3"/>
  <c r="AG698" i="3"/>
  <c r="AG701" i="3"/>
  <c r="AH704" i="3"/>
  <c r="AH707" i="3"/>
  <c r="AG717" i="3"/>
  <c r="AH720" i="3"/>
  <c r="AH723" i="3"/>
  <c r="AG733" i="3"/>
  <c r="AH739" i="3"/>
  <c r="AG753" i="3"/>
  <c r="AF753" i="3"/>
  <c r="AG757" i="3"/>
  <c r="AF757" i="3"/>
  <c r="AG761" i="3"/>
  <c r="AF761" i="3"/>
  <c r="AI765" i="3"/>
  <c r="AF766" i="3"/>
  <c r="AG766" i="3"/>
  <c r="AF780" i="3"/>
  <c r="AG780" i="3"/>
  <c r="AI801" i="3"/>
  <c r="AH801" i="3"/>
  <c r="AI808" i="3"/>
  <c r="AH808" i="3"/>
  <c r="AI856" i="3"/>
  <c r="AH856" i="3"/>
  <c r="AF682" i="3"/>
  <c r="AF684" i="3"/>
  <c r="AG686" i="3"/>
  <c r="AG693" i="3"/>
  <c r="AG711" i="3"/>
  <c r="AH714" i="3"/>
  <c r="AG727" i="3"/>
  <c r="AH730" i="3"/>
  <c r="AI864" i="3"/>
  <c r="AH864" i="3"/>
  <c r="AG696" i="3"/>
  <c r="AG705" i="3"/>
  <c r="AG721" i="3"/>
  <c r="AG737" i="3"/>
  <c r="AH743" i="3"/>
  <c r="AI767" i="3"/>
  <c r="AH767" i="3"/>
  <c r="AI777" i="3"/>
  <c r="AH777" i="3"/>
  <c r="AI784" i="3"/>
  <c r="AH784" i="3"/>
  <c r="AF788" i="3"/>
  <c r="AG788" i="3"/>
  <c r="AI816" i="3"/>
  <c r="AH816" i="3"/>
  <c r="AG872" i="3"/>
  <c r="AH877" i="3"/>
  <c r="AG880" i="3"/>
  <c r="AH885" i="3"/>
  <c r="AG888" i="3"/>
  <c r="AH893" i="3"/>
  <c r="AG896" i="3"/>
  <c r="AH901" i="3"/>
  <c r="AG904" i="3"/>
  <c r="AH909" i="3"/>
  <c r="AG912" i="3"/>
  <c r="AH917" i="3"/>
  <c r="AG920" i="3"/>
  <c r="AH925" i="3"/>
  <c r="AG928" i="3"/>
  <c r="AH830" i="3"/>
  <c r="AH838" i="3"/>
  <c r="AH846" i="3"/>
  <c r="AH854" i="3"/>
  <c r="AH862" i="3"/>
  <c r="AH870" i="3"/>
  <c r="AH809" i="3"/>
  <c r="AG812" i="3"/>
  <c r="AH817" i="3"/>
  <c r="AG820" i="3"/>
  <c r="AH825" i="3"/>
  <c r="AG828" i="3"/>
  <c r="AH833" i="3"/>
  <c r="AG836" i="3"/>
  <c r="AH841" i="3"/>
  <c r="AG844" i="3"/>
  <c r="AH849" i="3"/>
  <c r="AG852" i="3"/>
  <c r="AH857" i="3"/>
  <c r="AG860" i="3"/>
  <c r="AH865" i="3"/>
  <c r="AG868" i="3"/>
  <c r="AH873" i="3"/>
  <c r="AG876" i="3"/>
  <c r="AH881" i="3"/>
  <c r="AG884" i="3"/>
  <c r="AH889" i="3"/>
  <c r="AG892" i="3"/>
  <c r="AH897" i="3"/>
  <c r="AG900" i="3"/>
  <c r="AH905" i="3"/>
  <c r="AG908" i="3"/>
  <c r="AH913" i="3"/>
  <c r="AG916" i="3"/>
  <c r="AH921" i="3"/>
  <c r="AG924" i="3"/>
  <c r="AH929" i="3"/>
  <c r="AG932" i="3"/>
  <c r="AG764" i="3"/>
  <c r="AI359" i="1"/>
  <c r="AH359" i="1"/>
  <c r="AI2" i="1"/>
  <c r="AH2" i="1"/>
  <c r="AI918" i="1"/>
  <c r="AH918" i="1"/>
  <c r="AI870" i="1"/>
  <c r="AH870" i="1"/>
  <c r="AI854" i="1"/>
  <c r="AH854" i="1"/>
  <c r="AI798" i="1"/>
  <c r="AH798" i="1"/>
  <c r="AI702" i="1"/>
  <c r="AH702" i="1"/>
  <c r="AI590" i="1"/>
  <c r="AH590" i="1"/>
  <c r="AH353" i="1"/>
  <c r="AH545" i="1"/>
  <c r="AH295" i="1"/>
  <c r="AH529" i="1"/>
  <c r="AH273" i="1"/>
  <c r="AH526" i="1"/>
  <c r="AH233" i="1"/>
  <c r="AH465" i="1"/>
  <c r="AH145" i="1"/>
  <c r="AH438" i="1"/>
  <c r="AH73" i="1"/>
  <c r="AH417" i="1"/>
  <c r="AH71" i="1"/>
  <c r="AI925" i="1"/>
  <c r="AH925" i="1"/>
  <c r="AH853" i="1"/>
  <c r="AI853" i="1"/>
  <c r="AH789" i="1"/>
  <c r="AI789" i="1"/>
  <c r="AI717" i="1"/>
  <c r="AH717" i="1"/>
  <c r="AI645" i="1"/>
  <c r="AH645" i="1"/>
  <c r="AI589" i="1"/>
  <c r="AH589" i="1"/>
  <c r="AI549" i="1"/>
  <c r="AH549" i="1"/>
  <c r="AI485" i="1"/>
  <c r="AH485" i="1"/>
  <c r="AI397" i="1"/>
  <c r="AH397" i="1"/>
  <c r="AI277" i="1"/>
  <c r="AH277" i="1"/>
  <c r="AI932" i="1"/>
  <c r="AH932" i="1"/>
  <c r="AI924" i="1"/>
  <c r="AH924" i="1"/>
  <c r="AI916" i="1"/>
  <c r="AH916" i="1"/>
  <c r="AI908" i="1"/>
  <c r="AH908" i="1"/>
  <c r="AI900" i="1"/>
  <c r="AH900" i="1"/>
  <c r="AI892" i="1"/>
  <c r="AH892" i="1"/>
  <c r="AI884" i="1"/>
  <c r="AH884" i="1"/>
  <c r="AI876" i="1"/>
  <c r="AH876" i="1"/>
  <c r="AI868" i="1"/>
  <c r="AH868" i="1"/>
  <c r="AI860" i="1"/>
  <c r="AH860" i="1"/>
  <c r="AI852" i="1"/>
  <c r="AH852" i="1"/>
  <c r="AI844" i="1"/>
  <c r="AH844" i="1"/>
  <c r="AI836" i="1"/>
  <c r="AH836" i="1"/>
  <c r="AI828" i="1"/>
  <c r="AH828" i="1"/>
  <c r="AI820" i="1"/>
  <c r="AH820" i="1"/>
  <c r="AI812" i="1"/>
  <c r="AH812" i="1"/>
  <c r="AI804" i="1"/>
  <c r="AH804" i="1"/>
  <c r="AI796" i="1"/>
  <c r="AH796" i="1"/>
  <c r="AI788" i="1"/>
  <c r="AH788" i="1"/>
  <c r="AI780" i="1"/>
  <c r="AH780" i="1"/>
  <c r="AI772" i="1"/>
  <c r="AH772" i="1"/>
  <c r="AI764" i="1"/>
  <c r="AH764" i="1"/>
  <c r="AI756" i="1"/>
  <c r="AH756" i="1"/>
  <c r="AI748" i="1"/>
  <c r="AH748" i="1"/>
  <c r="AI740" i="1"/>
  <c r="AH740" i="1"/>
  <c r="AI732" i="1"/>
  <c r="AH732" i="1"/>
  <c r="AI724" i="1"/>
  <c r="AH724" i="1"/>
  <c r="AI716" i="1"/>
  <c r="AH716" i="1"/>
  <c r="AI708" i="1"/>
  <c r="AH708" i="1"/>
  <c r="AI700" i="1"/>
  <c r="AH700" i="1"/>
  <c r="AI692" i="1"/>
  <c r="AH692" i="1"/>
  <c r="AI684" i="1"/>
  <c r="AH684" i="1"/>
  <c r="AI676" i="1"/>
  <c r="AH676" i="1"/>
  <c r="AI668" i="1"/>
  <c r="AH668" i="1"/>
  <c r="AH660" i="1"/>
  <c r="AI660" i="1"/>
  <c r="AI652" i="1"/>
  <c r="AH652" i="1"/>
  <c r="AI644" i="1"/>
  <c r="AH644" i="1"/>
  <c r="AI636" i="1"/>
  <c r="AH636" i="1"/>
  <c r="AI628" i="1"/>
  <c r="AH628" i="1"/>
  <c r="AI620" i="1"/>
  <c r="AH620" i="1"/>
  <c r="AI612" i="1"/>
  <c r="AH612" i="1"/>
  <c r="AI604" i="1"/>
  <c r="AH604" i="1"/>
  <c r="AI596" i="1"/>
  <c r="AH596" i="1"/>
  <c r="AI588" i="1"/>
  <c r="AH588" i="1"/>
  <c r="AI580" i="1"/>
  <c r="AH580" i="1"/>
  <c r="AI572" i="1"/>
  <c r="AH572" i="1"/>
  <c r="AI564" i="1"/>
  <c r="AH564" i="1"/>
  <c r="AI556" i="1"/>
  <c r="AH556" i="1"/>
  <c r="AI548" i="1"/>
  <c r="AH548" i="1"/>
  <c r="AI540" i="1"/>
  <c r="AH540" i="1"/>
  <c r="AI532" i="1"/>
  <c r="AH532" i="1"/>
  <c r="AI508" i="1"/>
  <c r="AH508" i="1"/>
  <c r="AI492" i="1"/>
  <c r="AH492" i="1"/>
  <c r="AI484" i="1"/>
  <c r="AH484" i="1"/>
  <c r="AI476" i="1"/>
  <c r="AH476" i="1"/>
  <c r="AI468" i="1"/>
  <c r="AH468" i="1"/>
  <c r="AI444" i="1"/>
  <c r="AH444" i="1"/>
  <c r="AI428" i="1"/>
  <c r="AH428" i="1"/>
  <c r="AI420" i="1"/>
  <c r="AH420" i="1"/>
  <c r="AI412" i="1"/>
  <c r="AH412" i="1"/>
  <c r="AH404" i="1"/>
  <c r="AI404" i="1"/>
  <c r="AI380" i="1"/>
  <c r="AH380" i="1"/>
  <c r="AI364" i="1"/>
  <c r="AH364" i="1"/>
  <c r="AI356" i="1"/>
  <c r="AH356" i="1"/>
  <c r="AI348" i="1"/>
  <c r="AH348" i="1"/>
  <c r="AI340" i="1"/>
  <c r="AH340" i="1"/>
  <c r="AI316" i="1"/>
  <c r="AH316" i="1"/>
  <c r="AI300" i="1"/>
  <c r="AH300" i="1"/>
  <c r="AI284" i="1"/>
  <c r="AH284" i="1"/>
  <c r="AH917" i="1"/>
  <c r="AI917" i="1"/>
  <c r="AI869" i="1"/>
  <c r="AH869" i="1"/>
  <c r="AI829" i="1"/>
  <c r="AH829" i="1"/>
  <c r="AH781" i="1"/>
  <c r="AI781" i="1"/>
  <c r="AI733" i="1"/>
  <c r="AH733" i="1"/>
  <c r="AI621" i="1"/>
  <c r="AH621" i="1"/>
  <c r="AI573" i="1"/>
  <c r="AH573" i="1"/>
  <c r="AI525" i="1"/>
  <c r="AH525" i="1"/>
  <c r="AI493" i="1"/>
  <c r="AH493" i="1"/>
  <c r="AI445" i="1"/>
  <c r="AH445" i="1"/>
  <c r="AI389" i="1"/>
  <c r="AH389" i="1"/>
  <c r="AI357" i="1"/>
  <c r="AH357" i="1"/>
  <c r="AI325" i="1"/>
  <c r="AH325" i="1"/>
  <c r="AI301" i="1"/>
  <c r="AH301" i="1"/>
  <c r="AI261" i="1"/>
  <c r="AH261" i="1"/>
  <c r="AI229" i="1"/>
  <c r="AH229" i="1"/>
  <c r="AI205" i="1"/>
  <c r="AH205" i="1"/>
  <c r="AH173" i="1"/>
  <c r="AI173" i="1"/>
  <c r="AI149" i="1"/>
  <c r="AH149" i="1"/>
  <c r="AI125" i="1"/>
  <c r="AH125" i="1"/>
  <c r="AH109" i="1"/>
  <c r="AI109" i="1"/>
  <c r="AI85" i="1"/>
  <c r="AH85" i="1"/>
  <c r="AI77" i="1"/>
  <c r="AH77" i="1"/>
  <c r="AI61" i="1"/>
  <c r="AH61" i="1"/>
  <c r="AI53" i="1"/>
  <c r="AH53" i="1"/>
  <c r="AI37" i="1"/>
  <c r="AH37" i="1"/>
  <c r="AI21" i="1"/>
  <c r="AH21" i="1"/>
  <c r="AI13" i="1"/>
  <c r="AH13" i="1"/>
  <c r="AI5" i="1"/>
  <c r="AH5" i="1"/>
  <c r="AI931" i="1"/>
  <c r="AH931" i="1"/>
  <c r="AI923" i="1"/>
  <c r="AH923" i="1"/>
  <c r="AI915" i="1"/>
  <c r="AH915" i="1"/>
  <c r="AH907" i="1"/>
  <c r="AI907" i="1"/>
  <c r="AI899" i="1"/>
  <c r="AH899" i="1"/>
  <c r="AI891" i="1"/>
  <c r="AH891" i="1"/>
  <c r="AI883" i="1"/>
  <c r="AH883" i="1"/>
  <c r="AI875" i="1"/>
  <c r="AH875" i="1"/>
  <c r="AI867" i="1"/>
  <c r="AH867" i="1"/>
  <c r="AI859" i="1"/>
  <c r="AH859" i="1"/>
  <c r="AI851" i="1"/>
  <c r="AH851" i="1"/>
  <c r="AH843" i="1"/>
  <c r="AI843" i="1"/>
  <c r="AI835" i="1"/>
  <c r="AH835" i="1"/>
  <c r="AI827" i="1"/>
  <c r="AH827" i="1"/>
  <c r="AI819" i="1"/>
  <c r="AH819" i="1"/>
  <c r="AI811" i="1"/>
  <c r="AH811" i="1"/>
  <c r="AI803" i="1"/>
  <c r="AH803" i="1"/>
  <c r="AI795" i="1"/>
  <c r="AH795" i="1"/>
  <c r="AI787" i="1"/>
  <c r="AH787" i="1"/>
  <c r="AH779" i="1"/>
  <c r="AI779" i="1"/>
  <c r="AI771" i="1"/>
  <c r="AH771" i="1"/>
  <c r="AI763" i="1"/>
  <c r="AH763" i="1"/>
  <c r="AI755" i="1"/>
  <c r="AH755" i="1"/>
  <c r="AI747" i="1"/>
  <c r="AH747" i="1"/>
  <c r="AI739" i="1"/>
  <c r="AH739" i="1"/>
  <c r="AI731" i="1"/>
  <c r="AH731" i="1"/>
  <c r="AI723" i="1"/>
  <c r="AH723" i="1"/>
  <c r="AI715" i="1"/>
  <c r="AH715" i="1"/>
  <c r="AI707" i="1"/>
  <c r="AH707" i="1"/>
  <c r="AI699" i="1"/>
  <c r="AH699" i="1"/>
  <c r="AI691" i="1"/>
  <c r="AH691" i="1"/>
  <c r="AI683" i="1"/>
  <c r="AH683" i="1"/>
  <c r="AI675" i="1"/>
  <c r="AH675" i="1"/>
  <c r="AI667" i="1"/>
  <c r="AH667" i="1"/>
  <c r="AI659" i="1"/>
  <c r="AH659" i="1"/>
  <c r="AH651" i="1"/>
  <c r="AI651" i="1"/>
  <c r="AI643" i="1"/>
  <c r="AH643" i="1"/>
  <c r="AI635" i="1"/>
  <c r="AH635" i="1"/>
  <c r="AI627" i="1"/>
  <c r="AH627" i="1"/>
  <c r="AI619" i="1"/>
  <c r="AH619" i="1"/>
  <c r="AI611" i="1"/>
  <c r="AH611" i="1"/>
  <c r="AI603" i="1"/>
  <c r="AH603" i="1"/>
  <c r="AI595" i="1"/>
  <c r="AH595" i="1"/>
  <c r="AH587" i="1"/>
  <c r="AI587" i="1"/>
  <c r="AI579" i="1"/>
  <c r="AH579" i="1"/>
  <c r="AI571" i="1"/>
  <c r="AH571" i="1"/>
  <c r="AI563" i="1"/>
  <c r="AH563" i="1"/>
  <c r="AI555" i="1"/>
  <c r="AH555" i="1"/>
  <c r="AI547" i="1"/>
  <c r="AH547" i="1"/>
  <c r="AI539" i="1"/>
  <c r="AH539" i="1"/>
  <c r="AI531" i="1"/>
  <c r="AH531" i="1"/>
  <c r="AI523" i="1"/>
  <c r="AH523" i="1"/>
  <c r="AI515" i="1"/>
  <c r="AH515" i="1"/>
  <c r="AI507" i="1"/>
  <c r="AH507" i="1"/>
  <c r="AI499" i="1"/>
  <c r="AH499" i="1"/>
  <c r="AI491" i="1"/>
  <c r="AH491" i="1"/>
  <c r="AI483" i="1"/>
  <c r="AH483" i="1"/>
  <c r="AI475" i="1"/>
  <c r="AH475" i="1"/>
  <c r="AI467" i="1"/>
  <c r="AH467" i="1"/>
  <c r="AI459" i="1"/>
  <c r="AH459" i="1"/>
  <c r="AI451" i="1"/>
  <c r="AH451" i="1"/>
  <c r="AI443" i="1"/>
  <c r="AH443" i="1"/>
  <c r="AI435" i="1"/>
  <c r="AH435" i="1"/>
  <c r="AI427" i="1"/>
  <c r="AH427" i="1"/>
  <c r="AI419" i="1"/>
  <c r="AH419" i="1"/>
  <c r="AI411" i="1"/>
  <c r="AH411" i="1"/>
  <c r="AI403" i="1"/>
  <c r="AH403" i="1"/>
  <c r="AH395" i="1"/>
  <c r="AI395" i="1"/>
  <c r="AI387" i="1"/>
  <c r="AH387" i="1"/>
  <c r="AI379" i="1"/>
  <c r="AH379" i="1"/>
  <c r="AI371" i="1"/>
  <c r="AH371" i="1"/>
  <c r="AI363" i="1"/>
  <c r="AH363" i="1"/>
  <c r="AI355" i="1"/>
  <c r="AH355" i="1"/>
  <c r="AI347" i="1"/>
  <c r="AH347" i="1"/>
  <c r="AI339" i="1"/>
  <c r="AH339" i="1"/>
  <c r="AH331" i="1"/>
  <c r="AI331" i="1"/>
  <c r="AI323" i="1"/>
  <c r="AH323" i="1"/>
  <c r="AI315" i="1"/>
  <c r="AH315" i="1"/>
  <c r="AI307" i="1"/>
  <c r="AH307" i="1"/>
  <c r="AI299" i="1"/>
  <c r="AH299" i="1"/>
  <c r="AI291" i="1"/>
  <c r="AH291" i="1"/>
  <c r="AH283" i="1"/>
  <c r="AI283" i="1"/>
  <c r="AI275" i="1"/>
  <c r="AH275" i="1"/>
  <c r="AI267" i="1"/>
  <c r="AH267" i="1"/>
  <c r="AI259" i="1"/>
  <c r="AH259" i="1"/>
  <c r="AI251" i="1"/>
  <c r="AH251" i="1"/>
  <c r="AI243" i="1"/>
  <c r="AH243" i="1"/>
  <c r="AI235" i="1"/>
  <c r="AH235" i="1"/>
  <c r="AI227" i="1"/>
  <c r="AH227" i="1"/>
  <c r="AH219" i="1"/>
  <c r="AI219" i="1"/>
  <c r="AI211" i="1"/>
  <c r="AH211" i="1"/>
  <c r="AH203" i="1"/>
  <c r="AI203" i="1"/>
  <c r="AI195" i="1"/>
  <c r="AH195" i="1"/>
  <c r="AI187" i="1"/>
  <c r="AH187" i="1"/>
  <c r="AI179" i="1"/>
  <c r="AH179" i="1"/>
  <c r="AI171" i="1"/>
  <c r="AH171" i="1"/>
  <c r="AI163" i="1"/>
  <c r="AH163" i="1"/>
  <c r="AI155" i="1"/>
  <c r="AH155" i="1"/>
  <c r="AI147" i="1"/>
  <c r="AH147" i="1"/>
  <c r="AH139" i="1"/>
  <c r="AI139" i="1"/>
  <c r="AI131" i="1"/>
  <c r="AH131" i="1"/>
  <c r="AI123" i="1"/>
  <c r="AH123" i="1"/>
  <c r="AI115" i="1"/>
  <c r="AH115" i="1"/>
  <c r="AI107" i="1"/>
  <c r="AH107" i="1"/>
  <c r="AI99" i="1"/>
  <c r="AH99" i="1"/>
  <c r="AH91" i="1"/>
  <c r="AI91" i="1"/>
  <c r="AI83" i="1"/>
  <c r="AH83" i="1"/>
  <c r="AH75" i="1"/>
  <c r="AI75" i="1"/>
  <c r="AI67" i="1"/>
  <c r="AH67" i="1"/>
  <c r="AI59" i="1"/>
  <c r="AH59" i="1"/>
  <c r="AI51" i="1"/>
  <c r="AH51" i="1"/>
  <c r="AI43" i="1"/>
  <c r="AH43" i="1"/>
  <c r="AI35" i="1"/>
  <c r="AH35" i="1"/>
  <c r="AH27" i="1"/>
  <c r="AI27" i="1"/>
  <c r="AI19" i="1"/>
  <c r="AH19" i="1"/>
  <c r="AI11" i="1"/>
  <c r="AH11" i="1"/>
  <c r="AI3" i="1"/>
  <c r="AH3" i="1"/>
  <c r="AI893" i="1"/>
  <c r="AH893" i="1"/>
  <c r="AI837" i="1"/>
  <c r="AH837" i="1"/>
  <c r="AI773" i="1"/>
  <c r="AH773" i="1"/>
  <c r="AI725" i="1"/>
  <c r="AH725" i="1"/>
  <c r="AI677" i="1"/>
  <c r="AH677" i="1"/>
  <c r="AI637" i="1"/>
  <c r="AH637" i="1"/>
  <c r="AI437" i="1"/>
  <c r="AH437" i="1"/>
  <c r="AI930" i="1"/>
  <c r="AH930" i="1"/>
  <c r="AI922" i="1"/>
  <c r="AH922" i="1"/>
  <c r="AI914" i="1"/>
  <c r="AH914" i="1"/>
  <c r="AI906" i="1"/>
  <c r="AH906" i="1"/>
  <c r="AI898" i="1"/>
  <c r="AH898" i="1"/>
  <c r="AI890" i="1"/>
  <c r="AH890" i="1"/>
  <c r="AI882" i="1"/>
  <c r="AH882" i="1"/>
  <c r="AI874" i="1"/>
  <c r="AH874" i="1"/>
  <c r="AI866" i="1"/>
  <c r="AH866" i="1"/>
  <c r="AI858" i="1"/>
  <c r="AH858" i="1"/>
  <c r="AI850" i="1"/>
  <c r="AH850" i="1"/>
  <c r="AI842" i="1"/>
  <c r="AH842" i="1"/>
  <c r="AI834" i="1"/>
  <c r="AH834" i="1"/>
  <c r="AI826" i="1"/>
  <c r="AH826" i="1"/>
  <c r="AI818" i="1"/>
  <c r="AH818" i="1"/>
  <c r="AI810" i="1"/>
  <c r="AH810" i="1"/>
  <c r="AI802" i="1"/>
  <c r="AH802" i="1"/>
  <c r="AI794" i="1"/>
  <c r="AH794" i="1"/>
  <c r="AI786" i="1"/>
  <c r="AH786" i="1"/>
  <c r="AI778" i="1"/>
  <c r="AH778" i="1"/>
  <c r="AI770" i="1"/>
  <c r="AH770" i="1"/>
  <c r="AI762" i="1"/>
  <c r="AH762" i="1"/>
  <c r="AI754" i="1"/>
  <c r="AH754" i="1"/>
  <c r="AI746" i="1"/>
  <c r="AH746" i="1"/>
  <c r="AI738" i="1"/>
  <c r="AH738" i="1"/>
  <c r="AI730" i="1"/>
  <c r="AH730" i="1"/>
  <c r="AI722" i="1"/>
  <c r="AH722" i="1"/>
  <c r="AI714" i="1"/>
  <c r="AH714" i="1"/>
  <c r="AI706" i="1"/>
  <c r="AH706" i="1"/>
  <c r="AI698" i="1"/>
  <c r="AH698" i="1"/>
  <c r="AI690" i="1"/>
  <c r="AH690" i="1"/>
  <c r="AI682" i="1"/>
  <c r="AH682" i="1"/>
  <c r="AI674" i="1"/>
  <c r="AH674" i="1"/>
  <c r="AI666" i="1"/>
  <c r="AH666" i="1"/>
  <c r="AI658" i="1"/>
  <c r="AH658" i="1"/>
  <c r="AI650" i="1"/>
  <c r="AH650" i="1"/>
  <c r="AI642" i="1"/>
  <c r="AH642" i="1"/>
  <c r="AI634" i="1"/>
  <c r="AH634" i="1"/>
  <c r="AI626" i="1"/>
  <c r="AH626" i="1"/>
  <c r="AI618" i="1"/>
  <c r="AH618" i="1"/>
  <c r="AI610" i="1"/>
  <c r="AH610" i="1"/>
  <c r="AI602" i="1"/>
  <c r="AH602" i="1"/>
  <c r="AI594" i="1"/>
  <c r="AH594" i="1"/>
  <c r="AI586" i="1"/>
  <c r="AH586" i="1"/>
  <c r="AI578" i="1"/>
  <c r="AH578" i="1"/>
  <c r="AI570" i="1"/>
  <c r="AH570" i="1"/>
  <c r="AI562" i="1"/>
  <c r="AH562" i="1"/>
  <c r="AI554" i="1"/>
  <c r="AH554" i="1"/>
  <c r="AI546" i="1"/>
  <c r="AH546" i="1"/>
  <c r="AI538" i="1"/>
  <c r="AH538" i="1"/>
  <c r="AI522" i="1"/>
  <c r="AH522" i="1"/>
  <c r="AI506" i="1"/>
  <c r="AH506" i="1"/>
  <c r="AI498" i="1"/>
  <c r="AH498" i="1"/>
  <c r="AI490" i="1"/>
  <c r="AH490" i="1"/>
  <c r="AI482" i="1"/>
  <c r="AH482" i="1"/>
  <c r="AI474" i="1"/>
  <c r="AH474" i="1"/>
  <c r="AI458" i="1"/>
  <c r="AH458" i="1"/>
  <c r="AI442" i="1"/>
  <c r="AH442" i="1"/>
  <c r="AI434" i="1"/>
  <c r="AH434" i="1"/>
  <c r="AI426" i="1"/>
  <c r="AH426" i="1"/>
  <c r="AI418" i="1"/>
  <c r="AH418" i="1"/>
  <c r="AI410" i="1"/>
  <c r="AH410" i="1"/>
  <c r="AI394" i="1"/>
  <c r="AH394" i="1"/>
  <c r="AI378" i="1"/>
  <c r="AH378" i="1"/>
  <c r="AI370" i="1"/>
  <c r="AH370" i="1"/>
  <c r="AI362" i="1"/>
  <c r="AH362" i="1"/>
  <c r="AI354" i="1"/>
  <c r="AH354" i="1"/>
  <c r="AI346" i="1"/>
  <c r="AH346" i="1"/>
  <c r="AI330" i="1"/>
  <c r="AH330" i="1"/>
  <c r="AI314" i="1"/>
  <c r="AH314" i="1"/>
  <c r="AI306" i="1"/>
  <c r="AH306" i="1"/>
  <c r="AI298" i="1"/>
  <c r="AH298" i="1"/>
  <c r="AI290" i="1"/>
  <c r="AH290" i="1"/>
  <c r="AI282" i="1"/>
  <c r="AH282" i="1"/>
  <c r="AI274" i="1"/>
  <c r="AH274" i="1"/>
  <c r="AI266" i="1"/>
  <c r="AH266" i="1"/>
  <c r="AI250" i="1"/>
  <c r="AH250" i="1"/>
  <c r="AI234" i="1"/>
  <c r="AH234" i="1"/>
  <c r="AI226" i="1"/>
  <c r="AH226" i="1"/>
  <c r="AI218" i="1"/>
  <c r="AH218" i="1"/>
  <c r="AI210" i="1"/>
  <c r="AH210" i="1"/>
  <c r="AI202" i="1"/>
  <c r="AH202" i="1"/>
  <c r="AI186" i="1"/>
  <c r="AH186" i="1"/>
  <c r="AI170" i="1"/>
  <c r="AH170" i="1"/>
  <c r="AI162" i="1"/>
  <c r="AH162" i="1"/>
  <c r="AI154" i="1"/>
  <c r="AH154" i="1"/>
  <c r="AI146" i="1"/>
  <c r="AH146" i="1"/>
  <c r="AI138" i="1"/>
  <c r="AH138" i="1"/>
  <c r="AI122" i="1"/>
  <c r="AH122" i="1"/>
  <c r="AI106" i="1"/>
  <c r="AH106" i="1"/>
  <c r="AI98" i="1"/>
  <c r="AH98" i="1"/>
  <c r="AI90" i="1"/>
  <c r="AH90" i="1"/>
  <c r="AI82" i="1"/>
  <c r="AH82" i="1"/>
  <c r="AI74" i="1"/>
  <c r="AH74" i="1"/>
  <c r="AI58" i="1"/>
  <c r="AH58" i="1"/>
  <c r="AI42" i="1"/>
  <c r="AH42" i="1"/>
  <c r="AI34" i="1"/>
  <c r="AH34" i="1"/>
  <c r="AI26" i="1"/>
  <c r="AH26" i="1"/>
  <c r="AI18" i="1"/>
  <c r="AH18" i="1"/>
  <c r="AI10" i="1"/>
  <c r="AH10" i="1"/>
  <c r="AH909" i="1"/>
  <c r="AI909" i="1"/>
  <c r="AH845" i="1"/>
  <c r="AI845" i="1"/>
  <c r="AI797" i="1"/>
  <c r="AH797" i="1"/>
  <c r="AI741" i="1"/>
  <c r="AH741" i="1"/>
  <c r="AI685" i="1"/>
  <c r="AH685" i="1"/>
  <c r="AI613" i="1"/>
  <c r="AH613" i="1"/>
  <c r="AI429" i="1"/>
  <c r="AH429" i="1"/>
  <c r="AI901" i="1"/>
  <c r="AH901" i="1"/>
  <c r="AI861" i="1"/>
  <c r="AH861" i="1"/>
  <c r="AI805" i="1"/>
  <c r="AH805" i="1"/>
  <c r="AI757" i="1"/>
  <c r="AH757" i="1"/>
  <c r="AI709" i="1"/>
  <c r="AH709" i="1"/>
  <c r="AI653" i="1"/>
  <c r="AH653" i="1"/>
  <c r="AI597" i="1"/>
  <c r="AH597" i="1"/>
  <c r="AI565" i="1"/>
  <c r="AH565" i="1"/>
  <c r="AI517" i="1"/>
  <c r="AH517" i="1"/>
  <c r="AI469" i="1"/>
  <c r="AH469" i="1"/>
  <c r="AI421" i="1"/>
  <c r="AH421" i="1"/>
  <c r="AI365" i="1"/>
  <c r="AH365" i="1"/>
  <c r="AI293" i="1"/>
  <c r="AH293" i="1"/>
  <c r="AI253" i="1"/>
  <c r="AH253" i="1"/>
  <c r="AI189" i="1"/>
  <c r="AH189" i="1"/>
  <c r="AI157" i="1"/>
  <c r="AH157" i="1"/>
  <c r="AI117" i="1"/>
  <c r="AH117" i="1"/>
  <c r="AI69" i="1"/>
  <c r="AH69" i="1"/>
  <c r="AI928" i="1"/>
  <c r="AH928" i="1"/>
  <c r="AI920" i="1"/>
  <c r="AH920" i="1"/>
  <c r="AI912" i="1"/>
  <c r="AH912" i="1"/>
  <c r="AI904" i="1"/>
  <c r="AH904" i="1"/>
  <c r="AI896" i="1"/>
  <c r="AH896" i="1"/>
  <c r="AI888" i="1"/>
  <c r="AH888" i="1"/>
  <c r="AI880" i="1"/>
  <c r="AH880" i="1"/>
  <c r="AI872" i="1"/>
  <c r="AH872" i="1"/>
  <c r="AI864" i="1"/>
  <c r="AH864" i="1"/>
  <c r="AI856" i="1"/>
  <c r="AH856" i="1"/>
  <c r="AI848" i="1"/>
  <c r="AH848" i="1"/>
  <c r="AI840" i="1"/>
  <c r="AH840" i="1"/>
  <c r="AI832" i="1"/>
  <c r="AH832" i="1"/>
  <c r="AI824" i="1"/>
  <c r="AH824" i="1"/>
  <c r="AI816" i="1"/>
  <c r="AH816" i="1"/>
  <c r="AI808" i="1"/>
  <c r="AH808" i="1"/>
  <c r="AI800" i="1"/>
  <c r="AH800" i="1"/>
  <c r="AI792" i="1"/>
  <c r="AH792" i="1"/>
  <c r="AI784" i="1"/>
  <c r="AH784" i="1"/>
  <c r="AI776" i="1"/>
  <c r="AH776" i="1"/>
  <c r="AI768" i="1"/>
  <c r="AH768" i="1"/>
  <c r="AI760" i="1"/>
  <c r="AH760" i="1"/>
  <c r="AI752" i="1"/>
  <c r="AH752" i="1"/>
  <c r="AI744" i="1"/>
  <c r="AH744" i="1"/>
  <c r="AI736" i="1"/>
  <c r="AH736" i="1"/>
  <c r="AI728" i="1"/>
  <c r="AH728" i="1"/>
  <c r="AI720" i="1"/>
  <c r="AH720" i="1"/>
  <c r="AI712" i="1"/>
  <c r="AH712" i="1"/>
  <c r="AI704" i="1"/>
  <c r="AH704" i="1"/>
  <c r="AI696" i="1"/>
  <c r="AH696" i="1"/>
  <c r="AI688" i="1"/>
  <c r="AH688" i="1"/>
  <c r="AI680" i="1"/>
  <c r="AH680" i="1"/>
  <c r="AI672" i="1"/>
  <c r="AH672" i="1"/>
  <c r="AI664" i="1"/>
  <c r="AH664" i="1"/>
  <c r="AI656" i="1"/>
  <c r="AH656" i="1"/>
  <c r="AI648" i="1"/>
  <c r="AH648" i="1"/>
  <c r="AI640" i="1"/>
  <c r="AH640" i="1"/>
  <c r="AI632" i="1"/>
  <c r="AH632" i="1"/>
  <c r="AI624" i="1"/>
  <c r="AH624" i="1"/>
  <c r="AI616" i="1"/>
  <c r="AH616" i="1"/>
  <c r="AI608" i="1"/>
  <c r="AH608" i="1"/>
  <c r="AI600" i="1"/>
  <c r="AH600" i="1"/>
  <c r="AI592" i="1"/>
  <c r="AH592" i="1"/>
  <c r="AI584" i="1"/>
  <c r="AH584" i="1"/>
  <c r="AI576" i="1"/>
  <c r="AH576" i="1"/>
  <c r="AI568" i="1"/>
  <c r="AH568" i="1"/>
  <c r="AI560" i="1"/>
  <c r="AH560" i="1"/>
  <c r="AI552" i="1"/>
  <c r="AH552" i="1"/>
  <c r="AI877" i="1"/>
  <c r="AH877" i="1"/>
  <c r="AH813" i="1"/>
  <c r="AI813" i="1"/>
  <c r="AI749" i="1"/>
  <c r="AH749" i="1"/>
  <c r="AI701" i="1"/>
  <c r="AH701" i="1"/>
  <c r="AI669" i="1"/>
  <c r="AH669" i="1"/>
  <c r="AI629" i="1"/>
  <c r="AH629" i="1"/>
  <c r="AI581" i="1"/>
  <c r="AH581" i="1"/>
  <c r="AH541" i="1"/>
  <c r="AI541" i="1"/>
  <c r="AI509" i="1"/>
  <c r="AH509" i="1"/>
  <c r="AI477" i="1"/>
  <c r="AH477" i="1"/>
  <c r="AI453" i="1"/>
  <c r="AH453" i="1"/>
  <c r="AI405" i="1"/>
  <c r="AH405" i="1"/>
  <c r="AI373" i="1"/>
  <c r="AH373" i="1"/>
  <c r="AI349" i="1"/>
  <c r="AH349" i="1"/>
  <c r="AI333" i="1"/>
  <c r="AH333" i="1"/>
  <c r="AI309" i="1"/>
  <c r="AH309" i="1"/>
  <c r="AI269" i="1"/>
  <c r="AH269" i="1"/>
  <c r="AI245" i="1"/>
  <c r="AH245" i="1"/>
  <c r="AH221" i="1"/>
  <c r="AI221" i="1"/>
  <c r="AI197" i="1"/>
  <c r="AH197" i="1"/>
  <c r="AI165" i="1"/>
  <c r="AH165" i="1"/>
  <c r="AI133" i="1"/>
  <c r="AH133" i="1"/>
  <c r="AI101" i="1"/>
  <c r="AH101" i="1"/>
  <c r="AI45" i="1"/>
  <c r="AH45" i="1"/>
  <c r="AI543" i="1"/>
  <c r="AH543" i="1"/>
  <c r="AI535" i="1"/>
  <c r="AH535" i="1"/>
  <c r="AI527" i="1"/>
  <c r="AH527" i="1"/>
  <c r="AI519" i="1"/>
  <c r="AH519" i="1"/>
  <c r="AI495" i="1"/>
  <c r="AH495" i="1"/>
  <c r="AI479" i="1"/>
  <c r="AH479" i="1"/>
  <c r="AI471" i="1"/>
  <c r="AH471" i="1"/>
  <c r="AI463" i="1"/>
  <c r="AH463" i="1"/>
  <c r="AI455" i="1"/>
  <c r="AH455" i="1"/>
  <c r="AI431" i="1"/>
  <c r="AH431" i="1"/>
  <c r="AI415" i="1"/>
  <c r="AH415" i="1"/>
  <c r="AI407" i="1"/>
  <c r="AH407" i="1"/>
  <c r="AI399" i="1"/>
  <c r="AH399" i="1"/>
  <c r="AI391" i="1"/>
  <c r="AH391" i="1"/>
  <c r="AI367" i="1"/>
  <c r="AH367" i="1"/>
  <c r="AI351" i="1"/>
  <c r="AH351" i="1"/>
  <c r="AI343" i="1"/>
  <c r="AH343" i="1"/>
  <c r="AI335" i="1"/>
  <c r="AH335" i="1"/>
  <c r="AI327" i="1"/>
  <c r="AH327" i="1"/>
  <c r="AI303" i="1"/>
  <c r="AH303" i="1"/>
  <c r="AI933" i="1"/>
  <c r="AH933" i="1"/>
  <c r="AI885" i="1"/>
  <c r="AH885" i="1"/>
  <c r="AH821" i="1"/>
  <c r="AI821" i="1"/>
  <c r="AI765" i="1"/>
  <c r="AH765" i="1"/>
  <c r="AI693" i="1"/>
  <c r="AH693" i="1"/>
  <c r="AI661" i="1"/>
  <c r="AH661" i="1"/>
  <c r="AI605" i="1"/>
  <c r="AH605" i="1"/>
  <c r="AI557" i="1"/>
  <c r="AH557" i="1"/>
  <c r="AI533" i="1"/>
  <c r="AH533" i="1"/>
  <c r="AI501" i="1"/>
  <c r="AH501" i="1"/>
  <c r="AI461" i="1"/>
  <c r="AH461" i="1"/>
  <c r="AI413" i="1"/>
  <c r="AH413" i="1"/>
  <c r="AI381" i="1"/>
  <c r="AH381" i="1"/>
  <c r="AI341" i="1"/>
  <c r="AH341" i="1"/>
  <c r="AI317" i="1"/>
  <c r="AH317" i="1"/>
  <c r="AH285" i="1"/>
  <c r="AI285" i="1"/>
  <c r="AI237" i="1"/>
  <c r="AH237" i="1"/>
  <c r="AI213" i="1"/>
  <c r="AH213" i="1"/>
  <c r="AI181" i="1"/>
  <c r="AH181" i="1"/>
  <c r="AI141" i="1"/>
  <c r="AH141" i="1"/>
  <c r="AI93" i="1"/>
  <c r="AH93" i="1"/>
  <c r="AH29" i="1"/>
  <c r="AI29" i="1"/>
  <c r="AI825" i="1"/>
  <c r="AH825" i="1"/>
  <c r="AI817" i="1"/>
  <c r="AH817" i="1"/>
  <c r="AI801" i="1"/>
  <c r="AH801" i="1"/>
  <c r="AI785" i="1"/>
  <c r="AH785" i="1"/>
  <c r="AI769" i="1"/>
  <c r="AH769" i="1"/>
  <c r="AI753" i="1"/>
  <c r="AH753" i="1"/>
  <c r="AI737" i="1"/>
  <c r="AH737" i="1"/>
  <c r="AI721" i="1"/>
  <c r="AH721" i="1"/>
  <c r="AI705" i="1"/>
  <c r="AH705" i="1"/>
  <c r="AI697" i="1"/>
  <c r="AH697" i="1"/>
  <c r="AI689" i="1"/>
  <c r="AH689" i="1"/>
  <c r="AI681" i="1"/>
  <c r="AH681" i="1"/>
  <c r="AI665" i="1"/>
  <c r="AH665" i="1"/>
  <c r="AI641" i="1"/>
  <c r="AH641" i="1"/>
  <c r="AI633" i="1"/>
  <c r="AH633" i="1"/>
  <c r="AI625" i="1"/>
  <c r="AH625" i="1"/>
  <c r="AI617" i="1"/>
  <c r="AH617" i="1"/>
  <c r="AI601" i="1"/>
  <c r="AH601" i="1"/>
  <c r="AI577" i="1"/>
  <c r="AH577" i="1"/>
  <c r="AI569" i="1"/>
  <c r="AH569" i="1"/>
  <c r="AI561" i="1"/>
  <c r="AH561" i="1"/>
  <c r="AI553" i="1"/>
  <c r="AH553" i="1"/>
  <c r="AI530" i="1"/>
  <c r="AH530" i="1"/>
  <c r="AI516" i="1"/>
  <c r="AH516" i="1"/>
  <c r="AI466" i="1"/>
  <c r="AH466" i="1"/>
  <c r="AI452" i="1"/>
  <c r="AH452" i="1"/>
  <c r="AI402" i="1"/>
  <c r="AH402" i="1"/>
  <c r="AI388" i="1"/>
  <c r="AH388" i="1"/>
  <c r="AI338" i="1"/>
  <c r="AH338" i="1"/>
  <c r="AI324" i="1"/>
  <c r="AH324" i="1"/>
  <c r="AI311" i="1"/>
  <c r="AH311" i="1"/>
  <c r="AI242" i="1"/>
  <c r="AH242" i="1"/>
  <c r="AI178" i="1"/>
  <c r="AH178" i="1"/>
  <c r="AI114" i="1"/>
  <c r="AH114" i="1"/>
  <c r="AI50" i="1"/>
  <c r="AH50" i="1"/>
  <c r="AH895" i="1"/>
  <c r="AH873" i="1"/>
  <c r="AH831" i="1"/>
  <c r="AH759" i="1"/>
  <c r="AH713" i="1"/>
  <c r="AH657" i="1"/>
  <c r="AH607" i="1"/>
  <c r="AH487" i="1"/>
  <c r="AH375" i="1"/>
  <c r="AH276" i="1"/>
  <c r="AI276" i="1"/>
  <c r="AI268" i="1"/>
  <c r="AH268" i="1"/>
  <c r="AI260" i="1"/>
  <c r="AH260" i="1"/>
  <c r="AI252" i="1"/>
  <c r="AH252" i="1"/>
  <c r="AI244" i="1"/>
  <c r="AH244" i="1"/>
  <c r="AI236" i="1"/>
  <c r="AH236" i="1"/>
  <c r="AI228" i="1"/>
  <c r="AH228" i="1"/>
  <c r="AI220" i="1"/>
  <c r="AH220" i="1"/>
  <c r="AH212" i="1"/>
  <c r="AI212" i="1"/>
  <c r="AI204" i="1"/>
  <c r="AH204" i="1"/>
  <c r="AI196" i="1"/>
  <c r="AH196" i="1"/>
  <c r="AI188" i="1"/>
  <c r="AH188" i="1"/>
  <c r="AI180" i="1"/>
  <c r="AH180" i="1"/>
  <c r="AI172" i="1"/>
  <c r="AH172" i="1"/>
  <c r="AI164" i="1"/>
  <c r="AH164" i="1"/>
  <c r="AI156" i="1"/>
  <c r="AH156" i="1"/>
  <c r="AH148" i="1"/>
  <c r="AI148" i="1"/>
  <c r="AI140" i="1"/>
  <c r="AH140" i="1"/>
  <c r="AI132" i="1"/>
  <c r="AH132" i="1"/>
  <c r="AI124" i="1"/>
  <c r="AH124" i="1"/>
  <c r="AI116" i="1"/>
  <c r="AH116" i="1"/>
  <c r="AI108" i="1"/>
  <c r="AH108" i="1"/>
  <c r="AH100" i="1"/>
  <c r="AI100" i="1"/>
  <c r="AI92" i="1"/>
  <c r="AH92" i="1"/>
  <c r="AI84" i="1"/>
  <c r="AH84" i="1"/>
  <c r="AI76" i="1"/>
  <c r="AH76" i="1"/>
  <c r="AI68" i="1"/>
  <c r="AH68" i="1"/>
  <c r="AI60" i="1"/>
  <c r="AH60" i="1"/>
  <c r="AI52" i="1"/>
  <c r="AH52" i="1"/>
  <c r="AI44" i="1"/>
  <c r="AH44" i="1"/>
  <c r="AH36" i="1"/>
  <c r="AI36" i="1"/>
  <c r="AI28" i="1"/>
  <c r="AH28" i="1"/>
  <c r="AH20" i="1"/>
  <c r="AI20" i="1"/>
  <c r="AI12" i="1"/>
  <c r="AH12" i="1"/>
  <c r="AI4" i="1"/>
  <c r="AH4" i="1"/>
  <c r="AH913" i="1"/>
  <c r="AH894" i="1"/>
  <c r="AH871" i="1"/>
  <c r="AH849" i="1"/>
  <c r="AH830" i="1"/>
  <c r="AH793" i="1"/>
  <c r="AH750" i="1"/>
  <c r="AH711" i="1"/>
  <c r="AH654" i="1"/>
  <c r="AH593" i="1"/>
  <c r="AH481" i="1"/>
  <c r="AH423" i="1"/>
  <c r="AH374" i="1"/>
  <c r="AH279" i="1"/>
  <c r="AH103" i="1"/>
  <c r="AI815" i="1"/>
  <c r="AH815" i="1"/>
  <c r="AI799" i="1"/>
  <c r="AH799" i="1"/>
  <c r="AI783" i="1"/>
  <c r="AH783" i="1"/>
  <c r="AI767" i="1"/>
  <c r="AH767" i="1"/>
  <c r="AI751" i="1"/>
  <c r="AH751" i="1"/>
  <c r="AI735" i="1"/>
  <c r="AH735" i="1"/>
  <c r="AI655" i="1"/>
  <c r="AH655" i="1"/>
  <c r="AI639" i="1"/>
  <c r="AH639" i="1"/>
  <c r="AI591" i="1"/>
  <c r="AH591" i="1"/>
  <c r="AI575" i="1"/>
  <c r="AH575" i="1"/>
  <c r="AI559" i="1"/>
  <c r="AH559" i="1"/>
  <c r="AI500" i="1"/>
  <c r="AH500" i="1"/>
  <c r="AI372" i="1"/>
  <c r="AH372" i="1"/>
  <c r="AH911" i="1"/>
  <c r="AH847" i="1"/>
  <c r="AH823" i="1"/>
  <c r="AH791" i="1"/>
  <c r="AH745" i="1"/>
  <c r="AH649" i="1"/>
  <c r="AI822" i="1"/>
  <c r="AH822" i="1"/>
  <c r="AI814" i="1"/>
  <c r="AH814" i="1"/>
  <c r="AI806" i="1"/>
  <c r="AH806" i="1"/>
  <c r="AI790" i="1"/>
  <c r="AH790" i="1"/>
  <c r="AI774" i="1"/>
  <c r="AH774" i="1"/>
  <c r="AI758" i="1"/>
  <c r="AH758" i="1"/>
  <c r="AI742" i="1"/>
  <c r="AH742" i="1"/>
  <c r="AI726" i="1"/>
  <c r="AH726" i="1"/>
  <c r="AI710" i="1"/>
  <c r="AH710" i="1"/>
  <c r="AI686" i="1"/>
  <c r="AH686" i="1"/>
  <c r="AI678" i="1"/>
  <c r="AH678" i="1"/>
  <c r="AI670" i="1"/>
  <c r="AH670" i="1"/>
  <c r="AI662" i="1"/>
  <c r="AH662" i="1"/>
  <c r="AI646" i="1"/>
  <c r="AH646" i="1"/>
  <c r="AI622" i="1"/>
  <c r="AH622" i="1"/>
  <c r="AI614" i="1"/>
  <c r="AH614" i="1"/>
  <c r="AI606" i="1"/>
  <c r="AH606" i="1"/>
  <c r="AI598" i="1"/>
  <c r="AH598" i="1"/>
  <c r="AI582" i="1"/>
  <c r="AH582" i="1"/>
  <c r="AI558" i="1"/>
  <c r="AH558" i="1"/>
  <c r="AI524" i="1"/>
  <c r="AH524" i="1"/>
  <c r="AI511" i="1"/>
  <c r="AH511" i="1"/>
  <c r="AI460" i="1"/>
  <c r="AH460" i="1"/>
  <c r="AI447" i="1"/>
  <c r="AH447" i="1"/>
  <c r="AI396" i="1"/>
  <c r="AH396" i="1"/>
  <c r="AI383" i="1"/>
  <c r="AH383" i="1"/>
  <c r="AI332" i="1"/>
  <c r="AH332" i="1"/>
  <c r="AI319" i="1"/>
  <c r="AH319" i="1"/>
  <c r="AH292" i="1"/>
  <c r="AI292" i="1"/>
  <c r="AH929" i="1"/>
  <c r="AH910" i="1"/>
  <c r="AH887" i="1"/>
  <c r="AH865" i="1"/>
  <c r="AH846" i="1"/>
  <c r="AH782" i="1"/>
  <c r="AH743" i="1"/>
  <c r="AH695" i="1"/>
  <c r="AH638" i="1"/>
  <c r="AH585" i="1"/>
  <c r="AI719" i="1"/>
  <c r="AH719" i="1"/>
  <c r="AI703" i="1"/>
  <c r="AH703" i="1"/>
  <c r="AI663" i="1"/>
  <c r="AH663" i="1"/>
  <c r="AI647" i="1"/>
  <c r="AH647" i="1"/>
  <c r="AI623" i="1"/>
  <c r="AH623" i="1"/>
  <c r="AI599" i="1"/>
  <c r="AH599" i="1"/>
  <c r="AI583" i="1"/>
  <c r="AH583" i="1"/>
  <c r="AI514" i="1"/>
  <c r="AH514" i="1"/>
  <c r="AI450" i="1"/>
  <c r="AH450" i="1"/>
  <c r="AI436" i="1"/>
  <c r="AH436" i="1"/>
  <c r="AI386" i="1"/>
  <c r="AH386" i="1"/>
  <c r="AI322" i="1"/>
  <c r="AH322" i="1"/>
  <c r="AI308" i="1"/>
  <c r="AH308" i="1"/>
  <c r="AI258" i="1"/>
  <c r="AH258" i="1"/>
  <c r="AI194" i="1"/>
  <c r="AH194" i="1"/>
  <c r="AI130" i="1"/>
  <c r="AH130" i="1"/>
  <c r="AI66" i="1"/>
  <c r="AH66" i="1"/>
  <c r="AH889" i="1"/>
  <c r="AI537" i="1"/>
  <c r="AH537" i="1"/>
  <c r="AI513" i="1"/>
  <c r="AH513" i="1"/>
  <c r="AI505" i="1"/>
  <c r="AH505" i="1"/>
  <c r="AI497" i="1"/>
  <c r="AH497" i="1"/>
  <c r="AI489" i="1"/>
  <c r="AH489" i="1"/>
  <c r="AI473" i="1"/>
  <c r="AH473" i="1"/>
  <c r="AI449" i="1"/>
  <c r="AH449" i="1"/>
  <c r="AI441" i="1"/>
  <c r="AH441" i="1"/>
  <c r="AI433" i="1"/>
  <c r="AH433" i="1"/>
  <c r="AI425" i="1"/>
  <c r="AH425" i="1"/>
  <c r="AI409" i="1"/>
  <c r="AH409" i="1"/>
  <c r="AI385" i="1"/>
  <c r="AH385" i="1"/>
  <c r="AI377" i="1"/>
  <c r="AH377" i="1"/>
  <c r="AI369" i="1"/>
  <c r="AH369" i="1"/>
  <c r="AI361" i="1"/>
  <c r="AH361" i="1"/>
  <c r="AI345" i="1"/>
  <c r="AH345" i="1"/>
  <c r="AI337" i="1"/>
  <c r="AH337" i="1"/>
  <c r="AI329" i="1"/>
  <c r="AH329" i="1"/>
  <c r="AI321" i="1"/>
  <c r="AH321" i="1"/>
  <c r="AI313" i="1"/>
  <c r="AH313" i="1"/>
  <c r="AI305" i="1"/>
  <c r="AH305" i="1"/>
  <c r="AI297" i="1"/>
  <c r="AH297" i="1"/>
  <c r="AI289" i="1"/>
  <c r="AH289" i="1"/>
  <c r="AI281" i="1"/>
  <c r="AH281" i="1"/>
  <c r="AI265" i="1"/>
  <c r="AH265" i="1"/>
  <c r="AI249" i="1"/>
  <c r="AH249" i="1"/>
  <c r="AI241" i="1"/>
  <c r="AH241" i="1"/>
  <c r="AI225" i="1"/>
  <c r="AH225" i="1"/>
  <c r="AI209" i="1"/>
  <c r="AH209" i="1"/>
  <c r="AI201" i="1"/>
  <c r="AH201" i="1"/>
  <c r="AI193" i="1"/>
  <c r="AH193" i="1"/>
  <c r="AI185" i="1"/>
  <c r="AH185" i="1"/>
  <c r="AI177" i="1"/>
  <c r="AH177" i="1"/>
  <c r="AI169" i="1"/>
  <c r="AH169" i="1"/>
  <c r="AI161" i="1"/>
  <c r="AH161" i="1"/>
  <c r="AI153" i="1"/>
  <c r="AH153" i="1"/>
  <c r="AI137" i="1"/>
  <c r="AH137" i="1"/>
  <c r="AI129" i="1"/>
  <c r="AH129" i="1"/>
  <c r="AI121" i="1"/>
  <c r="AH121" i="1"/>
  <c r="AI113" i="1"/>
  <c r="AH113" i="1"/>
  <c r="AI105" i="1"/>
  <c r="AH105" i="1"/>
  <c r="AI97" i="1"/>
  <c r="AH97" i="1"/>
  <c r="AI89" i="1"/>
  <c r="AH89" i="1"/>
  <c r="AI81" i="1"/>
  <c r="AH81" i="1"/>
  <c r="AI65" i="1"/>
  <c r="AH65" i="1"/>
  <c r="AI57" i="1"/>
  <c r="AH57" i="1"/>
  <c r="AI49" i="1"/>
  <c r="AH49" i="1"/>
  <c r="AI41" i="1"/>
  <c r="AH41" i="1"/>
  <c r="AI33" i="1"/>
  <c r="AH33" i="1"/>
  <c r="AI25" i="1"/>
  <c r="AH25" i="1"/>
  <c r="AI17" i="1"/>
  <c r="AH17" i="1"/>
  <c r="AH927" i="1"/>
  <c r="AH905" i="1"/>
  <c r="AH886" i="1"/>
  <c r="AH863" i="1"/>
  <c r="AH841" i="1"/>
  <c r="AH777" i="1"/>
  <c r="AH734" i="1"/>
  <c r="AH694" i="1"/>
  <c r="AH631" i="1"/>
  <c r="AH574" i="1"/>
  <c r="AH521" i="1"/>
  <c r="AH462" i="1"/>
  <c r="AH401" i="1"/>
  <c r="AH217" i="1"/>
  <c r="AH9" i="1"/>
  <c r="AI687" i="1"/>
  <c r="AI544" i="1"/>
  <c r="AH544" i="1"/>
  <c r="AI536" i="1"/>
  <c r="AH536" i="1"/>
  <c r="AI528" i="1"/>
  <c r="AH528" i="1"/>
  <c r="AI520" i="1"/>
  <c r="AH520" i="1"/>
  <c r="AI512" i="1"/>
  <c r="AH512" i="1"/>
  <c r="AI504" i="1"/>
  <c r="AH504" i="1"/>
  <c r="AI496" i="1"/>
  <c r="AH496" i="1"/>
  <c r="AI488" i="1"/>
  <c r="AH488" i="1"/>
  <c r="AI480" i="1"/>
  <c r="AH480" i="1"/>
  <c r="AI472" i="1"/>
  <c r="AH472" i="1"/>
  <c r="AI464" i="1"/>
  <c r="AH464" i="1"/>
  <c r="AI456" i="1"/>
  <c r="AH456" i="1"/>
  <c r="AI448" i="1"/>
  <c r="AH448" i="1"/>
  <c r="AH440" i="1"/>
  <c r="AI440" i="1"/>
  <c r="AI432" i="1"/>
  <c r="AH432" i="1"/>
  <c r="AI424" i="1"/>
  <c r="AH424" i="1"/>
  <c r="AI416" i="1"/>
  <c r="AH416" i="1"/>
  <c r="AI408" i="1"/>
  <c r="AH408" i="1"/>
  <c r="AI400" i="1"/>
  <c r="AH400" i="1"/>
  <c r="AI392" i="1"/>
  <c r="AH392" i="1"/>
  <c r="AI384" i="1"/>
  <c r="AH384" i="1"/>
  <c r="AI376" i="1"/>
  <c r="AH376" i="1"/>
  <c r="AI368" i="1"/>
  <c r="AH368" i="1"/>
  <c r="AI360" i="1"/>
  <c r="AH360" i="1"/>
  <c r="AI352" i="1"/>
  <c r="AH352" i="1"/>
  <c r="AI344" i="1"/>
  <c r="AH344" i="1"/>
  <c r="AI336" i="1"/>
  <c r="AH336" i="1"/>
  <c r="AI328" i="1"/>
  <c r="AH328" i="1"/>
  <c r="AI320" i="1"/>
  <c r="AH320" i="1"/>
  <c r="AI312" i="1"/>
  <c r="AH312" i="1"/>
  <c r="AI304" i="1"/>
  <c r="AH304" i="1"/>
  <c r="AI296" i="1"/>
  <c r="AH296" i="1"/>
  <c r="AI288" i="1"/>
  <c r="AH288" i="1"/>
  <c r="AI280" i="1"/>
  <c r="AH280" i="1"/>
  <c r="AI272" i="1"/>
  <c r="AH272" i="1"/>
  <c r="AI264" i="1"/>
  <c r="AH264" i="1"/>
  <c r="AI256" i="1"/>
  <c r="AH256" i="1"/>
  <c r="AH248" i="1"/>
  <c r="AI248" i="1"/>
  <c r="AI240" i="1"/>
  <c r="AH240" i="1"/>
  <c r="AI232" i="1"/>
  <c r="AH232" i="1"/>
  <c r="AI224" i="1"/>
  <c r="AH224" i="1"/>
  <c r="AI216" i="1"/>
  <c r="AH216" i="1"/>
  <c r="AI208" i="1"/>
  <c r="AH208" i="1"/>
  <c r="AI200" i="1"/>
  <c r="AH200" i="1"/>
  <c r="AI192" i="1"/>
  <c r="AH192" i="1"/>
  <c r="AI184" i="1"/>
  <c r="AH184" i="1"/>
  <c r="AI168" i="1"/>
  <c r="AH168" i="1"/>
  <c r="AI160" i="1"/>
  <c r="AH160" i="1"/>
  <c r="AI152" i="1"/>
  <c r="AH152" i="1"/>
  <c r="AI144" i="1"/>
  <c r="AH144" i="1"/>
  <c r="AI136" i="1"/>
  <c r="AH136" i="1"/>
  <c r="AI128" i="1"/>
  <c r="AH128" i="1"/>
  <c r="AI120" i="1"/>
  <c r="AH120" i="1"/>
  <c r="AI112" i="1"/>
  <c r="AH112" i="1"/>
  <c r="AI104" i="1"/>
  <c r="AH104" i="1"/>
  <c r="AI96" i="1"/>
  <c r="AH96" i="1"/>
  <c r="AI88" i="1"/>
  <c r="AH88" i="1"/>
  <c r="AI80" i="1"/>
  <c r="AH80" i="1"/>
  <c r="AI72" i="1"/>
  <c r="AH72" i="1"/>
  <c r="AI64" i="1"/>
  <c r="AH64" i="1"/>
  <c r="AI56" i="1"/>
  <c r="AH56" i="1"/>
  <c r="AI48" i="1"/>
  <c r="AH48" i="1"/>
  <c r="AI40" i="1"/>
  <c r="AH40" i="1"/>
  <c r="AI32" i="1"/>
  <c r="AH32" i="1"/>
  <c r="AI24" i="1"/>
  <c r="AH24" i="1"/>
  <c r="AI16" i="1"/>
  <c r="AH16" i="1"/>
  <c r="AI8" i="1"/>
  <c r="AH8" i="1"/>
  <c r="AH926" i="1"/>
  <c r="AH903" i="1"/>
  <c r="AH881" i="1"/>
  <c r="AH862" i="1"/>
  <c r="AH839" i="1"/>
  <c r="AH775" i="1"/>
  <c r="AH729" i="1"/>
  <c r="AH679" i="1"/>
  <c r="AH630" i="1"/>
  <c r="AH567" i="1"/>
  <c r="AH510" i="1"/>
  <c r="AH457" i="1"/>
  <c r="AH398" i="1"/>
  <c r="AH334" i="1"/>
  <c r="AH215" i="1"/>
  <c r="AI287" i="1"/>
  <c r="AH287" i="1"/>
  <c r="AI271" i="1"/>
  <c r="AH271" i="1"/>
  <c r="AI263" i="1"/>
  <c r="AH263" i="1"/>
  <c r="AI255" i="1"/>
  <c r="AH255" i="1"/>
  <c r="AI247" i="1"/>
  <c r="AH247" i="1"/>
  <c r="AI239" i="1"/>
  <c r="AH239" i="1"/>
  <c r="AI231" i="1"/>
  <c r="AH231" i="1"/>
  <c r="AI223" i="1"/>
  <c r="AH223" i="1"/>
  <c r="AI207" i="1"/>
  <c r="AH207" i="1"/>
  <c r="AI199" i="1"/>
  <c r="AH199" i="1"/>
  <c r="AI191" i="1"/>
  <c r="AH191" i="1"/>
  <c r="AI183" i="1"/>
  <c r="AH183" i="1"/>
  <c r="AI175" i="1"/>
  <c r="AH175" i="1"/>
  <c r="AI159" i="1"/>
  <c r="AH159" i="1"/>
  <c r="AI151" i="1"/>
  <c r="AH151" i="1"/>
  <c r="AI143" i="1"/>
  <c r="AH143" i="1"/>
  <c r="AI135" i="1"/>
  <c r="AH135" i="1"/>
  <c r="AI127" i="1"/>
  <c r="AH127" i="1"/>
  <c r="AI119" i="1"/>
  <c r="AH119" i="1"/>
  <c r="AH111" i="1"/>
  <c r="AI111" i="1"/>
  <c r="AI95" i="1"/>
  <c r="AH95" i="1"/>
  <c r="AI87" i="1"/>
  <c r="AH87" i="1"/>
  <c r="AI79" i="1"/>
  <c r="AH79" i="1"/>
  <c r="AI63" i="1"/>
  <c r="AH63" i="1"/>
  <c r="AI55" i="1"/>
  <c r="AH55" i="1"/>
  <c r="AI47" i="1"/>
  <c r="AH47" i="1"/>
  <c r="AI39" i="1"/>
  <c r="AH39" i="1"/>
  <c r="AI31" i="1"/>
  <c r="AH31" i="1"/>
  <c r="AI23" i="1"/>
  <c r="AH23" i="1"/>
  <c r="AI15" i="1"/>
  <c r="AH15" i="1"/>
  <c r="AI7" i="1"/>
  <c r="AH7" i="1"/>
  <c r="AH921" i="1"/>
  <c r="AH902" i="1"/>
  <c r="AH879" i="1"/>
  <c r="AH857" i="1"/>
  <c r="AH838" i="1"/>
  <c r="AH809" i="1"/>
  <c r="AH766" i="1"/>
  <c r="AH727" i="1"/>
  <c r="AH673" i="1"/>
  <c r="AH615" i="1"/>
  <c r="AH566" i="1"/>
  <c r="AH503" i="1"/>
  <c r="AH446" i="1"/>
  <c r="AH393" i="1"/>
  <c r="AH176" i="1"/>
  <c r="AI294" i="1"/>
  <c r="AI550" i="1"/>
  <c r="AH550" i="1"/>
  <c r="AI542" i="1"/>
  <c r="AH542" i="1"/>
  <c r="AI534" i="1"/>
  <c r="AH534" i="1"/>
  <c r="AI518" i="1"/>
  <c r="AH518" i="1"/>
  <c r="AI494" i="1"/>
  <c r="AH494" i="1"/>
  <c r="AI486" i="1"/>
  <c r="AH486" i="1"/>
  <c r="AI478" i="1"/>
  <c r="AH478" i="1"/>
  <c r="AI470" i="1"/>
  <c r="AH470" i="1"/>
  <c r="AI454" i="1"/>
  <c r="AH454" i="1"/>
  <c r="AI430" i="1"/>
  <c r="AH430" i="1"/>
  <c r="AI422" i="1"/>
  <c r="AH422" i="1"/>
  <c r="AI414" i="1"/>
  <c r="AH414" i="1"/>
  <c r="AI406" i="1"/>
  <c r="AH406" i="1"/>
  <c r="AI390" i="1"/>
  <c r="AH390" i="1"/>
  <c r="AI366" i="1"/>
  <c r="AH366" i="1"/>
  <c r="AI358" i="1"/>
  <c r="AH358" i="1"/>
  <c r="AI350" i="1"/>
  <c r="AH350" i="1"/>
  <c r="AI342" i="1"/>
  <c r="AH342" i="1"/>
  <c r="AI326" i="1"/>
  <c r="AH326" i="1"/>
  <c r="AI310" i="1"/>
  <c r="AH310" i="1"/>
  <c r="AI302" i="1"/>
  <c r="AH302" i="1"/>
  <c r="AI286" i="1"/>
  <c r="AH286" i="1"/>
  <c r="AI278" i="1"/>
  <c r="AH278" i="1"/>
  <c r="AI270" i="1"/>
  <c r="AH270" i="1"/>
  <c r="AI262" i="1"/>
  <c r="AH262" i="1"/>
  <c r="AI254" i="1"/>
  <c r="AH254" i="1"/>
  <c r="AI246" i="1"/>
  <c r="AH246" i="1"/>
  <c r="AI238" i="1"/>
  <c r="AH238" i="1"/>
  <c r="AI230" i="1"/>
  <c r="AH230" i="1"/>
  <c r="AI222" i="1"/>
  <c r="AH222" i="1"/>
  <c r="AI214" i="1"/>
  <c r="AH214" i="1"/>
  <c r="AI206" i="1"/>
  <c r="AH206" i="1"/>
  <c r="AI198" i="1"/>
  <c r="AH198" i="1"/>
  <c r="AI190" i="1"/>
  <c r="AH190" i="1"/>
  <c r="AH182" i="1"/>
  <c r="AI182" i="1"/>
  <c r="AI174" i="1"/>
  <c r="AH174" i="1"/>
  <c r="AI166" i="1"/>
  <c r="AH166" i="1"/>
  <c r="AI158" i="1"/>
  <c r="AH158" i="1"/>
  <c r="AI150" i="1"/>
  <c r="AH150" i="1"/>
  <c r="AI142" i="1"/>
  <c r="AH142" i="1"/>
  <c r="AI134" i="1"/>
  <c r="AH134" i="1"/>
  <c r="AI126" i="1"/>
  <c r="AH126" i="1"/>
  <c r="AI118" i="1"/>
  <c r="AH118" i="1"/>
  <c r="AI110" i="1"/>
  <c r="AH110" i="1"/>
  <c r="AH102" i="1"/>
  <c r="AI102" i="1"/>
  <c r="AI94" i="1"/>
  <c r="AH94" i="1"/>
  <c r="AI86" i="1"/>
  <c r="AH86" i="1"/>
  <c r="AI78" i="1"/>
  <c r="AH78" i="1"/>
  <c r="AI70" i="1"/>
  <c r="AH70" i="1"/>
  <c r="AI62" i="1"/>
  <c r="AH62" i="1"/>
  <c r="AI54" i="1"/>
  <c r="AH54" i="1"/>
  <c r="AI46" i="1"/>
  <c r="AH46" i="1"/>
  <c r="AH38" i="1"/>
  <c r="AI38" i="1"/>
  <c r="AI30" i="1"/>
  <c r="AH30" i="1"/>
  <c r="AI22" i="1"/>
  <c r="AH22" i="1"/>
  <c r="AI14" i="1"/>
  <c r="AH14" i="1"/>
  <c r="AI6" i="1"/>
  <c r="AH6" i="1"/>
  <c r="AH919" i="1"/>
  <c r="AH897" i="1"/>
  <c r="AH878" i="1"/>
  <c r="AH855" i="1"/>
  <c r="AH833" i="1"/>
  <c r="AH807" i="1"/>
  <c r="AH761" i="1"/>
  <c r="AH718" i="1"/>
  <c r="AH671" i="1"/>
  <c r="AH609" i="1"/>
  <c r="AH551" i="1"/>
  <c r="AH502" i="1"/>
  <c r="AH439" i="1"/>
  <c r="AH382" i="1"/>
  <c r="AH318" i="1"/>
  <c r="AH167" i="1"/>
  <c r="AI257" i="1"/>
  <c r="AI916" i="3" l="1"/>
  <c r="AH916" i="3"/>
  <c r="AI884" i="3"/>
  <c r="AH884" i="3"/>
  <c r="AI852" i="3"/>
  <c r="AH852" i="3"/>
  <c r="AI820" i="3"/>
  <c r="AH820" i="3"/>
  <c r="AI904" i="3"/>
  <c r="AH904" i="3"/>
  <c r="AI872" i="3"/>
  <c r="AH872" i="3"/>
  <c r="AI780" i="3"/>
  <c r="AH780" i="3"/>
  <c r="AI757" i="3"/>
  <c r="AH757" i="3"/>
  <c r="AI759" i="3"/>
  <c r="AH759" i="3"/>
  <c r="AI517" i="3"/>
  <c r="AH517" i="3"/>
  <c r="AI453" i="3"/>
  <c r="AH453" i="3"/>
  <c r="AI503" i="3"/>
  <c r="AH503" i="3"/>
  <c r="AI473" i="3"/>
  <c r="AH473" i="3"/>
  <c r="AI441" i="3"/>
  <c r="AH441" i="3"/>
  <c r="AH559" i="3"/>
  <c r="AI559" i="3"/>
  <c r="AI467" i="3"/>
  <c r="AH467" i="3"/>
  <c r="AI533" i="3"/>
  <c r="AH533" i="3"/>
  <c r="AI127" i="3"/>
  <c r="AH127" i="3"/>
  <c r="AI111" i="3"/>
  <c r="AH111" i="3"/>
  <c r="AI735" i="3"/>
  <c r="AH735" i="3"/>
  <c r="AI725" i="3"/>
  <c r="AH725" i="3"/>
  <c r="AH772" i="3"/>
  <c r="AI772" i="3"/>
  <c r="AI509" i="3"/>
  <c r="AH509" i="3"/>
  <c r="AI445" i="3"/>
  <c r="AH445" i="3"/>
  <c r="AI545" i="3"/>
  <c r="AH545" i="3"/>
  <c r="AI495" i="3"/>
  <c r="AH495" i="3"/>
  <c r="AI447" i="3"/>
  <c r="AH447" i="3"/>
  <c r="AI561" i="3"/>
  <c r="AH561" i="3"/>
  <c r="AI521" i="3"/>
  <c r="AH521" i="3"/>
  <c r="AI499" i="3"/>
  <c r="AH499" i="3"/>
  <c r="AI459" i="3"/>
  <c r="AH459" i="3"/>
  <c r="AI125" i="3"/>
  <c r="AH125" i="3"/>
  <c r="AI109" i="3"/>
  <c r="AH109" i="3"/>
  <c r="AI908" i="3"/>
  <c r="AH908" i="3"/>
  <c r="AI876" i="3"/>
  <c r="AH876" i="3"/>
  <c r="AI844" i="3"/>
  <c r="AH844" i="3"/>
  <c r="AI812" i="3"/>
  <c r="AH812" i="3"/>
  <c r="AI928" i="3"/>
  <c r="AH928" i="3"/>
  <c r="AI896" i="3"/>
  <c r="AH896" i="3"/>
  <c r="AI766" i="3"/>
  <c r="AH766" i="3"/>
  <c r="AI753" i="3"/>
  <c r="AH753" i="3"/>
  <c r="AI701" i="3"/>
  <c r="AH701" i="3"/>
  <c r="AI755" i="3"/>
  <c r="AH755" i="3"/>
  <c r="AI501" i="3"/>
  <c r="AH501" i="3"/>
  <c r="AI437" i="3"/>
  <c r="AH437" i="3"/>
  <c r="AI487" i="3"/>
  <c r="AH487" i="3"/>
  <c r="AI566" i="3"/>
  <c r="AH566" i="3"/>
  <c r="AI465" i="3"/>
  <c r="AH465" i="3"/>
  <c r="AI433" i="3"/>
  <c r="AH433" i="3"/>
  <c r="AI451" i="3"/>
  <c r="AH451" i="3"/>
  <c r="AI139" i="3"/>
  <c r="AH139" i="3"/>
  <c r="AI123" i="3"/>
  <c r="AH123" i="3"/>
  <c r="AI107" i="3"/>
  <c r="AH107" i="3"/>
  <c r="AH764" i="3"/>
  <c r="AI764" i="3"/>
  <c r="AI788" i="3"/>
  <c r="AH788" i="3"/>
  <c r="AI727" i="3"/>
  <c r="AH727" i="3"/>
  <c r="AI698" i="3"/>
  <c r="AH698" i="3"/>
  <c r="AI719" i="3"/>
  <c r="AH719" i="3"/>
  <c r="AI555" i="3"/>
  <c r="AH555" i="3"/>
  <c r="AI493" i="3"/>
  <c r="AH493" i="3"/>
  <c r="AI529" i="3"/>
  <c r="AH529" i="3"/>
  <c r="AI551" i="3"/>
  <c r="AH551" i="3"/>
  <c r="AI479" i="3"/>
  <c r="AH479" i="3"/>
  <c r="AI439" i="3"/>
  <c r="AH439" i="3"/>
  <c r="AI557" i="3"/>
  <c r="AH557" i="3"/>
  <c r="AH560" i="3"/>
  <c r="AI560" i="3"/>
  <c r="AI543" i="3"/>
  <c r="AH543" i="3"/>
  <c r="AI491" i="3"/>
  <c r="AH491" i="3"/>
  <c r="AI443" i="3"/>
  <c r="AH443" i="3"/>
  <c r="AI569" i="3"/>
  <c r="AH569" i="3"/>
  <c r="AI137" i="3"/>
  <c r="AH137" i="3"/>
  <c r="AI121" i="3"/>
  <c r="AH121" i="3"/>
  <c r="AI105" i="3"/>
  <c r="AH105" i="3"/>
  <c r="AI932" i="3"/>
  <c r="AH932" i="3"/>
  <c r="AI900" i="3"/>
  <c r="AH900" i="3"/>
  <c r="AI868" i="3"/>
  <c r="AH868" i="3"/>
  <c r="AI836" i="3"/>
  <c r="AH836" i="3"/>
  <c r="AI920" i="3"/>
  <c r="AH920" i="3"/>
  <c r="AI888" i="3"/>
  <c r="AH888" i="3"/>
  <c r="AI737" i="3"/>
  <c r="AH737" i="3"/>
  <c r="AI733" i="3"/>
  <c r="AH733" i="3"/>
  <c r="AI804" i="3"/>
  <c r="AH804" i="3"/>
  <c r="AI773" i="3"/>
  <c r="AH773" i="3"/>
  <c r="AI751" i="3"/>
  <c r="AH751" i="3"/>
  <c r="AI709" i="3"/>
  <c r="AH709" i="3"/>
  <c r="AI485" i="3"/>
  <c r="AH485" i="3"/>
  <c r="AI471" i="3"/>
  <c r="AH471" i="3"/>
  <c r="AI547" i="3"/>
  <c r="AH547" i="3"/>
  <c r="AI457" i="3"/>
  <c r="AH457" i="3"/>
  <c r="AI435" i="3"/>
  <c r="AH435" i="3"/>
  <c r="AI135" i="3"/>
  <c r="AH135" i="3"/>
  <c r="AI119" i="3"/>
  <c r="AH119" i="3"/>
  <c r="AI103" i="3"/>
  <c r="AH103" i="3"/>
  <c r="AI721" i="3"/>
  <c r="AH721" i="3"/>
  <c r="AI711" i="3"/>
  <c r="AH711" i="3"/>
  <c r="AI703" i="3"/>
  <c r="AH703" i="3"/>
  <c r="AI796" i="3"/>
  <c r="AH796" i="3"/>
  <c r="AI539" i="3"/>
  <c r="AH539" i="3"/>
  <c r="AI477" i="3"/>
  <c r="AH477" i="3"/>
  <c r="AI535" i="3"/>
  <c r="AH535" i="3"/>
  <c r="AI463" i="3"/>
  <c r="AH463" i="3"/>
  <c r="AI541" i="3"/>
  <c r="AH541" i="3"/>
  <c r="AH575" i="3"/>
  <c r="AI575" i="3"/>
  <c r="AI553" i="3"/>
  <c r="AH553" i="3"/>
  <c r="AI527" i="3"/>
  <c r="AH527" i="3"/>
  <c r="AI483" i="3"/>
  <c r="AH483" i="3"/>
  <c r="AI133" i="3"/>
  <c r="AH133" i="3"/>
  <c r="AI117" i="3"/>
  <c r="AH117" i="3"/>
  <c r="AI101" i="3"/>
  <c r="AH101" i="3"/>
  <c r="AI924" i="3"/>
  <c r="AH924" i="3"/>
  <c r="AI892" i="3"/>
  <c r="AH892" i="3"/>
  <c r="AI860" i="3"/>
  <c r="AH860" i="3"/>
  <c r="AI828" i="3"/>
  <c r="AH828" i="3"/>
  <c r="AI912" i="3"/>
  <c r="AH912" i="3"/>
  <c r="AI880" i="3"/>
  <c r="AH880" i="3"/>
  <c r="AI705" i="3"/>
  <c r="AH705" i="3"/>
  <c r="AH693" i="3"/>
  <c r="AI693" i="3"/>
  <c r="AI761" i="3"/>
  <c r="AH761" i="3"/>
  <c r="AI688" i="3"/>
  <c r="AH688" i="3"/>
  <c r="AI697" i="3"/>
  <c r="AH697" i="3"/>
  <c r="AI763" i="3"/>
  <c r="AH763" i="3"/>
  <c r="AI741" i="3"/>
  <c r="AH741" i="3"/>
  <c r="AI694" i="3"/>
  <c r="AH694" i="3"/>
  <c r="AI565" i="3"/>
  <c r="AH565" i="3"/>
  <c r="AI469" i="3"/>
  <c r="AH469" i="3"/>
  <c r="AI519" i="3"/>
  <c r="AH519" i="3"/>
  <c r="AI576" i="3"/>
  <c r="AH576" i="3"/>
  <c r="AI531" i="3"/>
  <c r="AH531" i="3"/>
  <c r="AI449" i="3"/>
  <c r="AH449" i="3"/>
  <c r="AI515" i="3"/>
  <c r="AH515" i="3"/>
  <c r="AI549" i="3"/>
  <c r="AH549" i="3"/>
  <c r="AI131" i="3"/>
  <c r="AH131" i="3"/>
  <c r="AI115" i="3"/>
  <c r="AH115" i="3"/>
  <c r="AI99" i="3"/>
  <c r="AH99" i="3"/>
  <c r="AI696" i="3"/>
  <c r="AH696" i="3"/>
  <c r="AH686" i="3"/>
  <c r="AI686" i="3"/>
  <c r="AI717" i="3"/>
  <c r="AH717" i="3"/>
  <c r="AI523" i="3"/>
  <c r="AH523" i="3"/>
  <c r="AI461" i="3"/>
  <c r="AH461" i="3"/>
  <c r="AI511" i="3"/>
  <c r="AH511" i="3"/>
  <c r="AI455" i="3"/>
  <c r="AH455" i="3"/>
  <c r="AI525" i="3"/>
  <c r="AH525" i="3"/>
  <c r="AI537" i="3"/>
  <c r="AH537" i="3"/>
  <c r="AI507" i="3"/>
  <c r="AH507" i="3"/>
  <c r="AI475" i="3"/>
  <c r="AH475" i="3"/>
  <c r="AI129" i="3"/>
  <c r="AH129" i="3"/>
  <c r="AI113" i="3"/>
  <c r="AH113" i="3"/>
  <c r="AI97" i="3"/>
  <c r="AH97" i="3"/>
</calcChain>
</file>

<file path=xl/sharedStrings.xml><?xml version="1.0" encoding="utf-8"?>
<sst xmlns="http://schemas.openxmlformats.org/spreadsheetml/2006/main" count="24419" uniqueCount="2827">
  <si>
    <t>order_id</t>
  </si>
  <si>
    <t>order_date</t>
  </si>
  <si>
    <t>ship_date</t>
  </si>
  <si>
    <t>customer_id</t>
  </si>
  <si>
    <t>customer_name</t>
  </si>
  <si>
    <t>segment</t>
  </si>
  <si>
    <t>region</t>
  </si>
  <si>
    <t>state</t>
  </si>
  <si>
    <t>city</t>
  </si>
  <si>
    <t>category</t>
  </si>
  <si>
    <t>sub_category</t>
  </si>
  <si>
    <t>product_name</t>
  </si>
  <si>
    <t>ship_mode</t>
  </si>
  <si>
    <t>quantity</t>
  </si>
  <si>
    <t>unit_price</t>
  </si>
  <si>
    <t>discount</t>
  </si>
  <si>
    <t>sales</t>
  </si>
  <si>
    <t>cost</t>
  </si>
  <si>
    <t>profit</t>
  </si>
  <si>
    <t>payment_status</t>
  </si>
  <si>
    <t>order_status</t>
  </si>
  <si>
    <t>ORD-2024-10001</t>
  </si>
  <si>
    <t>CUST-4655</t>
  </si>
  <si>
    <t>Karan Malhotra</t>
  </si>
  <si>
    <t>Consumer</t>
  </si>
  <si>
    <t>North</t>
  </si>
  <si>
    <t>Rajasthan</t>
  </si>
  <si>
    <t>Jaipur</t>
  </si>
  <si>
    <t>Office Supplies</t>
  </si>
  <si>
    <t>Paper</t>
  </si>
  <si>
    <t>Pro Paper 122</t>
  </si>
  <si>
    <t>Second Class</t>
  </si>
  <si>
    <t>Paid</t>
  </si>
  <si>
    <t>Completed</t>
  </si>
  <si>
    <t>ORD-2024-10002</t>
  </si>
  <si>
    <t>CUST-2054</t>
  </si>
  <si>
    <t>Mira Das</t>
  </si>
  <si>
    <t>Small Business</t>
  </si>
  <si>
    <t>East</t>
  </si>
  <si>
    <t>Odisha</t>
  </si>
  <si>
    <t>Bhubaneswar</t>
  </si>
  <si>
    <t>Furniture</t>
  </si>
  <si>
    <t>Tables</t>
  </si>
  <si>
    <t>Pro Tables 258</t>
  </si>
  <si>
    <t>Same Day</t>
  </si>
  <si>
    <t>ORD-2024-10003</t>
  </si>
  <si>
    <t>CUST-6843</t>
  </si>
  <si>
    <t>Isha Nair</t>
  </si>
  <si>
    <t>Art</t>
  </si>
  <si>
    <t>Elite Art 525</t>
  </si>
  <si>
    <t>First Class</t>
  </si>
  <si>
    <t>ORD-2024-10004</t>
  </si>
  <si>
    <t>CUST-3722</t>
  </si>
  <si>
    <t>Arjun Bose</t>
  </si>
  <si>
    <t>South</t>
  </si>
  <si>
    <t>Telangana</t>
  </si>
  <si>
    <t>Hyderabad</t>
  </si>
  <si>
    <t>Furnishings</t>
  </si>
  <si>
    <t>Smart Furnishings 294</t>
  </si>
  <si>
    <t>Standard Class</t>
  </si>
  <si>
    <t>ORD-2025-10005</t>
  </si>
  <si>
    <t>CUST-8130</t>
  </si>
  <si>
    <t>Ananya Rao</t>
  </si>
  <si>
    <t>West</t>
  </si>
  <si>
    <t>Maharashtra</t>
  </si>
  <si>
    <t>Mumbai</t>
  </si>
  <si>
    <t>Chairs</t>
  </si>
  <si>
    <t>Elite Chairs 543</t>
  </si>
  <si>
    <t>Cancelled</t>
  </si>
  <si>
    <t>ORD-2024-10006</t>
  </si>
  <si>
    <t>CUST-6056</t>
  </si>
  <si>
    <t>Vikram Iyer</t>
  </si>
  <si>
    <t>Madhya Pradesh</t>
  </si>
  <si>
    <t>Indore</t>
  </si>
  <si>
    <t>Technology</t>
  </si>
  <si>
    <t>Accessories</t>
  </si>
  <si>
    <t>Pro Accessories 821</t>
  </si>
  <si>
    <t>ORD-2025-10007</t>
  </si>
  <si>
    <t>CUST-3656</t>
  </si>
  <si>
    <t>Neha Gupta</t>
  </si>
  <si>
    <t>Copiers</t>
  </si>
  <si>
    <t>Eco Copiers 790</t>
  </si>
  <si>
    <t>ORD-2025-10008</t>
  </si>
  <si>
    <t>CUST-4683</t>
  </si>
  <si>
    <t>Andhra Pradesh</t>
  </si>
  <si>
    <t>Vijayawada</t>
  </si>
  <si>
    <t>Eco Art 848</t>
  </si>
  <si>
    <t>ORD-2024-10009</t>
  </si>
  <si>
    <t>CUST-2598</t>
  </si>
  <si>
    <t>Aditi Sen</t>
  </si>
  <si>
    <t>Corporate</t>
  </si>
  <si>
    <t>Labels</t>
  </si>
  <si>
    <t>Classic Labels 815</t>
  </si>
  <si>
    <t>ORD-2025-10010</t>
  </si>
  <si>
    <t>CUST-2483</t>
  </si>
  <si>
    <t>Home Office</t>
  </si>
  <si>
    <t>Pro Paper 622</t>
  </si>
  <si>
    <t>ORD-2025-10011</t>
  </si>
  <si>
    <t>CUST-8092</t>
  </si>
  <si>
    <t>West Bengal</t>
  </si>
  <si>
    <t>Kolkata</t>
  </si>
  <si>
    <t>Prime Labels 644</t>
  </si>
  <si>
    <t>Refunded</t>
  </si>
  <si>
    <t>Returned</t>
  </si>
  <si>
    <t>ORD-2024-10012</t>
  </si>
  <si>
    <t>CUST-6528</t>
  </si>
  <si>
    <t>Smart Accessories 603</t>
  </si>
  <si>
    <t>ORD-2024-10013</t>
  </si>
  <si>
    <t>CUST-2648</t>
  </si>
  <si>
    <t>Udaipur</t>
  </si>
  <si>
    <t>Pro Paper 481</t>
  </si>
  <si>
    <t>Pending</t>
  </si>
  <si>
    <t>ORD-2025-10014</t>
  </si>
  <si>
    <t>CUST-7482</t>
  </si>
  <si>
    <t>Priya Menon</t>
  </si>
  <si>
    <t>Smart Art 795</t>
  </si>
  <si>
    <t>ORD-2024-10015</t>
  </si>
  <si>
    <t>CUST-4912</t>
  </si>
  <si>
    <t>Rahul Verma</t>
  </si>
  <si>
    <t>Max Copiers 983</t>
  </si>
  <si>
    <t>ORD-2024-10016</t>
  </si>
  <si>
    <t>CUST-7656</t>
  </si>
  <si>
    <t>Punjab</t>
  </si>
  <si>
    <t>Ludhiana</t>
  </si>
  <si>
    <t>Storage</t>
  </si>
  <si>
    <t>Classic Storage 198</t>
  </si>
  <si>
    <t>ORD-2024-10017</t>
  </si>
  <si>
    <t>CUST-6214</t>
  </si>
  <si>
    <t>Aarav Sharma</t>
  </si>
  <si>
    <t>Basic Art 204</t>
  </si>
  <si>
    <t>ORD-2024-10018</t>
  </si>
  <si>
    <t>CUST-1626</t>
  </si>
  <si>
    <t>Sneha Kapoor</t>
  </si>
  <si>
    <t>Basic Furnishings 434</t>
  </si>
  <si>
    <t>ORD-2025-10019</t>
  </si>
  <si>
    <t>CUST-2110</t>
  </si>
  <si>
    <t>Uttar Pradesh</t>
  </si>
  <si>
    <t>Noida</t>
  </si>
  <si>
    <t>Eco Copiers 755</t>
  </si>
  <si>
    <t>ORD-2024-10020</t>
  </si>
  <si>
    <t>CUST-3186</t>
  </si>
  <si>
    <t>Rohan Mehta</t>
  </si>
  <si>
    <t>Prime Storage 121</t>
  </si>
  <si>
    <t>ORD-2025-10021</t>
  </si>
  <si>
    <t>CUST-3190</t>
  </si>
  <si>
    <t>Bihar</t>
  </si>
  <si>
    <t>Patna</t>
  </si>
  <si>
    <t>Elite Copiers 233</t>
  </si>
  <si>
    <t>ORD-2025-10022</t>
  </si>
  <si>
    <t>CUST-3036</t>
  </si>
  <si>
    <t>Eco Furnishings 897</t>
  </si>
  <si>
    <t>ORD-2025-10023</t>
  </si>
  <si>
    <t>CUST-3588</t>
  </si>
  <si>
    <t>Binders</t>
  </si>
  <si>
    <t>Max Binders 355</t>
  </si>
  <si>
    <t>Failed</t>
  </si>
  <si>
    <t>ORD-2025-10024</t>
  </si>
  <si>
    <t>CUST-7098</t>
  </si>
  <si>
    <t>Bookcases</t>
  </si>
  <si>
    <t>Pro Bookcases 394</t>
  </si>
  <si>
    <t>ORD-2024-10025</t>
  </si>
  <si>
    <t>CUST-1747</t>
  </si>
  <si>
    <t>Diya Patel</t>
  </si>
  <si>
    <t>Max Art 215</t>
  </si>
  <si>
    <t>ORD-2024-10026</t>
  </si>
  <si>
    <t>CUST-1731</t>
  </si>
  <si>
    <t>Assam</t>
  </si>
  <si>
    <t>Guwahati</t>
  </si>
  <si>
    <t>Classic Accessories 478</t>
  </si>
  <si>
    <t>ORD-2024-10027</t>
  </si>
  <si>
    <t>CUST-4401</t>
  </si>
  <si>
    <t>Phones</t>
  </si>
  <si>
    <t>Pro Phones 243</t>
  </si>
  <si>
    <t>ORD-2025-10028</t>
  </si>
  <si>
    <t>CUST-9875</t>
  </si>
  <si>
    <t>Karnataka</t>
  </si>
  <si>
    <t>Bengaluru</t>
  </si>
  <si>
    <t>Basic Paper 613</t>
  </si>
  <si>
    <t>ORD-2024-10029</t>
  </si>
  <si>
    <t>CUST-1569</t>
  </si>
  <si>
    <t>Gujarat</t>
  </si>
  <si>
    <t>Ahmedabad</t>
  </si>
  <si>
    <t>Prime Phones 698</t>
  </si>
  <si>
    <t>ORD-2025-10030</t>
  </si>
  <si>
    <t>CUST-5936</t>
  </si>
  <si>
    <t>Kerala</t>
  </si>
  <si>
    <t>Kochi</t>
  </si>
  <si>
    <t>Pro Phones 442</t>
  </si>
  <si>
    <t>ORD-2024-10031</t>
  </si>
  <si>
    <t>CUST-8759</t>
  </si>
  <si>
    <t>Goa</t>
  </si>
  <si>
    <t>Panaji</t>
  </si>
  <si>
    <t>Pro Labels 355</t>
  </si>
  <si>
    <t>ORD-2025-10032</t>
  </si>
  <si>
    <t>CUST-7867</t>
  </si>
  <si>
    <t>Pro Paper 959</t>
  </si>
  <si>
    <t>ORD-2024-10033</t>
  </si>
  <si>
    <t>CUST-6509</t>
  </si>
  <si>
    <t>Basic Phones 242</t>
  </si>
  <si>
    <t>ORD-2024-10034</t>
  </si>
  <si>
    <t>CUST-6660</t>
  </si>
  <si>
    <t>Max Tables 836</t>
  </si>
  <si>
    <t>ORD-2025-10035</t>
  </si>
  <si>
    <t>CUST-2392</t>
  </si>
  <si>
    <t>Elite Chairs 862</t>
  </si>
  <si>
    <t>ORD-2024-10036</t>
  </si>
  <si>
    <t>CUST-1611</t>
  </si>
  <si>
    <t>Prime Bookcases 414</t>
  </si>
  <si>
    <t>ORD-2024-10037</t>
  </si>
  <si>
    <t>CUST-8296</t>
  </si>
  <si>
    <t>Eco Bookcases 220</t>
  </si>
  <si>
    <t>ORD-2025-10038</t>
  </si>
  <si>
    <t>CUST-4646</t>
  </si>
  <si>
    <t>Pro Copiers 830</t>
  </si>
  <si>
    <t>ORD-2024-10039</t>
  </si>
  <si>
    <t>CUST-8235</t>
  </si>
  <si>
    <t>Prime Phones 507</t>
  </si>
  <si>
    <t>ORD-2024-10040</t>
  </si>
  <si>
    <t>CUST-5830</t>
  </si>
  <si>
    <t>Classic Copiers 590</t>
  </si>
  <si>
    <t>ORD-2024-10041</t>
  </si>
  <si>
    <t>CUST-7178</t>
  </si>
  <si>
    <t>Eco Copiers 865</t>
  </si>
  <si>
    <t>ORD-2024-10042</t>
  </si>
  <si>
    <t>CUST-3829</t>
  </si>
  <si>
    <t>Classic Bookcases 835</t>
  </si>
  <si>
    <t>ORD-2025-10043</t>
  </si>
  <si>
    <t>CUST-6708</t>
  </si>
  <si>
    <t>Jharkhand</t>
  </si>
  <si>
    <t>Ranchi</t>
  </si>
  <si>
    <t>Eco Phones 702</t>
  </si>
  <si>
    <t>ORD-2024-10044</t>
  </si>
  <si>
    <t>CUST-7119</t>
  </si>
  <si>
    <t>Smart Furnishings 956</t>
  </si>
  <si>
    <t>ORD-2024-10045</t>
  </si>
  <si>
    <t>CUST-3373</t>
  </si>
  <si>
    <t>Haryana</t>
  </si>
  <si>
    <t>Gurugram</t>
  </si>
  <si>
    <t>Max Chairs 393</t>
  </si>
  <si>
    <t>ORD-2024-10046</t>
  </si>
  <si>
    <t>CUST-8896</t>
  </si>
  <si>
    <t>Prime Art 221</t>
  </si>
  <si>
    <t>ORD-2024-10047</t>
  </si>
  <si>
    <t>CUST-8517</t>
  </si>
  <si>
    <t>Elite Bookcases 671</t>
  </si>
  <si>
    <t>ORD-2024-10048</t>
  </si>
  <si>
    <t>CUST-1987</t>
  </si>
  <si>
    <t>Tamil Nadu</t>
  </si>
  <si>
    <t>Chennai</t>
  </si>
  <si>
    <t>Max Storage 432</t>
  </si>
  <si>
    <t>ORD-2025-10049</t>
  </si>
  <si>
    <t>CUST-8183</t>
  </si>
  <si>
    <t>Basic Chairs 837</t>
  </si>
  <si>
    <t>ORD-2024-10050</t>
  </si>
  <si>
    <t>CUST-2380</t>
  </si>
  <si>
    <t>Classic Copiers 295</t>
  </si>
  <si>
    <t>ORD-2025-10051</t>
  </si>
  <si>
    <t>CUST-8787</t>
  </si>
  <si>
    <t>Pro Copiers 963</t>
  </si>
  <si>
    <t>ORD-2024-10052</t>
  </si>
  <si>
    <t>CUST-3557</t>
  </si>
  <si>
    <t>Pro Art 907</t>
  </si>
  <si>
    <t>ORD-2024-10053</t>
  </si>
  <si>
    <t>CUST-2778</t>
  </si>
  <si>
    <t>Kabir Singh</t>
  </si>
  <si>
    <t>Pro Chairs 526</t>
  </si>
  <si>
    <t>ORD-2025-10054</t>
  </si>
  <si>
    <t>CUST-7195</t>
  </si>
  <si>
    <t>Elite Storage 924</t>
  </si>
  <si>
    <t>ORD-2025-10055</t>
  </si>
  <si>
    <t>CUST-9039</t>
  </si>
  <si>
    <t>Pro Labels 957</t>
  </si>
  <si>
    <t>ORD-2025-10056</t>
  </si>
  <si>
    <t>CUST-9821</t>
  </si>
  <si>
    <t>Machines</t>
  </si>
  <si>
    <t>Classic Machines 310</t>
  </si>
  <si>
    <t>ORD-2025-10057</t>
  </si>
  <si>
    <t>CUST-8701</t>
  </si>
  <si>
    <t>Smart Binders 393</t>
  </si>
  <si>
    <t>ORD-2024-10058</t>
  </si>
  <si>
    <t>CUST-9941</t>
  </si>
  <si>
    <t>Max Chairs 813</t>
  </si>
  <si>
    <t>ORD-2024-10059</t>
  </si>
  <si>
    <t>CUST-3983</t>
  </si>
  <si>
    <t>Basic Storage 872</t>
  </si>
  <si>
    <t>ORD-2024-10060</t>
  </si>
  <si>
    <t>CUST-2418</t>
  </si>
  <si>
    <t>Smart Labels 655</t>
  </si>
  <si>
    <t>ORD-2024-10061</t>
  </si>
  <si>
    <t>CUST-2892</t>
  </si>
  <si>
    <t>Eco Labels 210</t>
  </si>
  <si>
    <t>ORD-2024-10062</t>
  </si>
  <si>
    <t>CUST-7008</t>
  </si>
  <si>
    <t>Classic Bookcases 296</t>
  </si>
  <si>
    <t>ORD-2024-10063</t>
  </si>
  <si>
    <t>CUST-4900</t>
  </si>
  <si>
    <t>Basic Phones 230</t>
  </si>
  <si>
    <t>ORD-2024-10064</t>
  </si>
  <si>
    <t>CUST-5382</t>
  </si>
  <si>
    <t>Pro Binders 690</t>
  </si>
  <si>
    <t>ORD-2024-10065</t>
  </si>
  <si>
    <t>CUST-2749</t>
  </si>
  <si>
    <t>Classic Paper 458</t>
  </si>
  <si>
    <t>ORD-2024-10066</t>
  </si>
  <si>
    <t>CUST-2463</t>
  </si>
  <si>
    <t>Pro Paper 552</t>
  </si>
  <si>
    <t>ORD-2025-10067</t>
  </si>
  <si>
    <t>CUST-1504</t>
  </si>
  <si>
    <t>Elite Accessories 187</t>
  </si>
  <si>
    <t>ORD-2025-10068</t>
  </si>
  <si>
    <t>CUST-8282</t>
  </si>
  <si>
    <t>Eco Paper 922</t>
  </si>
  <si>
    <t>ORD-2024-10069</t>
  </si>
  <si>
    <t>CUST-6054</t>
  </si>
  <si>
    <t>Pro Storage 975</t>
  </si>
  <si>
    <t>ORD-2024-10070</t>
  </si>
  <si>
    <t>CUST-5979</t>
  </si>
  <si>
    <t>Prime Machines 782</t>
  </si>
  <si>
    <t>ORD-2025-10071</t>
  </si>
  <si>
    <t>CUST-5582</t>
  </si>
  <si>
    <t>Max Phones 661</t>
  </si>
  <si>
    <t>ORD-2025-10072</t>
  </si>
  <si>
    <t>CUST-3308</t>
  </si>
  <si>
    <t>Elite Machines 836</t>
  </si>
  <si>
    <t>ORD-2024-10073</t>
  </si>
  <si>
    <t>CUST-5018</t>
  </si>
  <si>
    <t>Prime Tables 902</t>
  </si>
  <si>
    <t>ORD-2025-10074</t>
  </si>
  <si>
    <t>CUST-2342</t>
  </si>
  <si>
    <t>Smart Bookcases 167</t>
  </si>
  <si>
    <t>ORD-2025-10075</t>
  </si>
  <si>
    <t>CUST-6201</t>
  </si>
  <si>
    <t>Max Chairs 244</t>
  </si>
  <si>
    <t>ORD-2025-10076</t>
  </si>
  <si>
    <t>CUST-5808</t>
  </si>
  <si>
    <t>Eco Labels 653</t>
  </si>
  <si>
    <t>ORD-2024-10077</t>
  </si>
  <si>
    <t>CUST-2642</t>
  </si>
  <si>
    <t>Max Labels 617</t>
  </si>
  <si>
    <t>ORD-2025-10078</t>
  </si>
  <si>
    <t>CUST-4385</t>
  </si>
  <si>
    <t>Pro Furnishings 529</t>
  </si>
  <si>
    <t>ORD-2025-10079</t>
  </si>
  <si>
    <t>CUST-8043</t>
  </si>
  <si>
    <t>Smart Tables 561</t>
  </si>
  <si>
    <t>ORD-2025-10080</t>
  </si>
  <si>
    <t>CUST-9978</t>
  </si>
  <si>
    <t>Prime Chairs 838</t>
  </si>
  <si>
    <t>ORD-2024-10081</t>
  </si>
  <si>
    <t>CUST-2094</t>
  </si>
  <si>
    <t>Delhi</t>
  </si>
  <si>
    <t>New Delhi</t>
  </si>
  <si>
    <t>Elite Storage 371</t>
  </si>
  <si>
    <t>ORD-2025-10082</t>
  </si>
  <si>
    <t>CUST-7907</t>
  </si>
  <si>
    <t>Eco Labels 662</t>
  </si>
  <si>
    <t>ORD-2024-10083</t>
  </si>
  <si>
    <t>CUST-6516</t>
  </si>
  <si>
    <t>Smart Copiers 702</t>
  </si>
  <si>
    <t>ORD-2024-10084</t>
  </si>
  <si>
    <t>CUST-4989</t>
  </si>
  <si>
    <t>Elite Tables 362</t>
  </si>
  <si>
    <t>ORD-2024-10085</t>
  </si>
  <si>
    <t>CUST-3758</t>
  </si>
  <si>
    <t>Elite Phones 781</t>
  </si>
  <si>
    <t>ORD-2024-10086</t>
  </si>
  <si>
    <t>CUST-6702</t>
  </si>
  <si>
    <t>Eco Binders 456</t>
  </si>
  <si>
    <t>ORD-2024-10087</t>
  </si>
  <si>
    <t>CUST-9148</t>
  </si>
  <si>
    <t>Basic Copiers 525</t>
  </si>
  <si>
    <t>ORD-2024-10088</t>
  </si>
  <si>
    <t>CUST-5829</t>
  </si>
  <si>
    <t>Eco Binders 258</t>
  </si>
  <si>
    <t>ORD-2024-10089</t>
  </si>
  <si>
    <t>CUST-6059</t>
  </si>
  <si>
    <t>Max Bookcases 398</t>
  </si>
  <si>
    <t>ORD-2024-10090</t>
  </si>
  <si>
    <t>CUST-7744</t>
  </si>
  <si>
    <t>Smart Bookcases 857</t>
  </si>
  <si>
    <t>ORD-2025-10091</t>
  </si>
  <si>
    <t>CUST-5909</t>
  </si>
  <si>
    <t>Smart Copiers 556</t>
  </si>
  <si>
    <t>ORD-2025-10092</t>
  </si>
  <si>
    <t>CUST-6409</t>
  </si>
  <si>
    <t>Prime Copiers 575</t>
  </si>
  <si>
    <t>ORD-2025-10093</t>
  </si>
  <si>
    <t>CUST-3014</t>
  </si>
  <si>
    <t>Elite Paper 669</t>
  </si>
  <si>
    <t>ORD-2024-10094</t>
  </si>
  <si>
    <t>CUST-6106</t>
  </si>
  <si>
    <t>Eco Binders 780</t>
  </si>
  <si>
    <t>ORD-2024-10095</t>
  </si>
  <si>
    <t>CUST-1926</t>
  </si>
  <si>
    <t>Elite Phones 723</t>
  </si>
  <si>
    <t>ORD-2025-10096</t>
  </si>
  <si>
    <t>CUST-2687</t>
  </si>
  <si>
    <t>Classic Bookcases 988</t>
  </si>
  <si>
    <t>ORD-2024-10097</t>
  </si>
  <si>
    <t>CUST-7283</t>
  </si>
  <si>
    <t>Smart Copiers 547</t>
  </si>
  <si>
    <t>ORD-2025-10098</t>
  </si>
  <si>
    <t>CUST-8111</t>
  </si>
  <si>
    <t>Basic Storage 656</t>
  </si>
  <si>
    <t>ORD-2024-10099</t>
  </si>
  <si>
    <t>CUST-5434</t>
  </si>
  <si>
    <t>Elite Copiers 785</t>
  </si>
  <si>
    <t>ORD-2025-10100</t>
  </si>
  <si>
    <t>CUST-3865</t>
  </si>
  <si>
    <t>Smart Accessories 542</t>
  </si>
  <si>
    <t>ORD-2025-10101</t>
  </si>
  <si>
    <t>CUST-6015</t>
  </si>
  <si>
    <t>Eco Storage 936</t>
  </si>
  <si>
    <t>ORD-2024-10102</t>
  </si>
  <si>
    <t>CUST-7909</t>
  </si>
  <si>
    <t>Classic Furnishings 682</t>
  </si>
  <si>
    <t>ORD-2025-10103</t>
  </si>
  <si>
    <t>CUST-9603</t>
  </si>
  <si>
    <t>Classic Chairs 604</t>
  </si>
  <si>
    <t>ORD-2025-10104</t>
  </si>
  <si>
    <t>CUST-6263</t>
  </si>
  <si>
    <t>Prime Tables 377</t>
  </si>
  <si>
    <t>ORD-2025-10105</t>
  </si>
  <si>
    <t>CUST-1576</t>
  </si>
  <si>
    <t>Prime Labels 807</t>
  </si>
  <si>
    <t>ORD-2024-10106</t>
  </si>
  <si>
    <t>CUST-6540</t>
  </si>
  <si>
    <t>Eco Tables 575</t>
  </si>
  <si>
    <t>ORD-2024-10107</t>
  </si>
  <si>
    <t>CUST-4008</t>
  </si>
  <si>
    <t>Eco Paper 918</t>
  </si>
  <si>
    <t>ORD-2024-10108</t>
  </si>
  <si>
    <t>CUST-6604</t>
  </si>
  <si>
    <t>Prime Furnishings 952</t>
  </si>
  <si>
    <t>ORD-2024-10109</t>
  </si>
  <si>
    <t>CUST-4337</t>
  </si>
  <si>
    <t>Prime Bookcases 631</t>
  </si>
  <si>
    <t>ORD-2025-10110</t>
  </si>
  <si>
    <t>CUST-3740</t>
  </si>
  <si>
    <t>Classic Binders 660</t>
  </si>
  <si>
    <t>ORD-2024-10111</t>
  </si>
  <si>
    <t>CUST-7128</t>
  </si>
  <si>
    <t>Pro Labels 255</t>
  </si>
  <si>
    <t>ORD-2025-10112</t>
  </si>
  <si>
    <t>CUST-4743</t>
  </si>
  <si>
    <t>Basic Accessories 187</t>
  </si>
  <si>
    <t>ORD-2024-10113</t>
  </si>
  <si>
    <t>CUST-5213</t>
  </si>
  <si>
    <t>Max Accessories 451</t>
  </si>
  <si>
    <t>ORD-2024-10114</t>
  </si>
  <si>
    <t>Classic Tables 752</t>
  </si>
  <si>
    <t>ORD-2024-10115</t>
  </si>
  <si>
    <t>CUST-2927</t>
  </si>
  <si>
    <t>Eco Accessories 452</t>
  </si>
  <si>
    <t>ORD-2024-10116</t>
  </si>
  <si>
    <t>CUST-7764</t>
  </si>
  <si>
    <t>Classic Binders 203</t>
  </si>
  <si>
    <t>ORD-2025-10117</t>
  </si>
  <si>
    <t>CUST-3632</t>
  </si>
  <si>
    <t>Basic Binders 859</t>
  </si>
  <si>
    <t>ORD-2024-10118</t>
  </si>
  <si>
    <t>CUST-9608</t>
  </si>
  <si>
    <t>Elite Machines 705</t>
  </si>
  <si>
    <t>ORD-2024-10119</t>
  </si>
  <si>
    <t>CUST-9135</t>
  </si>
  <si>
    <t>Pro Copiers 208</t>
  </si>
  <si>
    <t>ORD-2024-10120</t>
  </si>
  <si>
    <t>CUST-7861</t>
  </si>
  <si>
    <t>Elite Chairs 921</t>
  </si>
  <si>
    <t>ORD-2024-10121</t>
  </si>
  <si>
    <t>CUST-6096</t>
  </si>
  <si>
    <t>Prime Phones 540</t>
  </si>
  <si>
    <t>ORD-2025-10122</t>
  </si>
  <si>
    <t>CUST-2044</t>
  </si>
  <si>
    <t>Max Machines 948</t>
  </si>
  <si>
    <t>ORD-2024-10123</t>
  </si>
  <si>
    <t>CUST-1721</t>
  </si>
  <si>
    <t>Max Chairs 786</t>
  </si>
  <si>
    <t>ORD-2024-10124</t>
  </si>
  <si>
    <t>CUST-1007</t>
  </si>
  <si>
    <t>Max Copiers 970</t>
  </si>
  <si>
    <t>ORD-2024-10125</t>
  </si>
  <si>
    <t>CUST-4450</t>
  </si>
  <si>
    <t>Pro Copiers 769</t>
  </si>
  <si>
    <t>ORD-2025-10126</t>
  </si>
  <si>
    <t>CUST-7924</t>
  </si>
  <si>
    <t>Basic Tables 753</t>
  </si>
  <si>
    <t>ORD-2025-10127</t>
  </si>
  <si>
    <t>CUST-1715</t>
  </si>
  <si>
    <t>Prime Copiers 651</t>
  </si>
  <si>
    <t>ORD-2025-10128</t>
  </si>
  <si>
    <t>CUST-6802</t>
  </si>
  <si>
    <t>Basic Storage 321</t>
  </si>
  <si>
    <t>ORD-2024-10129</t>
  </si>
  <si>
    <t>CUST-9328</t>
  </si>
  <si>
    <t>Prime Furnishings 710</t>
  </si>
  <si>
    <t>ORD-2024-10130</t>
  </si>
  <si>
    <t>CUST-2588</t>
  </si>
  <si>
    <t>Elite Binders 723</t>
  </si>
  <si>
    <t>ORD-2024-10131</t>
  </si>
  <si>
    <t>CUST-5435</t>
  </si>
  <si>
    <t>Smart Labels 878</t>
  </si>
  <si>
    <t>ORD-2025-10132</t>
  </si>
  <si>
    <t>CUST-7637</t>
  </si>
  <si>
    <t>Pro Paper 934</t>
  </si>
  <si>
    <t>ORD-2024-10133</t>
  </si>
  <si>
    <t>CUST-3602</t>
  </si>
  <si>
    <t>Classic Machines 886</t>
  </si>
  <si>
    <t>ORD-2024-10134</t>
  </si>
  <si>
    <t>CUST-9441</t>
  </si>
  <si>
    <t>Prime Phones 419</t>
  </si>
  <si>
    <t>ORD-2025-10135</t>
  </si>
  <si>
    <t>CUST-7361</t>
  </si>
  <si>
    <t>Elite Bookcases 266</t>
  </si>
  <si>
    <t>ORD-2025-10136</t>
  </si>
  <si>
    <t>CUST-1148</t>
  </si>
  <si>
    <t>Prime Bookcases 954</t>
  </si>
  <si>
    <t>ORD-2025-10137</t>
  </si>
  <si>
    <t>CUST-3350</t>
  </si>
  <si>
    <t>Max Binders 362</t>
  </si>
  <si>
    <t>ORD-2025-10138</t>
  </si>
  <si>
    <t>CUST-7932</t>
  </si>
  <si>
    <t>Prime Chairs 261</t>
  </si>
  <si>
    <t>ORD-2024-10139</t>
  </si>
  <si>
    <t>CUST-7173</t>
  </si>
  <si>
    <t>Basic Machines 185</t>
  </si>
  <si>
    <t>ORD-2025-10140</t>
  </si>
  <si>
    <t>CUST-4225</t>
  </si>
  <si>
    <t>Basic Labels 509</t>
  </si>
  <si>
    <t>ORD-2024-10141</t>
  </si>
  <si>
    <t>CUST-2149</t>
  </si>
  <si>
    <t>Elite Bookcases 696</t>
  </si>
  <si>
    <t>ORD-2024-10142</t>
  </si>
  <si>
    <t>CUST-3314</t>
  </si>
  <si>
    <t>Elite Bookcases 772</t>
  </si>
  <si>
    <t>ORD-2024-10143</t>
  </si>
  <si>
    <t>CUST-8944</t>
  </si>
  <si>
    <t>Classic Phones 142</t>
  </si>
  <si>
    <t>ORD-2024-10144</t>
  </si>
  <si>
    <t>CUST-3144</t>
  </si>
  <si>
    <t>Pro Paper 575</t>
  </si>
  <si>
    <t>ORD-2024-10145</t>
  </si>
  <si>
    <t>CUST-6747</t>
  </si>
  <si>
    <t>Elite Accessories 905</t>
  </si>
  <si>
    <t>ORD-2025-10146</t>
  </si>
  <si>
    <t>CUST-6161</t>
  </si>
  <si>
    <t>Smart Paper 899</t>
  </si>
  <si>
    <t>ORD-2025-10147</t>
  </si>
  <si>
    <t>CUST-1460</t>
  </si>
  <si>
    <t>Classic Storage 423</t>
  </si>
  <si>
    <t>ORD-2024-10148</t>
  </si>
  <si>
    <t>CUST-2692</t>
  </si>
  <si>
    <t>Classic Furnishings 743</t>
  </si>
  <si>
    <t>ORD-2025-10149</t>
  </si>
  <si>
    <t>CUST-2822</t>
  </si>
  <si>
    <t>Smart Phones 336</t>
  </si>
  <si>
    <t>ORD-2024-10150</t>
  </si>
  <si>
    <t>CUST-5876</t>
  </si>
  <si>
    <t>Eco Copiers 381</t>
  </si>
  <si>
    <t>ORD-2024-10151</t>
  </si>
  <si>
    <t>CUST-4661</t>
  </si>
  <si>
    <t>Max Bookcases 595</t>
  </si>
  <si>
    <t>ORD-2024-10152</t>
  </si>
  <si>
    <t>CUST-6011</t>
  </si>
  <si>
    <t>Max Copiers 992</t>
  </si>
  <si>
    <t>ORD-2024-10153</t>
  </si>
  <si>
    <t>CUST-6160</t>
  </si>
  <si>
    <t>Pro Tables 407</t>
  </si>
  <si>
    <t>ORD-2025-10154</t>
  </si>
  <si>
    <t>CUST-6971</t>
  </si>
  <si>
    <t>Prime Labels 559</t>
  </si>
  <si>
    <t>ORD-2024-10155</t>
  </si>
  <si>
    <t>Classic Bookcases 847</t>
  </si>
  <si>
    <t>ORD-2025-10156</t>
  </si>
  <si>
    <t>CUST-8327</t>
  </si>
  <si>
    <t>Classic Furnishings 655</t>
  </si>
  <si>
    <t>ORD-2025-10157</t>
  </si>
  <si>
    <t>CUST-4058</t>
  </si>
  <si>
    <t>Eco Machines 657</t>
  </si>
  <si>
    <t>ORD-2024-10158</t>
  </si>
  <si>
    <t>CUST-1142</t>
  </si>
  <si>
    <t>Pro Bookcases 430</t>
  </si>
  <si>
    <t>ORD-2024-10159</t>
  </si>
  <si>
    <t>CUST-2324</t>
  </si>
  <si>
    <t>Max Bookcases 881</t>
  </si>
  <si>
    <t>ORD-2025-10160</t>
  </si>
  <si>
    <t>CUST-7717</t>
  </si>
  <si>
    <t>Elite Chairs 998</t>
  </si>
  <si>
    <t>ORD-2025-10161</t>
  </si>
  <si>
    <t>CUST-4932</t>
  </si>
  <si>
    <t>Max Paper 113</t>
  </si>
  <si>
    <t>ORD-2025-10162</t>
  </si>
  <si>
    <t>CUST-2367</t>
  </si>
  <si>
    <t>Smart Binders 267</t>
  </si>
  <si>
    <t>ORD-2024-10163</t>
  </si>
  <si>
    <t>CUST-4830</t>
  </si>
  <si>
    <t>Pro Furnishings 108</t>
  </si>
  <si>
    <t>ORD-2025-10164</t>
  </si>
  <si>
    <t>CUST-2548</t>
  </si>
  <si>
    <t>Elite Tables 389</t>
  </si>
  <si>
    <t>ORD-2025-10165</t>
  </si>
  <si>
    <t>CUST-3833</t>
  </si>
  <si>
    <t>Pro Bookcases 595</t>
  </si>
  <si>
    <t>ORD-2024-10166</t>
  </si>
  <si>
    <t>CUST-4598</t>
  </si>
  <si>
    <t>Max Chairs 148</t>
  </si>
  <si>
    <t>ORD-2025-10167</t>
  </si>
  <si>
    <t>CUST-7215</t>
  </si>
  <si>
    <t>Basic Labels 671</t>
  </si>
  <si>
    <t>ORD-2025-10168</t>
  </si>
  <si>
    <t>CUST-7770</t>
  </si>
  <si>
    <t>Elite Storage 628</t>
  </si>
  <si>
    <t>ORD-2025-10169</t>
  </si>
  <si>
    <t>CUST-9756</t>
  </si>
  <si>
    <t>Eco Accessories 590</t>
  </si>
  <si>
    <t>ORD-2025-10170</t>
  </si>
  <si>
    <t>CUST-2261</t>
  </si>
  <si>
    <t>Pro Art 734</t>
  </si>
  <si>
    <t>ORD-2025-10171</t>
  </si>
  <si>
    <t>CUST-3734</t>
  </si>
  <si>
    <t>Eco Copiers 102</t>
  </si>
  <si>
    <t>ORD-2025-10172</t>
  </si>
  <si>
    <t>CUST-3436</t>
  </si>
  <si>
    <t>Basic Labels 876</t>
  </si>
  <si>
    <t>ORD-2025-10173</t>
  </si>
  <si>
    <t>CUST-4845</t>
  </si>
  <si>
    <t>Prime Furnishings 381</t>
  </si>
  <si>
    <t>ORD-2024-10174</t>
  </si>
  <si>
    <t>CUST-6153</t>
  </si>
  <si>
    <t>PRIYA MENON</t>
  </si>
  <si>
    <t>Prime Copiers 440</t>
  </si>
  <si>
    <t>ORD-2025-10175</t>
  </si>
  <si>
    <t>CUST-5475</t>
  </si>
  <si>
    <t>Pro Bookcases 319</t>
  </si>
  <si>
    <t>ORD-2024-10176</t>
  </si>
  <si>
    <t>CUST-5580</t>
  </si>
  <si>
    <t>Basic Machines 584</t>
  </si>
  <si>
    <t>ORD-2025-10177</t>
  </si>
  <si>
    <t>CUST-3027</t>
  </si>
  <si>
    <t>Pro Bookcases 612</t>
  </si>
  <si>
    <t>ORD-2024-10178</t>
  </si>
  <si>
    <t>CUST-4399</t>
  </si>
  <si>
    <t>Classic Art 573</t>
  </si>
  <si>
    <t>ORD-2024-10179</t>
  </si>
  <si>
    <t>CUST-3092</t>
  </si>
  <si>
    <t>Eco Art 854</t>
  </si>
  <si>
    <t>ORD-2024-10180</t>
  </si>
  <si>
    <t>CUST-1778</t>
  </si>
  <si>
    <t>Classic Furnishings 996</t>
  </si>
  <si>
    <t>ORD-2024-10181</t>
  </si>
  <si>
    <t>CUST-3787</t>
  </si>
  <si>
    <t>Prime Binders 735</t>
  </si>
  <si>
    <t>ORD-2025-10182</t>
  </si>
  <si>
    <t>CUST-5119</t>
  </si>
  <si>
    <t>Pro Art 587</t>
  </si>
  <si>
    <t>ORD-2024-10183</t>
  </si>
  <si>
    <t>CUST-4121</t>
  </si>
  <si>
    <t>Basic Machines 575</t>
  </si>
  <si>
    <t>ORD-2025-10184</t>
  </si>
  <si>
    <t>CUST-3366</t>
  </si>
  <si>
    <t>Elite Copiers 788</t>
  </si>
  <si>
    <t>ORD-2024-10185</t>
  </si>
  <si>
    <t>CUST-1358</t>
  </si>
  <si>
    <t>Max Bookcases 472</t>
  </si>
  <si>
    <t>ORD-2024-10186</t>
  </si>
  <si>
    <t>CUST-4968</t>
  </si>
  <si>
    <t>Smart Labels 475</t>
  </si>
  <si>
    <t>ORD-2024-10187</t>
  </si>
  <si>
    <t>Basic Tables 417</t>
  </si>
  <si>
    <t>ORD-2025-10188</t>
  </si>
  <si>
    <t>CUST-3109</t>
  </si>
  <si>
    <t>Pro Chairs 844</t>
  </si>
  <si>
    <t>ORD-2025-10189</t>
  </si>
  <si>
    <t>CUST-3422</t>
  </si>
  <si>
    <t>Elite Bookcases 883</t>
  </si>
  <si>
    <t>ORD-2025-10190</t>
  </si>
  <si>
    <t>CUST-3375</t>
  </si>
  <si>
    <t>Basic Bookcases 754</t>
  </si>
  <si>
    <t>ORD-2025-10191</t>
  </si>
  <si>
    <t>CUST-5138</t>
  </si>
  <si>
    <t>Eco Storage 158</t>
  </si>
  <si>
    <t>ORD-2024-10192</t>
  </si>
  <si>
    <t>CUST-7410</t>
  </si>
  <si>
    <t>Prime Bookcases 602</t>
  </si>
  <si>
    <t>ORD-2024-10193</t>
  </si>
  <si>
    <t>CUST-7115</t>
  </si>
  <si>
    <t>Eco Chairs 438</t>
  </si>
  <si>
    <t>ORD-2024-10194</t>
  </si>
  <si>
    <t>CUST-9853</t>
  </si>
  <si>
    <t>Prime Copiers 142</t>
  </si>
  <si>
    <t>ORD-2025-10195</t>
  </si>
  <si>
    <t>CUST-3637</t>
  </si>
  <si>
    <t>Prime Furnishings 433</t>
  </si>
  <si>
    <t>ORD-2025-10196</t>
  </si>
  <si>
    <t>CUST-4328</t>
  </si>
  <si>
    <t>Smart Furnishings 685</t>
  </si>
  <si>
    <t>ORD-2024-10197</t>
  </si>
  <si>
    <t>CUST-8028</t>
  </si>
  <si>
    <t>Elite Storage 915</t>
  </si>
  <si>
    <t>ORD-2025-10198</t>
  </si>
  <si>
    <t>Basic Storage 961</t>
  </si>
  <si>
    <t>ORD-2024-10199</t>
  </si>
  <si>
    <t>CUST-7820</t>
  </si>
  <si>
    <t>Classic Art 968</t>
  </si>
  <si>
    <t>ORD-2024-10200</t>
  </si>
  <si>
    <t>CUST-4536</t>
  </si>
  <si>
    <t>Prime Machines 806</t>
  </si>
  <si>
    <t>ORD-2025-10201</t>
  </si>
  <si>
    <t>CUST-7047</t>
  </si>
  <si>
    <t>Classic Copiers 479</t>
  </si>
  <si>
    <t>ORD-2025-10202</t>
  </si>
  <si>
    <t>CUST-8005</t>
  </si>
  <si>
    <t>Basic Labels 511</t>
  </si>
  <si>
    <t>ORD-2025-10203</t>
  </si>
  <si>
    <t>CUST-9378</t>
  </si>
  <si>
    <t>Prime Accessories 733</t>
  </si>
  <si>
    <t>ORD-2024-10204</t>
  </si>
  <si>
    <t>CUST-3384</t>
  </si>
  <si>
    <t>Max Accessories 186</t>
  </si>
  <si>
    <t>ORD-2025-10205</t>
  </si>
  <si>
    <t>CUST-1986</t>
  </si>
  <si>
    <t>Elite Tables 318</t>
  </si>
  <si>
    <t>ORD-2025-10206</t>
  </si>
  <si>
    <t>CUST-3338</t>
  </si>
  <si>
    <t>Smart Labels 354</t>
  </si>
  <si>
    <t>ORD-2025-10207</t>
  </si>
  <si>
    <t>CUST-2343</t>
  </si>
  <si>
    <t>Pro Furnishings 981</t>
  </si>
  <si>
    <t>ORD-2024-10208</t>
  </si>
  <si>
    <t>CUST-3362</t>
  </si>
  <si>
    <t>Eco Bookcases 671</t>
  </si>
  <si>
    <t>ORD-2025-10209</t>
  </si>
  <si>
    <t>CUST-3662</t>
  </si>
  <si>
    <t>Max Chairs 151</t>
  </si>
  <si>
    <t>ORD-2025-10210</t>
  </si>
  <si>
    <t>CUST-4947</t>
  </si>
  <si>
    <t>Prime Paper 903</t>
  </si>
  <si>
    <t>ORD-2024-10211</t>
  </si>
  <si>
    <t>CUST-3076</t>
  </si>
  <si>
    <t>Classic Machines 944</t>
  </si>
  <si>
    <t>ORD-2024-10212</t>
  </si>
  <si>
    <t>CUST-2222</t>
  </si>
  <si>
    <t>Basic Copiers 222</t>
  </si>
  <si>
    <t>ORD-2024-10213</t>
  </si>
  <si>
    <t>CUST-3610</t>
  </si>
  <si>
    <t>Max Phones 329</t>
  </si>
  <si>
    <t>ORD-2024-10214</t>
  </si>
  <si>
    <t>CUST-9136</t>
  </si>
  <si>
    <t>Classic Accessories 840</t>
  </si>
  <si>
    <t>ORD-2024-10215</t>
  </si>
  <si>
    <t>CUST-1301</t>
  </si>
  <si>
    <t>Classic Accessories 757</t>
  </si>
  <si>
    <t>ORD-2024-10216</t>
  </si>
  <si>
    <t>CUST-8603</t>
  </si>
  <si>
    <t>Prime Paper 286</t>
  </si>
  <si>
    <t>ORD-2025-10217</t>
  </si>
  <si>
    <t>CUST-4330</t>
  </si>
  <si>
    <t>Basic Tables 400</t>
  </si>
  <si>
    <t>ORD-2025-10218</t>
  </si>
  <si>
    <t>CUST-4533</t>
  </si>
  <si>
    <t>Basic Bookcases 405</t>
  </si>
  <si>
    <t>ORD-2025-10219</t>
  </si>
  <si>
    <t>CUST-8270</t>
  </si>
  <si>
    <t>Classic Bookcases 139</t>
  </si>
  <si>
    <t>ORD-2024-10220</t>
  </si>
  <si>
    <t>CUST-1472</t>
  </si>
  <si>
    <t>Elite Machines 290</t>
  </si>
  <si>
    <t>ORD-2024-10221</t>
  </si>
  <si>
    <t>CUST-1031</t>
  </si>
  <si>
    <t>Elite Storage 925</t>
  </si>
  <si>
    <t>ORD-2025-10222</t>
  </si>
  <si>
    <t>CUST-2495</t>
  </si>
  <si>
    <t>Classic Chairs 231</t>
  </si>
  <si>
    <t>ORD-2025-10223</t>
  </si>
  <si>
    <t>CUST-4583</t>
  </si>
  <si>
    <t>Prime Storage 818</t>
  </si>
  <si>
    <t>ORD-2025-10224</t>
  </si>
  <si>
    <t>CUST-5319</t>
  </si>
  <si>
    <t>Elite Furnishings 449</t>
  </si>
  <si>
    <t>ORD-2025-10225</t>
  </si>
  <si>
    <t>CUST-9871</t>
  </si>
  <si>
    <t>Classic Furnishings 109</t>
  </si>
  <si>
    <t>ORD-2024-10226</t>
  </si>
  <si>
    <t>CUST-1266</t>
  </si>
  <si>
    <t>Classic Phones 548</t>
  </si>
  <si>
    <t>ORD-2025-10227</t>
  </si>
  <si>
    <t>CUST-2545</t>
  </si>
  <si>
    <t>Max Copiers 363</t>
  </si>
  <si>
    <t>ORD-2024-10228</t>
  </si>
  <si>
    <t>CUST-2819</t>
  </si>
  <si>
    <t>Prime Binders 507</t>
  </si>
  <si>
    <t>ORD-2024-10229</t>
  </si>
  <si>
    <t>CUST-1076</t>
  </si>
  <si>
    <t>Smart Labels 914</t>
  </si>
  <si>
    <t>ORD-2025-10230</t>
  </si>
  <si>
    <t>CUST-1943</t>
  </si>
  <si>
    <t>Smart Bookcases 662</t>
  </si>
  <si>
    <t>ORD-2024-10231</t>
  </si>
  <si>
    <t>CUST-3434</t>
  </si>
  <si>
    <t>Eco Paper 937</t>
  </si>
  <si>
    <t>ORD-2024-10232</t>
  </si>
  <si>
    <t>CUST-9139</t>
  </si>
  <si>
    <t>Max Labels 370</t>
  </si>
  <si>
    <t>ORD-2025-10233</t>
  </si>
  <si>
    <t>CUST-5341</t>
  </si>
  <si>
    <t>Classic Phones 530</t>
  </si>
  <si>
    <t>ORD-2024-10234</t>
  </si>
  <si>
    <t>CUST-3710</t>
  </si>
  <si>
    <t>Smart Bookcases 328</t>
  </si>
  <si>
    <t>ORD-2024-10235</t>
  </si>
  <si>
    <t>CUST-9754</t>
  </si>
  <si>
    <t>Eco Furnishings 981</t>
  </si>
  <si>
    <t>ORD-2024-10236</t>
  </si>
  <si>
    <t>CUST-6256</t>
  </si>
  <si>
    <t>Basic Storage 195</t>
  </si>
  <si>
    <t>ORD-2024-10237</t>
  </si>
  <si>
    <t>CUST-7113</t>
  </si>
  <si>
    <t>Elite Bookcases 907</t>
  </si>
  <si>
    <t>ORD-2024-10238</t>
  </si>
  <si>
    <t>CUST-3827</t>
  </si>
  <si>
    <t>Smart Copiers 471</t>
  </si>
  <si>
    <t>ORD-2024-10239</t>
  </si>
  <si>
    <t>CUST-2375</t>
  </si>
  <si>
    <t>Prime Storage 625</t>
  </si>
  <si>
    <t>ORD-2024-10240</t>
  </si>
  <si>
    <t>CUST-2233</t>
  </si>
  <si>
    <t>Smart Machines 801</t>
  </si>
  <si>
    <t>ORD-2024-10241</t>
  </si>
  <si>
    <t>CUST-9778</t>
  </si>
  <si>
    <t>Max Binders 170</t>
  </si>
  <si>
    <t>ORD-2025-10242</t>
  </si>
  <si>
    <t>CUST-6949</t>
  </si>
  <si>
    <t>Basic Storage 737</t>
  </si>
  <si>
    <t>ORD-2025-10243</t>
  </si>
  <si>
    <t>CUST-3430</t>
  </si>
  <si>
    <t>Classic Art 126</t>
  </si>
  <si>
    <t>ORD-2025-10244</t>
  </si>
  <si>
    <t>CUST-6310</t>
  </si>
  <si>
    <t>Prime Accessories 243</t>
  </si>
  <si>
    <t>ORD-2024-10245</t>
  </si>
  <si>
    <t>CUST-6008</t>
  </si>
  <si>
    <t>Eco Bookcases 768</t>
  </si>
  <si>
    <t>ORD-2024-10246</t>
  </si>
  <si>
    <t>CUST-1704</t>
  </si>
  <si>
    <t>Pro Chairs 316</t>
  </si>
  <si>
    <t>ORD-2024-10247</t>
  </si>
  <si>
    <t>CUST-1827</t>
  </si>
  <si>
    <t>Classic Machines 819</t>
  </si>
  <si>
    <t>ORD-2024-10248</t>
  </si>
  <si>
    <t>CUST-6663</t>
  </si>
  <si>
    <t>Smart Accessories 572</t>
  </si>
  <si>
    <t>ORD-2024-10249</t>
  </si>
  <si>
    <t>CUST-6278</t>
  </si>
  <si>
    <t>Basic Labels 432</t>
  </si>
  <si>
    <t>ORD-2025-10250</t>
  </si>
  <si>
    <t>CUST-2305</t>
  </si>
  <si>
    <t>Classic Furnishings 378</t>
  </si>
  <si>
    <t>ORD-2024-10251</t>
  </si>
  <si>
    <t>CUST-5351</t>
  </si>
  <si>
    <t>Prime Furnishings 781</t>
  </si>
  <si>
    <t>ORD-2025-10252</t>
  </si>
  <si>
    <t>CUST-6268</t>
  </si>
  <si>
    <t>Prime Tables 263</t>
  </si>
  <si>
    <t>ORD-2025-10253</t>
  </si>
  <si>
    <t>CUST-2103</t>
  </si>
  <si>
    <t>Basic Storage 269</t>
  </si>
  <si>
    <t>ORD-2024-10254</t>
  </si>
  <si>
    <t>CUST-5394</t>
  </si>
  <si>
    <t>Classic Phones 442</t>
  </si>
  <si>
    <t>ORD-2025-10255</t>
  </si>
  <si>
    <t>CUST-6853</t>
  </si>
  <si>
    <t>Elite Accessories 978</t>
  </si>
  <si>
    <t>ORD-2025-10256</t>
  </si>
  <si>
    <t>CUST-1549</t>
  </si>
  <si>
    <t>Eco Phones 132</t>
  </si>
  <si>
    <t>ORD-2024-10257</t>
  </si>
  <si>
    <t>CUST-8411</t>
  </si>
  <si>
    <t>Prime Tables 481</t>
  </si>
  <si>
    <t>ORD-2025-10258</t>
  </si>
  <si>
    <t>CUST-5615</t>
  </si>
  <si>
    <t>Smart Accessories 180</t>
  </si>
  <si>
    <t>ORD-2024-10259</t>
  </si>
  <si>
    <t>CUST-8467</t>
  </si>
  <si>
    <t>Smart Tables 774</t>
  </si>
  <si>
    <t>ORD-2024-10260</t>
  </si>
  <si>
    <t>CUST-5174</t>
  </si>
  <si>
    <t>Prime Machines 793</t>
  </si>
  <si>
    <t>ORD-2025-10261</t>
  </si>
  <si>
    <t>CUST-3543</t>
  </si>
  <si>
    <t>Elite Binders 827</t>
  </si>
  <si>
    <t>ORD-2025-10262</t>
  </si>
  <si>
    <t>CUST-7623</t>
  </si>
  <si>
    <t>Prime Labels 326</t>
  </si>
  <si>
    <t>ORD-2025-10263</t>
  </si>
  <si>
    <t>Eco Phones 245</t>
  </si>
  <si>
    <t>ORD-2025-10264</t>
  </si>
  <si>
    <t>CUST-8265</t>
  </si>
  <si>
    <t>Smart Binders 905</t>
  </si>
  <si>
    <t>ORD-2024-10265</t>
  </si>
  <si>
    <t>CUST-4750</t>
  </si>
  <si>
    <t>Pro Copiers 599</t>
  </si>
  <si>
    <t>ORD-2024-10266</t>
  </si>
  <si>
    <t>CUST-3974</t>
  </si>
  <si>
    <t>Basic Bookcases 570</t>
  </si>
  <si>
    <t>ORD-2025-10267</t>
  </si>
  <si>
    <t>CUST-7114</t>
  </si>
  <si>
    <t>Classic Storage 926</t>
  </si>
  <si>
    <t>ORD-2025-10268</t>
  </si>
  <si>
    <t>CUST-4431</t>
  </si>
  <si>
    <t>Basic Furnishings 372</t>
  </si>
  <si>
    <t>ORD-2025-10269</t>
  </si>
  <si>
    <t>CUST-1488</t>
  </si>
  <si>
    <t>Prime Accessories 367</t>
  </si>
  <si>
    <t>ORD-2025-10270</t>
  </si>
  <si>
    <t>CUST-1586</t>
  </si>
  <si>
    <t>Max Tables 526</t>
  </si>
  <si>
    <t>ORD-2024-10271</t>
  </si>
  <si>
    <t>CUST-2487</t>
  </si>
  <si>
    <t>Prime Machines 794</t>
  </si>
  <si>
    <t>ORD-2024-10272</t>
  </si>
  <si>
    <t>CUST-8009</t>
  </si>
  <si>
    <t>Max Binders 927</t>
  </si>
  <si>
    <t>ORD-2024-10273</t>
  </si>
  <si>
    <t>CUST-7389</t>
  </si>
  <si>
    <t>Eco Chairs 314</t>
  </si>
  <si>
    <t>ORD-2025-10274</t>
  </si>
  <si>
    <t>CUST-8249</t>
  </si>
  <si>
    <t>Basic Paper 657</t>
  </si>
  <si>
    <t>ORD-2024-10275</t>
  </si>
  <si>
    <t>CUST-4202</t>
  </si>
  <si>
    <t>Pro Copiers 406</t>
  </si>
  <si>
    <t>ORD-2024-10276</t>
  </si>
  <si>
    <t>CUST-2875</t>
  </si>
  <si>
    <t>Eco Furnishings 678</t>
  </si>
  <si>
    <t>ORD-2024-10277</t>
  </si>
  <si>
    <t>CUST-7039</t>
  </si>
  <si>
    <t>Basic Chairs 141</t>
  </si>
  <si>
    <t>ORD-2025-10278</t>
  </si>
  <si>
    <t>Elite Accessories 291</t>
  </si>
  <si>
    <t>ORD-2025-10279</t>
  </si>
  <si>
    <t>CUST-8242</t>
  </si>
  <si>
    <t>Pro Accessories 207</t>
  </si>
  <si>
    <t>ORD-2024-10280</t>
  </si>
  <si>
    <t>CUST-4571</t>
  </si>
  <si>
    <t>Max Storage 564</t>
  </si>
  <si>
    <t>ORD-2024-10281</t>
  </si>
  <si>
    <t>CUST-4098</t>
  </si>
  <si>
    <t>Prime Copiers 961</t>
  </si>
  <si>
    <t>ORD-2025-10282</t>
  </si>
  <si>
    <t>CUST-2052</t>
  </si>
  <si>
    <t>Basic Binders 637</t>
  </si>
  <si>
    <t>ORD-2024-10283</t>
  </si>
  <si>
    <t>CUST-9445</t>
  </si>
  <si>
    <t>Classic Tables 811</t>
  </si>
  <si>
    <t>ORD-2025-10284</t>
  </si>
  <si>
    <t>CUST-6568</t>
  </si>
  <si>
    <t>Classic Furnishings 819</t>
  </si>
  <si>
    <t>ORD-2024-10285</t>
  </si>
  <si>
    <t>CUST-2076</t>
  </si>
  <si>
    <t>Prime Tables 542</t>
  </si>
  <si>
    <t>ORD-2025-10286</t>
  </si>
  <si>
    <t>CUST-5610</t>
  </si>
  <si>
    <t>Basic Storage 771</t>
  </si>
  <si>
    <t>ORD-2024-10287</t>
  </si>
  <si>
    <t>CUST-5823</t>
  </si>
  <si>
    <t>Pro Furnishings 848</t>
  </si>
  <si>
    <t>ORD-2024-10288</t>
  </si>
  <si>
    <t>CUST-7095</t>
  </si>
  <si>
    <t>Prime Copiers 924</t>
  </si>
  <si>
    <t>ORD-2024-10289</t>
  </si>
  <si>
    <t>CUST-4805</t>
  </si>
  <si>
    <t>Classic Binders 721</t>
  </si>
  <si>
    <t>ORD-2025-10290</t>
  </si>
  <si>
    <t>CUST-9114</t>
  </si>
  <si>
    <t>Basic Bookcases 823</t>
  </si>
  <si>
    <t>ORD-2025-10291</t>
  </si>
  <si>
    <t>CUST-8557</t>
  </si>
  <si>
    <t>Classic Tables 178</t>
  </si>
  <si>
    <t>ORD-2024-10292</t>
  </si>
  <si>
    <t>CUST-2860</t>
  </si>
  <si>
    <t>Eco Binders 153</t>
  </si>
  <si>
    <t>ORD-2025-10293</t>
  </si>
  <si>
    <t>CUST-7837</t>
  </si>
  <si>
    <t>Classic Art 183</t>
  </si>
  <si>
    <t>ORD-2024-10294</t>
  </si>
  <si>
    <t>CUST-7010</t>
  </si>
  <si>
    <t>Pro Phones 455</t>
  </si>
  <si>
    <t>ORD-2025-10295</t>
  </si>
  <si>
    <t>CUST-4755</t>
  </si>
  <si>
    <t>Basic Phones 326</t>
  </si>
  <si>
    <t>ORD-2025-10296</t>
  </si>
  <si>
    <t>CUST-6778</t>
  </si>
  <si>
    <t>Max Binders 587</t>
  </si>
  <si>
    <t>ORD-2025-10297</t>
  </si>
  <si>
    <t>CUST-7629</t>
  </si>
  <si>
    <t>Basic Furnishings 617</t>
  </si>
  <si>
    <t>ORD-2024-10298</t>
  </si>
  <si>
    <t>CUST-6724</t>
  </si>
  <si>
    <t>Prime Copiers 669</t>
  </si>
  <si>
    <t>ORD-2025-10299</t>
  </si>
  <si>
    <t>CUST-2141</t>
  </si>
  <si>
    <t>Eco Copiers 894</t>
  </si>
  <si>
    <t>ORD-2024-10300</t>
  </si>
  <si>
    <t>CUST-7264</t>
  </si>
  <si>
    <t>Max Accessories 145</t>
  </si>
  <si>
    <t>ORD-2024-10301</t>
  </si>
  <si>
    <t>CUST-2668</t>
  </si>
  <si>
    <t>Classic Accessories 126</t>
  </si>
  <si>
    <t>ORD-2025-10302</t>
  </si>
  <si>
    <t>CUST-5599</t>
  </si>
  <si>
    <t>Elite Phones 202</t>
  </si>
  <si>
    <t>ORD-2025-10303</t>
  </si>
  <si>
    <t>CUST-1623</t>
  </si>
  <si>
    <t>Elite Storage 535</t>
  </si>
  <si>
    <t>ORD-2024-10304</t>
  </si>
  <si>
    <t>CUST-9035</t>
  </si>
  <si>
    <t>Elite Chairs 107</t>
  </si>
  <si>
    <t>ORD-2024-10305</t>
  </si>
  <si>
    <t>CUST-6286</t>
  </si>
  <si>
    <t>Pro Furnishings 991</t>
  </si>
  <si>
    <t>ORD-2024-10306</t>
  </si>
  <si>
    <t>CUST-7246</t>
  </si>
  <si>
    <t>Eco Chairs 105</t>
  </si>
  <si>
    <t>ORD-2025-10307</t>
  </si>
  <si>
    <t>CUST-2589</t>
  </si>
  <si>
    <t>Pro Phones 530</t>
  </si>
  <si>
    <t>ORD-2025-10308</t>
  </si>
  <si>
    <t>CUST-4153</t>
  </si>
  <si>
    <t>Basic Tables 911</t>
  </si>
  <si>
    <t>ORD-2025-10309</t>
  </si>
  <si>
    <t>CUST-6727</t>
  </si>
  <si>
    <t>Classic Tables 224</t>
  </si>
  <si>
    <t>ORD-2024-10310</t>
  </si>
  <si>
    <t>CUST-8860</t>
  </si>
  <si>
    <t>Prime Tables 214</t>
  </si>
  <si>
    <t>ORD-2024-10311</t>
  </si>
  <si>
    <t>CUST-3784</t>
  </si>
  <si>
    <t>Max Machines 988</t>
  </si>
  <si>
    <t>ORD-2024-10312</t>
  </si>
  <si>
    <t>CUST-3545</t>
  </si>
  <si>
    <t>Max Binders 425</t>
  </si>
  <si>
    <t>ORD-2024-10313</t>
  </si>
  <si>
    <t>CUST-4851</t>
  </si>
  <si>
    <t>Elite Phones 679</t>
  </si>
  <si>
    <t>ORD-2025-10314</t>
  </si>
  <si>
    <t>CUST-4770</t>
  </si>
  <si>
    <t>Pro Phones 764</t>
  </si>
  <si>
    <t>ORD-2025-10315</t>
  </si>
  <si>
    <t>CUST-1945</t>
  </si>
  <si>
    <t>Elite Labels 544</t>
  </si>
  <si>
    <t>ORD-2024-10316</t>
  </si>
  <si>
    <t>CUST-7565</t>
  </si>
  <si>
    <t>Smart Paper 817</t>
  </si>
  <si>
    <t>ORD-2024-10317</t>
  </si>
  <si>
    <t>CUST-9913</t>
  </si>
  <si>
    <t>Classic Labels 466</t>
  </si>
  <si>
    <t>ORD-2025-10318</t>
  </si>
  <si>
    <t>CUST-7992</t>
  </si>
  <si>
    <t>Pro Tables 778</t>
  </si>
  <si>
    <t>ORD-2024-10319</t>
  </si>
  <si>
    <t>CUST-8877</t>
  </si>
  <si>
    <t>Basic Phones 789</t>
  </si>
  <si>
    <t>ORD-2024-10320</t>
  </si>
  <si>
    <t>CUST-4589</t>
  </si>
  <si>
    <t>Prime Binders 554</t>
  </si>
  <si>
    <t>ORD-2024-10321</t>
  </si>
  <si>
    <t>CUST-4667</t>
  </si>
  <si>
    <t>Classic Art 299</t>
  </si>
  <si>
    <t>ORD-2024-10322</t>
  </si>
  <si>
    <t>CUST-7821</t>
  </si>
  <si>
    <t>Eco Accessories 220</t>
  </si>
  <si>
    <t>ORD-2024-10323</t>
  </si>
  <si>
    <t>CUST-8579</t>
  </si>
  <si>
    <t>Max Phones 422</t>
  </si>
  <si>
    <t>ORD-2024-10324</t>
  </si>
  <si>
    <t>CUST-6909</t>
  </si>
  <si>
    <t>ORD-2025-10325</t>
  </si>
  <si>
    <t>CUST-7212</t>
  </si>
  <si>
    <t>Basic Labels 102</t>
  </si>
  <si>
    <t>ORD-2025-10326</t>
  </si>
  <si>
    <t>CUST-7980</t>
  </si>
  <si>
    <t>Prime Copiers 170</t>
  </si>
  <si>
    <t>ORD-2025-10327</t>
  </si>
  <si>
    <t>CUST-1966</t>
  </si>
  <si>
    <t>Smart Furnishings 533</t>
  </si>
  <si>
    <t>ORD-2024-10328</t>
  </si>
  <si>
    <t>CUST-6163</t>
  </si>
  <si>
    <t>Classic Accessories 489</t>
  </si>
  <si>
    <t>ORD-2025-10329</t>
  </si>
  <si>
    <t>CUST-7239</t>
  </si>
  <si>
    <t>Smart Storage 439</t>
  </si>
  <si>
    <t>ORD-2025-10330</t>
  </si>
  <si>
    <t>CUST-9718</t>
  </si>
  <si>
    <t>Prime Storage 232</t>
  </si>
  <si>
    <t>ORD-2024-10331</t>
  </si>
  <si>
    <t>CUST-1116</t>
  </si>
  <si>
    <t>Prime Accessories 335</t>
  </si>
  <si>
    <t>ORD-2024-10332</t>
  </si>
  <si>
    <t>CUST-9346</t>
  </si>
  <si>
    <t>Smart Binders 939</t>
  </si>
  <si>
    <t>ORD-2025-10333</t>
  </si>
  <si>
    <t>CUST-5332</t>
  </si>
  <si>
    <t>Basic Machines 601</t>
  </si>
  <si>
    <t>ORD-2025-10334</t>
  </si>
  <si>
    <t>CUST-8081</t>
  </si>
  <si>
    <t>Pro Phones 968</t>
  </si>
  <si>
    <t>ORD-2024-10335</t>
  </si>
  <si>
    <t>CUST-3062</t>
  </si>
  <si>
    <t>Pro Storage 563</t>
  </si>
  <si>
    <t>ORD-2025-10336</t>
  </si>
  <si>
    <t>CUST-3621</t>
  </si>
  <si>
    <t>Prime Paper 559</t>
  </si>
  <si>
    <t>ORD-2024-10337</t>
  </si>
  <si>
    <t>Pro Copiers 999</t>
  </si>
  <si>
    <t>ORD-2024-10338</t>
  </si>
  <si>
    <t>CUST-4599</t>
  </si>
  <si>
    <t>Classic Labels 206</t>
  </si>
  <si>
    <t>ORD-2024-10339</t>
  </si>
  <si>
    <t>CUST-3066</t>
  </si>
  <si>
    <t>Eco Accessories 315</t>
  </si>
  <si>
    <t>ORD-2025-10340</t>
  </si>
  <si>
    <t>CUST-2752</t>
  </si>
  <si>
    <t>Elite Bookcases 988</t>
  </si>
  <si>
    <t>ORD-2024-10341</t>
  </si>
  <si>
    <t>CUST-6291</t>
  </si>
  <si>
    <t>Smart Binders 414</t>
  </si>
  <si>
    <t>ORD-2025-10342</t>
  </si>
  <si>
    <t>CUST-9969</t>
  </si>
  <si>
    <t>Eco Chairs 552</t>
  </si>
  <si>
    <t>ORD-2025-10343</t>
  </si>
  <si>
    <t>CUST-3335</t>
  </si>
  <si>
    <t>Smart Binders 574</t>
  </si>
  <si>
    <t>ORD-2025-10344</t>
  </si>
  <si>
    <t>CUST-7358</t>
  </si>
  <si>
    <t>Pro Machines 444</t>
  </si>
  <si>
    <t>ORD-2024-10345</t>
  </si>
  <si>
    <t>CUST-8025</t>
  </si>
  <si>
    <t>Elite Bookcases 184</t>
  </si>
  <si>
    <t>ORD-2024-10346</t>
  </si>
  <si>
    <t>CUST-4634</t>
  </si>
  <si>
    <t>Elite Furnishings 138</t>
  </si>
  <si>
    <t>ORD-2025-10347</t>
  </si>
  <si>
    <t>CUST-3400</t>
  </si>
  <si>
    <t>Eco Chairs 369</t>
  </si>
  <si>
    <t>ORD-2024-10348</t>
  </si>
  <si>
    <t>CUST-1172</t>
  </si>
  <si>
    <t>Max Chairs 487</t>
  </si>
  <si>
    <t>ORD-2024-10349</t>
  </si>
  <si>
    <t>CUST-9517</t>
  </si>
  <si>
    <t>Classic Phones 989</t>
  </si>
  <si>
    <t>ORD-2025-10350</t>
  </si>
  <si>
    <t>CUST-6697</t>
  </si>
  <si>
    <t>Max Furnishings 628</t>
  </si>
  <si>
    <t>ORD-2024-10351</t>
  </si>
  <si>
    <t>CUST-7644</t>
  </si>
  <si>
    <t>Elite Furnishings 279</t>
  </si>
  <si>
    <t>ORD-2025-10352</t>
  </si>
  <si>
    <t>CUST-9963</t>
  </si>
  <si>
    <t>Pro Storage 847</t>
  </si>
  <si>
    <t>ORD-2025-10353</t>
  </si>
  <si>
    <t>CUST-6382</t>
  </si>
  <si>
    <t>Elite Copiers 706</t>
  </si>
  <si>
    <t>ORD-2025-10354</t>
  </si>
  <si>
    <t>CUST-3253</t>
  </si>
  <si>
    <t>Prime Art 978</t>
  </si>
  <si>
    <t>ORD-2024-10355</t>
  </si>
  <si>
    <t>CUST-1058</t>
  </si>
  <si>
    <t>Classic Furnishings 498</t>
  </si>
  <si>
    <t>ORD-2024-10356</t>
  </si>
  <si>
    <t>CUST-6414</t>
  </si>
  <si>
    <t>Max Tables 829</t>
  </si>
  <si>
    <t>ORD-2025-10357</t>
  </si>
  <si>
    <t>CUST-9268</t>
  </si>
  <si>
    <t>Eco Chairs 346</t>
  </si>
  <si>
    <t>ORD-2025-10358</t>
  </si>
  <si>
    <t>CUST-1363</t>
  </si>
  <si>
    <t>Max Machines 770</t>
  </si>
  <si>
    <t>ORD-2025-10359</t>
  </si>
  <si>
    <t>CUST-2477</t>
  </si>
  <si>
    <t>Smart Bookcases 134</t>
  </si>
  <si>
    <t>ORD-2024-10360</t>
  </si>
  <si>
    <t>CUST-9571</t>
  </si>
  <si>
    <t>Classic Phones 586</t>
  </si>
  <si>
    <t>ORD-2024-10361</t>
  </si>
  <si>
    <t>CUST-3690</t>
  </si>
  <si>
    <t>Elite Furnishings 634</t>
  </si>
  <si>
    <t>ORD-2025-10362</t>
  </si>
  <si>
    <t>CUST-2909</t>
  </si>
  <si>
    <t>Basic Chairs 113</t>
  </si>
  <si>
    <t>ORD-2024-10363</t>
  </si>
  <si>
    <t>CUST-6755</t>
  </si>
  <si>
    <t>Elite Machines 216</t>
  </si>
  <si>
    <t>ORD-2025-10364</t>
  </si>
  <si>
    <t>CUST-1832</t>
  </si>
  <si>
    <t>Smart Tables 943</t>
  </si>
  <si>
    <t>ORD-2025-10365</t>
  </si>
  <si>
    <t>CUST-4452</t>
  </si>
  <si>
    <t>Prime Chairs 101</t>
  </si>
  <si>
    <t>ORD-2024-10366</t>
  </si>
  <si>
    <t>CUST-2203</t>
  </si>
  <si>
    <t>Basic Accessories 774</t>
  </si>
  <si>
    <t>ORD-2025-10367</t>
  </si>
  <si>
    <t>CUST-5397</t>
  </si>
  <si>
    <t>Max Tables 478</t>
  </si>
  <si>
    <t>ORD-2024-10368</t>
  </si>
  <si>
    <t>CUST-4696</t>
  </si>
  <si>
    <t>Eco Art 646</t>
  </si>
  <si>
    <t>ORD-2025-10369</t>
  </si>
  <si>
    <t>CUST-8246</t>
  </si>
  <si>
    <t>Prime Accessories 962</t>
  </si>
  <si>
    <t>ORD-2025-10370</t>
  </si>
  <si>
    <t>CUST-5672</t>
  </si>
  <si>
    <t>Eco Labels 646</t>
  </si>
  <si>
    <t>ORD-2024-10371</t>
  </si>
  <si>
    <t>CUST-8521</t>
  </si>
  <si>
    <t>Classic Copiers 505</t>
  </si>
  <si>
    <t>ORD-2024-10372</t>
  </si>
  <si>
    <t>CUST-2204</t>
  </si>
  <si>
    <t>Pro Art 906</t>
  </si>
  <si>
    <t>ORD-2025-10373</t>
  </si>
  <si>
    <t>Max Chairs 181</t>
  </si>
  <si>
    <t>ORD-2025-10374</t>
  </si>
  <si>
    <t>CUST-8566</t>
  </si>
  <si>
    <t>Prime Storage 951</t>
  </si>
  <si>
    <t>ORD-2025-10375</t>
  </si>
  <si>
    <t>CUST-2358</t>
  </si>
  <si>
    <t>Smart Labels 668</t>
  </si>
  <si>
    <t>ORD-2024-10376</t>
  </si>
  <si>
    <t>CUST-2810</t>
  </si>
  <si>
    <t>Pro Chairs 364</t>
  </si>
  <si>
    <t>ORD-2024-10377</t>
  </si>
  <si>
    <t>CUST-5166</t>
  </si>
  <si>
    <t>Basic Chairs 248</t>
  </si>
  <si>
    <t>ORD-2025-10378</t>
  </si>
  <si>
    <t>CUST-4875</t>
  </si>
  <si>
    <t>Basic Storage 360</t>
  </si>
  <si>
    <t>ORD-2025-10379</t>
  </si>
  <si>
    <t>CUST-3154</t>
  </si>
  <si>
    <t>Basic Accessories 988</t>
  </si>
  <si>
    <t>ORD-2024-10380</t>
  </si>
  <si>
    <t>CUST-6405</t>
  </si>
  <si>
    <t>Max Paper 334</t>
  </si>
  <si>
    <t>ORD-2024-10381</t>
  </si>
  <si>
    <t>CUST-5779</t>
  </si>
  <si>
    <t>Prime Bookcases 952</t>
  </si>
  <si>
    <t>ORD-2025-10382</t>
  </si>
  <si>
    <t>CUST-9943</t>
  </si>
  <si>
    <t>Prime Binders 523</t>
  </si>
  <si>
    <t>ORD-2025-10383</t>
  </si>
  <si>
    <t>Pro Phones 538</t>
  </si>
  <si>
    <t>ORD-2025-10384</t>
  </si>
  <si>
    <t>CUST-7438</t>
  </si>
  <si>
    <t>Basic Art 608</t>
  </si>
  <si>
    <t>ORD-2024-10385</t>
  </si>
  <si>
    <t>CUST-8432</t>
  </si>
  <si>
    <t>Prime Copiers 820</t>
  </si>
  <si>
    <t>ORD-2025-10386</t>
  </si>
  <si>
    <t>CUST-2834</t>
  </si>
  <si>
    <t>Classic Labels 670</t>
  </si>
  <si>
    <t>ORD-2025-10387</t>
  </si>
  <si>
    <t>CUST-4222</t>
  </si>
  <si>
    <t>Prime Furnishings 597</t>
  </si>
  <si>
    <t>ORD-2025-10388</t>
  </si>
  <si>
    <t>CUST-1053</t>
  </si>
  <si>
    <t>Prime Chairs 196</t>
  </si>
  <si>
    <t>ORD-2024-10389</t>
  </si>
  <si>
    <t>CUST-1457</t>
  </si>
  <si>
    <t>Elite Chairs 639</t>
  </si>
  <si>
    <t>ORD-2024-10390</t>
  </si>
  <si>
    <t>CUST-3930</t>
  </si>
  <si>
    <t>Elite Machines 563</t>
  </si>
  <si>
    <t>ORD-2024-10391</t>
  </si>
  <si>
    <t>CUST-7853</t>
  </si>
  <si>
    <t>Pro Furnishings 281</t>
  </si>
  <si>
    <t>ORD-2025-10392</t>
  </si>
  <si>
    <t>CUST-2267</t>
  </si>
  <si>
    <t>Eco Storage 285</t>
  </si>
  <si>
    <t>ORD-2024-10393</t>
  </si>
  <si>
    <t>CUST-6866</t>
  </si>
  <si>
    <t>Classic Furnishings 746</t>
  </si>
  <si>
    <t>ORD-2024-10394</t>
  </si>
  <si>
    <t>CUST-3160</t>
  </si>
  <si>
    <t>Eco Labels 815</t>
  </si>
  <si>
    <t>ORD-2024-10395</t>
  </si>
  <si>
    <t>CUST-8444</t>
  </si>
  <si>
    <t>Prime Furnishings 879</t>
  </si>
  <si>
    <t>ORD-2024-10396</t>
  </si>
  <si>
    <t>CUST-4765</t>
  </si>
  <si>
    <t>Pro Tables 142</t>
  </si>
  <si>
    <t>ORD-2025-10397</t>
  </si>
  <si>
    <t>CUST-2280</t>
  </si>
  <si>
    <t>Prime Machines 267</t>
  </si>
  <si>
    <t>ORD-2025-10398</t>
  </si>
  <si>
    <t>CUST-3177</t>
  </si>
  <si>
    <t>Eco Tables 378</t>
  </si>
  <si>
    <t>ORD-2024-10399</t>
  </si>
  <si>
    <t>CUST-4718</t>
  </si>
  <si>
    <t>Elite Machines 523</t>
  </si>
  <si>
    <t>ORD-2025-10400</t>
  </si>
  <si>
    <t>CUST-5647</t>
  </si>
  <si>
    <t>Elite Paper 308</t>
  </si>
  <si>
    <t>ORD-2025-10401</t>
  </si>
  <si>
    <t>CUST-7150</t>
  </si>
  <si>
    <t>Prime Paper 851</t>
  </si>
  <si>
    <t>ORD-2025-10402</t>
  </si>
  <si>
    <t>CUST-6694</t>
  </si>
  <si>
    <t>Classic Tables 151</t>
  </si>
  <si>
    <t>ORD-2024-10403</t>
  </si>
  <si>
    <t>CUST-7680</t>
  </si>
  <si>
    <t>Smart Tables 829</t>
  </si>
  <si>
    <t>ORD-2024-10404</t>
  </si>
  <si>
    <t>CUST-2700</t>
  </si>
  <si>
    <t>Classic Paper 237</t>
  </si>
  <si>
    <t>ORD-2024-10405</t>
  </si>
  <si>
    <t>CUST-2904</t>
  </si>
  <si>
    <t>Prime Chairs 891</t>
  </si>
  <si>
    <t>ORD-2024-10406</t>
  </si>
  <si>
    <t>CUST-9961</t>
  </si>
  <si>
    <t>Max Bookcases 812</t>
  </si>
  <si>
    <t>ORD-2025-10407</t>
  </si>
  <si>
    <t>CUST-9909</t>
  </si>
  <si>
    <t>Basic Furnishings 164</t>
  </si>
  <si>
    <t>ORD-2024-10408</t>
  </si>
  <si>
    <t>CUST-8520</t>
  </si>
  <si>
    <t>Smart Labels 261</t>
  </si>
  <si>
    <t>ORD-2025-10409</t>
  </si>
  <si>
    <t>CUST-5036</t>
  </si>
  <si>
    <t>Max Chairs 765</t>
  </si>
  <si>
    <t>ORD-2025-10410</t>
  </si>
  <si>
    <t>CUST-7721</t>
  </si>
  <si>
    <t>Pro Accessories 686</t>
  </si>
  <si>
    <t>ORD-2024-10411</t>
  </si>
  <si>
    <t>CUST-9495</t>
  </si>
  <si>
    <t>Smart Tables 100</t>
  </si>
  <si>
    <t>ORD-2025-10412</t>
  </si>
  <si>
    <t>CUST-2855</t>
  </si>
  <si>
    <t>Basic Tables 615</t>
  </si>
  <si>
    <t>ORD-2024-10413</t>
  </si>
  <si>
    <t>CUST-4329</t>
  </si>
  <si>
    <t>Basic Chairs 790</t>
  </si>
  <si>
    <t>ORD-2025-10414</t>
  </si>
  <si>
    <t>CUST-5094</t>
  </si>
  <si>
    <t>Smart Accessories 226</t>
  </si>
  <si>
    <t>ORD-2024-10415</t>
  </si>
  <si>
    <t>CUST-4194</t>
  </si>
  <si>
    <t>Max Storage 692</t>
  </si>
  <si>
    <t>ORD-2024-10416</t>
  </si>
  <si>
    <t>CUST-7087</t>
  </si>
  <si>
    <t>Basic Storage 684</t>
  </si>
  <si>
    <t>ORD-2025-10417</t>
  </si>
  <si>
    <t>CUST-7608</t>
  </si>
  <si>
    <t>Smart Furnishings 152</t>
  </si>
  <si>
    <t>ORD-2025-10418</t>
  </si>
  <si>
    <t>CUST-5269</t>
  </si>
  <si>
    <t>Max Art 736</t>
  </si>
  <si>
    <t>ORD-2024-10419</t>
  </si>
  <si>
    <t>CUST-7925</t>
  </si>
  <si>
    <t>Elite Copiers 971</t>
  </si>
  <si>
    <t>ORD-2025-10420</t>
  </si>
  <si>
    <t>CUST-6552</t>
  </si>
  <si>
    <t>Classic Phones 940</t>
  </si>
  <si>
    <t>ORD-2025-10421</t>
  </si>
  <si>
    <t>CUST-7131</t>
  </si>
  <si>
    <t>Pro Machines 579</t>
  </si>
  <si>
    <t>ORD-2025-10422</t>
  </si>
  <si>
    <t>CUST-2779</t>
  </si>
  <si>
    <t>Elite Binders 943</t>
  </si>
  <si>
    <t>ORD-2025-10423</t>
  </si>
  <si>
    <t>CUST-6077</t>
  </si>
  <si>
    <t>Elite Copiers 474</t>
  </si>
  <si>
    <t>ORD-2024-10424</t>
  </si>
  <si>
    <t>CUST-6169</t>
  </si>
  <si>
    <t>Prime Accessories 236</t>
  </si>
  <si>
    <t>ORD-2024-10425</t>
  </si>
  <si>
    <t>CUST-8904</t>
  </si>
  <si>
    <t>Prime Phones 881</t>
  </si>
  <si>
    <t>ORD-2024-10426</t>
  </si>
  <si>
    <t>CUST-9586</t>
  </si>
  <si>
    <t>Pro Labels 903</t>
  </si>
  <si>
    <t>ORD-2024-10427</t>
  </si>
  <si>
    <t>CUST-5431</t>
  </si>
  <si>
    <t>Max Copiers 402</t>
  </si>
  <si>
    <t>ORD-2025-10428</t>
  </si>
  <si>
    <t>CUST-8843</t>
  </si>
  <si>
    <t>Prime Accessories 419</t>
  </si>
  <si>
    <t>ORD-2025-10429</t>
  </si>
  <si>
    <t>CUST-7626</t>
  </si>
  <si>
    <t>Elite Phones 488</t>
  </si>
  <si>
    <t>ORD-2025-10430</t>
  </si>
  <si>
    <t>CUST-8562</t>
  </si>
  <si>
    <t>Prime Copiers 109</t>
  </si>
  <si>
    <t>ORD-2024-10431</t>
  </si>
  <si>
    <t>CUST-2732</t>
  </si>
  <si>
    <t>Max Paper 576</t>
  </si>
  <si>
    <t>ORD-2024-10432</t>
  </si>
  <si>
    <t>CUST-3989</t>
  </si>
  <si>
    <t>Max Machines 412</t>
  </si>
  <si>
    <t>ORD-2024-10433</t>
  </si>
  <si>
    <t>CUST-3522</t>
  </si>
  <si>
    <t>Classic Bookcases 291</t>
  </si>
  <si>
    <t>ORD-2024-10434</t>
  </si>
  <si>
    <t>CUST-7066</t>
  </si>
  <si>
    <t>Elite Art 946</t>
  </si>
  <si>
    <t>ORD-2025-10435</t>
  </si>
  <si>
    <t>CUST-2351</t>
  </si>
  <si>
    <t>Eco Accessories 705</t>
  </si>
  <si>
    <t>ORD-2025-10436</t>
  </si>
  <si>
    <t>CUST-7291</t>
  </si>
  <si>
    <t>Max Machines 151</t>
  </si>
  <si>
    <t>ORD-2024-10437</t>
  </si>
  <si>
    <t>CUST-4492</t>
  </si>
  <si>
    <t>Max Furnishings 803</t>
  </si>
  <si>
    <t>ORD-2024-10438</t>
  </si>
  <si>
    <t>CUST-5029</t>
  </si>
  <si>
    <t>Max Accessories 423</t>
  </si>
  <si>
    <t>ORD-2025-10439</t>
  </si>
  <si>
    <t>CUST-7252</t>
  </si>
  <si>
    <t>Elite Phones 276</t>
  </si>
  <si>
    <t>ORD-2025-10440</t>
  </si>
  <si>
    <t>CUST-7346</t>
  </si>
  <si>
    <t>Smart Storage 287</t>
  </si>
  <si>
    <t>ORD-2024-10441</t>
  </si>
  <si>
    <t>Basic Machines 610</t>
  </si>
  <si>
    <t>ORD-2024-10442</t>
  </si>
  <si>
    <t>CUST-3975</t>
  </si>
  <si>
    <t>Elite Bookcases 393</t>
  </si>
  <si>
    <t>ORD-2025-10443</t>
  </si>
  <si>
    <t>CUST-6588</t>
  </si>
  <si>
    <t>Prime Tables 242</t>
  </si>
  <si>
    <t>ORD-2024-10444</t>
  </si>
  <si>
    <t>CUST-2207</t>
  </si>
  <si>
    <t>Basic Furnishings 563</t>
  </si>
  <si>
    <t>ORD-2025-10445</t>
  </si>
  <si>
    <t>CUST-4475</t>
  </si>
  <si>
    <t>Prime Accessories 482</t>
  </si>
  <si>
    <t>ORD-2024-10446</t>
  </si>
  <si>
    <t>CUST-1351</t>
  </si>
  <si>
    <t>Eco Bookcases 215</t>
  </si>
  <si>
    <t>ORD-2025-10447</t>
  </si>
  <si>
    <t>CUST-9295</t>
  </si>
  <si>
    <t>Eco Storage 793</t>
  </si>
  <si>
    <t>ORD-2025-10448</t>
  </si>
  <si>
    <t>CUST-3614</t>
  </si>
  <si>
    <t>Basic Bookcases 182</t>
  </si>
  <si>
    <t>ORD-2024-10449</t>
  </si>
  <si>
    <t>CUST-1932</t>
  </si>
  <si>
    <t>Prime Chairs 631</t>
  </si>
  <si>
    <t>ORD-2024-10450</t>
  </si>
  <si>
    <t>Basic Machines 808</t>
  </si>
  <si>
    <t>ORD-2025-10451</t>
  </si>
  <si>
    <t>CUST-8672</t>
  </si>
  <si>
    <t>Pro Chairs 302</t>
  </si>
  <si>
    <t>ORD-2024-10452</t>
  </si>
  <si>
    <t>CUST-3907</t>
  </si>
  <si>
    <t>Classic Paper 272</t>
  </si>
  <si>
    <t>ORD-2024-10453</t>
  </si>
  <si>
    <t>CUST-8796</t>
  </si>
  <si>
    <t>Smart Accessories 149</t>
  </si>
  <si>
    <t>ORD-2025-10454</t>
  </si>
  <si>
    <t>CUST-2317</t>
  </si>
  <si>
    <t>Elite Labels 322</t>
  </si>
  <si>
    <t>ORD-2025-10455</t>
  </si>
  <si>
    <t>CUST-8643</t>
  </si>
  <si>
    <t>Max Furnishings 821</t>
  </si>
  <si>
    <t>ORD-2024-10456</t>
  </si>
  <si>
    <t>CUST-1800</t>
  </si>
  <si>
    <t>Basic Art 556</t>
  </si>
  <si>
    <t>ORD-2024-10457</t>
  </si>
  <si>
    <t>CUST-7688</t>
  </si>
  <si>
    <t>Smart Accessories 265</t>
  </si>
  <si>
    <t>ORD-2024-10458</t>
  </si>
  <si>
    <t>CUST-4957</t>
  </si>
  <si>
    <t>Elite Tables 418</t>
  </si>
  <si>
    <t>ORD-2024-10459</t>
  </si>
  <si>
    <t>CUST-1263</t>
  </si>
  <si>
    <t>Pro Phones 907</t>
  </si>
  <si>
    <t>ORD-2024-10460</t>
  </si>
  <si>
    <t>CUST-4745</t>
  </si>
  <si>
    <t>Basic Paper 233</t>
  </si>
  <si>
    <t>ORD-2025-10461</t>
  </si>
  <si>
    <t>CUST-5551</t>
  </si>
  <si>
    <t>Eco Copiers 603</t>
  </si>
  <si>
    <t>ORD-2025-10462</t>
  </si>
  <si>
    <t>CUST-3659</t>
  </si>
  <si>
    <t>Max Paper 700</t>
  </si>
  <si>
    <t>ORD-2024-10463</t>
  </si>
  <si>
    <t>CUST-6594</t>
  </si>
  <si>
    <t>Pro Binders 404</t>
  </si>
  <si>
    <t>ORD-2025-10464</t>
  </si>
  <si>
    <t>CUST-2626</t>
  </si>
  <si>
    <t>Eco Phones 208</t>
  </si>
  <si>
    <t>ORD-2025-10465</t>
  </si>
  <si>
    <t>CUST-7362</t>
  </si>
  <si>
    <t>Elite Paper 106</t>
  </si>
  <si>
    <t>ORD-2024-10466</t>
  </si>
  <si>
    <t>CUST-1748</t>
  </si>
  <si>
    <t>Eco Labels 914</t>
  </si>
  <si>
    <t>ORD-2024-10467</t>
  </si>
  <si>
    <t>CUST-2725</t>
  </si>
  <si>
    <t>Max Accessories 486</t>
  </si>
  <si>
    <t>ORD-2024-10468</t>
  </si>
  <si>
    <t>CUST-9470</t>
  </si>
  <si>
    <t>Max Copiers 867</t>
  </si>
  <si>
    <t>ORD-2025-10469</t>
  </si>
  <si>
    <t>CUST-4176</t>
  </si>
  <si>
    <t>Pro Binders 555</t>
  </si>
  <si>
    <t>ORD-2024-10470</t>
  </si>
  <si>
    <t>CUST-3448</t>
  </si>
  <si>
    <t>Pro Copiers 971</t>
  </si>
  <si>
    <t>ORD-2024-10471</t>
  </si>
  <si>
    <t>CUST-4970</t>
  </si>
  <si>
    <t>Pro Tables 833</t>
  </si>
  <si>
    <t>ORD-2024-10472</t>
  </si>
  <si>
    <t>CUST-6147</t>
  </si>
  <si>
    <t>Prime Binders 497</t>
  </si>
  <si>
    <t>ORD-2024-10473</t>
  </si>
  <si>
    <t>CUST-7208</t>
  </si>
  <si>
    <t>Pro Storage 756</t>
  </si>
  <si>
    <t>ORD-2024-10474</t>
  </si>
  <si>
    <t>CUST-2794</t>
  </si>
  <si>
    <t>Max Copiers 829</t>
  </si>
  <si>
    <t>ORD-2024-10475</t>
  </si>
  <si>
    <t>CUST-6249</t>
  </si>
  <si>
    <t>Prime Furnishings 827</t>
  </si>
  <si>
    <t>ORD-2025-10476</t>
  </si>
  <si>
    <t>CUST-5712</t>
  </si>
  <si>
    <t>Eco Chairs 365</t>
  </si>
  <si>
    <t>ORD-2024-10477</t>
  </si>
  <si>
    <t>CUST-3004</t>
  </si>
  <si>
    <t>Classic Storage 545</t>
  </si>
  <si>
    <t>ORD-2025-10478</t>
  </si>
  <si>
    <t>CUST-6920</t>
  </si>
  <si>
    <t>Pro Chairs 186</t>
  </si>
  <si>
    <t>ORD-2024-10479</t>
  </si>
  <si>
    <t>CUST-4838</t>
  </si>
  <si>
    <t>Classic Machines 561</t>
  </si>
  <si>
    <t>ORD-2024-10480</t>
  </si>
  <si>
    <t>CUST-7520</t>
  </si>
  <si>
    <t>Max Chairs 594</t>
  </si>
  <si>
    <t>ORD-2025-10481</t>
  </si>
  <si>
    <t>CUST-9947</t>
  </si>
  <si>
    <t>Eco Storage 923</t>
  </si>
  <si>
    <t>ORD-2025-10482</t>
  </si>
  <si>
    <t>CUST-4403</t>
  </si>
  <si>
    <t>Classic Machines 287</t>
  </si>
  <si>
    <t>ORD-2024-10483</t>
  </si>
  <si>
    <t>CUST-3583</t>
  </si>
  <si>
    <t>Basic Accessories 518</t>
  </si>
  <si>
    <t>ORD-2024-10484</t>
  </si>
  <si>
    <t>CUST-9432</t>
  </si>
  <si>
    <t>Pro Copiers 984</t>
  </si>
  <si>
    <t>ORD-2024-10485</t>
  </si>
  <si>
    <t>CUST-1801</t>
  </si>
  <si>
    <t>Max Furnishings 297</t>
  </si>
  <si>
    <t>ORD-2025-10486</t>
  </si>
  <si>
    <t>CUST-1594</t>
  </si>
  <si>
    <t>Elite Bookcases 802</t>
  </si>
  <si>
    <t>ORD-2025-10487</t>
  </si>
  <si>
    <t>CUST-8132</t>
  </si>
  <si>
    <t>Pro Tables 257</t>
  </si>
  <si>
    <t>ORD-2025-10488</t>
  </si>
  <si>
    <t>CUST-7685</t>
  </si>
  <si>
    <t>Prime Furnishings 299</t>
  </si>
  <si>
    <t>ORD-2024-10489</t>
  </si>
  <si>
    <t>CUST-2183</t>
  </si>
  <si>
    <t>Eco Tables 487</t>
  </si>
  <si>
    <t>ORD-2024-10490</t>
  </si>
  <si>
    <t>CUST-1636</t>
  </si>
  <si>
    <t>Prime Accessories 960</t>
  </si>
  <si>
    <t>ORD-2024-10491</t>
  </si>
  <si>
    <t>CUST-1350</t>
  </si>
  <si>
    <t>Smart Binders 191</t>
  </si>
  <si>
    <t>ORD-2025-10492</t>
  </si>
  <si>
    <t>CUST-4101</t>
  </si>
  <si>
    <t>Prime Accessories 118</t>
  </si>
  <si>
    <t>ORD-2025-10493</t>
  </si>
  <si>
    <t>CUST-4679</t>
  </si>
  <si>
    <t>Elite Storage 331</t>
  </si>
  <si>
    <t>ORD-2025-10494</t>
  </si>
  <si>
    <t>CUST-3765</t>
  </si>
  <si>
    <t>Prime Paper 996</t>
  </si>
  <si>
    <t>ORD-2024-10495</t>
  </si>
  <si>
    <t>CUST-9056</t>
  </si>
  <si>
    <t>Smart Phones 125</t>
  </si>
  <si>
    <t>ORD-2024-10496</t>
  </si>
  <si>
    <t>CUST-9801</t>
  </si>
  <si>
    <t>Eco Phones 220</t>
  </si>
  <si>
    <t>ORD-2025-10497</t>
  </si>
  <si>
    <t>CUST-2038</t>
  </si>
  <si>
    <t>Eco Chairs 795</t>
  </si>
  <si>
    <t>ORD-2024-10498</t>
  </si>
  <si>
    <t>CUST-1567</t>
  </si>
  <si>
    <t>Smart Accessories 896</t>
  </si>
  <si>
    <t>ORD-2025-10499</t>
  </si>
  <si>
    <t>CUST-1190</t>
  </si>
  <si>
    <t>Basic Chairs 255</t>
  </si>
  <si>
    <t>ORD-2024-10500</t>
  </si>
  <si>
    <t>CUST-5604</t>
  </si>
  <si>
    <t>Eco Chairs 210</t>
  </si>
  <si>
    <t>ORD-2024-10501</t>
  </si>
  <si>
    <t>CUST-7661</t>
  </si>
  <si>
    <t>Prime Phones 533</t>
  </si>
  <si>
    <t>ORD-2024-10502</t>
  </si>
  <si>
    <t>Elite Art 325</t>
  </si>
  <si>
    <t>ORD-2024-10503</t>
  </si>
  <si>
    <t>CUST-1534</t>
  </si>
  <si>
    <t>Prime Copiers 557</t>
  </si>
  <si>
    <t>ORD-2024-10504</t>
  </si>
  <si>
    <t>CUST-7422</t>
  </si>
  <si>
    <t>Smart Phones 674</t>
  </si>
  <si>
    <t>ORD-2025-10505</t>
  </si>
  <si>
    <t>CUST-9693</t>
  </si>
  <si>
    <t>Elite Art 553</t>
  </si>
  <si>
    <t>ORD-2024-10506</t>
  </si>
  <si>
    <t>CUST-5458</t>
  </si>
  <si>
    <t>Classic Art 339</t>
  </si>
  <si>
    <t>ORD-2024-10507</t>
  </si>
  <si>
    <t>CUST-3011</t>
  </si>
  <si>
    <t>Smart Furnishings 352</t>
  </si>
  <si>
    <t>ORD-2025-10508</t>
  </si>
  <si>
    <t>CUST-1826</t>
  </si>
  <si>
    <t>Classic Binders 602</t>
  </si>
  <si>
    <t>ORD-2024-10509</t>
  </si>
  <si>
    <t>CUST-3333</t>
  </si>
  <si>
    <t>Smart Machines 853</t>
  </si>
  <si>
    <t>ORD-2025-10510</t>
  </si>
  <si>
    <t>CUST-7901</t>
  </si>
  <si>
    <t>Classic Machines 599</t>
  </si>
  <si>
    <t>ORD-2024-10511</t>
  </si>
  <si>
    <t>CUST-9759</t>
  </si>
  <si>
    <t>Pro Storage 373</t>
  </si>
  <si>
    <t>ORD-2024-10512</t>
  </si>
  <si>
    <t>CUST-7232</t>
  </si>
  <si>
    <t>Smart Bookcases 920</t>
  </si>
  <si>
    <t>ORD-2025-10513</t>
  </si>
  <si>
    <t>Pro Labels 849</t>
  </si>
  <si>
    <t>ORD-2025-10514</t>
  </si>
  <si>
    <t>CUST-8993</t>
  </si>
  <si>
    <t>Prime Accessories 849</t>
  </si>
  <si>
    <t>ORD-2024-10515</t>
  </si>
  <si>
    <t>CUST-7729</t>
  </si>
  <si>
    <t>Smart Accessories 388</t>
  </si>
  <si>
    <t>ORD-2025-10516</t>
  </si>
  <si>
    <t>CUST-9986</t>
  </si>
  <si>
    <t>Classic Paper 752</t>
  </si>
  <si>
    <t>ORD-2024-10517</t>
  </si>
  <si>
    <t>CUST-2731</t>
  </si>
  <si>
    <t>Classic Copiers 143</t>
  </si>
  <si>
    <t>ORD-2025-10518</t>
  </si>
  <si>
    <t>CUST-4235</t>
  </si>
  <si>
    <t>Basic Furnishings 386</t>
  </si>
  <si>
    <t>ORD-2025-10519</t>
  </si>
  <si>
    <t>CUST-3377</t>
  </si>
  <si>
    <t>Classic Tables 592</t>
  </si>
  <si>
    <t>ORD-2025-10520</t>
  </si>
  <si>
    <t>CUST-3258</t>
  </si>
  <si>
    <t>Pro Tables 412</t>
  </si>
  <si>
    <t>ORD-2024-10521</t>
  </si>
  <si>
    <t>CUST-2155</t>
  </si>
  <si>
    <t>Prime Machines 393</t>
  </si>
  <si>
    <t>ORD-2025-10522</t>
  </si>
  <si>
    <t>CUST-8012</t>
  </si>
  <si>
    <t>Classic Labels 776</t>
  </si>
  <si>
    <t>ORD-2025-10523</t>
  </si>
  <si>
    <t>CUST-2917</t>
  </si>
  <si>
    <t>Max Phones 612</t>
  </si>
  <si>
    <t>ORD-2024-10524</t>
  </si>
  <si>
    <t>CUST-4653</t>
  </si>
  <si>
    <t>Basic Paper 315</t>
  </si>
  <si>
    <t>ORD-2024-10525</t>
  </si>
  <si>
    <t>CUST-3311</t>
  </si>
  <si>
    <t>Basic Chairs 333</t>
  </si>
  <si>
    <t>ORD-2024-10526</t>
  </si>
  <si>
    <t>CUST-2924</t>
  </si>
  <si>
    <t>Prime Chairs 215</t>
  </si>
  <si>
    <t>ORD-2025-10527</t>
  </si>
  <si>
    <t>CUST-7198</t>
  </si>
  <si>
    <t>Elite Tables 815</t>
  </si>
  <si>
    <t>ORD-2025-10528</t>
  </si>
  <si>
    <t>CUST-3419</t>
  </si>
  <si>
    <t>Basic Paper 388</t>
  </si>
  <si>
    <t>ORD-2024-10529</t>
  </si>
  <si>
    <t>CUST-2390</t>
  </si>
  <si>
    <t>Eco Binders 855</t>
  </si>
  <si>
    <t>ORD-2024-10530</t>
  </si>
  <si>
    <t>Classic Bookcases 947</t>
  </si>
  <si>
    <t>ORD-2025-10531</t>
  </si>
  <si>
    <t>CUST-8177</t>
  </si>
  <si>
    <t>Eco Binders 352</t>
  </si>
  <si>
    <t>ORD-2024-10532</t>
  </si>
  <si>
    <t>CUST-6357</t>
  </si>
  <si>
    <t>Pro Storage 364</t>
  </si>
  <si>
    <t>ORD-2025-10533</t>
  </si>
  <si>
    <t>CUST-7690</t>
  </si>
  <si>
    <t>Classic Tables 213</t>
  </si>
  <si>
    <t>ORD-2024-10534</t>
  </si>
  <si>
    <t>CUST-4487</t>
  </si>
  <si>
    <t>Smart Tables 659</t>
  </si>
  <si>
    <t>ORD-2025-10535</t>
  </si>
  <si>
    <t>CUST-8204</t>
  </si>
  <si>
    <t>Classic Accessories 325</t>
  </si>
  <si>
    <t>ORD-2024-10536</t>
  </si>
  <si>
    <t>CUST-1729</t>
  </si>
  <si>
    <t>Eco Copiers 243</t>
  </si>
  <si>
    <t>ORD-2025-10537</t>
  </si>
  <si>
    <t>CUST-4269</t>
  </si>
  <si>
    <t>Elite Chairs 777</t>
  </si>
  <si>
    <t>ORD-2024-10538</t>
  </si>
  <si>
    <t>CUST-1370</t>
  </si>
  <si>
    <t>Classic Art 772</t>
  </si>
  <si>
    <t>ORD-2024-10539</t>
  </si>
  <si>
    <t>CUST-5381</t>
  </si>
  <si>
    <t>Elite Tables 888</t>
  </si>
  <si>
    <t>ORD-2025-10540</t>
  </si>
  <si>
    <t>CUST-3694</t>
  </si>
  <si>
    <t>mira das</t>
  </si>
  <si>
    <t>Classic Chairs 666</t>
  </si>
  <si>
    <t>ORD-2024-10541</t>
  </si>
  <si>
    <t>CUST-7563</t>
  </si>
  <si>
    <t>Basic Furnishings 350</t>
  </si>
  <si>
    <t>ORD-2025-10542</t>
  </si>
  <si>
    <t>CUST-4188</t>
  </si>
  <si>
    <t>Elite Copiers 831</t>
  </si>
  <si>
    <t>ORD-2024-10543</t>
  </si>
  <si>
    <t>CUST-9376</t>
  </si>
  <si>
    <t>Eco Bookcases 759</t>
  </si>
  <si>
    <t>ORD-2024-10544</t>
  </si>
  <si>
    <t>CUST-9094</t>
  </si>
  <si>
    <t>Max Copiers 440</t>
  </si>
  <si>
    <t>ORD-2025-10545</t>
  </si>
  <si>
    <t>CUST-2366</t>
  </si>
  <si>
    <t>Smart Art 201</t>
  </si>
  <si>
    <t>ORD-2024-10546</t>
  </si>
  <si>
    <t>CUST-7168</t>
  </si>
  <si>
    <t>Classic Storage 755</t>
  </si>
  <si>
    <t>ORD-2025-10547</t>
  </si>
  <si>
    <t>CUST-8157</t>
  </si>
  <si>
    <t>Prime Paper 143</t>
  </si>
  <si>
    <t>ORD-2024-10548</t>
  </si>
  <si>
    <t>CUST-9146</t>
  </si>
  <si>
    <t>Max Copiers 607</t>
  </si>
  <si>
    <t>ORD-2024-10549</t>
  </si>
  <si>
    <t>CUST-5129</t>
  </si>
  <si>
    <t>Prime Bookcases 402</t>
  </si>
  <si>
    <t>ORD-2025-10550</t>
  </si>
  <si>
    <t>CUST-6028</t>
  </si>
  <si>
    <t>Pro Art 287</t>
  </si>
  <si>
    <t>ORD-2024-10551</t>
  </si>
  <si>
    <t>CUST-8687</t>
  </si>
  <si>
    <t>Max Accessories 591</t>
  </si>
  <si>
    <t>ORD-2024-10552</t>
  </si>
  <si>
    <t>CUST-8172</t>
  </si>
  <si>
    <t>Elite Chairs 314</t>
  </si>
  <si>
    <t>ORD-2025-10553</t>
  </si>
  <si>
    <t>CUST-8861</t>
  </si>
  <si>
    <t>Pro Copiers 246</t>
  </si>
  <si>
    <t>ORD-2025-10554</t>
  </si>
  <si>
    <t>CUST-9241</t>
  </si>
  <si>
    <t>Pro Storage 128</t>
  </si>
  <si>
    <t>ORD-2024-10555</t>
  </si>
  <si>
    <t>CUST-2126</t>
  </si>
  <si>
    <t>Prime Furnishings 892</t>
  </si>
  <si>
    <t>ORD-2025-10556</t>
  </si>
  <si>
    <t>CUST-7513</t>
  </si>
  <si>
    <t>Prime Storage 689</t>
  </si>
  <si>
    <t>ORD-2024-10557</t>
  </si>
  <si>
    <t>CUST-1992</t>
  </si>
  <si>
    <t>Classic Tables 769</t>
  </si>
  <si>
    <t>ORD-2024-10558</t>
  </si>
  <si>
    <t>CUST-8848</t>
  </si>
  <si>
    <t>Prime Phones 503</t>
  </si>
  <si>
    <t>ORD-2025-10559</t>
  </si>
  <si>
    <t>CUST-9368</t>
  </si>
  <si>
    <t>Basic Machines 136</t>
  </si>
  <si>
    <t>ORD-2025-10560</t>
  </si>
  <si>
    <t>CUST-6797</t>
  </si>
  <si>
    <t>Basic Copiers 512</t>
  </si>
  <si>
    <t>ORD-2024-10561</t>
  </si>
  <si>
    <t>CUST-9333</t>
  </si>
  <si>
    <t>Smart Storage 767</t>
  </si>
  <si>
    <t>ORD-2025-10562</t>
  </si>
  <si>
    <t>CUST-6654</t>
  </si>
  <si>
    <t>Eco Copiers 954</t>
  </si>
  <si>
    <t>ORD-2024-10563</t>
  </si>
  <si>
    <t>CUST-8622</t>
  </si>
  <si>
    <t>Elite Binders 143</t>
  </si>
  <si>
    <t>ORD-2024-10564</t>
  </si>
  <si>
    <t>CUST-8776</t>
  </si>
  <si>
    <t>Classic Tables 560</t>
  </si>
  <si>
    <t>ORD-2024-10565</t>
  </si>
  <si>
    <t>CUST-9100</t>
  </si>
  <si>
    <t>Basic Tables 759</t>
  </si>
  <si>
    <t>ORD-2025-10566</t>
  </si>
  <si>
    <t>CUST-5601</t>
  </si>
  <si>
    <t>Prime Phones 564</t>
  </si>
  <si>
    <t>ORD-2024-10567</t>
  </si>
  <si>
    <t>CUST-5246</t>
  </si>
  <si>
    <t>Smart Paper 807</t>
  </si>
  <si>
    <t>ORD-2024-10568</t>
  </si>
  <si>
    <t>CUST-3128</t>
  </si>
  <si>
    <t>ORD-2024-10569</t>
  </si>
  <si>
    <t>CUST-4604</t>
  </si>
  <si>
    <t>Classic Machines 522</t>
  </si>
  <si>
    <t>ORD-2025-10570</t>
  </si>
  <si>
    <t>CUST-2586</t>
  </si>
  <si>
    <t>Elite Furnishings 822</t>
  </si>
  <si>
    <t>ORD-2025-10571</t>
  </si>
  <si>
    <t>CUST-6585</t>
  </si>
  <si>
    <t>Max Furnishings 647</t>
  </si>
  <si>
    <t>ORD-2025-10572</t>
  </si>
  <si>
    <t>CUST-3425</t>
  </si>
  <si>
    <t>Prime Phones 895</t>
  </si>
  <si>
    <t>ORD-2024-10573</t>
  </si>
  <si>
    <t>CUST-8633</t>
  </si>
  <si>
    <t>Eco Phones 368</t>
  </si>
  <si>
    <t>ORD-2025-10574</t>
  </si>
  <si>
    <t>CUST-8243</t>
  </si>
  <si>
    <t>Pro Phones 644</t>
  </si>
  <si>
    <t>ORD-2024-10575</t>
  </si>
  <si>
    <t>Smart Machines 566</t>
  </si>
  <si>
    <t>ORD-2025-10576</t>
  </si>
  <si>
    <t>CUST-5496</t>
  </si>
  <si>
    <t>Elite Furnishings 173</t>
  </si>
  <si>
    <t>ORD-2024-10577</t>
  </si>
  <si>
    <t>CUST-2228</t>
  </si>
  <si>
    <t>Smart Binders 417</t>
  </si>
  <si>
    <t>ORD-2025-10578</t>
  </si>
  <si>
    <t>CUST-4151</t>
  </si>
  <si>
    <t>Smart Furnishings 714</t>
  </si>
  <si>
    <t>ORD-2024-10579</t>
  </si>
  <si>
    <t>Elite Copiers 682</t>
  </si>
  <si>
    <t>ORD-2024-10580</t>
  </si>
  <si>
    <t>CUST-9617</t>
  </si>
  <si>
    <t>Pro Storage 482</t>
  </si>
  <si>
    <t>ORD-2025-10581</t>
  </si>
  <si>
    <t>CUST-7958</t>
  </si>
  <si>
    <t>Pro Chairs 888</t>
  </si>
  <si>
    <t>ORD-2025-10582</t>
  </si>
  <si>
    <t>CUST-9931</t>
  </si>
  <si>
    <t>Classic Art 611</t>
  </si>
  <si>
    <t>ORD-2024-10583</t>
  </si>
  <si>
    <t>CUST-2088</t>
  </si>
  <si>
    <t>Basic Art 174</t>
  </si>
  <si>
    <t>ORD-2024-10584</t>
  </si>
  <si>
    <t>CUST-1686</t>
  </si>
  <si>
    <t>Classic Storage 451</t>
  </si>
  <si>
    <t>ORD-2024-10585</t>
  </si>
  <si>
    <t>CUST-4894</t>
  </si>
  <si>
    <t>Pro Art 172</t>
  </si>
  <si>
    <t>ORD-2025-10586</t>
  </si>
  <si>
    <t>CUST-5201</t>
  </si>
  <si>
    <t>Prime Phones 744</t>
  </si>
  <si>
    <t>ORD-2025-10587</t>
  </si>
  <si>
    <t>CUST-8626</t>
  </si>
  <si>
    <t>Prime Binders 249</t>
  </si>
  <si>
    <t>ORD-2025-10588</t>
  </si>
  <si>
    <t>CUST-1013</t>
  </si>
  <si>
    <t>Eco Accessories 948</t>
  </si>
  <si>
    <t>ORD-2025-10589</t>
  </si>
  <si>
    <t>CUST-3601</t>
  </si>
  <si>
    <t>Classic Accessories 458</t>
  </si>
  <si>
    <t>ORD-2024-10590</t>
  </si>
  <si>
    <t>CUST-7846</t>
  </si>
  <si>
    <t>Max Phones 318</t>
  </si>
  <si>
    <t>ORD-2024-10591</t>
  </si>
  <si>
    <t>CUST-3433</t>
  </si>
  <si>
    <t>Elite Chairs 372</t>
  </si>
  <si>
    <t>ORD-2024-10592</t>
  </si>
  <si>
    <t>CUST-2423</t>
  </si>
  <si>
    <t>Eco Copiers 324</t>
  </si>
  <si>
    <t>ORD-2024-10593</t>
  </si>
  <si>
    <t>CUST-3559</t>
  </si>
  <si>
    <t>Classic Accessories 131</t>
  </si>
  <si>
    <t>ORD-2025-10594</t>
  </si>
  <si>
    <t>Eco Tables 550</t>
  </si>
  <si>
    <t>ORD-2024-10595</t>
  </si>
  <si>
    <t>CUST-6850</t>
  </si>
  <si>
    <t>Basic Chairs 932</t>
  </si>
  <si>
    <t>ORD-2025-10596</t>
  </si>
  <si>
    <t>CUST-5566</t>
  </si>
  <si>
    <t>Classic Phones 294</t>
  </si>
  <si>
    <t>ORD-2024-10597</t>
  </si>
  <si>
    <t>CUST-2593</t>
  </si>
  <si>
    <t>Elite Chairs 700</t>
  </si>
  <si>
    <t>ORD-2025-10598</t>
  </si>
  <si>
    <t>CUST-6957</t>
  </si>
  <si>
    <t>Prime Copiers 969</t>
  </si>
  <si>
    <t>ORD-2024-10599</t>
  </si>
  <si>
    <t>CUST-8498</t>
  </si>
  <si>
    <t>Eco Copiers 268</t>
  </si>
  <si>
    <t>ORD-2024-10600</t>
  </si>
  <si>
    <t>CUST-2612</t>
  </si>
  <si>
    <t>Pro Phones 588</t>
  </si>
  <si>
    <t>ORD-2025-10601</t>
  </si>
  <si>
    <t>CUST-6013</t>
  </si>
  <si>
    <t>Prime Storage 432</t>
  </si>
  <si>
    <t>ORD-2024-10602</t>
  </si>
  <si>
    <t>CUST-8289</t>
  </si>
  <si>
    <t>Basic Paper 452</t>
  </si>
  <si>
    <t>ORD-2024-10603</t>
  </si>
  <si>
    <t>CUST-5668</t>
  </si>
  <si>
    <t>Max Copiers 477</t>
  </si>
  <si>
    <t>ORD-2025-10604</t>
  </si>
  <si>
    <t>Prime Accessories 300</t>
  </si>
  <si>
    <t>ORD-2025-10605</t>
  </si>
  <si>
    <t>CUST-4526</t>
  </si>
  <si>
    <t>Max Binders 547</t>
  </si>
  <si>
    <t>ORD-2025-10606</t>
  </si>
  <si>
    <t>CUST-4447</t>
  </si>
  <si>
    <t>Pro Furnishings 267</t>
  </si>
  <si>
    <t>ORD-2025-10607</t>
  </si>
  <si>
    <t>CUST-2698</t>
  </si>
  <si>
    <t>Max Copiers 520</t>
  </si>
  <si>
    <t>ORD-2025-10608</t>
  </si>
  <si>
    <t>CUST-6297</t>
  </si>
  <si>
    <t>Max Storage 424</t>
  </si>
  <si>
    <t>ORD-2024-10609</t>
  </si>
  <si>
    <t>Elite Furnishings 706</t>
  </si>
  <si>
    <t>ORD-2025-10610</t>
  </si>
  <si>
    <t>CUST-4380</t>
  </si>
  <si>
    <t>Pro Chairs 908</t>
  </si>
  <si>
    <t>ORD-2024-10611</t>
  </si>
  <si>
    <t>Pro Chairs 712</t>
  </si>
  <si>
    <t>ORD-2025-10612</t>
  </si>
  <si>
    <t>CUST-6108</t>
  </si>
  <si>
    <t>Max Binders 785</t>
  </si>
  <si>
    <t>ORD-2025-10613</t>
  </si>
  <si>
    <t>CUST-5663</t>
  </si>
  <si>
    <t>Elite Phones 239</t>
  </si>
  <si>
    <t>ORD-2024-10614</t>
  </si>
  <si>
    <t>CUST-9311</t>
  </si>
  <si>
    <t>Basic Machines 413</t>
  </si>
  <si>
    <t>ORD-2024-10615</t>
  </si>
  <si>
    <t>CUST-8154</t>
  </si>
  <si>
    <t>Elite Chairs 140</t>
  </si>
  <si>
    <t>ORD-2024-10616</t>
  </si>
  <si>
    <t>CUST-4462</t>
  </si>
  <si>
    <t>Basic Art 771</t>
  </si>
  <si>
    <t>ORD-2024-10617</t>
  </si>
  <si>
    <t>CUST-4660</t>
  </si>
  <si>
    <t>Prime Paper 664</t>
  </si>
  <si>
    <t>ORD-2024-10618</t>
  </si>
  <si>
    <t>CUST-9002</t>
  </si>
  <si>
    <t>Pro Phones 226</t>
  </si>
  <si>
    <t>ORD-2024-10619</t>
  </si>
  <si>
    <t>CUST-1057</t>
  </si>
  <si>
    <t>Basic Tables 684</t>
  </si>
  <si>
    <t>ORD-2024-10620</t>
  </si>
  <si>
    <t>CUST-9596</t>
  </si>
  <si>
    <t>Prime Binders 938</t>
  </si>
  <si>
    <t>ORD-2024-10621</t>
  </si>
  <si>
    <t>CUST-6947</t>
  </si>
  <si>
    <t>Classic Machines 337</t>
  </si>
  <si>
    <t>ORD-2024-10622</t>
  </si>
  <si>
    <t>CUST-7236</t>
  </si>
  <si>
    <t>Max Chairs 748</t>
  </si>
  <si>
    <t>ORD-2025-10623</t>
  </si>
  <si>
    <t>CUST-1127</t>
  </si>
  <si>
    <t>Basic Storage 934</t>
  </si>
  <si>
    <t>ORD-2024-10624</t>
  </si>
  <si>
    <t>CUST-6262</t>
  </si>
  <si>
    <t>Pro Storage 509</t>
  </si>
  <si>
    <t>ORD-2024-10625</t>
  </si>
  <si>
    <t>CUST-5070</t>
  </si>
  <si>
    <t>Prime Chairs 765</t>
  </si>
  <si>
    <t>ORD-2024-10626</t>
  </si>
  <si>
    <t>CUST-7946</t>
  </si>
  <si>
    <t>Elite Chairs 358</t>
  </si>
  <si>
    <t>ORD-2025-10627</t>
  </si>
  <si>
    <t>CUST-1793</t>
  </si>
  <si>
    <t>Elite Machines 971</t>
  </si>
  <si>
    <t>ORD-2025-10628</t>
  </si>
  <si>
    <t>CUST-8839</t>
  </si>
  <si>
    <t>Max Phones 825</t>
  </si>
  <si>
    <t>ORD-2025-10629</t>
  </si>
  <si>
    <t>CUST-6725</t>
  </si>
  <si>
    <t>Eco Accessories 933</t>
  </si>
  <si>
    <t>ORD-2025-10630</t>
  </si>
  <si>
    <t>CUST-3793</t>
  </si>
  <si>
    <t>Max Tables 908</t>
  </si>
  <si>
    <t>ORD-2024-10631</t>
  </si>
  <si>
    <t>CUST-6075</t>
  </si>
  <si>
    <t>Elite Paper 239</t>
  </si>
  <si>
    <t>ORD-2024-10632</t>
  </si>
  <si>
    <t>CUST-6381</t>
  </si>
  <si>
    <t>Eco Chairs 452</t>
  </si>
  <si>
    <t>ORD-2025-10633</t>
  </si>
  <si>
    <t>CUST-4593</t>
  </si>
  <si>
    <t>Smart Furnishings 721</t>
  </si>
  <si>
    <t>ORD-2025-10634</t>
  </si>
  <si>
    <t>CUST-5043</t>
  </si>
  <si>
    <t>Basic Accessories 729</t>
  </si>
  <si>
    <t>ORD-2025-10635</t>
  </si>
  <si>
    <t>CUST-4722</t>
  </si>
  <si>
    <t>Classic Chairs 220</t>
  </si>
  <si>
    <t>ORD-2024-10636</t>
  </si>
  <si>
    <t>CUST-7931</t>
  </si>
  <si>
    <t>Max Chairs 305</t>
  </si>
  <si>
    <t>ORD-2024-10637</t>
  </si>
  <si>
    <t>CUST-7221</t>
  </si>
  <si>
    <t>Smart Paper 872</t>
  </si>
  <si>
    <t>ORD-2024-10638</t>
  </si>
  <si>
    <t>CUST-2594</t>
  </si>
  <si>
    <t>Max Copiers 994</t>
  </si>
  <si>
    <t>ORD-2024-10639</t>
  </si>
  <si>
    <t>CUST-2111</t>
  </si>
  <si>
    <t>Pro Storage 744</t>
  </si>
  <si>
    <t>ORD-2024-10640</t>
  </si>
  <si>
    <t>CUST-6829</t>
  </si>
  <si>
    <t>Elite Chairs 744</t>
  </si>
  <si>
    <t>ORD-2025-10641</t>
  </si>
  <si>
    <t>CUST-5061</t>
  </si>
  <si>
    <t>Basic Storage 973</t>
  </si>
  <si>
    <t>ORD-2025-10642</t>
  </si>
  <si>
    <t>CUST-7915</t>
  </si>
  <si>
    <t>Smart Furnishings 783</t>
  </si>
  <si>
    <t>ORD-2024-10643</t>
  </si>
  <si>
    <t>CUST-1940</t>
  </si>
  <si>
    <t>Prime Binders 287</t>
  </si>
  <si>
    <t>ORD-2024-10644</t>
  </si>
  <si>
    <t>Elite Labels 654</t>
  </si>
  <si>
    <t>ORD-2025-10645</t>
  </si>
  <si>
    <t>CUST-5549</t>
  </si>
  <si>
    <t>Pro Chairs 812</t>
  </si>
  <si>
    <t>ORD-2024-10646</t>
  </si>
  <si>
    <t>CUST-2314</t>
  </si>
  <si>
    <t>Basic Chairs 480</t>
  </si>
  <si>
    <t>ORD-2024-10647</t>
  </si>
  <si>
    <t>CUST-6360</t>
  </si>
  <si>
    <t>Elite Machines 955</t>
  </si>
  <si>
    <t>ORD-2025-10648</t>
  </si>
  <si>
    <t>CUST-9942</t>
  </si>
  <si>
    <t>Prime Art 461</t>
  </si>
  <si>
    <t>ORD-2024-10649</t>
  </si>
  <si>
    <t>CUST-1808</t>
  </si>
  <si>
    <t>Prime Art 301</t>
  </si>
  <si>
    <t>ORD-2025-10650</t>
  </si>
  <si>
    <t>CUST-7277</t>
  </si>
  <si>
    <t>Classic Accessories 354</t>
  </si>
  <si>
    <t>ORD-2024-10651</t>
  </si>
  <si>
    <t>Basic Accessories 210</t>
  </si>
  <si>
    <t>ORD-2025-10652</t>
  </si>
  <si>
    <t>CUST-2660</t>
  </si>
  <si>
    <t>Smart Paper 364</t>
  </si>
  <si>
    <t>ORD-2025-10653</t>
  </si>
  <si>
    <t>Smart Binders 999</t>
  </si>
  <si>
    <t>ORD-2025-10654</t>
  </si>
  <si>
    <t>CUST-3970</t>
  </si>
  <si>
    <t>Max Copiers 356</t>
  </si>
  <si>
    <t>ORD-2025-10655</t>
  </si>
  <si>
    <t>Classic Machines 639</t>
  </si>
  <si>
    <t>ORD-2025-10656</t>
  </si>
  <si>
    <t>CUST-8039</t>
  </si>
  <si>
    <t>Smart Furnishings 748</t>
  </si>
  <si>
    <t>ORD-2024-10657</t>
  </si>
  <si>
    <t>CUST-4446</t>
  </si>
  <si>
    <t>Pro Machines 589</t>
  </si>
  <si>
    <t>ORD-2025-10658</t>
  </si>
  <si>
    <t>CUST-7787</t>
  </si>
  <si>
    <t>Eco Storage 316</t>
  </si>
  <si>
    <t>ORD-2025-10659</t>
  </si>
  <si>
    <t>CUST-9074</t>
  </si>
  <si>
    <t>Eco Art 763</t>
  </si>
  <si>
    <t>ORD-2025-10660</t>
  </si>
  <si>
    <t>CUST-8330</t>
  </si>
  <si>
    <t>Pro Phones 356</t>
  </si>
  <si>
    <t>ORD-2025-10661</t>
  </si>
  <si>
    <t>CUST-5638</t>
  </si>
  <si>
    <t>Basic Phones 865</t>
  </si>
  <si>
    <t>ORD-2024-10662</t>
  </si>
  <si>
    <t>CUST-4537</t>
  </si>
  <si>
    <t>Max Machines 595</t>
  </si>
  <si>
    <t>ORD-2024-10663</t>
  </si>
  <si>
    <t>CUST-3181</t>
  </si>
  <si>
    <t>Elite Machines 367</t>
  </si>
  <si>
    <t>ORD-2024-10664</t>
  </si>
  <si>
    <t>CUST-1015</t>
  </si>
  <si>
    <t>Basic Copiers 787</t>
  </si>
  <si>
    <t>ORD-2024-10665</t>
  </si>
  <si>
    <t>CUST-2709</t>
  </si>
  <si>
    <t>Max Accessories 903</t>
  </si>
  <si>
    <t>ORD-2025-10666</t>
  </si>
  <si>
    <t>CUST-1197</t>
  </si>
  <si>
    <t>Max Art 660</t>
  </si>
  <si>
    <t>ORD-2024-10667</t>
  </si>
  <si>
    <t>CUST-7758</t>
  </si>
  <si>
    <t>Classic Copiers 908</t>
  </si>
  <si>
    <t>ORD-2025-10668</t>
  </si>
  <si>
    <t>CUST-3912</t>
  </si>
  <si>
    <t>Pro Machines 706</t>
  </si>
  <si>
    <t>ORD-2024-10669</t>
  </si>
  <si>
    <t>CUST-4190</t>
  </si>
  <si>
    <t>Pro Paper 187</t>
  </si>
  <si>
    <t>ORD-2024-10670</t>
  </si>
  <si>
    <t>CUST-7568</t>
  </si>
  <si>
    <t>Classic Tables 606</t>
  </si>
  <si>
    <t>ORD-2025-10671</t>
  </si>
  <si>
    <t>Smart Tables 835</t>
  </si>
  <si>
    <t>ORD-2024-10672</t>
  </si>
  <si>
    <t>CUST-3293</t>
  </si>
  <si>
    <t>Classic Copiers 583</t>
  </si>
  <si>
    <t>ORD-2024-10673</t>
  </si>
  <si>
    <t>CUST-8180</t>
  </si>
  <si>
    <t>Classic Chairs 460</t>
  </si>
  <si>
    <t>ORD-2025-10674</t>
  </si>
  <si>
    <t>CUST-2807</t>
  </si>
  <si>
    <t>Classic Bookcases 488</t>
  </si>
  <si>
    <t>ORD-2024-10675</t>
  </si>
  <si>
    <t>CUST-4081</t>
  </si>
  <si>
    <t>Basic Accessories 944</t>
  </si>
  <si>
    <t>ORD-2025-10676</t>
  </si>
  <si>
    <t>Eco Furnishings 217</t>
  </si>
  <si>
    <t>ORD-2025-10677</t>
  </si>
  <si>
    <t>CUST-9212</t>
  </si>
  <si>
    <t>Smart Phones 967</t>
  </si>
  <si>
    <t>ORD-2024-10678</t>
  </si>
  <si>
    <t>Smart Chairs 610</t>
  </si>
  <si>
    <t>ORD-2024-10679</t>
  </si>
  <si>
    <t>CUST-1674</t>
  </si>
  <si>
    <t>Prime Tables 123</t>
  </si>
  <si>
    <t>ORD-2025-10680</t>
  </si>
  <si>
    <t>CUST-2897</t>
  </si>
  <si>
    <t>Smart Copiers 579</t>
  </si>
  <si>
    <t>ORD-2024-10681</t>
  </si>
  <si>
    <t>CUST-1136</t>
  </si>
  <si>
    <t>Eco Accessories 658</t>
  </si>
  <si>
    <t>ORD-2024-10682</t>
  </si>
  <si>
    <t>CUST-1376</t>
  </si>
  <si>
    <t>Smart Tables 777</t>
  </si>
  <si>
    <t>ORD-2025-10683</t>
  </si>
  <si>
    <t>CUST-1553</t>
  </si>
  <si>
    <t>ananya rao</t>
  </si>
  <si>
    <t>Eco Storage 861</t>
  </si>
  <si>
    <t>ORD-2025-10684</t>
  </si>
  <si>
    <t>CUST-5704</t>
  </si>
  <si>
    <t>Eco Furnishings 875</t>
  </si>
  <si>
    <t>ORD-2025-10685</t>
  </si>
  <si>
    <t>CUST-6738</t>
  </si>
  <si>
    <t>Prime Bookcases 784</t>
  </si>
  <si>
    <t>ORD-2025-10686</t>
  </si>
  <si>
    <t>Classic Art 380</t>
  </si>
  <si>
    <t>ORD-2024-10687</t>
  </si>
  <si>
    <t>CUST-3127</t>
  </si>
  <si>
    <t>Pro Copiers 502</t>
  </si>
  <si>
    <t>ORD-2025-10688</t>
  </si>
  <si>
    <t>CUST-9347</t>
  </si>
  <si>
    <t>Prime Tables 604</t>
  </si>
  <si>
    <t>ORD-2025-10689</t>
  </si>
  <si>
    <t>CUST-8575</t>
  </si>
  <si>
    <t>Basic Art 798</t>
  </si>
  <si>
    <t>ORD-2024-10690</t>
  </si>
  <si>
    <t>CUST-4382</t>
  </si>
  <si>
    <t>Elite Tables 717</t>
  </si>
  <si>
    <t>ORD-2024-10691</t>
  </si>
  <si>
    <t>CUST-6815</t>
  </si>
  <si>
    <t>Max Art 725</t>
  </si>
  <si>
    <t>ORD-2024-10692</t>
  </si>
  <si>
    <t>CUST-7309</t>
  </si>
  <si>
    <t>Smart Copiers 456</t>
  </si>
  <si>
    <t>ORD-2025-10693</t>
  </si>
  <si>
    <t>CUST-9531</t>
  </si>
  <si>
    <t>Prime Furnishings 883</t>
  </si>
  <si>
    <t>ORD-2025-10694</t>
  </si>
  <si>
    <t>CUST-6032</t>
  </si>
  <si>
    <t>Smart Bookcases 828</t>
  </si>
  <si>
    <t>ORD-2025-10695</t>
  </si>
  <si>
    <t>Classic Storage 291</t>
  </si>
  <si>
    <t>ORD-2024-10696</t>
  </si>
  <si>
    <t>CUST-6257</t>
  </si>
  <si>
    <t>Prime Machines 102</t>
  </si>
  <si>
    <t>ORD-2025-10697</t>
  </si>
  <si>
    <t>CUST-7812</t>
  </si>
  <si>
    <t>Classic Phones 842</t>
  </si>
  <si>
    <t>ORD-2025-10698</t>
  </si>
  <si>
    <t>CUST-6205</t>
  </si>
  <si>
    <t>Max Labels 970</t>
  </si>
  <si>
    <t>ORD-2024-10699</t>
  </si>
  <si>
    <t>CUST-5357</t>
  </si>
  <si>
    <t>Classic Machines 648</t>
  </si>
  <si>
    <t>ORD-2024-10700</t>
  </si>
  <si>
    <t>CUST-9802</t>
  </si>
  <si>
    <t>Max Bookcases 565</t>
  </si>
  <si>
    <t>ORD-2024-10701</t>
  </si>
  <si>
    <t>CUST-5646</t>
  </si>
  <si>
    <t>Basic Machines 220</t>
  </si>
  <si>
    <t>ORD-2024-10702</t>
  </si>
  <si>
    <t>CUST-7171</t>
  </si>
  <si>
    <t>Pro Art 151</t>
  </si>
  <si>
    <t>ORD-2025-10703</t>
  </si>
  <si>
    <t>CUST-5231</t>
  </si>
  <si>
    <t>Pro Tables 980</t>
  </si>
  <si>
    <t>ORD-2024-10704</t>
  </si>
  <si>
    <t>CUST-8734</t>
  </si>
  <si>
    <t>Classic Tables 997</t>
  </si>
  <si>
    <t>ORD-2024-10705</t>
  </si>
  <si>
    <t>CUST-4916</t>
  </si>
  <si>
    <t>Max Bookcases 738</t>
  </si>
  <si>
    <t>ORD-2024-10706</t>
  </si>
  <si>
    <t>CUST-3289</t>
  </si>
  <si>
    <t>Max Binders 411</t>
  </si>
  <si>
    <t>ORD-2024-10707</t>
  </si>
  <si>
    <t>CUST-4928</t>
  </si>
  <si>
    <t>Max Paper 343</t>
  </si>
  <si>
    <t>ORD-2025-10708</t>
  </si>
  <si>
    <t>CUST-4902</t>
  </si>
  <si>
    <t>Pro Accessories 485</t>
  </si>
  <si>
    <t>ORD-2025-10709</t>
  </si>
  <si>
    <t>CUST-6504</t>
  </si>
  <si>
    <t>Elite Bookcases 113</t>
  </si>
  <si>
    <t>ORD-2025-10710</t>
  </si>
  <si>
    <t>CUST-8036</t>
  </si>
  <si>
    <t>Eco Phones 787</t>
  </si>
  <si>
    <t>ORD-2024-10711</t>
  </si>
  <si>
    <t>CUST-7199</t>
  </si>
  <si>
    <t>Smart Art 279</t>
  </si>
  <si>
    <t>ORD-2025-10712</t>
  </si>
  <si>
    <t>CUST-6176</t>
  </si>
  <si>
    <t>Basic Machines 172</t>
  </si>
  <si>
    <t>ORD-2024-10713</t>
  </si>
  <si>
    <t>CUST-5127</t>
  </si>
  <si>
    <t>Smart Chairs 259</t>
  </si>
  <si>
    <t>ORD-2025-10714</t>
  </si>
  <si>
    <t>Pro Machines 987</t>
  </si>
  <si>
    <t>ORD-2025-10715</t>
  </si>
  <si>
    <t>CUST-9902</t>
  </si>
  <si>
    <t>Pro Copiers 206</t>
  </si>
  <si>
    <t>ORD-2025-10716</t>
  </si>
  <si>
    <t>CUST-7446</t>
  </si>
  <si>
    <t>Max Chairs 372</t>
  </si>
  <si>
    <t>ORD-2025-10717</t>
  </si>
  <si>
    <t>CUST-7540</t>
  </si>
  <si>
    <t>Basic Phones 496</t>
  </si>
  <si>
    <t>ORD-2025-10718</t>
  </si>
  <si>
    <t>CUST-8351</t>
  </si>
  <si>
    <t>Prime Machines 612</t>
  </si>
  <si>
    <t>ORD-2024-10719</t>
  </si>
  <si>
    <t>CUST-3918</t>
  </si>
  <si>
    <t>Smart Art 866</t>
  </si>
  <si>
    <t>ORD-2025-10720</t>
  </si>
  <si>
    <t>Pro Art 447</t>
  </si>
  <si>
    <t>ORD-2024-10721</t>
  </si>
  <si>
    <t>CUST-1991</t>
  </si>
  <si>
    <t>Smart Copiers 196</t>
  </si>
  <si>
    <t>ORD-2025-10722</t>
  </si>
  <si>
    <t>CUST-7606</t>
  </si>
  <si>
    <t>Pro Copiers 532</t>
  </si>
  <si>
    <t>ORD-2024-10723</t>
  </si>
  <si>
    <t>CUST-8844</t>
  </si>
  <si>
    <t>Eco Chairs 442</t>
  </si>
  <si>
    <t>ORD-2025-10724</t>
  </si>
  <si>
    <t>CUST-4335</t>
  </si>
  <si>
    <t>Eco Accessories 364</t>
  </si>
  <si>
    <t>ORD-2024-10725</t>
  </si>
  <si>
    <t>CUST-5891</t>
  </si>
  <si>
    <t>Elite Furnishings 921</t>
  </si>
  <si>
    <t>ORD-2025-10726</t>
  </si>
  <si>
    <t>CUST-6371</t>
  </si>
  <si>
    <t>Max Tables 309</t>
  </si>
  <si>
    <t>ORD-2024-10727</t>
  </si>
  <si>
    <t>CUST-6655</t>
  </si>
  <si>
    <t>Pro Phones 857</t>
  </si>
  <si>
    <t>ORD-2024-10728</t>
  </si>
  <si>
    <t>CUST-6492</t>
  </si>
  <si>
    <t>Max Accessories 567</t>
  </si>
  <si>
    <t>ORD-2024-10729</t>
  </si>
  <si>
    <t>CUST-1154</t>
  </si>
  <si>
    <t>Max Machines 200</t>
  </si>
  <si>
    <t>ORD-2025-10730</t>
  </si>
  <si>
    <t>CUST-8713</t>
  </si>
  <si>
    <t>Pro Machines 563</t>
  </si>
  <si>
    <t>ORD-2025-10731</t>
  </si>
  <si>
    <t>CUST-6765</t>
  </si>
  <si>
    <t>Elite Art 696</t>
  </si>
  <si>
    <t>ORD-2024-10732</t>
  </si>
  <si>
    <t>CUST-6849</t>
  </si>
  <si>
    <t>Eco Binders 178</t>
  </si>
  <si>
    <t>ORD-2024-10733</t>
  </si>
  <si>
    <t>CUST-4973</t>
  </si>
  <si>
    <t>Max Phones 678</t>
  </si>
  <si>
    <t>ORD-2024-10734</t>
  </si>
  <si>
    <t>CUST-2394</t>
  </si>
  <si>
    <t>Classic Furnishings 582</t>
  </si>
  <si>
    <t>ORD-2024-10735</t>
  </si>
  <si>
    <t>CUST-5406</t>
  </si>
  <si>
    <t>Classic Accessories 981</t>
  </si>
  <si>
    <t>ORD-2024-10736</t>
  </si>
  <si>
    <t>CUST-1963</t>
  </si>
  <si>
    <t>Classic Tables 534</t>
  </si>
  <si>
    <t>ORD-2024-10737</t>
  </si>
  <si>
    <t>CUST-9017</t>
  </si>
  <si>
    <t>Pro Chairs 383</t>
  </si>
  <si>
    <t>ORD-2024-10738</t>
  </si>
  <si>
    <t>CUST-7967</t>
  </si>
  <si>
    <t>Max Chairs 845</t>
  </si>
  <si>
    <t>ORD-2025-10739</t>
  </si>
  <si>
    <t>CUST-5334</t>
  </si>
  <si>
    <t>Prime Paper 307</t>
  </si>
  <si>
    <t>ORD-2024-10740</t>
  </si>
  <si>
    <t>CUST-5846</t>
  </si>
  <si>
    <t>Basic Phones 859</t>
  </si>
  <si>
    <t>ORD-2024-10741</t>
  </si>
  <si>
    <t>Eco Chairs 883</t>
  </si>
  <si>
    <t>ORD-2025-10742</t>
  </si>
  <si>
    <t>CUST-3285</t>
  </si>
  <si>
    <t>Max Chairs 706</t>
  </si>
  <si>
    <t>ORD-2024-10743</t>
  </si>
  <si>
    <t>CUST-6368</t>
  </si>
  <si>
    <t>Prime Paper 768</t>
  </si>
  <si>
    <t>ORD-2025-10744</t>
  </si>
  <si>
    <t>CUST-6231</t>
  </si>
  <si>
    <t>Basic Art 764</t>
  </si>
  <si>
    <t>ORD-2025-10745</t>
  </si>
  <si>
    <t>CUST-2021</t>
  </si>
  <si>
    <t>Prime Binders 181</t>
  </si>
  <si>
    <t>ORD-2024-10746</t>
  </si>
  <si>
    <t>CUST-1493</t>
  </si>
  <si>
    <t>Max Copiers 866</t>
  </si>
  <si>
    <t>ORD-2025-10747</t>
  </si>
  <si>
    <t>Pro Paper 662</t>
  </si>
  <si>
    <t>ORD-2024-10748</t>
  </si>
  <si>
    <t>CUST-8416</t>
  </si>
  <si>
    <t>Classic Paper 388</t>
  </si>
  <si>
    <t>ORD-2024-10749</t>
  </si>
  <si>
    <t>CUST-3103</t>
  </si>
  <si>
    <t>Pro Phones 765</t>
  </si>
  <si>
    <t>ORD-2024-10750</t>
  </si>
  <si>
    <t>CUST-4457</t>
  </si>
  <si>
    <t>Classic Machines 543</t>
  </si>
  <si>
    <t>ORD-2025-10751</t>
  </si>
  <si>
    <t>CUST-7036</t>
  </si>
  <si>
    <t>Max Accessories 291</t>
  </si>
  <si>
    <t>ORD-2025-10752</t>
  </si>
  <si>
    <t>CUST-8512</t>
  </si>
  <si>
    <t>Eco Machines 414</t>
  </si>
  <si>
    <t>ORD-2024-10753</t>
  </si>
  <si>
    <t>CUST-6345</t>
  </si>
  <si>
    <t>Basic Storage 273</t>
  </si>
  <si>
    <t>ORD-2024-10754</t>
  </si>
  <si>
    <t>CUST-4505</t>
  </si>
  <si>
    <t>Elite Furnishings 588</t>
  </si>
  <si>
    <t>ORD-2025-10755</t>
  </si>
  <si>
    <t>CUST-7960</t>
  </si>
  <si>
    <t>Elite Storage 857</t>
  </si>
  <si>
    <t>ORD-2025-10756</t>
  </si>
  <si>
    <t>CUST-3365</t>
  </si>
  <si>
    <t>Prime Storage 183</t>
  </si>
  <si>
    <t>ORD-2024-10757</t>
  </si>
  <si>
    <t>CUST-1557</t>
  </si>
  <si>
    <t>Smart Accessories 362</t>
  </si>
  <si>
    <t>ORD-2025-10758</t>
  </si>
  <si>
    <t>CUST-3058</t>
  </si>
  <si>
    <t>Classic Bookcases 310</t>
  </si>
  <si>
    <t>ORD-2024-10759</t>
  </si>
  <si>
    <t>CUST-6076</t>
  </si>
  <si>
    <t>Prime Chairs 721</t>
  </si>
  <si>
    <t>ORD-2024-10760</t>
  </si>
  <si>
    <t>CUST-2098</t>
  </si>
  <si>
    <t>Prime Tables 797</t>
  </si>
  <si>
    <t>ORD-2024-10761</t>
  </si>
  <si>
    <t>CUST-7193</t>
  </si>
  <si>
    <t>Max Art 926</t>
  </si>
  <si>
    <t>ORD-2025-10762</t>
  </si>
  <si>
    <t>CUST-8948</t>
  </si>
  <si>
    <t>Max Machines 364</t>
  </si>
  <si>
    <t>ORD-2024-10763</t>
  </si>
  <si>
    <t>CUST-6921</t>
  </si>
  <si>
    <t>Classic Machines 122</t>
  </si>
  <si>
    <t>ORD-2025-10764</t>
  </si>
  <si>
    <t>CUST-4086</t>
  </si>
  <si>
    <t>Elite Furnishings 169</t>
  </si>
  <si>
    <t>ORD-2025-10765</t>
  </si>
  <si>
    <t>Pro Bookcases 615</t>
  </si>
  <si>
    <t>ORD-2025-10766</t>
  </si>
  <si>
    <t>CUST-8747</t>
  </si>
  <si>
    <t>Max Labels 136</t>
  </si>
  <si>
    <t>ORD-2024-10767</t>
  </si>
  <si>
    <t>CUST-3156</t>
  </si>
  <si>
    <t>Prime Art 380</t>
  </si>
  <si>
    <t>ORD-2024-10768</t>
  </si>
  <si>
    <t>CUST-2043</t>
  </si>
  <si>
    <t>Classic Binders 234</t>
  </si>
  <si>
    <t>ORD-2025-10769</t>
  </si>
  <si>
    <t>CUST-8808</t>
  </si>
  <si>
    <t>Classic Paper 280</t>
  </si>
  <si>
    <t>ORD-2024-10770</t>
  </si>
  <si>
    <t>CUST-1293</t>
  </si>
  <si>
    <t>Classic Bookcases 922</t>
  </si>
  <si>
    <t>ORD-2024-10771</t>
  </si>
  <si>
    <t>CUST-8384</t>
  </si>
  <si>
    <t>Eco Copiers 396</t>
  </si>
  <si>
    <t>ORD-2024-10772</t>
  </si>
  <si>
    <t>Basic Machines 401</t>
  </si>
  <si>
    <t>ORD-2025-10773</t>
  </si>
  <si>
    <t>CUST-8422</t>
  </si>
  <si>
    <t>Basic Chairs 279</t>
  </si>
  <si>
    <t>ORD-2025-10774</t>
  </si>
  <si>
    <t>CUST-4766</t>
  </si>
  <si>
    <t>Basic Phones 753</t>
  </si>
  <si>
    <t>ORD-2025-10775</t>
  </si>
  <si>
    <t>CUST-1182</t>
  </si>
  <si>
    <t>Smart Machines 789</t>
  </si>
  <si>
    <t>ORD-2024-10776</t>
  </si>
  <si>
    <t>CUST-4461</t>
  </si>
  <si>
    <t>Elite Accessories 312</t>
  </si>
  <si>
    <t>ORD-2025-10777</t>
  </si>
  <si>
    <t>CUST-9690</t>
  </si>
  <si>
    <t>Eco Copiers 528</t>
  </si>
  <si>
    <t>ORD-2024-10778</t>
  </si>
  <si>
    <t>CUST-6879</t>
  </si>
  <si>
    <t>Elite Accessories 226</t>
  </si>
  <si>
    <t>ORD-2024-10779</t>
  </si>
  <si>
    <t>CUST-4714</t>
  </si>
  <si>
    <t>Pro Copiers 298</t>
  </si>
  <si>
    <t>ORD-2024-10780</t>
  </si>
  <si>
    <t>CUST-7547</t>
  </si>
  <si>
    <t>Prime Chairs 331</t>
  </si>
  <si>
    <t>ORD-2024-10781</t>
  </si>
  <si>
    <t>CUST-3288</t>
  </si>
  <si>
    <t>Classic Chairs 798</t>
  </si>
  <si>
    <t>ORD-2024-10782</t>
  </si>
  <si>
    <t>CUST-8597</t>
  </si>
  <si>
    <t>Classic Labels 204</t>
  </si>
  <si>
    <t>ORD-2025-10783</t>
  </si>
  <si>
    <t>CUST-9085</t>
  </si>
  <si>
    <t>Basic Copiers 254</t>
  </si>
  <si>
    <t>ORD-2024-10784</t>
  </si>
  <si>
    <t>CUST-7746</t>
  </si>
  <si>
    <t>Basic Art 709</t>
  </si>
  <si>
    <t>ORD-2025-10785</t>
  </si>
  <si>
    <t>CUST-3119</t>
  </si>
  <si>
    <t>Max Copiers 551</t>
  </si>
  <si>
    <t>ORD-2024-10786</t>
  </si>
  <si>
    <t>CUST-7518</t>
  </si>
  <si>
    <t>Eco Storage 183</t>
  </si>
  <si>
    <t>ORD-2025-10787</t>
  </si>
  <si>
    <t>CUST-1343</t>
  </si>
  <si>
    <t>Pro Furnishings 233</t>
  </si>
  <si>
    <t>ORD-2024-10788</t>
  </si>
  <si>
    <t>CUST-7548</t>
  </si>
  <si>
    <t>Prime Paper 878</t>
  </si>
  <si>
    <t>ORD-2024-10789</t>
  </si>
  <si>
    <t>CUST-3631</t>
  </si>
  <si>
    <t>Smart Chairs 353</t>
  </si>
  <si>
    <t>ORD-2025-10790</t>
  </si>
  <si>
    <t>CUST-1453</t>
  </si>
  <si>
    <t>Smart Copiers 408</t>
  </si>
  <si>
    <t>ORD-2024-10791</t>
  </si>
  <si>
    <t>CUST-1951</t>
  </si>
  <si>
    <t>Classic Art 781</t>
  </si>
  <si>
    <t>ORD-2024-10792</t>
  </si>
  <si>
    <t>CUST-6300</t>
  </si>
  <si>
    <t>Eco Bookcases 144</t>
  </si>
  <si>
    <t>ORD-2025-10793</t>
  </si>
  <si>
    <t>CUST-1417</t>
  </si>
  <si>
    <t>Elite Furnishings 852</t>
  </si>
  <si>
    <t>ORD-2024-10794</t>
  </si>
  <si>
    <t>CUST-5421</t>
  </si>
  <si>
    <t>Basic Copiers 238</t>
  </si>
  <si>
    <t>ORD-2025-10795</t>
  </si>
  <si>
    <t>CUST-2829</t>
  </si>
  <si>
    <t>Elite Paper 847</t>
  </si>
  <si>
    <t>ORD-2024-10796</t>
  </si>
  <si>
    <t>CUST-6529</t>
  </si>
  <si>
    <t>Pro Copiers 653</t>
  </si>
  <si>
    <t>ORD-2024-10797</t>
  </si>
  <si>
    <t>CUST-3126</t>
  </si>
  <si>
    <t>Elite Machines 459</t>
  </si>
  <si>
    <t>ORD-2024-10798</t>
  </si>
  <si>
    <t>CUST-3991</t>
  </si>
  <si>
    <t>Elite Binders 764</t>
  </si>
  <si>
    <t>ORD-2025-10799</t>
  </si>
  <si>
    <t>CUST-7553</t>
  </si>
  <si>
    <t>Classic Furnishings 348</t>
  </si>
  <si>
    <t>ORD-2024-10800</t>
  </si>
  <si>
    <t>CUST-8527</t>
  </si>
  <si>
    <t>Smart Accessories 487</t>
  </si>
  <si>
    <t>ORD-2024-10801</t>
  </si>
  <si>
    <t>CUST-5015</t>
  </si>
  <si>
    <t>Elite Storage 825</t>
  </si>
  <si>
    <t>ORD-2025-10802</t>
  </si>
  <si>
    <t>CUST-3344</t>
  </si>
  <si>
    <t>Pro Accessories 500</t>
  </si>
  <si>
    <t>ORD-2025-10803</t>
  </si>
  <si>
    <t>CUST-5866</t>
  </si>
  <si>
    <t>Pro Furnishings 909</t>
  </si>
  <si>
    <t>ORD-2024-10804</t>
  </si>
  <si>
    <t>CUST-7180</t>
  </si>
  <si>
    <t>Basic Labels 359</t>
  </si>
  <si>
    <t>ORD-2025-10805</t>
  </si>
  <si>
    <t>CUST-8745</t>
  </si>
  <si>
    <t>Eco Furnishings 541</t>
  </si>
  <si>
    <t>ORD-2025-10806</t>
  </si>
  <si>
    <t>Classic Binders 103</t>
  </si>
  <si>
    <t>ORD-2024-10807</t>
  </si>
  <si>
    <t>CUST-3704</t>
  </si>
  <si>
    <t>Max Copiers 560</t>
  </si>
  <si>
    <t>ORD-2025-10808</t>
  </si>
  <si>
    <t>CUST-5884</t>
  </si>
  <si>
    <t>Smart Labels 436</t>
  </si>
  <si>
    <t>ORD-2025-10809</t>
  </si>
  <si>
    <t>CUST-7503</t>
  </si>
  <si>
    <t>Pro Furnishings 386</t>
  </si>
  <si>
    <t>ORD-2025-10810</t>
  </si>
  <si>
    <t>CUST-6973</t>
  </si>
  <si>
    <t>Eco Binders 601</t>
  </si>
  <si>
    <t>ORD-2024-10811</t>
  </si>
  <si>
    <t>Pro Copiers 867</t>
  </si>
  <si>
    <t>ORD-2024-10812</t>
  </si>
  <si>
    <t>CUST-3303</t>
  </si>
  <si>
    <t>Eco Accessories 122</t>
  </si>
  <si>
    <t>ORD-2024-10813</t>
  </si>
  <si>
    <t>CUST-5754</t>
  </si>
  <si>
    <t>Basic Tables 127</t>
  </si>
  <si>
    <t>ORD-2025-10814</t>
  </si>
  <si>
    <t>CUST-7848</t>
  </si>
  <si>
    <t>ORD-2025-10815</t>
  </si>
  <si>
    <t>CUST-9048</t>
  </si>
  <si>
    <t>Smart Labels 126</t>
  </si>
  <si>
    <t>ORD-2024-10816</t>
  </si>
  <si>
    <t>CUST-2951</t>
  </si>
  <si>
    <t>Max Machines 569</t>
  </si>
  <si>
    <t>ORD-2024-10817</t>
  </si>
  <si>
    <t>CUST-3072</t>
  </si>
  <si>
    <t>Basic Furnishings 306</t>
  </si>
  <si>
    <t>ORD-2025-10818</t>
  </si>
  <si>
    <t>CUST-2221</t>
  </si>
  <si>
    <t>Classic Binders 873</t>
  </si>
  <si>
    <t>ORD-2024-10819</t>
  </si>
  <si>
    <t>CUST-3943</t>
  </si>
  <si>
    <t>Pro Labels 611</t>
  </si>
  <si>
    <t>ORD-2024-10820</t>
  </si>
  <si>
    <t>CUST-7510</t>
  </si>
  <si>
    <t>Prime Machines 524</t>
  </si>
  <si>
    <t>ORD-2025-10821</t>
  </si>
  <si>
    <t>CUST-2041</t>
  </si>
  <si>
    <t>Classic Bookcases 882</t>
  </si>
  <si>
    <t>ORD-2024-10822</t>
  </si>
  <si>
    <t>CUST-4466</t>
  </si>
  <si>
    <t>Classic Accessories 471</t>
  </si>
  <si>
    <t>ORD-2024-10823</t>
  </si>
  <si>
    <t>CUST-3188</t>
  </si>
  <si>
    <t>Smart Furnishings 175</t>
  </si>
  <si>
    <t>ORD-2025-10824</t>
  </si>
  <si>
    <t>CUST-6638</t>
  </si>
  <si>
    <t>Basic Paper 899</t>
  </si>
  <si>
    <t>ORD-2025-10825</t>
  </si>
  <si>
    <t>CUST-3540</t>
  </si>
  <si>
    <t>Pro Paper 267</t>
  </si>
  <si>
    <t>ORD-2025-10826</t>
  </si>
  <si>
    <t>CUST-3351</t>
  </si>
  <si>
    <t>Basic Machines 832</t>
  </si>
  <si>
    <t>ORD-2025-10827</t>
  </si>
  <si>
    <t>CUST-4375</t>
  </si>
  <si>
    <t>Elite Accessories 790</t>
  </si>
  <si>
    <t>ORD-2024-10828</t>
  </si>
  <si>
    <t>CUST-5125</t>
  </si>
  <si>
    <t>Basic Paper 707</t>
  </si>
  <si>
    <t>ORD-2025-10829</t>
  </si>
  <si>
    <t>CUST-6010</t>
  </si>
  <si>
    <t>Elite Chairs 979</t>
  </si>
  <si>
    <t>ORD-2024-10830</t>
  </si>
  <si>
    <t>CUST-9036</t>
  </si>
  <si>
    <t>Pro Furnishings 192</t>
  </si>
  <si>
    <t>ORD-2025-10831</t>
  </si>
  <si>
    <t>CUST-7929</t>
  </si>
  <si>
    <t>Smart Machines 951</t>
  </si>
  <si>
    <t>ORD-2025-10832</t>
  </si>
  <si>
    <t>CUST-1106</t>
  </si>
  <si>
    <t>Smart Chairs 794</t>
  </si>
  <si>
    <t>ORD-2025-10833</t>
  </si>
  <si>
    <t>CUST-9557</t>
  </si>
  <si>
    <t>Max Phones 919</t>
  </si>
  <si>
    <t>ORD-2024-10834</t>
  </si>
  <si>
    <t>CUST-2689</t>
  </si>
  <si>
    <t>Basic Bookcases 499</t>
  </si>
  <si>
    <t>ORD-2024-10835</t>
  </si>
  <si>
    <t>CUST-2879</t>
  </si>
  <si>
    <t>Basic Art 143</t>
  </si>
  <si>
    <t>ORD-2025-10836</t>
  </si>
  <si>
    <t>CUST-5150</t>
  </si>
  <si>
    <t>Prime Phones 338</t>
  </si>
  <si>
    <t>ORD-2024-10837</t>
  </si>
  <si>
    <t>CUST-9776</t>
  </si>
  <si>
    <t>Smart Labels 814</t>
  </si>
  <si>
    <t>ORD-2025-10838</t>
  </si>
  <si>
    <t>CUST-2551</t>
  </si>
  <si>
    <t>Prime Paper 812</t>
  </si>
  <si>
    <t>ORD-2025-10839</t>
  </si>
  <si>
    <t>CUST-4708</t>
  </si>
  <si>
    <t>Pro Paper 355</t>
  </si>
  <si>
    <t>ORD-2024-10840</t>
  </si>
  <si>
    <t>CUST-8206</t>
  </si>
  <si>
    <t>Basic Phones 398</t>
  </si>
  <si>
    <t>ORD-2025-10841</t>
  </si>
  <si>
    <t>CUST-1297</t>
  </si>
  <si>
    <t>Classic Chairs 204</t>
  </si>
  <si>
    <t>ORD-2025-10842</t>
  </si>
  <si>
    <t>CUST-7558</t>
  </si>
  <si>
    <t>Max Art 339</t>
  </si>
  <si>
    <t>ORD-2024-10843</t>
  </si>
  <si>
    <t>CUST-1798</t>
  </si>
  <si>
    <t>kabir singh</t>
  </si>
  <si>
    <t>Smart Machines 581</t>
  </si>
  <si>
    <t>ORD-2025-10844</t>
  </si>
  <si>
    <t>CUST-7333</t>
  </si>
  <si>
    <t>Prime Phones 482</t>
  </si>
  <si>
    <t>ORD-2025-10845</t>
  </si>
  <si>
    <t>CUST-2086</t>
  </si>
  <si>
    <t>Pro Art 588</t>
  </si>
  <si>
    <t>ORD-2024-10846</t>
  </si>
  <si>
    <t>Eco Tables 792</t>
  </si>
  <si>
    <t>ORD-2024-10847</t>
  </si>
  <si>
    <t>CUST-6522</t>
  </si>
  <si>
    <t>Prime Bookcases 177</t>
  </si>
  <si>
    <t>ORD-2025-10848</t>
  </si>
  <si>
    <t>CUST-8329</t>
  </si>
  <si>
    <t>Pro Tables 828</t>
  </si>
  <si>
    <t>ORD-2025-10849</t>
  </si>
  <si>
    <t>CUST-4426</t>
  </si>
  <si>
    <t>Elite Furnishings 480</t>
  </si>
  <si>
    <t>ORD-2024-10850</t>
  </si>
  <si>
    <t>CUST-3360</t>
  </si>
  <si>
    <t>Prime Bookcases 755</t>
  </si>
  <si>
    <t>ORD-2024-10851</t>
  </si>
  <si>
    <t>CUST-2623</t>
  </si>
  <si>
    <t>Prime Paper 317</t>
  </si>
  <si>
    <t>ORD-2024-10852</t>
  </si>
  <si>
    <t>CUST-3175</t>
  </si>
  <si>
    <t>Classic Accessories 933</t>
  </si>
  <si>
    <t>ORD-2024-10853</t>
  </si>
  <si>
    <t>CUST-9630</t>
  </si>
  <si>
    <t>Smart Tables 513</t>
  </si>
  <si>
    <t>ORD-2025-10854</t>
  </si>
  <si>
    <t>CUST-8274</t>
  </si>
  <si>
    <t>Elite Accessories 708</t>
  </si>
  <si>
    <t>ORD-2025-10855</t>
  </si>
  <si>
    <t>CUST-2514</t>
  </si>
  <si>
    <t>Max Bookcases 381</t>
  </si>
  <si>
    <t>ORD-2024-10856</t>
  </si>
  <si>
    <t>Classic Labels 215</t>
  </si>
  <si>
    <t>ORD-2024-10857</t>
  </si>
  <si>
    <t>Classic Storage 918</t>
  </si>
  <si>
    <t>ORD-2024-10858</t>
  </si>
  <si>
    <t>Max Storage 223</t>
  </si>
  <si>
    <t>ORD-2024-10859</t>
  </si>
  <si>
    <t>CUST-9576</t>
  </si>
  <si>
    <t>Basic Accessories 602</t>
  </si>
  <si>
    <t>ORD-2024-10860</t>
  </si>
  <si>
    <t>CUST-2395</t>
  </si>
  <si>
    <t>Elite Phones 394</t>
  </si>
  <si>
    <t>ORD-2024-10861</t>
  </si>
  <si>
    <t>CUST-8941</t>
  </si>
  <si>
    <t>Classic Storage 194</t>
  </si>
  <si>
    <t>ORD-2025-10862</t>
  </si>
  <si>
    <t>CUST-9448</t>
  </si>
  <si>
    <t>Smart Furnishings 892</t>
  </si>
  <si>
    <t>ORD-2025-10863</t>
  </si>
  <si>
    <t>CUST-8354</t>
  </si>
  <si>
    <t>Pro Binders 488</t>
  </si>
  <si>
    <t>ORD-2025-10864</t>
  </si>
  <si>
    <t>CUST-2200</t>
  </si>
  <si>
    <t>Prime Furnishings 679</t>
  </si>
  <si>
    <t>ORD-2025-10865</t>
  </si>
  <si>
    <t>CUST-1178</t>
  </si>
  <si>
    <t>Smart Phones 158</t>
  </si>
  <si>
    <t>ORD-2025-10866</t>
  </si>
  <si>
    <t>CUST-8099</t>
  </si>
  <si>
    <t>Classic Labels 218</t>
  </si>
  <si>
    <t>ORD-2025-10867</t>
  </si>
  <si>
    <t>CUST-7596</t>
  </si>
  <si>
    <t>Smart Bookcases 552</t>
  </si>
  <si>
    <t>ORD-2024-10868</t>
  </si>
  <si>
    <t>CUST-2328</t>
  </si>
  <si>
    <t>Eco Accessories 389</t>
  </si>
  <si>
    <t>ORD-2025-10869</t>
  </si>
  <si>
    <t>CUST-8483</t>
  </si>
  <si>
    <t>Elite Storage 187</t>
  </si>
  <si>
    <t>ORD-2025-10870</t>
  </si>
  <si>
    <t>CUST-2388</t>
  </si>
  <si>
    <t>ORD-2025-10871</t>
  </si>
  <si>
    <t>CUST-7054</t>
  </si>
  <si>
    <t>Max Tables 281</t>
  </si>
  <si>
    <t>ORD-2024-10872</t>
  </si>
  <si>
    <t>Pro Accessories 325</t>
  </si>
  <si>
    <t>ORD-2024-10873</t>
  </si>
  <si>
    <t>Prime Furnishings 178</t>
  </si>
  <si>
    <t>ORD-2025-10874</t>
  </si>
  <si>
    <t>CUST-8160</t>
  </si>
  <si>
    <t>Elite Storage 144</t>
  </si>
  <si>
    <t>ORD-2025-10875</t>
  </si>
  <si>
    <t>CUST-8770</t>
  </si>
  <si>
    <t>Elite Paper 309</t>
  </si>
  <si>
    <t>ORD-2024-10876</t>
  </si>
  <si>
    <t>CUST-6928</t>
  </si>
  <si>
    <t>Elite Copiers 752</t>
  </si>
  <si>
    <t>ORD-2024-10877</t>
  </si>
  <si>
    <t>CUST-9044</t>
  </si>
  <si>
    <t>ORD-2025-10878</t>
  </si>
  <si>
    <t>CUST-7146</t>
  </si>
  <si>
    <t>Max Storage 438</t>
  </si>
  <si>
    <t>ORD-2024-10879</t>
  </si>
  <si>
    <t>CUST-8534</t>
  </si>
  <si>
    <t>Basic Paper 904</t>
  </si>
  <si>
    <t>ORD-2025-10880</t>
  </si>
  <si>
    <t>CUST-4486</t>
  </si>
  <si>
    <t>Smart Art 990</t>
  </si>
  <si>
    <t>ORD-2024-10881</t>
  </si>
  <si>
    <t>CUST-5287</t>
  </si>
  <si>
    <t>Basic Chairs 327</t>
  </si>
  <si>
    <t>ORD-2024-10882</t>
  </si>
  <si>
    <t>CUST-3445</t>
  </si>
  <si>
    <t>Eco Copiers 987</t>
  </si>
  <si>
    <t>ORD-2025-10883</t>
  </si>
  <si>
    <t>CUST-4983</t>
  </si>
  <si>
    <t>Basic Accessories 607</t>
  </si>
  <si>
    <t>ORD-2025-10884</t>
  </si>
  <si>
    <t>CUST-2597</t>
  </si>
  <si>
    <t>Classic Storage 211</t>
  </si>
  <si>
    <t>ORD-2025-10885</t>
  </si>
  <si>
    <t>CUST-7505</t>
  </si>
  <si>
    <t>Eco Storage 783</t>
  </si>
  <si>
    <t>ORD-2024-10886</t>
  </si>
  <si>
    <t>CUST-3446</t>
  </si>
  <si>
    <t>Pro Tables 866</t>
  </si>
  <si>
    <t>ORD-2025-10887</t>
  </si>
  <si>
    <t>CUST-3549</t>
  </si>
  <si>
    <t>Max Accessories 541</t>
  </si>
  <si>
    <t>ORD-2024-10888</t>
  </si>
  <si>
    <t>CUST-2795</t>
  </si>
  <si>
    <t>Prime Art 596</t>
  </si>
  <si>
    <t>ORD-2025-10889</t>
  </si>
  <si>
    <t>CUST-1081</t>
  </si>
  <si>
    <t>Pro Art 620</t>
  </si>
  <si>
    <t>ORD-2025-10890</t>
  </si>
  <si>
    <t>Prime Storage 806</t>
  </si>
  <si>
    <t>ORD-2024-10891</t>
  </si>
  <si>
    <t>CUST-3992</t>
  </si>
  <si>
    <t>Smart Storage 288</t>
  </si>
  <si>
    <t>ORD-2024-10892</t>
  </si>
  <si>
    <t>CUST-6647</t>
  </si>
  <si>
    <t>Elite Machines 281</t>
  </si>
  <si>
    <t>ORD-2025-10893</t>
  </si>
  <si>
    <t>CUST-5087</t>
  </si>
  <si>
    <t>Elite Copiers 221</t>
  </si>
  <si>
    <t>ORD-2024-10894</t>
  </si>
  <si>
    <t>CUST-9297</t>
  </si>
  <si>
    <t>Max Tables 291</t>
  </si>
  <si>
    <t>ORD-2024-10895</t>
  </si>
  <si>
    <t>CUST-7996</t>
  </si>
  <si>
    <t>Classic Tables 638</t>
  </si>
  <si>
    <t>ORD-2024-10896</t>
  </si>
  <si>
    <t>CUST-4117</t>
  </si>
  <si>
    <t>Basic Chairs 212</t>
  </si>
  <si>
    <t>ORD-2024-10897</t>
  </si>
  <si>
    <t>CUST-4848</t>
  </si>
  <si>
    <t>Max Copiers 121</t>
  </si>
  <si>
    <t>ORD-2025-10898</t>
  </si>
  <si>
    <t>Eco Paper 747</t>
  </si>
  <si>
    <t>ORD-2024-10899</t>
  </si>
  <si>
    <t>CUST-6046</t>
  </si>
  <si>
    <t>Classic Tables 535</t>
  </si>
  <si>
    <t>ORD-2025-10900</t>
  </si>
  <si>
    <t>CUST-3789</t>
  </si>
  <si>
    <t>Elite Chairs 971</t>
  </si>
  <si>
    <t>Rule Area</t>
  </si>
  <si>
    <t>Student-Facing Rule</t>
  </si>
  <si>
    <t>Raw file</t>
  </si>
  <si>
    <t>Do not overwrite raw_orders.xlsx. Create cleaned_orders.xlsx separately.</t>
  </si>
  <si>
    <t>Missing region</t>
  </si>
  <si>
    <t>Fill as Unknown and flag in quality report.</t>
  </si>
  <si>
    <t>Missing ship_mode</t>
  </si>
  <si>
    <t>Missing discount</t>
  </si>
  <si>
    <t>Treat as 0 only if all other sales fields are valid; otherwise flag.</t>
  </si>
  <si>
    <t>Discount</t>
  </si>
  <si>
    <t>Flag negative discounts and unusually high discounts as invalid.</t>
  </si>
  <si>
    <t>Cancelled/Failed/Refunded</t>
  </si>
  <si>
    <t>Do not include non-completed/failed/refunded records in completed-sales summaries.</t>
  </si>
  <si>
    <t>Date sequence</t>
  </si>
  <si>
    <t>Flag ship_date earlier than order_date.</t>
  </si>
  <si>
    <t>Duplicates</t>
  </si>
  <si>
    <t>Remove exact duplicate copies; flag conflicting duplicate order IDs.</t>
  </si>
  <si>
    <t>Calculated fields</t>
  </si>
  <si>
    <t>Create calculated_sales, calculated_profit, profit_margin, shipping_delay_days, order_month, order_year, and data_quality_flag.</t>
  </si>
  <si>
    <t>Documentation</t>
  </si>
  <si>
    <t>Document cleaning decisions and assumptions in cleaning_log.md.</t>
  </si>
  <si>
    <t>Unknown</t>
  </si>
  <si>
    <t>FLAG - ShipDt&gt;OrdDt</t>
  </si>
  <si>
    <t>Done</t>
  </si>
  <si>
    <t>Calculated_Profit</t>
  </si>
  <si>
    <t>Profit_margin</t>
  </si>
  <si>
    <t>calculated_sales -Created New Column AD
calculated_profit - Created New Column AE
profit_margin - Created New Column AG
shipping_delay_days - 
order_month  - Created New Column AB
order_year - Craeted New Column AC</t>
  </si>
  <si>
    <t>Highlighted Dupliacte Order_ID's</t>
  </si>
  <si>
    <t xml:space="preserve">COPIERS - Copiers
PAPER - Paper
MACHINES - Machines
LABELS - Labels
NORTH - North
EAST - East
WEST - West
COMPLETED - Completed
PENDING - Pending
CANCELLED - Cancelled
SMALL BUSINESS - Small Business
TECHNOLOGY - Technology
Office  Supplies - Office Supplies
Standard  Class - Standard Class
STANDARD CLASS - Standard Class
REPLACED Empty cells in Ship_mode column to Unknown
REPLACED Empty cells in Region column to Unknown
</t>
  </si>
  <si>
    <t>cleaned_discount</t>
  </si>
  <si>
    <t>order_month</t>
  </si>
  <si>
    <t>order_year</t>
  </si>
  <si>
    <t>shipping_delay_days</t>
  </si>
  <si>
    <t>Filled missing region cells with 'Unknown' and highlighted them in Yellow.
Created New Column AG</t>
  </si>
  <si>
    <t>Filled missing ship_mode cells with 'Unknown' and highlighted them in Yellow.
Created New Column Z to flag them.</t>
  </si>
  <si>
    <t>Replaced Missing discount cells with '0'. Highlighted in Yellow using conditional formatting</t>
  </si>
  <si>
    <t xml:space="preserve">Identified missing discount value cells and replaced them with 0.00.
Highlighted discounts with value '0' using conditional formatting.
Identified negective values using conditional formatting with condition to mark values less than 0.00.
Highlighted negative values in red using conditional formatting.
Created New Column Y.Flagged Rows with Discount above 60% and Negative Discount as Invalid Discount. 
</t>
  </si>
  <si>
    <t xml:space="preserve">
Created new Column X to capture if Ship date is greater than Order Date.</t>
  </si>
  <si>
    <t xml:space="preserve">FLAG - Negative Discount &amp; Discount above 50% </t>
  </si>
  <si>
    <t>FLAG-ShipMode_unknown</t>
  </si>
  <si>
    <t>FLAG- Region_unknown</t>
  </si>
  <si>
    <t>Comments</t>
  </si>
  <si>
    <t>Status</t>
  </si>
  <si>
    <t>Calculated_sales1
(quantity*unit_price)</t>
  </si>
  <si>
    <t>Calculated_sales2
(after applying discount)</t>
  </si>
  <si>
    <t>completed_sales_summary1</t>
  </si>
  <si>
    <t>completed_sales_summary2</t>
  </si>
  <si>
    <t>failed_payments1</t>
  </si>
  <si>
    <t>refunded_orders</t>
  </si>
  <si>
    <t>cancelled_orders</t>
  </si>
  <si>
    <t>validate_cancelled_orders</t>
  </si>
  <si>
    <t>validate_failed_payments</t>
  </si>
  <si>
    <t>validate_refunded_orders</t>
  </si>
  <si>
    <t>Sum of sales</t>
  </si>
  <si>
    <t>Sum of profit</t>
  </si>
  <si>
    <t>Row Labels</t>
  </si>
  <si>
    <t>(blank)</t>
  </si>
  <si>
    <t>Grand Total</t>
  </si>
  <si>
    <t>Count of ship_mode</t>
  </si>
  <si>
    <t>Average of Profit_margin</t>
  </si>
  <si>
    <t>Column Labels</t>
  </si>
  <si>
    <t>Count of payment_status</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</si>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</sst>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5">
    <font>
      <sz val="11"/>
      <name val="Carlito"/>
    </font>
    <font>
      <b/>
      <sz val="11"/>
      <color rgb="FFFFFFFF"/>
      <name val="Carlito"/>
    </font>
    <font>
      <sz val="11"/>
      <name val="Carlito"/>
    </font>
    <font>
      <b/>
      <sz val="10"/>
      <name val="Carlito"/>
    </font>
    <font>
      <b/>
      <sz val="11"/>
      <color theme="0"/>
      <name val="Carlito"/>
    </font>
  </fonts>
  <fills count="12">
    <fill>
      <patternFill patternType="none"/>
    </fill>
    <fill>
      <patternFill patternType="gray125"/>
    </fill>
    <fill>
      <patternFill patternType="solid">
        <fgColor rgb="FF244062"/>
      </patternFill>
    </fill>
    <fill>
      <patternFill patternType="solid">
        <fgColor rgb="FF00B050"/>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rgb="FF92D050"/>
        <bgColor indexed="64"/>
      </patternFill>
    </fill>
    <fill>
      <patternFill patternType="solid">
        <fgColor theme="8" tint="0.39997558519241921"/>
        <bgColor indexed="64"/>
      </patternFill>
    </fill>
    <fill>
      <patternFill patternType="solid">
        <fgColor rgb="FFFFC000"/>
        <bgColor indexed="64"/>
      </patternFill>
    </fill>
  </fills>
  <borders count="24">
    <border>
      <left/>
      <right/>
      <top/>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ck">
        <color auto="1"/>
      </left>
      <right style="thick">
        <color auto="1"/>
      </right>
      <top style="thick">
        <color auto="1"/>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top style="thin">
        <color auto="1"/>
      </top>
      <bottom/>
      <diagonal/>
    </border>
    <border>
      <left/>
      <right/>
      <top/>
      <bottom style="thin">
        <color auto="1"/>
      </bottom>
      <diagonal/>
    </border>
  </borders>
  <cellStyleXfs count="2">
    <xf numFmtId="0" fontId="0" fillId="0" borderId="0"/>
    <xf numFmtId="9" fontId="2" fillId="0" borderId="0" applyFont="0" applyFill="0" applyBorder="0" applyAlignment="0" applyProtection="0"/>
  </cellStyleXfs>
  <cellXfs count="91">
    <xf numFmtId="0" fontId="0" fillId="0" borderId="0" xfId="0"/>
    <xf numFmtId="0" fontId="0" fillId="0" borderId="1" xfId="0" applyBorder="1"/>
    <xf numFmtId="0" fontId="1" fillId="2" borderId="0" xfId="0" applyFont="1" applyFill="1" applyAlignment="1">
      <alignment horizontal="center" vertical="center" wrapText="1"/>
    </xf>
    <xf numFmtId="0" fontId="0" fillId="0" borderId="0" xfId="0" applyAlignment="1">
      <alignment wrapText="1"/>
    </xf>
    <xf numFmtId="164" fontId="1" fillId="2" borderId="0" xfId="0" applyNumberFormat="1" applyFont="1" applyFill="1" applyAlignment="1">
      <alignment horizontal="center" vertical="center" wrapText="1"/>
    </xf>
    <xf numFmtId="164" fontId="0" fillId="0" borderId="0" xfId="0" applyNumberFormat="1"/>
    <xf numFmtId="0" fontId="0" fillId="0" borderId="0" xfId="0" applyAlignment="1">
      <alignment vertical="top"/>
    </xf>
    <xf numFmtId="0" fontId="0" fillId="0" borderId="0" xfId="0" applyAlignment="1">
      <alignment vertical="top" wrapText="1"/>
    </xf>
    <xf numFmtId="0" fontId="0" fillId="0" borderId="3" xfId="0" applyBorder="1"/>
    <xf numFmtId="9" fontId="0" fillId="0" borderId="0" xfId="1" applyFont="1"/>
    <xf numFmtId="2" fontId="0" fillId="0" borderId="0" xfId="1" applyNumberFormat="1" applyFont="1"/>
    <xf numFmtId="2" fontId="0" fillId="0" borderId="0" xfId="0" applyNumberFormat="1"/>
    <xf numFmtId="164" fontId="1" fillId="3" borderId="0" xfId="0" applyNumberFormat="1" applyFont="1" applyFill="1" applyAlignment="1">
      <alignment horizontal="right" vertical="center" wrapText="1"/>
    </xf>
    <xf numFmtId="0" fontId="0" fillId="0" borderId="0" xfId="0" applyAlignment="1">
      <alignment horizontal="right" vertical="center"/>
    </xf>
    <xf numFmtId="164" fontId="0" fillId="0" borderId="0" xfId="0" applyNumberFormat="1" applyAlignment="1">
      <alignment horizontal="right" vertical="center"/>
    </xf>
    <xf numFmtId="0" fontId="0" fillId="4" borderId="0" xfId="0" applyFill="1"/>
    <xf numFmtId="164" fontId="0" fillId="4" borderId="0" xfId="0" applyNumberFormat="1" applyFill="1"/>
    <xf numFmtId="0" fontId="0" fillId="4" borderId="0" xfId="0" applyFill="1" applyAlignment="1">
      <alignment horizontal="right" vertical="center"/>
    </xf>
    <xf numFmtId="2" fontId="0" fillId="4" borderId="0" xfId="0" applyNumberFormat="1" applyFill="1"/>
    <xf numFmtId="0" fontId="0" fillId="4" borderId="3" xfId="0" applyFill="1" applyBorder="1"/>
    <xf numFmtId="0" fontId="0" fillId="4" borderId="1" xfId="0" applyFill="1" applyBorder="1"/>
    <xf numFmtId="9" fontId="0" fillId="4" borderId="0" xfId="1" applyFont="1" applyFill="1"/>
    <xf numFmtId="0" fontId="0" fillId="5" borderId="0" xfId="0" applyFill="1"/>
    <xf numFmtId="2" fontId="1" fillId="3" borderId="0" xfId="0" applyNumberFormat="1" applyFont="1" applyFill="1" applyAlignment="1">
      <alignment horizontal="center" vertical="center" wrapText="1"/>
    </xf>
    <xf numFmtId="0" fontId="0" fillId="6" borderId="2" xfId="0" applyFill="1" applyBorder="1"/>
    <xf numFmtId="0" fontId="0" fillId="6" borderId="3" xfId="0" applyFill="1" applyBorder="1"/>
    <xf numFmtId="0" fontId="3" fillId="6" borderId="2" xfId="0" applyFont="1" applyFill="1" applyBorder="1"/>
    <xf numFmtId="0" fontId="3" fillId="6" borderId="2" xfId="0" applyFont="1" applyFill="1" applyBorder="1" applyAlignment="1">
      <alignment wrapText="1"/>
    </xf>
    <xf numFmtId="0" fontId="3" fillId="6" borderId="3" xfId="0" applyFont="1" applyFill="1" applyBorder="1"/>
    <xf numFmtId="9" fontId="3" fillId="6" borderId="3" xfId="1" applyFont="1" applyFill="1" applyBorder="1"/>
    <xf numFmtId="0" fontId="1" fillId="2" borderId="0" xfId="0" applyFont="1" applyFill="1" applyAlignment="1">
      <alignment horizontal="center" vertical="top" wrapText="1"/>
    </xf>
    <xf numFmtId="0" fontId="4" fillId="7" borderId="0" xfId="0" applyFont="1" applyFill="1" applyAlignment="1">
      <alignment vertical="top"/>
    </xf>
    <xf numFmtId="0" fontId="3" fillId="6" borderId="3" xfId="0" applyFont="1" applyFill="1" applyBorder="1" applyAlignment="1">
      <alignment wrapText="1"/>
    </xf>
    <xf numFmtId="2" fontId="3" fillId="6" borderId="3" xfId="0" applyNumberFormat="1" applyFont="1" applyFill="1" applyBorder="1" applyAlignment="1">
      <alignment wrapText="1"/>
    </xf>
    <xf numFmtId="2" fontId="3" fillId="6" borderId="3" xfId="0" applyNumberFormat="1" applyFont="1" applyFill="1" applyBorder="1"/>
    <xf numFmtId="0" fontId="0" fillId="6" borderId="0" xfId="0" applyFill="1"/>
    <xf numFmtId="0" fontId="0" fillId="6" borderId="0" xfId="0" applyFill="1" applyAlignment="1">
      <alignment wrapText="1"/>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8" borderId="0" xfId="0" applyFill="1"/>
    <xf numFmtId="0" fontId="0" fillId="8" borderId="0" xfId="0" applyFill="1" applyAlignment="1">
      <alignment horizontal="left"/>
    </xf>
    <xf numFmtId="10" fontId="3" fillId="6" borderId="3" xfId="1" applyNumberFormat="1" applyFont="1" applyFill="1" applyBorder="1"/>
    <xf numFmtId="10" fontId="0" fillId="0" borderId="0" xfId="1" applyNumberFormat="1" applyFont="1"/>
    <xf numFmtId="10" fontId="0" fillId="4" borderId="0" xfId="1" applyNumberFormat="1" applyFont="1" applyFill="1"/>
    <xf numFmtId="0" fontId="0" fillId="0" borderId="7" xfId="0" applyBorder="1"/>
    <xf numFmtId="0" fontId="0" fillId="0" borderId="8" xfId="0" applyBorder="1" applyAlignment="1">
      <alignment horizontal="left"/>
    </xf>
    <xf numFmtId="0" fontId="0" fillId="0" borderId="1" xfId="0" applyNumberFormat="1" applyBorder="1"/>
    <xf numFmtId="0" fontId="0" fillId="0" borderId="9" xfId="0" applyNumberFormat="1" applyBorder="1"/>
    <xf numFmtId="0" fontId="0" fillId="0" borderId="12" xfId="0" applyNumberFormat="1" applyBorder="1"/>
    <xf numFmtId="0" fontId="0" fillId="10" borderId="13" xfId="0" applyFill="1" applyBorder="1"/>
    <xf numFmtId="0" fontId="0" fillId="10" borderId="14" xfId="0" applyFill="1" applyBorder="1"/>
    <xf numFmtId="0" fontId="0" fillId="0" borderId="15" xfId="0" applyBorder="1" applyAlignment="1">
      <alignment horizontal="left"/>
    </xf>
    <xf numFmtId="10" fontId="0" fillId="0" borderId="16" xfId="0" applyNumberFormat="1" applyBorder="1"/>
    <xf numFmtId="0" fontId="0" fillId="10" borderId="17" xfId="0" applyFill="1" applyBorder="1" applyAlignment="1">
      <alignment horizontal="left"/>
    </xf>
    <xf numFmtId="10" fontId="0" fillId="10" borderId="18" xfId="0" applyNumberFormat="1" applyFill="1" applyBorder="1"/>
    <xf numFmtId="0" fontId="0" fillId="5" borderId="5" xfId="0" applyFill="1" applyBorder="1"/>
    <xf numFmtId="0" fontId="0" fillId="5" borderId="7" xfId="0" applyFill="1" applyBorder="1"/>
    <xf numFmtId="0" fontId="0" fillId="5" borderId="10" xfId="0" applyFill="1" applyBorder="1" applyAlignment="1">
      <alignment horizontal="left"/>
    </xf>
    <xf numFmtId="0" fontId="0" fillId="5" borderId="12" xfId="0" applyNumberFormat="1" applyFill="1" applyBorder="1"/>
    <xf numFmtId="0" fontId="0" fillId="0" borderId="5" xfId="0" applyBorder="1"/>
    <xf numFmtId="0" fontId="0" fillId="0" borderId="8" xfId="0" applyNumberFormat="1" applyBorder="1"/>
    <xf numFmtId="0" fontId="0" fillId="0" borderId="10" xfId="0" applyNumberFormat="1" applyBorder="1"/>
    <xf numFmtId="0" fontId="0" fillId="9" borderId="13" xfId="0" applyFill="1" applyBorder="1"/>
    <xf numFmtId="0" fontId="0" fillId="9" borderId="14" xfId="0" applyFill="1" applyBorder="1"/>
    <xf numFmtId="0" fontId="0" fillId="0" borderId="15" xfId="0" applyNumberFormat="1" applyBorder="1"/>
    <xf numFmtId="0" fontId="0" fillId="0" borderId="16" xfId="0" applyNumberFormat="1" applyBorder="1"/>
    <xf numFmtId="0" fontId="0" fillId="8" borderId="17" xfId="0" applyNumberFormat="1" applyFill="1" applyBorder="1"/>
    <xf numFmtId="0" fontId="0" fillId="8" borderId="18" xfId="0" applyNumberFormat="1" applyFill="1" applyBorder="1"/>
    <xf numFmtId="0" fontId="0" fillId="0" borderId="5" xfId="0" applyNumberFormat="1" applyBorder="1"/>
    <xf numFmtId="0" fontId="0" fillId="0" borderId="6" xfId="0" applyNumberFormat="1" applyBorder="1"/>
    <xf numFmtId="0" fontId="0" fillId="0" borderId="7" xfId="0" applyNumberFormat="1" applyBorder="1"/>
    <xf numFmtId="0" fontId="0" fillId="0" borderId="4" xfId="0" applyBorder="1" applyAlignment="1">
      <alignment horizontal="left"/>
    </xf>
    <xf numFmtId="0" fontId="0" fillId="11" borderId="4" xfId="0" applyFill="1" applyBorder="1"/>
    <xf numFmtId="0" fontId="0" fillId="11" borderId="19" xfId="0" applyFill="1" applyBorder="1"/>
    <xf numFmtId="0" fontId="0" fillId="11" borderId="20" xfId="0" applyFill="1" applyBorder="1"/>
    <xf numFmtId="0" fontId="0" fillId="11" borderId="21" xfId="0" applyFill="1" applyBorder="1"/>
    <xf numFmtId="0" fontId="0" fillId="11" borderId="4" xfId="0" applyFill="1" applyBorder="1" applyAlignment="1">
      <alignment horizontal="left"/>
    </xf>
    <xf numFmtId="0" fontId="0" fillId="11" borderId="10" xfId="0" applyNumberFormat="1" applyFill="1" applyBorder="1"/>
    <xf numFmtId="0" fontId="0" fillId="11" borderId="11" xfId="0" applyNumberFormat="1" applyFill="1" applyBorder="1"/>
    <xf numFmtId="0" fontId="0" fillId="11" borderId="12" xfId="0" applyNumberFormat="1" applyFill="1" applyBorder="1"/>
    <xf numFmtId="0" fontId="0" fillId="11" borderId="13" xfId="0" applyFill="1" applyBorder="1"/>
    <xf numFmtId="0" fontId="0" fillId="11" borderId="22" xfId="0" applyFill="1" applyBorder="1"/>
    <xf numFmtId="0" fontId="0" fillId="11" borderId="14" xfId="0" applyFill="1" applyBorder="1"/>
    <xf numFmtId="0" fontId="0" fillId="11" borderId="15" xfId="0" applyFill="1" applyBorder="1"/>
    <xf numFmtId="0" fontId="0" fillId="11" borderId="1" xfId="0" applyFill="1" applyBorder="1"/>
    <xf numFmtId="0" fontId="0" fillId="11" borderId="16" xfId="0" applyFill="1" applyBorder="1"/>
    <xf numFmtId="0" fontId="0" fillId="11" borderId="17" xfId="0" applyFill="1" applyBorder="1" applyAlignment="1">
      <alignment horizontal="left"/>
    </xf>
    <xf numFmtId="0" fontId="0" fillId="11" borderId="23" xfId="0" applyNumberFormat="1" applyFill="1" applyBorder="1"/>
    <xf numFmtId="0" fontId="0" fillId="11" borderId="18" xfId="0" applyNumberFormat="1" applyFill="1" applyBorder="1"/>
  </cellXfs>
  <cellStyles count="2">
    <cellStyle name="Normal" xfId="0" builtinId="0"/>
    <cellStyle name="Percent" xfId="1" builtinId="5"/>
  </cellStyles>
  <dxfs count="153">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border>
        <left style="thin">
          <color auto="1"/>
        </left>
        <right style="thin">
          <color auto="1"/>
        </right>
        <top style="thin">
          <color auto="1"/>
        </top>
        <bottom style="thin">
          <color auto="1"/>
        </bottom>
      </border>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rgb="FF92D050"/>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patternType="solid">
          <bgColor theme="9" tint="0.39997558519241921"/>
        </patternFill>
      </fill>
    </dxf>
    <dxf>
      <fill>
        <patternFill patternType="solid">
          <bgColor theme="9"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etha Brahmanlapalli" refreshedDate="46195.923969328702" createdVersion="8" refreshedVersion="8" minRefreshableVersion="3" recordCount="933" xr:uid="{B55CAB49-B256-4F0C-8803-B4C83263BA58}">
  <cacheSource type="worksheet">
    <worksheetSource ref="A1:AI1048576" sheet="cleaned_data"/>
  </cacheSource>
  <cacheFields count="35">
    <cacheField name="order_id" numFmtId="0">
      <sharedItems containsBlank="1" count="901">
        <s v="ORD-2024-10001"/>
        <s v="ORD-2024-10002"/>
        <s v="ORD-2024-10003"/>
        <s v="ORD-2024-10004"/>
        <s v="ORD-2025-10005"/>
        <s v="ORD-2024-10006"/>
        <s v="ORD-2025-10007"/>
        <s v="ORD-2025-10008"/>
        <s v="ORD-2024-10009"/>
        <s v="ORD-2025-10010"/>
        <s v="ORD-2025-10011"/>
        <s v="ORD-2024-10012"/>
        <s v="ORD-2024-10013"/>
        <s v="ORD-2025-10014"/>
        <s v="ORD-2024-10015"/>
        <s v="ORD-2024-10016"/>
        <s v="ORD-2024-10017"/>
        <s v="ORD-2024-10018"/>
        <s v="ORD-2025-10019"/>
        <s v="ORD-2024-10020"/>
        <s v="ORD-2025-10021"/>
        <s v="ORD-2025-10022"/>
        <s v="ORD-2025-10023"/>
        <s v="ORD-2025-10024"/>
        <s v="ORD-2024-10025"/>
        <s v="ORD-2024-10026"/>
        <s v="ORD-2024-10027"/>
        <s v="ORD-2025-10028"/>
        <s v="ORD-2024-10029"/>
        <s v="ORD-2025-10030"/>
        <s v="ORD-2024-10031"/>
        <s v="ORD-2025-10032"/>
        <s v="ORD-2024-10033"/>
        <s v="ORD-2024-10034"/>
        <s v="ORD-2025-10035"/>
        <s v="ORD-2024-10036"/>
        <s v="ORD-2024-10037"/>
        <s v="ORD-2025-10038"/>
        <s v="ORD-2024-10039"/>
        <s v="ORD-2024-10040"/>
        <s v="ORD-2024-10041"/>
        <s v="ORD-2024-10042"/>
        <s v="ORD-2025-10043"/>
        <s v="ORD-2024-10044"/>
        <s v="ORD-2024-10045"/>
        <s v="ORD-2024-10046"/>
        <s v="ORD-2024-10047"/>
        <s v="ORD-2024-10048"/>
        <s v="ORD-2025-10049"/>
        <s v="ORD-2024-10050"/>
        <s v="ORD-2025-10051"/>
        <s v="ORD-2024-10052"/>
        <s v="ORD-2024-10053"/>
        <s v="ORD-2025-10054"/>
        <s v="ORD-2025-10055"/>
        <s v="ORD-2025-10056"/>
        <s v="ORD-2025-10057"/>
        <s v="ORD-2024-10058"/>
        <s v="ORD-2024-10059"/>
        <s v="ORD-2024-10060"/>
        <s v="ORD-2024-10061"/>
        <s v="ORD-2024-10062"/>
        <s v="ORD-2024-10063"/>
        <s v="ORD-2024-10064"/>
        <s v="ORD-2024-10065"/>
        <s v="ORD-2024-10066"/>
        <s v="ORD-2025-10067"/>
        <s v="ORD-2025-10068"/>
        <s v="ORD-2024-10069"/>
        <s v="ORD-2024-10070"/>
        <s v="ORD-2025-10071"/>
        <s v="ORD-2025-10072"/>
        <s v="ORD-2024-10073"/>
        <s v="ORD-2025-10074"/>
        <s v="ORD-2025-10075"/>
        <s v="ORD-2025-10076"/>
        <s v="ORD-2024-10077"/>
        <s v="ORD-2025-10078"/>
        <s v="ORD-2025-10079"/>
        <s v="ORD-2025-10080"/>
        <s v="ORD-2024-10081"/>
        <s v="ORD-2025-10082"/>
        <s v="ORD-2024-10083"/>
        <s v="ORD-2024-10084"/>
        <s v="ORD-2024-10085"/>
        <s v="ORD-2024-10086"/>
        <s v="ORD-2024-10087"/>
        <s v="ORD-2024-10088"/>
        <s v="ORD-2024-10089"/>
        <s v="ORD-2024-10090"/>
        <s v="ORD-2025-10091"/>
        <s v="ORD-2025-10092"/>
        <s v="ORD-2025-10093"/>
        <s v="ORD-2024-10094"/>
        <s v="ORD-2024-10095"/>
        <s v="ORD-2025-10096"/>
        <s v="ORD-2024-10097"/>
        <s v="ORD-2025-10098"/>
        <s v="ORD-2024-10099"/>
        <s v="ORD-2025-10100"/>
        <s v="ORD-2025-10101"/>
        <s v="ORD-2024-10102"/>
        <s v="ORD-2025-10103"/>
        <s v="ORD-2025-10104"/>
        <s v="ORD-2025-10105"/>
        <s v="ORD-2024-10106"/>
        <s v="ORD-2024-10107"/>
        <s v="ORD-2024-10108"/>
        <s v="ORD-2024-10109"/>
        <s v="ORD-2025-10110"/>
        <s v="ORD-2024-10111"/>
        <s v="ORD-2025-10112"/>
        <s v="ORD-2024-10113"/>
        <s v="ORD-2024-10114"/>
        <s v="ORD-2024-10115"/>
        <s v="ORD-2024-10116"/>
        <s v="ORD-2025-10117"/>
        <s v="ORD-2024-10118"/>
        <s v="ORD-2024-10119"/>
        <s v="ORD-2024-10120"/>
        <s v="ORD-2024-10121"/>
        <s v="ORD-2025-10122"/>
        <s v="ORD-2024-10123"/>
        <s v="ORD-2024-10124"/>
        <s v="ORD-2024-10125"/>
        <s v="ORD-2025-10126"/>
        <s v="ORD-2025-10127"/>
        <s v="ORD-2025-10128"/>
        <s v="ORD-2024-10129"/>
        <s v="ORD-2024-10130"/>
        <s v="ORD-2024-10131"/>
        <s v="ORD-2025-10132"/>
        <s v="ORD-2024-10133"/>
        <s v="ORD-2024-10134"/>
        <s v="ORD-2025-10135"/>
        <s v="ORD-2025-10136"/>
        <s v="ORD-2025-10137"/>
        <s v="ORD-2025-10138"/>
        <s v="ORD-2024-10139"/>
        <s v="ORD-2025-10140"/>
        <s v="ORD-2024-10141"/>
        <s v="ORD-2024-10142"/>
        <s v="ORD-2024-10143"/>
        <s v="ORD-2024-10144"/>
        <s v="ORD-2024-10145"/>
        <s v="ORD-2025-10146"/>
        <s v="ORD-2025-10147"/>
        <s v="ORD-2024-10148"/>
        <s v="ORD-2025-10149"/>
        <s v="ORD-2024-10150"/>
        <s v="ORD-2024-10151"/>
        <s v="ORD-2024-10152"/>
        <s v="ORD-2024-10153"/>
        <s v="ORD-2025-10154"/>
        <s v="ORD-2024-10155"/>
        <s v="ORD-2025-10156"/>
        <s v="ORD-2025-10157"/>
        <s v="ORD-2024-10158"/>
        <s v="ORD-2024-10159"/>
        <s v="ORD-2025-10160"/>
        <s v="ORD-2025-10161"/>
        <s v="ORD-2025-10162"/>
        <s v="ORD-2024-10163"/>
        <s v="ORD-2025-10164"/>
        <s v="ORD-2025-10165"/>
        <s v="ORD-2024-10166"/>
        <s v="ORD-2025-10167"/>
        <s v="ORD-2025-10168"/>
        <s v="ORD-2025-10169"/>
        <s v="ORD-2025-10170"/>
        <s v="ORD-2025-10171"/>
        <s v="ORD-2025-10172"/>
        <s v="ORD-2025-10173"/>
        <s v="ORD-2024-10174"/>
        <s v="ORD-2025-10175"/>
        <s v="ORD-2024-10176"/>
        <s v="ORD-2025-10177"/>
        <s v="ORD-2024-10178"/>
        <s v="ORD-2024-10179"/>
        <s v="ORD-2024-10180"/>
        <s v="ORD-2024-10181"/>
        <s v="ORD-2025-10182"/>
        <s v="ORD-2024-10183"/>
        <s v="ORD-2025-10184"/>
        <s v="ORD-2024-10185"/>
        <s v="ORD-2024-10186"/>
        <s v="ORD-2024-10187"/>
        <s v="ORD-2025-10188"/>
        <s v="ORD-2025-10189"/>
        <s v="ORD-2025-10190"/>
        <s v="ORD-2025-10191"/>
        <s v="ORD-2024-10192"/>
        <s v="ORD-2024-10193"/>
        <s v="ORD-2024-10194"/>
        <s v="ORD-2025-10195"/>
        <s v="ORD-2025-10196"/>
        <s v="ORD-2024-10197"/>
        <s v="ORD-2025-10198"/>
        <s v="ORD-2024-10199"/>
        <s v="ORD-2024-10200"/>
        <s v="ORD-2025-10201"/>
        <s v="ORD-2025-10202"/>
        <s v="ORD-2025-10203"/>
        <s v="ORD-2024-10204"/>
        <s v="ORD-2025-10205"/>
        <s v="ORD-2025-10206"/>
        <s v="ORD-2025-10207"/>
        <s v="ORD-2024-10208"/>
        <s v="ORD-2025-10209"/>
        <s v="ORD-2025-10210"/>
        <s v="ORD-2024-10211"/>
        <s v="ORD-2024-10212"/>
        <s v="ORD-2024-10213"/>
        <s v="ORD-2024-10214"/>
        <s v="ORD-2024-10215"/>
        <s v="ORD-2024-10216"/>
        <s v="ORD-2025-10217"/>
        <s v="ORD-2025-10218"/>
        <s v="ORD-2025-10219"/>
        <s v="ORD-2024-10220"/>
        <s v="ORD-2024-10221"/>
        <s v="ORD-2025-10222"/>
        <s v="ORD-2025-10223"/>
        <s v="ORD-2025-10224"/>
        <s v="ORD-2025-10225"/>
        <s v="ORD-2024-10226"/>
        <s v="ORD-2025-10227"/>
        <s v="ORD-2024-10228"/>
        <s v="ORD-2024-10229"/>
        <s v="ORD-2025-10230"/>
        <s v="ORD-2024-10231"/>
        <s v="ORD-2024-10232"/>
        <s v="ORD-2025-10233"/>
        <s v="ORD-2024-10234"/>
        <s v="ORD-2024-10235"/>
        <s v="ORD-2024-10236"/>
        <s v="ORD-2024-10237"/>
        <s v="ORD-2024-10238"/>
        <s v="ORD-2024-10239"/>
        <s v="ORD-2024-10240"/>
        <s v="ORD-2024-10241"/>
        <s v="ORD-2025-10242"/>
        <s v="ORD-2025-10243"/>
        <s v="ORD-2025-10244"/>
        <s v="ORD-2024-10245"/>
        <s v="ORD-2024-10246"/>
        <s v="ORD-2024-10247"/>
        <s v="ORD-2024-10248"/>
        <s v="ORD-2024-10249"/>
        <s v="ORD-2025-10250"/>
        <s v="ORD-2024-10251"/>
        <s v="ORD-2025-10252"/>
        <s v="ORD-2025-10253"/>
        <s v="ORD-2024-10254"/>
        <s v="ORD-2025-10255"/>
        <s v="ORD-2025-10256"/>
        <s v="ORD-2024-10257"/>
        <s v="ORD-2025-10258"/>
        <s v="ORD-2024-10259"/>
        <s v="ORD-2024-10260"/>
        <s v="ORD-2025-10261"/>
        <s v="ORD-2025-10262"/>
        <s v="ORD-2025-10263"/>
        <s v="ORD-2025-10264"/>
        <s v="ORD-2024-10265"/>
        <s v="ORD-2024-10266"/>
        <s v="ORD-2025-10267"/>
        <s v="ORD-2025-10268"/>
        <s v="ORD-2025-10269"/>
        <s v="ORD-2025-10270"/>
        <s v="ORD-2024-10271"/>
        <s v="ORD-2024-10272"/>
        <s v="ORD-2024-10273"/>
        <s v="ORD-2025-10274"/>
        <s v="ORD-2024-10275"/>
        <s v="ORD-2024-10276"/>
        <s v="ORD-2024-10277"/>
        <s v="ORD-2025-10278"/>
        <s v="ORD-2025-10279"/>
        <s v="ORD-2024-10280"/>
        <s v="ORD-2024-10281"/>
        <s v="ORD-2025-10282"/>
        <s v="ORD-2024-10283"/>
        <s v="ORD-2025-10284"/>
        <s v="ORD-2024-10285"/>
        <s v="ORD-2025-10286"/>
        <s v="ORD-2024-10287"/>
        <s v="ORD-2024-10288"/>
        <s v="ORD-2024-10289"/>
        <s v="ORD-2025-10290"/>
        <s v="ORD-2025-10291"/>
        <s v="ORD-2024-10292"/>
        <s v="ORD-2025-10293"/>
        <s v="ORD-2024-10294"/>
        <s v="ORD-2025-10295"/>
        <s v="ORD-2025-10296"/>
        <s v="ORD-2025-10297"/>
        <s v="ORD-2024-10298"/>
        <s v="ORD-2025-10299"/>
        <s v="ORD-2024-10300"/>
        <s v="ORD-2024-10301"/>
        <s v="ORD-2025-10302"/>
        <s v="ORD-2025-10303"/>
        <s v="ORD-2024-10304"/>
        <s v="ORD-2024-10305"/>
        <s v="ORD-2024-10306"/>
        <s v="ORD-2025-10307"/>
        <s v="ORD-2025-10308"/>
        <s v="ORD-2025-10309"/>
        <s v="ORD-2024-10310"/>
        <s v="ORD-2024-10311"/>
        <s v="ORD-2024-10312"/>
        <s v="ORD-2024-10313"/>
        <s v="ORD-2025-10314"/>
        <s v="ORD-2025-10315"/>
        <s v="ORD-2024-10316"/>
        <s v="ORD-2024-10317"/>
        <s v="ORD-2025-10318"/>
        <s v="ORD-2024-10319"/>
        <s v="ORD-2024-10320"/>
        <s v="ORD-2024-10321"/>
        <s v="ORD-2024-10322"/>
        <s v="ORD-2024-10323"/>
        <s v="ORD-2024-10324"/>
        <s v="ORD-2025-10325"/>
        <s v="ORD-2025-10326"/>
        <s v="ORD-2025-10327"/>
        <s v="ORD-2024-10328"/>
        <s v="ORD-2025-10329"/>
        <s v="ORD-2025-10330"/>
        <s v="ORD-2024-10331"/>
        <s v="ORD-2024-10332"/>
        <s v="ORD-2025-10333"/>
        <s v="ORD-2025-10334"/>
        <s v="ORD-2024-10335"/>
        <s v="ORD-2025-10336"/>
        <s v="ORD-2024-10337"/>
        <s v="ORD-2024-10338"/>
        <s v="ORD-2024-10339"/>
        <s v="ORD-2025-10340"/>
        <s v="ORD-2024-10341"/>
        <s v="ORD-2025-10342"/>
        <s v="ORD-2025-10343"/>
        <s v="ORD-2025-10344"/>
        <s v="ORD-2024-10345"/>
        <s v="ORD-2024-10346"/>
        <s v="ORD-2025-10347"/>
        <s v="ORD-2024-10348"/>
        <s v="ORD-2024-10349"/>
        <s v="ORD-2025-10350"/>
        <s v="ORD-2024-10351"/>
        <s v="ORD-2025-10352"/>
        <s v="ORD-2025-10353"/>
        <s v="ORD-2025-10354"/>
        <s v="ORD-2024-10355"/>
        <s v="ORD-2024-10356"/>
        <s v="ORD-2025-10357"/>
        <s v="ORD-2025-10358"/>
        <s v="ORD-2025-10359"/>
        <s v="ORD-2024-10360"/>
        <s v="ORD-2024-10361"/>
        <s v="ORD-2025-10362"/>
        <s v="ORD-2024-10363"/>
        <s v="ORD-2025-10364"/>
        <s v="ORD-2025-10365"/>
        <s v="ORD-2024-10366"/>
        <s v="ORD-2025-10367"/>
        <s v="ORD-2024-10368"/>
        <s v="ORD-2025-10369"/>
        <s v="ORD-2025-10370"/>
        <s v="ORD-2024-10371"/>
        <s v="ORD-2024-10372"/>
        <s v="ORD-2025-10373"/>
        <s v="ORD-2025-10374"/>
        <s v="ORD-2025-10375"/>
        <s v="ORD-2024-10376"/>
        <s v="ORD-2024-10377"/>
        <s v="ORD-2025-10378"/>
        <s v="ORD-2025-10379"/>
        <s v="ORD-2024-10380"/>
        <s v="ORD-2024-10381"/>
        <s v="ORD-2025-10382"/>
        <s v="ORD-2025-10383"/>
        <s v="ORD-2025-10384"/>
        <s v="ORD-2024-10385"/>
        <s v="ORD-2025-10386"/>
        <s v="ORD-2025-10387"/>
        <s v="ORD-2025-10388"/>
        <s v="ORD-2024-10389"/>
        <s v="ORD-2024-10390"/>
        <s v="ORD-2024-10391"/>
        <s v="ORD-2025-10392"/>
        <s v="ORD-2024-10393"/>
        <s v="ORD-2024-10394"/>
        <s v="ORD-2024-10395"/>
        <s v="ORD-2024-10396"/>
        <s v="ORD-2025-10397"/>
        <s v="ORD-2025-10398"/>
        <s v="ORD-2024-10399"/>
        <s v="ORD-2025-10400"/>
        <s v="ORD-2025-10401"/>
        <s v="ORD-2025-10402"/>
        <s v="ORD-2024-10403"/>
        <s v="ORD-2024-10404"/>
        <s v="ORD-2024-10405"/>
        <s v="ORD-2024-10406"/>
        <s v="ORD-2025-10407"/>
        <s v="ORD-2024-10408"/>
        <s v="ORD-2025-10409"/>
        <s v="ORD-2025-10410"/>
        <s v="ORD-2024-10411"/>
        <s v="ORD-2025-10412"/>
        <s v="ORD-2024-10413"/>
        <s v="ORD-2025-10414"/>
        <s v="ORD-2024-10415"/>
        <s v="ORD-2024-10416"/>
        <s v="ORD-2025-10417"/>
        <s v="ORD-2025-10418"/>
        <s v="ORD-2024-10419"/>
        <s v="ORD-2025-10420"/>
        <s v="ORD-2025-10421"/>
        <s v="ORD-2025-10422"/>
        <s v="ORD-2025-10423"/>
        <s v="ORD-2024-10424"/>
        <s v="ORD-2024-10425"/>
        <s v="ORD-2024-10426"/>
        <s v="ORD-2024-10427"/>
        <s v="ORD-2025-10428"/>
        <s v="ORD-2025-10429"/>
        <s v="ORD-2025-10430"/>
        <s v="ORD-2024-10431"/>
        <s v="ORD-2024-10432"/>
        <s v="ORD-2024-10433"/>
        <s v="ORD-2024-10434"/>
        <s v="ORD-2025-10435"/>
        <s v="ORD-2025-10436"/>
        <s v="ORD-2024-10437"/>
        <s v="ORD-2024-10438"/>
        <s v="ORD-2025-10439"/>
        <s v="ORD-2025-10440"/>
        <s v="ORD-2024-10441"/>
        <s v="ORD-2024-10442"/>
        <s v="ORD-2025-10443"/>
        <s v="ORD-2024-10444"/>
        <s v="ORD-2025-10445"/>
        <s v="ORD-2024-10446"/>
        <s v="ORD-2025-10447"/>
        <s v="ORD-2025-10448"/>
        <s v="ORD-2024-10449"/>
        <s v="ORD-2024-10450"/>
        <s v="ORD-2025-10451"/>
        <s v="ORD-2024-10452"/>
        <s v="ORD-2024-10453"/>
        <s v="ORD-2025-10454"/>
        <s v="ORD-2025-10455"/>
        <s v="ORD-2024-10456"/>
        <s v="ORD-2024-10457"/>
        <s v="ORD-2024-10458"/>
        <s v="ORD-2024-10459"/>
        <s v="ORD-2024-10460"/>
        <s v="ORD-2025-10461"/>
        <s v="ORD-2025-10462"/>
        <s v="ORD-2024-10463"/>
        <s v="ORD-2025-10464"/>
        <s v="ORD-2025-10465"/>
        <s v="ORD-2024-10466"/>
        <s v="ORD-2024-10467"/>
        <s v="ORD-2024-10468"/>
        <s v="ORD-2025-10469"/>
        <s v="ORD-2024-10470"/>
        <s v="ORD-2024-10471"/>
        <s v="ORD-2024-10472"/>
        <s v="ORD-2024-10473"/>
        <s v="ORD-2024-10474"/>
        <s v="ORD-2024-10475"/>
        <s v="ORD-2025-10476"/>
        <s v="ORD-2024-10477"/>
        <s v="ORD-2025-10478"/>
        <s v="ORD-2024-10479"/>
        <s v="ORD-2024-10480"/>
        <s v="ORD-2025-10481"/>
        <s v="ORD-2025-10482"/>
        <s v="ORD-2024-10483"/>
        <s v="ORD-2024-10484"/>
        <s v="ORD-2024-10485"/>
        <s v="ORD-2025-10486"/>
        <s v="ORD-2025-10487"/>
        <s v="ORD-2025-10488"/>
        <s v="ORD-2024-10489"/>
        <s v="ORD-2024-10490"/>
        <s v="ORD-2024-10491"/>
        <s v="ORD-2025-10492"/>
        <s v="ORD-2025-10493"/>
        <s v="ORD-2025-10494"/>
        <s v="ORD-2024-10495"/>
        <s v="ORD-2024-10496"/>
        <s v="ORD-2025-10497"/>
        <s v="ORD-2024-10498"/>
        <s v="ORD-2025-10499"/>
        <s v="ORD-2024-10500"/>
        <s v="ORD-2024-10501"/>
        <s v="ORD-2024-10502"/>
        <s v="ORD-2024-10503"/>
        <s v="ORD-2024-10504"/>
        <s v="ORD-2025-10505"/>
        <s v="ORD-2024-10506"/>
        <s v="ORD-2024-10507"/>
        <s v="ORD-2025-10508"/>
        <s v="ORD-2024-10509"/>
        <s v="ORD-2025-10510"/>
        <s v="ORD-2024-10511"/>
        <s v="ORD-2024-10512"/>
        <s v="ORD-2025-10513"/>
        <s v="ORD-2025-10514"/>
        <s v="ORD-2024-10515"/>
        <s v="ORD-2025-10516"/>
        <s v="ORD-2024-10517"/>
        <s v="ORD-2025-10518"/>
        <s v="ORD-2025-10519"/>
        <s v="ORD-2025-10520"/>
        <s v="ORD-2024-10521"/>
        <s v="ORD-2025-10522"/>
        <s v="ORD-2025-10523"/>
        <s v="ORD-2024-10524"/>
        <s v="ORD-2024-10525"/>
        <s v="ORD-2024-10526"/>
        <s v="ORD-2025-10527"/>
        <s v="ORD-2025-10528"/>
        <s v="ORD-2024-10529"/>
        <s v="ORD-2024-10530"/>
        <s v="ORD-2025-10531"/>
        <s v="ORD-2024-10532"/>
        <s v="ORD-2025-10533"/>
        <s v="ORD-2024-10534"/>
        <s v="ORD-2025-10535"/>
        <s v="ORD-2024-10536"/>
        <s v="ORD-2025-10537"/>
        <s v="ORD-2024-10538"/>
        <s v="ORD-2024-10539"/>
        <s v="ORD-2025-10540"/>
        <s v="ORD-2024-10541"/>
        <s v="ORD-2025-10542"/>
        <s v="ORD-2024-10543"/>
        <s v="ORD-2024-10544"/>
        <s v="ORD-2025-10545"/>
        <s v="ORD-2024-10546"/>
        <s v="ORD-2025-10547"/>
        <s v="ORD-2024-10548"/>
        <s v="ORD-2024-10549"/>
        <s v="ORD-2025-10550"/>
        <s v="ORD-2024-10551"/>
        <s v="ORD-2024-10552"/>
        <s v="ORD-2025-10553"/>
        <s v="ORD-2025-10554"/>
        <s v="ORD-2024-10555"/>
        <s v="ORD-2025-10556"/>
        <s v="ORD-2024-10557"/>
        <s v="ORD-2024-10558"/>
        <s v="ORD-2025-10559"/>
        <s v="ORD-2025-10560"/>
        <s v="ORD-2024-10561"/>
        <s v="ORD-2025-10562"/>
        <s v="ORD-2024-10563"/>
        <s v="ORD-2024-10564"/>
        <s v="ORD-2024-10565"/>
        <s v="ORD-2025-10566"/>
        <s v="ORD-2024-10567"/>
        <s v="ORD-2024-10568"/>
        <s v="ORD-2024-10569"/>
        <s v="ORD-2025-10570"/>
        <s v="ORD-2025-10571"/>
        <s v="ORD-2025-10572"/>
        <s v="ORD-2024-10573"/>
        <s v="ORD-2025-10574"/>
        <s v="ORD-2024-10575"/>
        <s v="ORD-2025-10576"/>
        <s v="ORD-2024-10577"/>
        <s v="ORD-2025-10578"/>
        <s v="ORD-2024-10579"/>
        <s v="ORD-2024-10580"/>
        <s v="ORD-2025-10581"/>
        <s v="ORD-2025-10582"/>
        <s v="ORD-2024-10583"/>
        <s v="ORD-2024-10584"/>
        <s v="ORD-2024-10585"/>
        <s v="ORD-2025-10586"/>
        <s v="ORD-2025-10587"/>
        <s v="ORD-2025-10588"/>
        <s v="ORD-2025-10589"/>
        <s v="ORD-2024-10590"/>
        <s v="ORD-2024-10591"/>
        <s v="ORD-2024-10592"/>
        <s v="ORD-2024-10593"/>
        <s v="ORD-2025-10594"/>
        <s v="ORD-2024-10595"/>
        <s v="ORD-2025-10596"/>
        <s v="ORD-2024-10597"/>
        <s v="ORD-2025-10598"/>
        <s v="ORD-2024-10599"/>
        <s v="ORD-2024-10600"/>
        <s v="ORD-2025-10601"/>
        <s v="ORD-2024-10602"/>
        <s v="ORD-2024-10603"/>
        <s v="ORD-2025-10604"/>
        <s v="ORD-2025-10605"/>
        <s v="ORD-2025-10606"/>
        <s v="ORD-2025-10607"/>
        <s v="ORD-2025-10608"/>
        <s v="ORD-2024-10609"/>
        <s v="ORD-2025-10610"/>
        <s v="ORD-2024-10611"/>
        <s v="ORD-2025-10612"/>
        <s v="ORD-2025-10613"/>
        <s v="ORD-2024-10614"/>
        <s v="ORD-2024-10615"/>
        <s v="ORD-2024-10616"/>
        <s v="ORD-2024-10617"/>
        <s v="ORD-2024-10618"/>
        <s v="ORD-2024-10619"/>
        <s v="ORD-2024-10620"/>
        <s v="ORD-2024-10621"/>
        <s v="ORD-2024-10622"/>
        <s v="ORD-2025-10623"/>
        <s v="ORD-2024-10624"/>
        <s v="ORD-2024-10625"/>
        <s v="ORD-2024-10626"/>
        <s v="ORD-2025-10627"/>
        <s v="ORD-2025-10628"/>
        <s v="ORD-2025-10629"/>
        <s v="ORD-2025-10630"/>
        <s v="ORD-2024-10631"/>
        <s v="ORD-2024-10632"/>
        <s v="ORD-2025-10633"/>
        <s v="ORD-2025-10634"/>
        <s v="ORD-2025-10635"/>
        <s v="ORD-2024-10636"/>
        <s v="ORD-2024-10637"/>
        <s v="ORD-2024-10638"/>
        <s v="ORD-2024-10639"/>
        <s v="ORD-2024-10640"/>
        <s v="ORD-2025-10641"/>
        <s v="ORD-2025-10642"/>
        <s v="ORD-2024-10643"/>
        <s v="ORD-2024-10644"/>
        <s v="ORD-2025-10645"/>
        <s v="ORD-2024-10646"/>
        <s v="ORD-2024-10647"/>
        <s v="ORD-2025-10648"/>
        <s v="ORD-2024-10649"/>
        <s v="ORD-2025-10650"/>
        <s v="ORD-2024-10651"/>
        <s v="ORD-2025-10652"/>
        <s v="ORD-2025-10653"/>
        <s v="ORD-2025-10654"/>
        <s v="ORD-2025-10655"/>
        <s v="ORD-2025-10656"/>
        <s v="ORD-2024-10657"/>
        <s v="ORD-2025-10658"/>
        <s v="ORD-2025-10659"/>
        <s v="ORD-2025-10660"/>
        <s v="ORD-2025-10661"/>
        <s v="ORD-2024-10662"/>
        <s v="ORD-2024-10663"/>
        <s v="ORD-2024-10664"/>
        <s v="ORD-2024-10665"/>
        <s v="ORD-2025-10666"/>
        <s v="ORD-2024-10667"/>
        <s v="ORD-2025-10668"/>
        <s v="ORD-2024-10669"/>
        <s v="ORD-2024-10670"/>
        <s v="ORD-2025-10671"/>
        <s v="ORD-2024-10672"/>
        <s v="ORD-2024-10673"/>
        <s v="ORD-2025-10674"/>
        <s v="ORD-2024-10675"/>
        <s v="ORD-2025-10676"/>
        <s v="ORD-2025-10677"/>
        <s v="ORD-2024-10678"/>
        <s v="ORD-2024-10679"/>
        <s v="ORD-2025-10680"/>
        <s v="ORD-2024-10681"/>
        <s v="ORD-2024-10682"/>
        <s v="ORD-2025-10683"/>
        <s v="ORD-2025-10684"/>
        <s v="ORD-2025-10685"/>
        <s v="ORD-2025-10686"/>
        <s v="ORD-2024-10687"/>
        <s v="ORD-2025-10688"/>
        <s v="ORD-2025-10689"/>
        <s v="ORD-2024-10690"/>
        <s v="ORD-2024-10691"/>
        <s v="ORD-2024-10692"/>
        <s v="ORD-2025-10693"/>
        <s v="ORD-2025-10694"/>
        <s v="ORD-2025-10695"/>
        <s v="ORD-2024-10696"/>
        <s v="ORD-2025-10697"/>
        <s v="ORD-2025-10698"/>
        <s v="ORD-2024-10699"/>
        <s v="ORD-2024-10700"/>
        <s v="ORD-2024-10701"/>
        <s v="ORD-2024-10702"/>
        <s v="ORD-2025-10703"/>
        <s v="ORD-2024-10704"/>
        <s v="ORD-2024-10705"/>
        <s v="ORD-2024-10706"/>
        <s v="ORD-2024-10707"/>
        <s v="ORD-2025-10708"/>
        <s v="ORD-2025-10709"/>
        <s v="ORD-2025-10710"/>
        <s v="ORD-2024-10711"/>
        <s v="ORD-2025-10712"/>
        <s v="ORD-2024-10713"/>
        <s v="ORD-2025-10714"/>
        <s v="ORD-2025-10715"/>
        <s v="ORD-2025-10716"/>
        <s v="ORD-2025-10717"/>
        <s v="ORD-2025-10718"/>
        <s v="ORD-2024-10719"/>
        <s v="ORD-2025-10720"/>
        <s v="ORD-2024-10721"/>
        <s v="ORD-2025-10722"/>
        <s v="ORD-2024-10723"/>
        <s v="ORD-2025-10724"/>
        <s v="ORD-2024-10725"/>
        <s v="ORD-2025-10726"/>
        <s v="ORD-2024-10727"/>
        <s v="ORD-2024-10728"/>
        <s v="ORD-2024-10729"/>
        <s v="ORD-2025-10730"/>
        <s v="ORD-2025-10731"/>
        <s v="ORD-2024-10732"/>
        <s v="ORD-2024-10733"/>
        <s v="ORD-2024-10734"/>
        <s v="ORD-2024-10735"/>
        <s v="ORD-2024-10736"/>
        <s v="ORD-2024-10737"/>
        <s v="ORD-2024-10738"/>
        <s v="ORD-2025-10739"/>
        <s v="ORD-2024-10740"/>
        <s v="ORD-2024-10741"/>
        <s v="ORD-2025-10742"/>
        <s v="ORD-2024-10743"/>
        <s v="ORD-2025-10744"/>
        <s v="ORD-2025-10745"/>
        <s v="ORD-2024-10746"/>
        <s v="ORD-2025-10747"/>
        <s v="ORD-2024-10748"/>
        <s v="ORD-2024-10749"/>
        <s v="ORD-2024-10750"/>
        <s v="ORD-2025-10751"/>
        <s v="ORD-2025-10752"/>
        <s v="ORD-2024-10753"/>
        <s v="ORD-2024-10754"/>
        <s v="ORD-2025-10755"/>
        <s v="ORD-2025-10756"/>
        <s v="ORD-2024-10757"/>
        <s v="ORD-2025-10758"/>
        <s v="ORD-2024-10759"/>
        <s v="ORD-2024-10760"/>
        <s v="ORD-2024-10761"/>
        <s v="ORD-2025-10762"/>
        <s v="ORD-2024-10763"/>
        <s v="ORD-2025-10764"/>
        <s v="ORD-2025-10765"/>
        <s v="ORD-2025-10766"/>
        <s v="ORD-2024-10767"/>
        <s v="ORD-2024-10768"/>
        <s v="ORD-2025-10769"/>
        <s v="ORD-2024-10770"/>
        <s v="ORD-2024-10771"/>
        <s v="ORD-2024-10772"/>
        <s v="ORD-2025-10773"/>
        <s v="ORD-2025-10774"/>
        <s v="ORD-2025-10775"/>
        <s v="ORD-2024-10776"/>
        <s v="ORD-2025-10777"/>
        <s v="ORD-2024-10778"/>
        <s v="ORD-2024-10779"/>
        <s v="ORD-2024-10780"/>
        <s v="ORD-2024-10781"/>
        <s v="ORD-2024-10782"/>
        <s v="ORD-2025-10783"/>
        <s v="ORD-2024-10784"/>
        <s v="ORD-2025-10785"/>
        <s v="ORD-2024-10786"/>
        <s v="ORD-2025-10787"/>
        <s v="ORD-2024-10788"/>
        <s v="ORD-2024-10789"/>
        <s v="ORD-2025-10790"/>
        <s v="ORD-2024-10791"/>
        <s v="ORD-2024-10792"/>
        <s v="ORD-2025-10793"/>
        <s v="ORD-2024-10794"/>
        <s v="ORD-2025-10795"/>
        <s v="ORD-2024-10796"/>
        <s v="ORD-2024-10797"/>
        <s v="ORD-2024-10798"/>
        <s v="ORD-2025-10799"/>
        <s v="ORD-2024-10800"/>
        <s v="ORD-2024-10801"/>
        <s v="ORD-2025-10802"/>
        <s v="ORD-2025-10803"/>
        <s v="ORD-2024-10804"/>
        <s v="ORD-2025-10805"/>
        <s v="ORD-2025-10806"/>
        <s v="ORD-2024-10807"/>
        <s v="ORD-2025-10808"/>
        <s v="ORD-2025-10809"/>
        <s v="ORD-2025-10810"/>
        <s v="ORD-2024-10811"/>
        <s v="ORD-2024-10812"/>
        <s v="ORD-2024-10813"/>
        <s v="ORD-2025-10814"/>
        <s v="ORD-2025-10815"/>
        <s v="ORD-2024-10816"/>
        <s v="ORD-2024-10817"/>
        <s v="ORD-2025-10818"/>
        <s v="ORD-2024-10819"/>
        <s v="ORD-2024-10820"/>
        <s v="ORD-2025-10821"/>
        <s v="ORD-2024-10822"/>
        <s v="ORD-2024-10823"/>
        <s v="ORD-2025-10824"/>
        <s v="ORD-2025-10825"/>
        <s v="ORD-2025-10826"/>
        <s v="ORD-2025-10827"/>
        <s v="ORD-2024-10828"/>
        <s v="ORD-2025-10829"/>
        <s v="ORD-2024-10830"/>
        <s v="ORD-2025-10831"/>
        <s v="ORD-2025-10832"/>
        <s v="ORD-2025-10833"/>
        <s v="ORD-2024-10834"/>
        <s v="ORD-2024-10835"/>
        <s v="ORD-2025-10836"/>
        <s v="ORD-2024-10837"/>
        <s v="ORD-2025-10838"/>
        <s v="ORD-2025-10839"/>
        <s v="ORD-2024-10840"/>
        <s v="ORD-2025-10841"/>
        <s v="ORD-2025-10842"/>
        <s v="ORD-2024-10843"/>
        <s v="ORD-2025-10844"/>
        <s v="ORD-2025-10845"/>
        <s v="ORD-2024-10846"/>
        <s v="ORD-2024-10847"/>
        <s v="ORD-2025-10848"/>
        <s v="ORD-2025-10849"/>
        <s v="ORD-2024-10850"/>
        <s v="ORD-2024-10851"/>
        <s v="ORD-2024-10852"/>
        <s v="ORD-2024-10853"/>
        <s v="ORD-2025-10854"/>
        <s v="ORD-2025-10855"/>
        <s v="ORD-2024-10856"/>
        <s v="ORD-2024-10857"/>
        <s v="ORD-2024-10858"/>
        <s v="ORD-2024-10859"/>
        <s v="ORD-2024-10860"/>
        <s v="ORD-2024-10861"/>
        <s v="ORD-2025-10862"/>
        <s v="ORD-2025-10863"/>
        <s v="ORD-2025-10864"/>
        <s v="ORD-2025-10865"/>
        <s v="ORD-2025-10866"/>
        <s v="ORD-2025-10867"/>
        <s v="ORD-2024-10868"/>
        <s v="ORD-2025-10869"/>
        <s v="ORD-2025-10870"/>
        <s v="ORD-2025-10871"/>
        <s v="ORD-2024-10872"/>
        <s v="ORD-2024-10873"/>
        <s v="ORD-2025-10874"/>
        <s v="ORD-2025-10875"/>
        <s v="ORD-2024-10876"/>
        <s v="ORD-2024-10877"/>
        <s v="ORD-2025-10878"/>
        <s v="ORD-2024-10879"/>
        <s v="ORD-2025-10880"/>
        <s v="ORD-2024-10881"/>
        <s v="ORD-2024-10882"/>
        <s v="ORD-2025-10883"/>
        <s v="ORD-2025-10884"/>
        <s v="ORD-2025-10885"/>
        <s v="ORD-2024-10886"/>
        <s v="ORD-2025-10887"/>
        <s v="ORD-2024-10888"/>
        <s v="ORD-2025-10889"/>
        <s v="ORD-2025-10890"/>
        <s v="ORD-2024-10891"/>
        <s v="ORD-2024-10892"/>
        <s v="ORD-2025-10893"/>
        <s v="ORD-2024-10894"/>
        <s v="ORD-2024-10895"/>
        <s v="ORD-2024-10896"/>
        <s v="ORD-2024-10897"/>
        <s v="ORD-2025-10898"/>
        <s v="ORD-2024-10899"/>
        <s v="ORD-2025-10900"/>
        <m/>
      </sharedItems>
    </cacheField>
    <cacheField name="order_date" numFmtId="164">
      <sharedItems containsNonDate="0" containsDate="1" containsString="0" containsBlank="1" minDate="2024-01-01T00:00:00" maxDate="2025-12-11T00:00:00"/>
    </cacheField>
    <cacheField name="ship_date" numFmtId="164">
      <sharedItems containsNonDate="0" containsDate="1" containsString="0" containsBlank="1" minDate="2024-01-02T00:00:00" maxDate="2025-12-11T00:00:00"/>
    </cacheField>
    <cacheField name="shipping_delay_days" numFmtId="0">
      <sharedItems containsString="0" containsBlank="1" containsNumber="1" containsInteger="1" minValue="-323" maxValue="329"/>
    </cacheField>
    <cacheField name="customer_id" numFmtId="0">
      <sharedItems containsBlank="1"/>
    </cacheField>
    <cacheField name="customer_name" numFmtId="0">
      <sharedItems containsBlank="1"/>
    </cacheField>
    <cacheField name="segment" numFmtId="0">
      <sharedItems containsBlank="1" count="5">
        <s v="Consumer"/>
        <s v="Small Business"/>
        <s v="Corporate"/>
        <s v="Home Office"/>
        <m/>
      </sharedItems>
    </cacheField>
    <cacheField name="region" numFmtId="0">
      <sharedItems containsBlank="1" count="6">
        <s v="North"/>
        <s v="East"/>
        <s v="South"/>
        <s v="West"/>
        <s v="Unknown"/>
        <m/>
      </sharedItems>
    </cacheField>
    <cacheField name="state" numFmtId="0">
      <sharedItems containsBlank="1"/>
    </cacheField>
    <cacheField name="city" numFmtId="0">
      <sharedItems containsBlank="1"/>
    </cacheField>
    <cacheField name="category" numFmtId="0">
      <sharedItems containsBlank="1" count="4">
        <s v="Office Supplies"/>
        <s v="Furniture"/>
        <s v="Technology"/>
        <m/>
      </sharedItems>
    </cacheField>
    <cacheField name="sub_category" numFmtId="0">
      <sharedItems containsBlank="1" count="14">
        <s v="Paper"/>
        <s v="Tables"/>
        <s v="Art"/>
        <s v="Furnishings"/>
        <s v="Chairs"/>
        <s v="Accessories"/>
        <s v="Copiers"/>
        <s v="Labels"/>
        <s v="Storage"/>
        <s v="Binders"/>
        <s v="Bookcases"/>
        <s v="Phones"/>
        <s v="Machines"/>
        <m/>
      </sharedItems>
    </cacheField>
    <cacheField name="product_name" numFmtId="0">
      <sharedItems containsBlank="1"/>
    </cacheField>
    <cacheField name="ship_mode" numFmtId="0">
      <sharedItems containsBlank="1" count="6">
        <s v="Second Class"/>
        <s v="Same Day"/>
        <s v="First Class"/>
        <s v="Standard Class"/>
        <s v="Unknown"/>
        <m/>
      </sharedItems>
    </cacheField>
    <cacheField name="quantity" numFmtId="0">
      <sharedItems containsString="0" containsBlank="1" containsNumber="1" containsInteger="1" minValue="1" maxValue="9"/>
    </cacheField>
    <cacheField name="unit_price" numFmtId="0">
      <sharedItems containsString="0" containsBlank="1" containsNumber="1" minValue="121.49" maxValue="4499.46"/>
    </cacheField>
    <cacheField name="discount" numFmtId="2">
      <sharedItems containsString="0" containsBlank="1" containsNumber="1" minValue="-0.24" maxValue="0.85"/>
    </cacheField>
    <cacheField name="sales" numFmtId="0">
      <sharedItems containsString="0" containsBlank="1" containsNumber="1" minValue="217.48" maxValue="36782.269999999997" count="913">
        <n v="19049.28"/>
        <n v="7312.5"/>
        <n v="4261.72"/>
        <n v="8317.93"/>
        <n v="20816.32"/>
        <n v="2527.46"/>
        <n v="5847.56"/>
        <n v="2980.71"/>
        <n v="25073.599999999999"/>
        <n v="6134.69"/>
        <n v="10074.27"/>
        <n v="9628.56"/>
        <n v="596.82000000000005"/>
        <n v="26365.39"/>
        <n v="4106.74"/>
        <n v="23794.560000000001"/>
        <n v="9970.5300000000007"/>
        <n v="7633.9"/>
        <n v="3995.98"/>
        <n v="9331.06"/>
        <n v="16398.98"/>
        <n v="2790.76"/>
        <n v="8291.51"/>
        <n v="6265.63"/>
        <n v="13478.82"/>
        <n v="7335.84"/>
        <n v="2578.0700000000002"/>
        <n v="6774.41"/>
        <n v="2913.33"/>
        <n v="217.61"/>
        <n v="3079.59"/>
        <n v="27832.95"/>
        <n v="9002.81"/>
        <n v="2585.15"/>
        <n v="6655.5"/>
        <n v="19054.11"/>
        <n v="9379.41"/>
        <n v="4248.13"/>
        <n v="13927.28"/>
        <n v="4935.3100000000004"/>
        <n v="14051.91"/>
        <n v="6846.48"/>
        <n v="7447.01"/>
        <n v="3030.69"/>
        <n v="26971.14"/>
        <n v="29851.43"/>
        <n v="16110.83"/>
        <n v="17606.23"/>
        <n v="28445.62"/>
        <n v="6772.54"/>
        <n v="2025.38"/>
        <n v="9168.48"/>
        <n v="12596.67"/>
        <n v="5131.75"/>
        <n v="3415.46"/>
        <n v="3411.54"/>
        <n v="9466.83"/>
        <n v="1279.3499999999999"/>
        <n v="11254.79"/>
        <n v="16535.400000000001"/>
        <n v="661.82"/>
        <n v="949.59"/>
        <n v="21904.49"/>
        <n v="4815.71"/>
        <n v="3134.88"/>
        <n v="4066.18"/>
        <n v="7032.11"/>
        <n v="24002.11"/>
        <n v="19900.080000000002"/>
        <n v="21527.67"/>
        <n v="1539.98"/>
        <n v="10947.53"/>
        <n v="13610.45"/>
        <n v="7128.7"/>
        <n v="3309.84"/>
        <n v="7907.57"/>
        <n v="10218.81"/>
        <n v="2194.87"/>
        <n v="9050.42"/>
        <n v="33465.31"/>
        <n v="4256.3500000000004"/>
        <n v="5525.73"/>
        <n v="6010.38"/>
        <n v="948.53"/>
        <n v="2737.34"/>
        <n v="608.64"/>
        <n v="2390.2600000000002"/>
        <n v="23416.54"/>
        <n v="6241.02"/>
        <n v="21062.1"/>
        <n v="9445.1"/>
        <n v="2427.12"/>
        <n v="36111.910000000003"/>
        <n v="19522.79"/>
        <n v="26470.71"/>
        <n v="10524.78"/>
        <n v="3840.71"/>
        <n v="14409.44"/>
        <n v="15184.3"/>
        <n v="6495.87"/>
        <n v="9540.66"/>
        <n v="16486.95"/>
        <n v="11462.84"/>
        <n v="7809.09"/>
        <n v="8260.4599999999991"/>
        <n v="1233"/>
        <n v="7207.27"/>
        <n v="12263.24"/>
        <n v="806.31"/>
        <n v="2091.4699999999998"/>
        <n v="4500.9399999999996"/>
        <n v="1623.02"/>
        <n v="10914.02"/>
        <n v="2450.59"/>
        <n v="3949.56"/>
        <n v="758.78"/>
        <n v="3590.93"/>
        <n v="25432.81"/>
        <n v="6321.08"/>
        <n v="1884.3"/>
        <n v="1458.94"/>
        <n v="17414.599999999999"/>
        <n v="511.05"/>
        <n v="634.13"/>
        <n v="4185.54"/>
        <n v="14558.72"/>
        <n v="4303.42"/>
        <n v="5774.67"/>
        <n v="4386.3900000000003"/>
        <n v="18229.580000000002"/>
        <n v="873.68"/>
        <n v="2692.15"/>
        <n v="1066.1600000000001"/>
        <n v="22930.62"/>
        <n v="1436.62"/>
        <n v="3424.78"/>
        <n v="31178.38"/>
        <n v="19202.900000000001"/>
        <n v="24018.3"/>
        <n v="10301.040000000001"/>
        <n v="8743.65"/>
        <n v="3996.03"/>
        <n v="3857.04"/>
        <n v="3068.55"/>
        <n v="11276.95"/>
        <n v="15055.74"/>
        <n v="25639.98"/>
        <n v="2779.92"/>
        <n v="10176.42"/>
        <n v="13269.95"/>
        <n v="1398.71"/>
        <n v="7718.22"/>
        <n v="5875.42"/>
        <n v="22962.17"/>
        <n v="2209.25"/>
        <n v="7720.16"/>
        <n v="12103.19"/>
        <n v="2335.39"/>
        <n v="3989.56"/>
        <n v="33893.32"/>
        <n v="4789.6000000000004"/>
        <n v="1643.41"/>
        <n v="35997.620000000003"/>
        <n v="15679.33"/>
        <n v="2365.8200000000002"/>
        <n v="10268.969999999999"/>
        <n v="2046.28"/>
        <n v="23186.61"/>
        <n v="2557.08"/>
        <n v="5577.64"/>
        <n v="5133.96"/>
        <n v="15923.51"/>
        <n v="23997.22"/>
        <n v="1734.19"/>
        <n v="8264.7000000000007"/>
        <n v="15906.85"/>
        <n v="24229.01"/>
        <n v="31039.599999999999"/>
        <n v="13126.96"/>
        <n v="9558.9"/>
        <n v="5320.92"/>
        <n v="10205.799999999999"/>
        <n v="5430.39"/>
        <n v="12907.22"/>
        <n v="1777.96"/>
        <n v="1605.07"/>
        <n v="23996.06"/>
        <n v="8717.2199999999993"/>
        <n v="6553.95"/>
        <n v="25384.54"/>
        <n v="1458.24"/>
        <n v="25850.400000000001"/>
        <n v="8764.1200000000008"/>
        <n v="9391.82"/>
        <n v="7339.23"/>
        <n v="9614.15"/>
        <n v="3272.48"/>
        <n v="17409.87"/>
        <n v="1125.3499999999999"/>
        <n v="9835.11"/>
        <n v="12907.98"/>
        <n v="4756.71"/>
        <n v="13231.14"/>
        <n v="484.79"/>
        <n v="1624.15"/>
        <n v="4193.2299999999996"/>
        <n v="430.26"/>
        <n v="1752.72"/>
        <n v="999.83"/>
        <n v="7006.34"/>
        <n v="4131.3599999999997"/>
        <n v="27020.48"/>
        <n v="364.65"/>
        <n v="13864.74"/>
        <n v="707.31"/>
        <n v="19214.400000000001"/>
        <n v="11039.22"/>
        <n v="4595.76"/>
        <n v="1291.4000000000001"/>
        <n v="242.98"/>
        <n v="9554.58"/>
        <n v="4900.8999999999996"/>
        <n v="25848.54"/>
        <n v="1176.72"/>
        <n v="11833.92"/>
        <n v="5265.6"/>
        <n v="1987.44"/>
        <n v="1473.26"/>
        <n v="2715.21"/>
        <n v="8658.69"/>
        <n v="11090.38"/>
        <n v="11462.74"/>
        <n v="670.11"/>
        <n v="31236.720000000001"/>
        <n v="10964.24"/>
        <n v="15226.35"/>
        <n v="24376.68"/>
        <n v="20972.7"/>
        <n v="26633.58"/>
        <n v="3136.1"/>
        <n v="20835.900000000001"/>
        <n v="1212.9000000000001"/>
        <n v="5697.83"/>
        <n v="4049.51"/>
        <n v="6131.34"/>
        <n v="9827.7900000000009"/>
        <n v="521.89"/>
        <n v="14960.4"/>
        <n v="6027.51"/>
        <n v="8928.93"/>
        <n v="14338.9"/>
        <n v="6132.96"/>
        <n v="2329.4699999999998"/>
        <n v="4746.8999999999996"/>
        <n v="5603.08"/>
        <n v="12810"/>
        <n v="19328.22"/>
        <n v="6474.54"/>
        <n v="5580.11"/>
        <n v="18265.09"/>
        <n v="15209.88"/>
        <n v="1648.18"/>
        <n v="13399.44"/>
        <n v="32743.84"/>
        <n v="6012.28"/>
        <n v="495.01"/>
        <n v="13017.72"/>
        <n v="785.4"/>
        <n v="3319.05"/>
        <n v="1925.86"/>
        <n v="2482.3200000000002"/>
        <n v="11674.25"/>
        <n v="3510.42"/>
        <n v="22694.67"/>
        <n v="21658.22"/>
        <n v="980.51"/>
        <n v="15261.89"/>
        <n v="2008.39"/>
        <n v="3780.66"/>
        <n v="4141.16"/>
        <n v="8943.0300000000007"/>
        <n v="16504.22"/>
        <n v="4596"/>
        <n v="1814.01"/>
        <n v="4730.76"/>
        <n v="36735.93"/>
        <n v="4421.34"/>
        <n v="6516.93"/>
        <n v="7411.83"/>
        <n v="8258.7099999999991"/>
        <n v="1658.37"/>
        <n v="9685.98"/>
        <n v="33740.550000000003"/>
        <n v="8362.8700000000008"/>
        <n v="18716.990000000002"/>
        <n v="9385.34"/>
        <n v="17826.59"/>
        <n v="5966.59"/>
        <n v="1951.54"/>
        <n v="10830.02"/>
        <n v="31539.29"/>
        <n v="6285.62"/>
        <n v="4054.92"/>
        <n v="2363.65"/>
        <n v="12976.47"/>
        <n v="13299.39"/>
        <n v="14692.44"/>
        <n v="29469.89"/>
        <n v="2341.02"/>
        <n v="12982.6"/>
        <n v="16274"/>
        <n v="2493.1799999999998"/>
        <n v="15688.44"/>
        <n v="12488.58"/>
        <n v="6485.36"/>
        <n v="29500.92"/>
        <n v="3116.05"/>
        <n v="22926.82"/>
        <n v="11203.54"/>
        <n v="270.27999999999997"/>
        <n v="2628.42"/>
        <n v="2699.28"/>
        <n v="6984.35"/>
        <n v="10185.67"/>
        <n v="1655.7"/>
        <n v="15602.6"/>
        <n v="15138.49"/>
        <n v="4402.92"/>
        <n v="18604.080000000002"/>
        <n v="15401.51"/>
        <n v="783.09"/>
        <n v="10742.64"/>
        <n v="7823.92"/>
        <n v="2936.1"/>
        <n v="12969.92"/>
        <n v="11581.3"/>
        <n v="15940.56"/>
        <n v="7090.44"/>
        <n v="26414.16"/>
        <n v="20900.86"/>
        <n v="18261.36"/>
        <n v="7524.63"/>
        <n v="12231.36"/>
        <n v="31079.7"/>
        <n v="31107.42"/>
        <n v="5530.6"/>
        <n v="7715.81"/>
        <n v="11925.96"/>
        <n v="19306.759999999998"/>
        <n v="19355.96"/>
        <n v="11914.34"/>
        <n v="3237.48"/>
        <n v="10734.75"/>
        <n v="10308.02"/>
        <n v="20080.68"/>
        <n v="16017.4"/>
        <n v="2486.8000000000002"/>
        <n v="4369.04"/>
        <n v="5956.12"/>
        <n v="4997.38"/>
        <n v="17669.400000000001"/>
        <n v="35615.71"/>
        <n v="1866.41"/>
        <n v="6867.64"/>
        <n v="6195.75"/>
        <n v="12968.64"/>
        <n v="8836.56"/>
        <n v="19456.96"/>
        <n v="2079.27"/>
        <n v="8945.68"/>
        <n v="13069.34"/>
        <n v="4617.2700000000004"/>
        <n v="7651.8"/>
        <n v="10068.120000000001"/>
        <n v="14359.5"/>
        <n v="2624.87"/>
        <n v="8854.94"/>
        <n v="2564.7399999999998"/>
        <n v="7821.22"/>
        <n v="7956.76"/>
        <n v="8384.44"/>
        <n v="16671.169999999998"/>
        <n v="10468.44"/>
        <n v="4485.5"/>
        <n v="2822.1"/>
        <n v="1975.1"/>
        <n v="20063.95"/>
        <n v="1764.3"/>
        <n v="9385.77"/>
        <n v="7750.16"/>
        <n v="6135.23"/>
        <n v="714.43"/>
        <n v="36477.089999999997"/>
        <n v="3680.13"/>
        <n v="27616.47"/>
        <n v="5731.7"/>
        <n v="1213.5899999999999"/>
        <n v="3463.76"/>
        <n v="2021.84"/>
        <n v="3268.88"/>
        <n v="5839.3"/>
        <n v="7877.55"/>
        <n v="4095.78"/>
        <n v="16683.189999999999"/>
        <n v="1078.83"/>
        <n v="24431.46"/>
        <n v="5886.3"/>
        <n v="7933.65"/>
        <n v="7093.84"/>
        <n v="2269.1"/>
        <n v="9378.7900000000009"/>
        <n v="3334.25"/>
        <n v="1583.54"/>
        <n v="15345.84"/>
        <n v="9439.5"/>
        <n v="10277.200000000001"/>
        <n v="3833.7"/>
        <n v="18542.400000000001"/>
        <n v="21962.400000000001"/>
        <n v="1308.78"/>
        <n v="1814.99"/>
        <n v="2489.88"/>
        <n v="4098.66"/>
        <n v="27211.03"/>
        <n v="6436.16"/>
        <n v="1918.24"/>
        <n v="27047.95"/>
        <n v="26454.959999999999"/>
        <n v="1853.89"/>
        <n v="17658.599999999999"/>
        <n v="3672.71"/>
        <n v="6177.67"/>
        <n v="985.07"/>
        <n v="6160.88"/>
        <n v="3263.9"/>
        <n v="2327.0500000000002"/>
        <n v="6593.65"/>
        <n v="2886.63"/>
        <n v="1813.18"/>
        <n v="3326.25"/>
        <n v="17869.63"/>
        <n v="25304.94"/>
        <n v="1842.31"/>
        <n v="3315.38"/>
        <n v="20342.5"/>
        <n v="3377.97"/>
        <n v="33940.080000000002"/>
        <n v="21872.37"/>
        <n v="342.06"/>
        <n v="19622.16"/>
        <n v="15380.35"/>
        <n v="13039.95"/>
        <n v="9663.98"/>
        <n v="7417.6"/>
        <n v="25229.7"/>
        <n v="3235.08"/>
        <n v="11070.87"/>
        <n v="19960.57"/>
        <n v="8596.0400000000009"/>
        <n v="3452.76"/>
        <n v="11626.97"/>
        <n v="8614.2800000000007"/>
        <n v="2040.22"/>
        <n v="2846.4"/>
        <n v="10331.48"/>
        <n v="2517.8000000000002"/>
        <n v="11462.11"/>
        <n v="19297.490000000002"/>
        <n v="6564.99"/>
        <n v="2812.48"/>
        <n v="7079.65"/>
        <n v="6793.07"/>
        <n v="1844.22"/>
        <n v="918.96"/>
        <n v="4900.71"/>
        <n v="20272.919999999998"/>
        <n v="1035.67"/>
        <n v="11843.44"/>
        <n v="25702.17"/>
        <n v="1651.91"/>
        <n v="4525.8"/>
        <n v="10616.74"/>
        <n v="2893.99"/>
        <n v="705.21"/>
        <n v="16385.490000000002"/>
        <n v="7665.57"/>
        <n v="4670.83"/>
        <n v="6155.5"/>
        <n v="8666.56"/>
        <n v="361.75"/>
        <n v="2418.1999999999998"/>
        <n v="1941.06"/>
        <n v="4088.16"/>
        <n v="15273.05"/>
        <n v="1712.78"/>
        <n v="3784.72"/>
        <n v="6635.56"/>
        <n v="2485.5"/>
        <n v="850.35"/>
        <n v="7498.37"/>
        <n v="34163.910000000003"/>
        <n v="17837.45"/>
        <n v="4465.42"/>
        <n v="10594.08"/>
        <n v="17312.48"/>
        <n v="17555.689999999999"/>
        <n v="1205.6400000000001"/>
        <n v="8971.26"/>
        <n v="7324"/>
        <n v="23241.22"/>
        <n v="8477.02"/>
        <n v="3673.82"/>
        <n v="6047.17"/>
        <n v="6212.38"/>
        <n v="20913.88"/>
        <n v="3566.79"/>
        <n v="2233.1799999999998"/>
        <n v="11890.37"/>
        <n v="8421.68"/>
        <n v="13968.67"/>
        <n v="1611.11"/>
        <n v="12495.03"/>
        <n v="33034.86"/>
        <n v="5805.26"/>
        <n v="34079.620000000003"/>
        <n v="11359.8"/>
        <n v="908.93"/>
        <n v="13802.13"/>
        <n v="29558.12"/>
        <n v="16400.25"/>
        <n v="17053.060000000001"/>
        <n v="398.67"/>
        <n v="17862.150000000001"/>
        <n v="2165.85"/>
        <n v="14268.2"/>
        <n v="9602.35"/>
        <n v="19891.72"/>
        <n v="1927.65"/>
        <n v="29900.79"/>
        <n v="1904.45"/>
        <n v="21571.59"/>
        <n v="8641.68"/>
        <n v="9988.5300000000007"/>
        <n v="418.77"/>
        <n v="21861.72"/>
        <n v="17260.12"/>
        <n v="10911.32"/>
        <n v="30148.93"/>
        <n v="1072.01"/>
        <n v="10271.530000000001"/>
        <n v="10206.91"/>
        <n v="8027.63"/>
        <n v="1875.18"/>
        <n v="8735.24"/>
        <n v="4070.64"/>
        <n v="5943.96"/>
        <n v="4426.66"/>
        <n v="32228.880000000001"/>
        <n v="19711.68"/>
        <n v="14750.19"/>
        <n v="1130.1199999999999"/>
        <n v="2900.88"/>
        <n v="680.62"/>
        <n v="5694.98"/>
        <n v="1474.14"/>
        <n v="9224.93"/>
        <n v="4712.2"/>
        <n v="1305.3599999999999"/>
        <n v="2854.73"/>
        <n v="14630.26"/>
        <n v="8879.49"/>
        <n v="21381.45"/>
        <n v="1774.94"/>
        <n v="573.65"/>
        <n v="5423.2"/>
        <n v="3983.42"/>
        <n v="23530.14"/>
        <n v="1879.15"/>
        <n v="15011.81"/>
        <n v="3202.41"/>
        <n v="417.49"/>
        <n v="16323.8"/>
        <n v="3356.2"/>
        <n v="2101.4699999999998"/>
        <n v="837.19"/>
        <n v="27629.279999999999"/>
        <n v="7471.52"/>
        <n v="3615.76"/>
        <n v="32013.79"/>
        <n v="1574.25"/>
        <n v="20582.099999999999"/>
        <n v="10635.24"/>
        <n v="29929.59"/>
        <n v="27675.74"/>
        <n v="11945.28"/>
        <n v="13144.03"/>
        <n v="18382.009999999998"/>
        <n v="1855.44"/>
        <n v="3354.05"/>
        <n v="2482.9699999999998"/>
        <n v="11048.25"/>
        <n v="6460.12"/>
        <n v="26192.22"/>
        <n v="19564.599999999999"/>
        <n v="3228.9"/>
        <n v="7560.04"/>
        <n v="8754.32"/>
        <n v="4057.35"/>
        <n v="19383.75"/>
        <n v="30362.36"/>
        <n v="2729.65"/>
        <n v="4718.0200000000004"/>
        <n v="3844.01"/>
        <n v="22688.78"/>
        <n v="20389.919999999998"/>
        <n v="5904.57"/>
        <n v="18842.64"/>
        <n v="24677.19"/>
        <n v="12623.24"/>
        <n v="3401.01"/>
        <n v="6609.06"/>
        <n v="5464.2"/>
        <n v="10484.24"/>
        <n v="10329.84"/>
        <n v="8456.9599999999991"/>
        <n v="1266.4100000000001"/>
        <n v="11473.04"/>
        <n v="4012.03"/>
        <n v="5364.36"/>
        <n v="10706.07"/>
        <n v="10969.38"/>
        <n v="31409.86"/>
        <n v="14252.65"/>
        <n v="1382.17"/>
        <n v="9223.17"/>
        <n v="16394.96"/>
        <n v="12990.11"/>
        <n v="5107.95"/>
        <n v="7738.37"/>
        <n v="1514.96"/>
        <n v="1267.3"/>
        <n v="6405.74"/>
        <n v="8607.67"/>
        <n v="26324.02"/>
        <n v="14250.08"/>
        <n v="13087.49"/>
        <n v="1640.57"/>
        <n v="14441.91"/>
        <n v="5065.8500000000004"/>
        <n v="6776.88"/>
        <n v="15760.12"/>
        <n v="1795.65"/>
        <n v="18362.509999999998"/>
        <n v="26524.68"/>
        <n v="2056.0500000000002"/>
        <n v="8607.2800000000007"/>
        <n v="9903.9599999999991"/>
        <n v="2033"/>
        <n v="19966.939999999999"/>
        <n v="710.9"/>
        <n v="15994.48"/>
        <n v="1627.5"/>
        <n v="9637.92"/>
        <n v="4777.5200000000004"/>
        <n v="1527.06"/>
        <n v="5698.4"/>
        <n v="265.83999999999997"/>
        <n v="3959.14"/>
        <n v="2401.84"/>
        <n v="5102.16"/>
        <n v="6176.59"/>
        <n v="31203.31"/>
        <n v="12010.52"/>
        <n v="13847.86"/>
        <n v="1033.71"/>
        <n v="2889.78"/>
        <n v="20296.7"/>
        <n v="18364.36"/>
        <n v="21141.62"/>
        <n v="5360.17"/>
        <n v="14800.96"/>
        <n v="6001.35"/>
        <n v="7383.72"/>
        <n v="7902.96"/>
        <n v="24621.24"/>
        <n v="6627.01"/>
        <n v="4698.26"/>
        <n v="688.2"/>
        <n v="15492.07"/>
        <n v="3745.29"/>
        <n v="3462.52"/>
        <n v="8767.17"/>
        <n v="8516.4500000000007"/>
        <n v="11826.84"/>
        <n v="11629.02"/>
        <n v="1029.56"/>
        <n v="3536.52"/>
        <n v="2977.54"/>
        <n v="28208.1"/>
        <n v="9450.74"/>
        <n v="7792.55"/>
        <n v="8574.58"/>
        <n v="2692.82"/>
        <n v="1035.03"/>
        <n v="2401.79"/>
        <n v="16015.81"/>
        <n v="1901.48"/>
        <n v="16751.97"/>
        <n v="16559.11"/>
        <n v="8110.09"/>
        <n v="7406.01"/>
        <n v="4110.41"/>
        <n v="9680.02"/>
        <n v="217.48"/>
        <n v="18675.18"/>
        <n v="19901.63"/>
        <n v="2879.82"/>
        <n v="18712.22"/>
        <n v="4733.45"/>
        <n v="3795.86"/>
        <n v="15231.73"/>
        <n v="13649.75"/>
        <n v="4333.59"/>
        <n v="13634"/>
        <n v="760.29"/>
        <n v="14943.11"/>
        <n v="8072"/>
        <n v="28353.02"/>
        <n v="2008.57"/>
        <n v="9234.2099999999991"/>
        <n v="2658.83"/>
        <n v="15756.05"/>
        <n v="14787.78"/>
        <n v="25181.64"/>
        <n v="8837.9500000000007"/>
        <n v="7275.79"/>
        <n v="2355.08"/>
        <n v="3609.12"/>
        <n v="2188.19"/>
        <n v="11370.84"/>
        <n v="9298.7999999999993"/>
        <n v="7082.69"/>
        <n v="9043.7999999999993"/>
        <n v="2211.3000000000002"/>
        <n v="12158.5"/>
        <n v="1736.62"/>
        <n v="8266.2099999999991"/>
        <n v="10022.040000000001"/>
        <n v="2886.03"/>
        <n v="1459.19"/>
        <n v="26696.32"/>
        <n v="8445.26"/>
        <n v="11709.79"/>
        <n v="2593.91"/>
        <n v="2674.02"/>
        <n v="9926.9599999999991"/>
        <n v="12191.76"/>
        <n v="4285.76"/>
        <n v="4166.91"/>
        <n v="14947.54"/>
        <n v="13462.12"/>
        <n v="7467.36"/>
        <n v="5910.59"/>
        <n v="16454.88"/>
        <n v="25159.8"/>
        <n v="1824.42"/>
        <n v="16617.310000000001"/>
        <n v="933.43"/>
        <n v="14554.08"/>
        <n v="8128.69"/>
        <n v="3106.8"/>
        <n v="6394.23"/>
        <n v="3708.06"/>
        <n v="9424.2199999999993"/>
        <n v="7752.6"/>
        <n v="23736.720000000001"/>
        <n v="26999.91"/>
        <n v="5065.12"/>
        <n v="6707.52"/>
        <n v="11983.45"/>
        <n v="1364.58"/>
        <n v="862.65"/>
        <n v="1138.3699999999999"/>
        <n v="2452.83"/>
        <n v="1589.08"/>
        <n v="4519.41"/>
        <n v="2718.71"/>
        <n v="7065.66"/>
        <n v="17911.009999999998"/>
        <n v="14149.92"/>
        <n v="4272.58"/>
        <n v="9352.6200000000008"/>
        <n v="2800.9"/>
        <n v="21511.599999999999"/>
        <n v="7279.36"/>
        <n v="26051.94"/>
        <n v="9661.64"/>
        <n v="13714.96"/>
        <n v="15354.45"/>
        <n v="4595.2"/>
        <n v="21234.97"/>
        <n v="8093.3"/>
        <n v="8651.4599999999991"/>
        <n v="4306.6499999999996"/>
        <n v="1948.09"/>
        <n v="3045.09"/>
        <n v="2932.78"/>
        <n v="4379.3599999999997"/>
        <n v="5472.77"/>
        <n v="7377.1"/>
        <n v="2363.89"/>
        <n v="2577.1999999999998"/>
        <n v="17827.759999999998"/>
        <n v="2675.34"/>
        <n v="3563.91"/>
        <n v="4259.07"/>
        <n v="786.87"/>
        <n v="8233.6"/>
        <n v="12678.66"/>
        <n v="33968.080000000002"/>
        <n v="511.31"/>
        <n v="10877.94"/>
        <n v="10246.530000000001"/>
        <n v="1704.24"/>
        <n v="33719.22"/>
        <n v="2720.17"/>
        <n v="8213.02"/>
        <n v="633.66999999999996"/>
        <n v="25216.53"/>
        <n v="6521.38"/>
        <n v="12867.55"/>
        <n v="26489.65"/>
        <n v="36782.269999999997"/>
        <n v="23696.400000000001"/>
        <n v="4047.66"/>
        <n v="10038.77"/>
        <n v="1074.22"/>
        <n v="9399.67"/>
        <n v="1470.57"/>
        <n v="3826.3"/>
        <n v="6336.44"/>
        <n v="21850.83"/>
        <n v="7453.07"/>
        <n v="35905.68"/>
        <n v="3515.15"/>
        <n v="24409.55"/>
        <n v="7955.04"/>
        <n v="336.13"/>
        <n v="1308.26"/>
        <n v="1631.11"/>
        <n v="7266.06"/>
        <n v="1858.08"/>
        <n v="25021.83"/>
        <n v="3710.72"/>
        <n v="8487.83"/>
        <n v="3110.3"/>
        <n v="1185.3"/>
        <n v="12190.36"/>
        <n v="11619.44"/>
        <n v="25075.439999999999"/>
        <n v="4177.45"/>
        <n v="10898.18"/>
        <n v="6975.7"/>
        <n v="8811.69"/>
        <n v="17034.349999999999"/>
        <n v="7984.08"/>
        <n v="21912.26"/>
        <n v="4695.7"/>
        <n v="1923.24"/>
        <n v="4301.91"/>
        <n v="22436.84"/>
        <n v="19676.07"/>
        <n v="8848.08"/>
        <n v="4487.83"/>
        <n v="29829.09"/>
        <n v="21574.67"/>
        <n v="22741.32"/>
        <n v="3641.54"/>
        <n v="11834.8"/>
        <n v="6028.35"/>
        <n v="16173.85"/>
        <n v="25155.56"/>
        <n v="7649.8"/>
        <n v="1620.87"/>
        <n v="3567.52"/>
        <n v="1625.31"/>
        <n v="23739.9"/>
        <n v="16704.52"/>
        <n v="12685.1"/>
        <n v="5883.12"/>
        <n v="13965.89"/>
        <n v="10835.86"/>
        <n v="581.51"/>
        <n v="1127.1500000000001"/>
        <n v="25524.3"/>
        <n v="2418.0100000000002"/>
        <n v="3508.38"/>
        <n v="6789.27"/>
        <n v="4917.4399999999996"/>
        <n v="3304.05"/>
        <n v="10989.89"/>
        <n v="9549.44"/>
        <n v="10348.43"/>
        <n v="12116.89"/>
        <n v="6589.37"/>
        <n v="5206.53"/>
        <n v="27322.9"/>
        <n v="21443.63"/>
        <n v="4099.6899999999996"/>
        <n v="3797.79"/>
        <n v="808.67"/>
        <n v="11778.71"/>
        <m/>
      </sharedItems>
    </cacheField>
    <cacheField name="cost" numFmtId="0">
      <sharedItems containsString="0" containsBlank="1" containsNumber="1" minValue="119.77" maxValue="30820.84"/>
    </cacheField>
    <cacheField name="profit" numFmtId="0">
      <sharedItems containsString="0" containsBlank="1" containsNumber="1" minValue="42.35" maxValue="15226" count="898">
        <n v="3207.39"/>
        <n v="2407.77"/>
        <n v="1796.03"/>
        <n v="1521.16"/>
        <n v="3110.95"/>
        <n v="993.88"/>
        <n v="1120.31"/>
        <n v="623.49"/>
        <n v="7726.37"/>
        <n v="2334.5"/>
        <n v="4026"/>
        <n v="1589.97"/>
        <n v="216.57"/>
        <n v="4059.15"/>
        <n v="1440.44"/>
        <n v="8096.09"/>
        <n v="4302.3599999999997"/>
        <n v="2926.99"/>
        <n v="1362.78"/>
        <n v="1801.75"/>
        <n v="6842.46"/>
        <n v="753.05"/>
        <n v="1606.48"/>
        <n v="1943.77"/>
        <n v="2541.4699999999998"/>
        <n v="2367.4299999999998"/>
        <n v="1050.52"/>
        <n v="2064.0500000000002"/>
        <n v="791"/>
        <n v="97.84"/>
        <n v="1077.7"/>
        <n v="10063.200000000001"/>
        <n v="1472.89"/>
        <n v="514.41999999999996"/>
        <n v="2607.3200000000002"/>
        <n v="3740.28"/>
        <n v="2708.56"/>
        <n v="927.04"/>
        <n v="3422.41"/>
        <n v="1560.54"/>
        <n v="2061.54"/>
        <n v="2606.59"/>
        <n v="2950.79"/>
        <n v="1309.6099999999999"/>
        <n v="9594.94"/>
        <n v="12363.95"/>
        <n v="5430.8"/>
        <n v="5167.2700000000004"/>
        <n v="7507.03"/>
        <n v="1017.08"/>
        <n v="884.73"/>
        <n v="1728.71"/>
        <n v="1993.38"/>
        <n v="2293.0700000000002"/>
        <n v="1422.23"/>
        <n v="608.41"/>
        <n v="2909"/>
        <n v="187.81"/>
        <n v="4676.7299999999996"/>
        <n v="3545.19"/>
        <n v="180.35"/>
        <n v="198.34"/>
        <n v="8333.94"/>
        <n v="1917.47"/>
        <n v="767.25"/>
        <n v="1437.26"/>
        <n v="2421.77"/>
        <n v="5294.54"/>
        <n v="8937.42"/>
        <n v="3240.09"/>
        <n v="469.78"/>
        <n v="4500.17"/>
        <n v="3571.4"/>
        <n v="2746.55"/>
        <n v="638.76"/>
        <n v="2516.39"/>
        <n v="2601.84"/>
        <n v="971.7"/>
        <n v="2271.5700000000002"/>
        <n v="8684.0499999999993"/>
        <n v="1761.02"/>
        <n v="2432.31"/>
        <n v="2247.5300000000002"/>
        <n v="273.91000000000003"/>
        <n v="651.9"/>
        <n v="264.64999999999998"/>
        <n v="894.32"/>
        <n v="7925.65"/>
        <n v="895.14"/>
        <n v="9004.9699999999993"/>
        <n v="3858.82"/>
        <n v="804.53"/>
        <n v="6917.41"/>
        <n v="7067.01"/>
        <n v="5103.1099999999997"/>
        <n v="1683.73"/>
        <n v="1324.42"/>
        <n v="5599.47"/>
        <n v="3913.56"/>
        <n v="1794.98"/>
        <n v="3979.17"/>
        <n v="4432.8100000000004"/>
        <n v="2483.06"/>
        <n v="1151.3399999999999"/>
        <n v="2302.08"/>
        <n v="226.1"/>
        <n v="1497.88"/>
        <n v="3337.67"/>
        <n v="307.81"/>
        <n v="774.25"/>
        <n v="1893.21"/>
        <n v="545.55999999999995"/>
        <n v="4365.28"/>
        <n v="810.7"/>
        <n v="762.83"/>
        <n v="268.04000000000002"/>
        <n v="529.54"/>
        <n v="5062.6499999999996"/>
        <n v="1913.86"/>
        <n v="366.61"/>
        <n v="565.74"/>
        <n v="5653.69"/>
        <n v="143.87"/>
        <n v="180.78"/>
        <n v="741.8"/>
        <n v="4967.24"/>
        <n v="1734.85"/>
        <n v="2256.31"/>
        <n v="1019.51"/>
        <n v="3090.43"/>
        <n v="211.96"/>
        <n v="647.66"/>
        <n v="409.86"/>
        <n v="6055.07"/>
        <n v="524.1"/>
        <n v="1473.33"/>
        <n v="9757.2900000000009"/>
        <n v="3676.28"/>
        <n v="9947.52"/>
        <n v="3736.98"/>
        <n v="2139.89"/>
        <n v="1136.52"/>
        <n v="1087.78"/>
        <n v="1152.3900000000001"/>
        <n v="4368.1899999999996"/>
        <n v="5246.91"/>
        <n v="4004.9"/>
        <n v="1035.8699999999999"/>
        <n v="2571.9499999999998"/>
        <n v="4292.8500000000004"/>
        <n v="341.79"/>
        <n v="2362.29"/>
        <n v="1494.87"/>
        <n v="7245.67"/>
        <n v="685.47"/>
        <n v="1839.16"/>
        <n v="5385.32"/>
        <n v="869.24"/>
        <n v="1608.18"/>
        <n v="8142.97"/>
        <n v="751.96"/>
        <n v="736.01"/>
        <n v="9358.31"/>
        <n v="3201.51"/>
        <n v="817.83"/>
        <n v="3798.05"/>
        <n v="596.74"/>
        <n v="5280.07"/>
        <n v="531.39"/>
        <n v="2036.35"/>
        <n v="1203.96"/>
        <n v="4631.71"/>
        <n v="7862.59"/>
        <n v="348.12"/>
        <n v="3495.95"/>
        <n v="4892.3900000000003"/>
        <n v="10318.370000000001"/>
        <n v="10172.879999999999"/>
        <n v="2394.52"/>
        <n v="4042.14"/>
        <n v="2279.42"/>
        <n v="4219.49"/>
        <n v="1722.73"/>
        <n v="4579.33"/>
        <n v="756.8"/>
        <n v="267.79000000000002"/>
        <n v="3828.78"/>
        <n v="2501.2600000000002"/>
        <n v="1484.14"/>
        <n v="8512.15"/>
        <n v="514.91999999999996"/>
        <n v="6452.72"/>
        <n v="1544.07"/>
        <n v="3378.6"/>
        <n v="1905.11"/>
        <n v="2037.31"/>
        <n v="755.04"/>
        <n v="3333.62"/>
        <n v="448.38"/>
        <n v="4397.47"/>
        <n v="3710.9"/>
        <n v="1801.85"/>
        <n v="1941.08"/>
        <n v="151.25"/>
        <n v="406.16"/>
        <n v="863.24"/>
        <n v="143.88"/>
        <n v="756.31"/>
        <n v="364.92"/>
        <n v="2365.46"/>
        <n v="1194.29"/>
        <n v="4135.24"/>
        <n v="83.91"/>
        <n v="2570.6799999999998"/>
        <n v="138.31"/>
        <n v="8298.39"/>
        <n v="3396.31"/>
        <n v="1198.96"/>
        <n v="534.47"/>
        <n v="81.56"/>
        <n v="3486.11"/>
        <n v="1348.21"/>
        <n v="8119.45"/>
        <n v="522.39"/>
        <n v="5151"/>
        <n v="787.57"/>
        <n v="877.21"/>
        <n v="573.4"/>
        <n v="1163.6600000000001"/>
        <n v="3122.75"/>
        <n v="2249.4299999999998"/>
        <n v="4299.2"/>
        <n v="110.54"/>
        <n v="4859.0200000000004"/>
        <n v="1701.77"/>
        <n v="4081.07"/>
        <n v="5843.29"/>
        <n v="7467.82"/>
        <n v="7794.83"/>
        <n v="856.61"/>
        <n v="6907.71"/>
        <n v="522.38"/>
        <n v="1446.33"/>
        <n v="1540.31"/>
        <n v="2070.46"/>
        <n v="4349.51"/>
        <n v="77.37"/>
        <n v="2459.56"/>
        <n v="1143.69"/>
        <n v="3294.55"/>
        <n v="2441.25"/>
        <n v="1251.8599999999999"/>
        <n v="725.85"/>
        <n v="2470.56"/>
        <n v="3475.88"/>
        <n v="7288.72"/>
        <n v="1378.63"/>
        <n v="1273.0999999999999"/>
        <n v="7827.95"/>
        <n v="4318.7299999999996"/>
        <n v="660.27"/>
        <n v="4818.09"/>
        <n v="10291.790000000001"/>
        <n v="2084.64"/>
        <n v="209.88"/>
        <n v="2847.15"/>
        <n v="228.18"/>
        <n v="1194.45"/>
        <n v="603.97"/>
        <n v="962.11"/>
        <n v="2053.06"/>
        <n v="1213.48"/>
        <n v="7289.31"/>
        <n v="6167.53"/>
        <n v="319.58999999999997"/>
        <n v="6848.36"/>
        <n v="811.1"/>
        <n v="1632.35"/>
        <n v="1386.99"/>
        <n v="3777.65"/>
        <n v="5241.51"/>
        <n v="1375.67"/>
        <n v="780.54"/>
        <n v="1591.03"/>
        <n v="5915.09"/>
        <n v="1931.36"/>
        <n v="2005.39"/>
        <n v="2507.1999999999998"/>
        <n v="1239.74"/>
        <n v="687.25"/>
        <n v="1955.94"/>
        <n v="9118.66"/>
        <n v="1821.83"/>
        <n v="6434.56"/>
        <n v="3556.8"/>
        <n v="6971.24"/>
        <n v="1971.87"/>
        <n v="341.59"/>
        <n v="3774.71"/>
        <n v="9439.15"/>
        <n v="2580.2399999999998"/>
        <n v="1630.09"/>
        <n v="487.55"/>
        <n v="2956.49"/>
        <n v="3447.48"/>
        <n v="4610.25"/>
        <n v="10534.38"/>
        <n v="775.53"/>
        <n v="5736.24"/>
        <n v="6849.75"/>
        <n v="729.18"/>
        <n v="5641.11"/>
        <n v="1771.18"/>
        <n v="1109.19"/>
        <n v="11511.24"/>
        <n v="1159.42"/>
        <n v="8305.23"/>
        <n v="2750.61"/>
        <n v="113.94"/>
        <n v="1086.8800000000001"/>
        <n v="939.52"/>
        <n v="2960.72"/>
        <n v="3706.36"/>
        <n v="300.89999999999998"/>
        <n v="3694.08"/>
        <n v="3902.77"/>
        <n v="1408.98"/>
        <n v="2769.78"/>
        <n v="6751.09"/>
        <n v="279.2"/>
        <n v="4265.2700000000004"/>
        <n v="1789.29"/>
        <n v="1013"/>
        <n v="3571.46"/>
        <n v="4751.87"/>
        <n v="3593.41"/>
        <n v="1262.8699999999999"/>
        <n v="4591.63"/>
        <n v="8387.7199999999993"/>
        <n v="6861.42"/>
        <n v="1295.03"/>
        <n v="3464.46"/>
        <n v="13321.45"/>
        <n v="10960.76"/>
        <n v="1077.49"/>
        <n v="3457.39"/>
        <n v="1822.45"/>
        <n v="4864.38"/>
        <n v="4017.4"/>
        <n v="2143.1"/>
        <n v="1119.1400000000001"/>
        <n v="4259.0200000000004"/>
        <n v="4485.71"/>
        <n v="7171.84"/>
        <n v="6459.6"/>
        <n v="355.07"/>
        <n v="652.16"/>
        <n v="1576.94"/>
        <n v="2025.99"/>
        <n v="3950.63"/>
        <n v="15226"/>
        <n v="289.92"/>
        <n v="1662.28"/>
        <n v="2228.73"/>
        <n v="2849.03"/>
        <n v="2968.81"/>
        <n v="4936.8999999999996"/>
        <n v="567.1"/>
        <n v="2205.33"/>
        <n v="4300.75"/>
        <n v="1635.33"/>
        <n v="2480.02"/>
        <n v="1472.75"/>
        <n v="6241.79"/>
        <n v="370.99"/>
        <n v="1420.99"/>
        <n v="810.16"/>
        <n v="2826.76"/>
        <n v="3157.22"/>
        <n v="3618.48"/>
        <n v="5837.98"/>
        <n v="2068.5700000000002"/>
        <n v="1353.64"/>
        <n v="1197.53"/>
        <n v="859.75"/>
        <n v="5700.57"/>
        <n v="431.81"/>
        <n v="2783.66"/>
        <n v="2315.86"/>
        <n v="2695.44"/>
        <n v="148.99"/>
        <n v="11951.61"/>
        <n v="712.67"/>
        <n v="6391.21"/>
        <n v="1616.14"/>
        <n v="257.37"/>
        <n v="1320.02"/>
        <n v="666.62"/>
        <n v="1275.1400000000001"/>
        <n v="961.92"/>
        <n v="2314.7800000000002"/>
        <n v="1288.01"/>
        <n v="6382.03"/>
        <n v="152.47999999999999"/>
        <n v="6229.1"/>
        <n v="2264.54"/>
        <n v="2235.23"/>
        <n v="2506.35"/>
        <n v="675.51"/>
        <n v="2604.31"/>
        <n v="565.48"/>
        <n v="569.35"/>
        <n v="4610.51"/>
        <n v="3920.11"/>
        <n v="2370.6999999999998"/>
        <n v="947.35"/>
        <n v="7348.65"/>
        <n v="6630.41"/>
        <n v="465.78"/>
        <n v="694.93"/>
        <n v="782.36"/>
        <n v="1420.6"/>
        <n v="9270.6"/>
        <n v="2172.33"/>
        <n v="544.72"/>
        <n v="8616.6200000000008"/>
        <n v="8824.7099999999991"/>
        <n v="752.66"/>
        <n v="3816.12"/>
        <n v="763.38"/>
        <n v="1656.92"/>
        <n v="140.59"/>
        <n v="1222.18"/>
        <n v="1195.46"/>
        <n v="407.63"/>
        <n v="2234.2600000000002"/>
        <n v="1298.4000000000001"/>
        <n v="449.54"/>
        <n v="636.89"/>
        <n v="5705.83"/>
        <n v="4532.99"/>
        <n v="823.14"/>
        <n v="967.7"/>
        <n v="7934.99"/>
        <n v="881.68"/>
        <n v="10185.89"/>
        <n v="8042.87"/>
        <n v="97.49"/>
        <n v="5350.89"/>
        <n v="5472.98"/>
        <n v="1912.13"/>
        <n v="4035.05"/>
        <n v="2461.7399999999998"/>
        <n v="5059.2700000000004"/>
        <n v="1386.48"/>
        <n v="4447.26"/>
        <n v="3356.97"/>
        <n v="3217.88"/>
        <n v="1374.8"/>
        <n v="4232.8999999999996"/>
        <n v="1562.2"/>
        <n v="644.51"/>
        <n v="714.03"/>
        <n v="3199.57"/>
        <n v="1039.26"/>
        <n v="4356.63"/>
        <n v="3845.83"/>
        <n v="1157.75"/>
        <n v="530.36"/>
        <n v="2613.7399999999998"/>
        <n v="1807.85"/>
        <n v="750.01"/>
        <n v="364.78"/>
        <n v="2186.81"/>
        <n v="4399.54"/>
        <n v="440.25"/>
        <n v="2486.56"/>
        <n v="11130.69"/>
        <n v="617.34"/>
        <n v="1811.29"/>
        <n v="4263.1499999999996"/>
        <n v="1037.96"/>
        <n v="266.89"/>
        <n v="2706.25"/>
        <n v="2069.9699999999998"/>
        <n v="1504.34"/>
        <n v="1873.41"/>
        <n v="2699.12"/>
        <n v="99.22"/>
        <n v="804.38"/>
        <n v="733.64"/>
        <n v="882.48"/>
        <n v="4184.29"/>
        <n v="360.66"/>
        <n v="1365.48"/>
        <n v="2982.65"/>
        <n v="457.07"/>
        <n v="249.37"/>
        <n v="1439.3"/>
        <n v="5586.76"/>
        <n v="4210.43"/>
        <n v="1088.32"/>
        <n v="3433.77"/>
        <n v="2888.26"/>
        <n v="4262.49"/>
        <n v="363.57"/>
        <n v="2156.91"/>
        <n v="3144.37"/>
        <n v="6020.32"/>
        <n v="1592.06"/>
        <n v="1585.67"/>
        <n v="2678.38"/>
        <n v="1848.79"/>
        <n v="9229.2000000000007"/>
        <n v="1483.38"/>
        <n v="647.36"/>
        <n v="2655.84"/>
        <n v="1887.21"/>
        <n v="5111.09"/>
        <n v="715.96"/>
        <n v="3310.51"/>
        <n v="8495.0300000000007"/>
        <n v="1150.9000000000001"/>
        <n v="12208.23"/>
        <n v="4297.3599999999997"/>
        <n v="336.85"/>
        <n v="3726.2"/>
        <n v="8255.99"/>
        <n v="4253.29"/>
        <n v="6310.68"/>
        <n v="87.01"/>
        <n v="7969.94"/>
        <n v="430.45"/>
        <n v="2562.9"/>
        <n v="2214.7800000000002"/>
        <n v="7595.96"/>
        <n v="467.05"/>
        <n v="5250.12"/>
        <n v="587.91"/>
        <n v="4453.5200000000004"/>
        <n v="2894.59"/>
        <n v="1394.05"/>
        <n v="105.05"/>
        <n v="3397.38"/>
        <n v="3746.61"/>
        <n v="4395.17"/>
        <n v="4993.8599999999997"/>
        <n v="219.39"/>
        <n v="1999.29"/>
        <n v="3442.38"/>
        <n v="2531.54"/>
        <n v="296.01"/>
        <n v="2115.17"/>
        <n v="1239.02"/>
        <n v="2339.8200000000002"/>
        <n v="1816.23"/>
        <n v="7257.52"/>
        <n v="5249.88"/>
        <n v="5267.61"/>
        <n v="281.5"/>
        <n v="509.03"/>
        <n v="217.13"/>
        <n v="1076.6500000000001"/>
        <n v="505.68"/>
        <n v="2219.73"/>
        <n v="860.29"/>
        <n v="573.47"/>
        <n v="886.61"/>
        <n v="2723.9"/>
        <n v="2534.92"/>
        <n v="8141.24"/>
        <n v="767.54"/>
        <n v="250.98"/>
        <n v="1350.76"/>
        <n v="808.51"/>
        <n v="3992.35"/>
        <n v="744.25"/>
        <n v="5351.45"/>
        <n v="593.97"/>
        <n v="155.82"/>
        <n v="6358.01"/>
        <n v="1150.48"/>
        <n v="883.64"/>
        <n v="253.4"/>
        <n v="5602.8"/>
        <n v="1287.2"/>
        <n v="664.24"/>
        <n v="11116.91"/>
        <n v="248.13"/>
        <n v="4684.45"/>
        <n v="4603.3599999999997"/>
        <n v="7493.56"/>
        <n v="12104.66"/>
        <n v="2244.9699999999998"/>
        <n v="3380.03"/>
        <n v="5273.81"/>
        <n v="592.70000000000005"/>
        <n v="681.38"/>
        <n v="861.25"/>
        <n v="1985.53"/>
        <n v="2856.09"/>
        <n v="5396.67"/>
        <n v="8410.01"/>
        <n v="1111.99"/>
        <n v="2515.42"/>
        <n v="1195.32"/>
        <n v="7716.32"/>
        <n v="5296.96"/>
        <n v="1014.29"/>
        <n v="809.79"/>
        <n v="1648.22"/>
        <n v="8016.37"/>
        <n v="3728.84"/>
        <n v="1322.09"/>
        <n v="7002.06"/>
        <n v="4326.34"/>
        <n v="2082.44"/>
        <n v="483.47"/>
        <n v="2146.11"/>
        <n v="3804.09"/>
        <n v="2817.62"/>
        <n v="2994.11"/>
        <n v="282.49"/>
        <n v="2541.71"/>
        <n v="869.11"/>
        <n v="973.07"/>
        <n v="4778.97"/>
        <n v="1714.92"/>
        <n v="8886.32"/>
        <n v="2694.34"/>
        <n v="572.14"/>
        <n v="4119.47"/>
        <n v="5990.79"/>
        <n v="2789.31"/>
        <n v="1974.87"/>
        <n v="3111.52"/>
        <n v="468.79"/>
        <n v="343.77"/>
        <n v="2843.87"/>
        <n v="3270.03"/>
        <n v="10046.06"/>
        <n v="3335.16"/>
        <n v="5133.22"/>
        <n v="503.59"/>
        <n v="3569.02"/>
        <n v="1548.62"/>
        <n v="2940.64"/>
        <n v="5828.59"/>
        <n v="798.93"/>
        <n v="7228.54"/>
        <n v="5950.38"/>
        <n v="393.66"/>
        <n v="3483.27"/>
        <n v="2207.6799999999998"/>
        <n v="741.59"/>
        <n v="7276.11"/>
        <n v="197.02"/>
        <n v="6770.2"/>
        <n v="687.6"/>
        <n v="2308.63"/>
        <n v="1624.54"/>
        <n v="471.17"/>
        <n v="2057.5100000000002"/>
        <n v="42.35"/>
        <n v="719.61"/>
        <n v="528.73"/>
        <n v="1875.71"/>
        <n v="2615.63"/>
        <n v="13465.18"/>
        <n v="4145.91"/>
        <n v="5376.08"/>
        <n v="402.89"/>
        <n v="1078.55"/>
        <n v="5375.83"/>
        <n v="2918.55"/>
        <n v="9465.2900000000009"/>
        <n v="1478.66"/>
        <n v="2752.57"/>
        <n v="1818.36"/>
        <n v="3270.06"/>
        <n v="2390.9299999999998"/>
        <n v="7465.76"/>
        <n v="1020.22"/>
        <n v="2043.34"/>
        <n v="190.52"/>
        <n v="2910.84"/>
        <n v="1442.64"/>
        <n v="665.23"/>
        <n v="3668.97"/>
        <n v="2612.64"/>
        <n v="3790.88"/>
        <n v="2001.81"/>
        <n v="403.23"/>
        <n v="1363.28"/>
        <n v="1128.24"/>
        <n v="4003.38"/>
        <n v="1652.18"/>
        <n v="3100.82"/>
        <n v="1888.77"/>
        <n v="872.74"/>
        <n v="180.68"/>
        <n v="581.45000000000005"/>
        <n v="4663.43"/>
        <n v="547.20000000000005"/>
        <n v="5073.6499999999996"/>
        <n v="3325.32"/>
        <n v="1692.77"/>
        <n v="1464.27"/>
        <n v="1716.27"/>
        <n v="2803.36"/>
        <n v="85.35"/>
        <n v="4700.4799999999996"/>
        <n v="4409.6000000000004"/>
        <n v="1054.94"/>
        <n v="6860"/>
        <n v="1061.1300000000001"/>
        <n v="1530.94"/>
        <n v="2780.27"/>
        <n v="3361.72"/>
        <n v="1800"/>
        <n v="4044.19"/>
        <n v="262.52"/>
        <n v="6421.61"/>
        <n v="2692.78"/>
        <n v="9095.17"/>
        <n v="813.74"/>
        <n v="3717.69"/>
        <n v="431.86"/>
        <n v="5510.61"/>
        <n v="6191.13"/>
        <n v="9843.74"/>
        <n v="2680.68"/>
        <n v="1122.92"/>
        <n v="1005.05"/>
        <n v="963.62"/>
        <n v="889.35"/>
        <n v="3901.26"/>
        <n v="2750.3"/>
        <n v="1486.35"/>
        <n v="3130.42"/>
        <n v="475.66"/>
        <n v="1898.43"/>
        <n v="677.1"/>
        <n v="2029.89"/>
        <n v="4445.0600000000004"/>
        <n v="821.2"/>
        <n v="403.4"/>
        <n v="3971.8"/>
        <n v="1507.66"/>
        <n v="3337.5"/>
        <n v="745.43"/>
        <n v="466.45"/>
        <n v="1931.98"/>
        <n v="1734.27"/>
        <n v="1899.43"/>
        <n v="754.28"/>
        <n v="5509.08"/>
        <n v="5861.49"/>
        <n v="2456.75"/>
        <n v="1135.1500000000001"/>
        <n v="4373.34"/>
        <n v="3552.97"/>
        <n v="609.54999999999995"/>
        <n v="7421.58"/>
        <n v="350.34"/>
        <n v="3387.24"/>
        <n v="3057.03"/>
        <n v="730.18"/>
        <n v="2873.54"/>
        <n v="947.77"/>
        <n v="3245.3"/>
        <n v="3063.3"/>
        <n v="9845.82"/>
        <n v="9183.93"/>
        <n v="1535"/>
        <n v="1034.95"/>
        <n v="3410.55"/>
        <n v="386.42"/>
        <n v="258.92"/>
        <n v="341.03"/>
        <n v="546.13"/>
        <n v="504.42"/>
        <n v="1275.55"/>
        <n v="653.66"/>
        <n v="2150.39"/>
        <n v="6364.96"/>
        <n v="4683.41"/>
        <n v="943.66"/>
        <n v="4083.21"/>
        <n v="1064.92"/>
        <n v="6103.13"/>
        <n v="2408.9699999999998"/>
        <n v="9168.35"/>
        <n v="3357.87"/>
        <n v="3164.49"/>
        <n v="5697.95"/>
        <n v="707.79"/>
        <n v="4498.88"/>
        <n v="2040.87"/>
        <n v="3396.84"/>
        <n v="1737.83"/>
        <n v="441.01"/>
        <n v="444"/>
        <n v="1032.43"/>
        <n v="655.43"/>
        <n v="995.44"/>
        <n v="2291.89"/>
        <n v="892.38"/>
        <n v="1101.33"/>
        <n v="3705.63"/>
        <n v="1079.47"/>
        <n v="924.21"/>
        <n v="1128.75"/>
        <n v="288.37"/>
        <n v="3519.81"/>
        <n v="2590.0100000000002"/>
        <n v="7065.64"/>
        <n v="74.88"/>
        <n v="1767.8"/>
        <n v="1612.11"/>
        <n v="746.69"/>
        <n v="4794.79"/>
        <n v="885.94"/>
        <n v="2643.72"/>
        <n v="113.2"/>
        <n v="10999.59"/>
        <n v="2010.28"/>
        <n v="2798.61"/>
        <n v="10671.19"/>
        <n v="10879.46"/>
        <n v="5586.63"/>
        <n v="1279.79"/>
        <n v="4365.67"/>
        <n v="223.36"/>
        <n v="2859.3"/>
        <n v="636.54999999999995"/>
        <n v="1632.18"/>
        <n v="1655.76"/>
        <n v="5250.7"/>
        <n v="2319.29"/>
        <n v="11989.58"/>
        <n v="1298.81"/>
        <n v="7251.97"/>
        <n v="2374.36"/>
        <n v="93.94"/>
        <n v="224.7"/>
        <n v="396.58"/>
        <n v="1049.17"/>
        <n v="267.33"/>
        <n v="9477.39"/>
        <n v="595.42999999999995"/>
        <n v="3242.11"/>
        <n v="1009.27"/>
        <n v="218.75"/>
        <n v="2013.37"/>
        <n v="4494.6400000000003"/>
        <n v="8792.7000000000007"/>
        <n v="1877.95"/>
        <n v="4666.7700000000004"/>
        <n v="2177.8200000000002"/>
        <n v="2045.78"/>
        <n v="2402.9899999999998"/>
        <n v="2326.0300000000002"/>
        <n v="5544.48"/>
        <n v="824.01"/>
        <n v="829.58"/>
        <n v="1927.51"/>
        <n v="4982.17"/>
        <n v="7217.45"/>
        <n v="3156.52"/>
        <n v="1854.05"/>
        <n v="9118.91"/>
        <n v="6901.84"/>
        <n v="6352.75"/>
        <n v="951.17"/>
        <n v="2512.44"/>
        <n v="1594.72"/>
        <n v="2537.5100000000002"/>
        <n v="7562.87"/>
        <n v="2755.27"/>
        <n v="517.26"/>
        <n v="1155.72"/>
        <n v="467.42"/>
        <n v="6023.38"/>
        <n v="6546.24"/>
        <n v="1905.54"/>
        <n v="1235.21"/>
        <n v="2319.77"/>
        <n v="4415.9399999999996"/>
        <n v="157.65"/>
        <n v="281.52999999999997"/>
        <n v="8812.3700000000008"/>
        <n v="976.12"/>
        <n v="680.32"/>
        <n v="1162.8399999999999"/>
        <n v="1070.67"/>
        <n v="1024.6400000000001"/>
        <m/>
      </sharedItems>
    </cacheField>
    <cacheField name="payment_status" numFmtId="0">
      <sharedItems containsBlank="1" count="5">
        <s v="Paid"/>
        <s v="Refunded"/>
        <s v="Pending"/>
        <s v="Failed"/>
        <m/>
      </sharedItems>
    </cacheField>
    <cacheField name="order_status" numFmtId="0">
      <sharedItems containsBlank="1" count="4">
        <s v="Completed"/>
        <s v="Cancelled"/>
        <s v="Returned"/>
        <m/>
      </sharedItems>
    </cacheField>
    <cacheField name="Field23" caption="Field23" numFmtId="0">
      <sharedItems containsNonDate="0" containsString="0" containsBlank="1"/>
    </cacheField>
    <cacheField name="FLAG - ShipDt&gt;OrdDt" numFmtId="0">
      <sharedItems containsBlank="1"/>
    </cacheField>
    <cacheField name="FLAG - Negative Discount &amp; Discount above 50% " numFmtId="0">
      <sharedItems containsBlank="1"/>
    </cacheField>
    <cacheField name="FLAG-ShipMode_unknown" numFmtId="0">
      <sharedItems containsBlank="1"/>
    </cacheField>
    <cacheField name="FLAG- Region_unknown" numFmtId="0">
      <sharedItems containsBlank="1"/>
    </cacheField>
    <cacheField name="order_month" numFmtId="0">
      <sharedItems containsBlank="1"/>
    </cacheField>
    <cacheField name="order_year" numFmtId="0">
      <sharedItems containsBlank="1"/>
    </cacheField>
    <cacheField name="cleaned_discount" numFmtId="0">
      <sharedItems containsNonDate="0" containsString="0" containsBlank="1"/>
    </cacheField>
    <cacheField name="Calculated_sales1_x000a_(quantity*unit_price)" numFmtId="0">
      <sharedItems containsString="0" containsBlank="1" containsNumber="1" minValue="242.98" maxValue="40124.340000000004"/>
    </cacheField>
    <cacheField name="Calculated_sales2_x000a_(after applying discount)" numFmtId="2">
      <sharedItems containsString="0" containsBlank="1" containsNumber="1" minValue="36.447000000000003" maxValue="36782.271000000008"/>
    </cacheField>
    <cacheField name="Calculated_Profit" numFmtId="0">
      <sharedItems containsString="0" containsBlank="1" containsNumber="1" minValue="56.339999999999975" maxValue="21329.909999999996"/>
    </cacheField>
    <cacheField name="Calculated_Profit2" numFmtId="2">
      <sharedItems containsString="0" containsBlank="1" containsNumber="1" minValue="0.14106731398615141" maxValue="0.58704683753946907"/>
    </cacheField>
    <cacheField name="Profit_margin" numFmtId="9">
      <sharedItems containsString="0" containsBlank="1" containsNumber="1" minValue="0.14106731398615141" maxValue="0.5870468375394690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3">
  <r>
    <x v="0"/>
    <d v="2024-07-21T00:00:00"/>
    <d v="2024-07-27T00:00:00"/>
    <n v="6"/>
    <s v="CUST-4655"/>
    <s v="Karan Malhotra"/>
    <x v="0"/>
    <x v="0"/>
    <s v="Rajasthan"/>
    <s v="Jaipur"/>
    <x v="0"/>
    <x v="0"/>
    <s v="Pro Paper 122"/>
    <x v="0"/>
    <n v="8"/>
    <n v="2976.45"/>
    <n v="0.2"/>
    <x v="0"/>
    <n v="15841.89"/>
    <x v="0"/>
    <x v="0"/>
    <x v="0"/>
    <m/>
    <s v="Valid"/>
    <s v="Valid"/>
    <s v="Pass"/>
    <s v="Pass"/>
    <s v="July"/>
    <s v="2024"/>
    <m/>
    <n v="23811.599999999999"/>
    <n v="19049.28"/>
    <n v="7969.7099999999991"/>
    <n v="0.33469863427909086"/>
    <n v="0.33469863427909086"/>
  </r>
  <r>
    <x v="1"/>
    <d v="2024-08-31T00:00:00"/>
    <d v="2024-05-09T00:00:00"/>
    <n v="-114"/>
    <s v="CUST-2054"/>
    <s v="Mira Das"/>
    <x v="1"/>
    <x v="1"/>
    <s v="Odisha"/>
    <s v="Bhubaneswar"/>
    <x v="1"/>
    <x v="1"/>
    <s v="Pro Tables 258"/>
    <x v="1"/>
    <n v="3"/>
    <n v="2437.5"/>
    <n v="0"/>
    <x v="1"/>
    <n v="4904.7299999999996"/>
    <x v="1"/>
    <x v="0"/>
    <x v="0"/>
    <m/>
    <s v="Invalid-Date"/>
    <s v="Valid"/>
    <s v="Pass"/>
    <s v="Pass"/>
    <s v="August"/>
    <s v="2024"/>
    <m/>
    <n v="7312.5"/>
    <n v="7312.5"/>
    <n v="2407.7700000000004"/>
    <n v="0.32926769230769237"/>
    <n v="0.32926769230769237"/>
  </r>
  <r>
    <x v="2"/>
    <d v="2024-08-06T00:00:00"/>
    <d v="2024-06-15T00:00:00"/>
    <n v="-52"/>
    <s v="CUST-6843"/>
    <s v="Isha Nair"/>
    <x v="0"/>
    <x v="1"/>
    <s v="Odisha"/>
    <s v="Bhubaneswar"/>
    <x v="0"/>
    <x v="2"/>
    <s v="Elite Art 525"/>
    <x v="2"/>
    <n v="4"/>
    <n v="1065.43"/>
    <n v="0.55000000000000004"/>
    <x v="2"/>
    <n v="2465.69"/>
    <x v="2"/>
    <x v="0"/>
    <x v="0"/>
    <m/>
    <s v="Invalid-Date"/>
    <s v="Invalid-Discount"/>
    <s v="Pass"/>
    <s v="Pass"/>
    <s v="August"/>
    <s v="2024"/>
    <m/>
    <n v="4261.72"/>
    <n v="1917.7739999999999"/>
    <n v="1796.0300000000002"/>
    <n v="0.42143313028542467"/>
    <n v="0.42143313028542467"/>
  </r>
  <r>
    <x v="3"/>
    <d v="2024-11-28T00:00:00"/>
    <d v="2024-11-29T00:00:00"/>
    <n v="1"/>
    <s v="CUST-3722"/>
    <s v="Arjun Bose"/>
    <x v="1"/>
    <x v="2"/>
    <s v="Telangana"/>
    <s v="Hyderabad"/>
    <x v="1"/>
    <x v="3"/>
    <s v="Smart Furnishings 294"/>
    <x v="3"/>
    <n v="6"/>
    <n v="1848.43"/>
    <n v="0.25"/>
    <x v="3"/>
    <n v="6796.77"/>
    <x v="3"/>
    <x v="0"/>
    <x v="0"/>
    <m/>
    <s v="Valid"/>
    <s v="Valid"/>
    <s v="Pass"/>
    <s v="Pass"/>
    <s v="November"/>
    <s v="2024"/>
    <m/>
    <n v="11090.58"/>
    <n v="8317.9349999999995"/>
    <n v="4293.8099999999995"/>
    <n v="0.38715829109027655"/>
    <n v="0.38715829109027655"/>
  </r>
  <r>
    <x v="4"/>
    <d v="2025-08-29T00:00:00"/>
    <d v="2025-01-09T00:00:00"/>
    <n v="-232"/>
    <s v="CUST-8130"/>
    <s v="Ananya Rao"/>
    <x v="1"/>
    <x v="3"/>
    <s v="Maharashtra"/>
    <s v="Mumbai"/>
    <x v="1"/>
    <x v="4"/>
    <s v="Elite Chairs 543"/>
    <x v="2"/>
    <n v="7"/>
    <n v="2973.76"/>
    <n v="0"/>
    <x v="4"/>
    <n v="17705.37"/>
    <x v="4"/>
    <x v="0"/>
    <x v="1"/>
    <m/>
    <s v="Invalid-Date"/>
    <s v="Valid"/>
    <s v="Pass"/>
    <s v="Pass"/>
    <s v="August"/>
    <s v="2025"/>
    <m/>
    <n v="20816.32"/>
    <n v="20816.32"/>
    <n v="3110.9500000000007"/>
    <n v="0.14944764492475138"/>
    <n v="0.14944764492475138"/>
  </r>
  <r>
    <x v="5"/>
    <d v="2024-05-24T00:00:00"/>
    <d v="2024-05-28T00:00:00"/>
    <n v="4"/>
    <s v="CUST-6056"/>
    <s v="Vikram Iyer"/>
    <x v="1"/>
    <x v="3"/>
    <s v="Madhya Pradesh"/>
    <s v="Indore"/>
    <x v="2"/>
    <x v="5"/>
    <s v="Pro Accessories 821"/>
    <x v="1"/>
    <n v="3"/>
    <n v="1053.1099999999999"/>
    <n v="0.2"/>
    <x v="5"/>
    <n v="1533.58"/>
    <x v="5"/>
    <x v="0"/>
    <x v="0"/>
    <m/>
    <s v="Valid"/>
    <s v="Valid"/>
    <s v="Pass"/>
    <s v="Pass"/>
    <s v="May"/>
    <s v="2024"/>
    <m/>
    <n v="3159.33"/>
    <n v="2527.4639999999999"/>
    <n v="1625.75"/>
    <n v="0.51458695356293904"/>
    <n v="0.51458695356293904"/>
  </r>
  <r>
    <x v="6"/>
    <d v="2025-10-04T00:00:00"/>
    <d v="2025-04-16T00:00:00"/>
    <n v="-171"/>
    <s v="CUST-3656"/>
    <s v="Neha Gupta"/>
    <x v="0"/>
    <x v="1"/>
    <s v="Odisha"/>
    <s v="Bhubaneswar"/>
    <x v="2"/>
    <x v="6"/>
    <s v="Eco Copiers 790"/>
    <x v="3"/>
    <n v="4"/>
    <n v="1719.87"/>
    <n v="0.15"/>
    <x v="6"/>
    <n v="4727.25"/>
    <x v="6"/>
    <x v="0"/>
    <x v="0"/>
    <m/>
    <s v="Invalid-Date"/>
    <s v="Valid"/>
    <s v="Pass"/>
    <s v="Pass"/>
    <s v="October"/>
    <s v="2025"/>
    <m/>
    <n v="6879.48"/>
    <n v="5847.5579999999991"/>
    <n v="2152.2299999999996"/>
    <n v="0.3128477733782204"/>
    <n v="0.3128477733782204"/>
  </r>
  <r>
    <x v="7"/>
    <d v="2025-02-23T00:00:00"/>
    <d v="2025-02-26T00:00:00"/>
    <n v="3"/>
    <s v="CUST-4683"/>
    <s v="Isha Nair"/>
    <x v="1"/>
    <x v="2"/>
    <s v="Andhra Pradesh"/>
    <s v="Vijayawada"/>
    <x v="0"/>
    <x v="2"/>
    <s v="Eco Art 848"/>
    <x v="2"/>
    <n v="1"/>
    <n v="2980.71"/>
    <n v="0"/>
    <x v="7"/>
    <n v="2357.2199999999998"/>
    <x v="7"/>
    <x v="0"/>
    <x v="0"/>
    <m/>
    <s v="Valid"/>
    <s v="Valid"/>
    <s v="Pass"/>
    <s v="Pass"/>
    <s v="February"/>
    <s v="2025"/>
    <m/>
    <n v="2980.71"/>
    <n v="2980.71"/>
    <n v="623.49000000000024"/>
    <n v="0.20917499521925992"/>
    <n v="0.20917499521925992"/>
  </r>
  <r>
    <x v="8"/>
    <d v="2024-05-11T00:00:00"/>
    <d v="2024-10-11T00:00:00"/>
    <n v="153"/>
    <s v="CUST-2598"/>
    <s v="Aditi Sen"/>
    <x v="2"/>
    <x v="2"/>
    <s v="Telangana"/>
    <s v="Hyderabad"/>
    <x v="0"/>
    <x v="7"/>
    <s v="Classic Labels 815"/>
    <x v="2"/>
    <n v="8"/>
    <n v="3134.2"/>
    <n v="0"/>
    <x v="8"/>
    <n v="17347.23"/>
    <x v="8"/>
    <x v="0"/>
    <x v="0"/>
    <m/>
    <s v="Valid"/>
    <s v="Valid"/>
    <s v="Pass"/>
    <s v="Pass"/>
    <s v="May"/>
    <s v="2024"/>
    <m/>
    <n v="25073.599999999999"/>
    <n v="25073.599999999999"/>
    <n v="7726.369999999999"/>
    <n v="0.30814761342607361"/>
    <n v="0.30814761342607361"/>
  </r>
  <r>
    <x v="9"/>
    <d v="2025-09-07T00:00:00"/>
    <d v="2025-12-09T00:00:00"/>
    <n v="93"/>
    <s v="CUST-2483"/>
    <s v="Mira Das"/>
    <x v="3"/>
    <x v="2"/>
    <s v="Telangana"/>
    <s v="Hyderabad"/>
    <x v="0"/>
    <x v="0"/>
    <s v="Pro Paper 622"/>
    <x v="0"/>
    <n v="9"/>
    <n v="852.04"/>
    <n v="0.2"/>
    <x v="9"/>
    <n v="3800.19"/>
    <x v="9"/>
    <x v="0"/>
    <x v="0"/>
    <m/>
    <s v="Valid"/>
    <s v="Valid"/>
    <s v="Pass"/>
    <s v="Pass"/>
    <s v="September"/>
    <s v="2025"/>
    <m/>
    <n v="7668.36"/>
    <n v="6134.6880000000001"/>
    <n v="3868.1699999999996"/>
    <n v="0.50443249925668587"/>
    <n v="0.50443249925668587"/>
  </r>
  <r>
    <x v="10"/>
    <d v="2025-05-20T00:00:00"/>
    <d v="2025-05-20T00:00:00"/>
    <n v="0"/>
    <s v="CUST-8092"/>
    <s v="Ananya Rao"/>
    <x v="2"/>
    <x v="1"/>
    <s v="West Bengal"/>
    <s v="Kolkata"/>
    <x v="0"/>
    <x v="7"/>
    <s v="Prime Labels 644"/>
    <x v="0"/>
    <n v="3"/>
    <n v="3534.83"/>
    <n v="0.05"/>
    <x v="10"/>
    <n v="6048.27"/>
    <x v="10"/>
    <x v="1"/>
    <x v="2"/>
    <m/>
    <s v="Valid"/>
    <s v="Valid"/>
    <s v="Pass"/>
    <s v="Pass"/>
    <s v="May"/>
    <s v="2025"/>
    <m/>
    <n v="10604.49"/>
    <n v="10074.2655"/>
    <n v="4556.2199999999993"/>
    <n v="0.42965008218216993"/>
    <n v="0.42965008218216993"/>
  </r>
  <r>
    <x v="11"/>
    <d v="2024-07-22T00:00:00"/>
    <d v="2024-07-23T00:00:00"/>
    <n v="1"/>
    <s v="CUST-6528"/>
    <s v="Vikram Iyer"/>
    <x v="1"/>
    <x v="1"/>
    <s v="Odisha"/>
    <s v="Bhubaneswar"/>
    <x v="2"/>
    <x v="5"/>
    <s v="Smart Accessories 603"/>
    <x v="1"/>
    <n v="6"/>
    <n v="2005.95"/>
    <n v="0.2"/>
    <x v="11"/>
    <n v="8038.59"/>
    <x v="11"/>
    <x v="0"/>
    <x v="0"/>
    <m/>
    <s v="Valid"/>
    <s v="Valid"/>
    <s v="Pass"/>
    <s v="Pass"/>
    <s v="July"/>
    <s v="2024"/>
    <m/>
    <n v="12035.7"/>
    <n v="9628.5600000000013"/>
    <n v="3997.1100000000006"/>
    <n v="0.33210448914479429"/>
    <n v="0.33210448914479429"/>
  </r>
  <r>
    <x v="12"/>
    <d v="2024-12-20T00:00:00"/>
    <d v="2024-12-21T00:00:00"/>
    <n v="1"/>
    <s v="CUST-2648"/>
    <s v="Ananya Rao"/>
    <x v="2"/>
    <x v="3"/>
    <s v="Rajasthan"/>
    <s v="Udaipur"/>
    <x v="0"/>
    <x v="0"/>
    <s v="Pro Paper 481"/>
    <x v="2"/>
    <n v="1"/>
    <n v="702.14"/>
    <n v="0.15"/>
    <x v="12"/>
    <n v="380.25"/>
    <x v="12"/>
    <x v="2"/>
    <x v="2"/>
    <m/>
    <s v="Valid"/>
    <s v="Valid"/>
    <s v="Pass"/>
    <s v="Pass"/>
    <s v="December"/>
    <s v="2024"/>
    <m/>
    <n v="702.14"/>
    <n v="596.81899999999996"/>
    <n v="321.89"/>
    <n v="0.45844133648560115"/>
    <n v="0.45844133648560115"/>
  </r>
  <r>
    <x v="13"/>
    <d v="2025-10-12T00:00:00"/>
    <d v="2025-10-16T00:00:00"/>
    <n v="4"/>
    <s v="CUST-7482"/>
    <s v="Priya Menon"/>
    <x v="1"/>
    <x v="3"/>
    <s v="Maharashtra"/>
    <s v="Mumbai"/>
    <x v="0"/>
    <x v="2"/>
    <s v="Smart Art 795"/>
    <x v="0"/>
    <n v="7"/>
    <n v="3964.72"/>
    <n v="0.05"/>
    <x v="13"/>
    <n v="22306.240000000002"/>
    <x v="13"/>
    <x v="0"/>
    <x v="0"/>
    <m/>
    <s v="Valid"/>
    <s v="Valid"/>
    <s v="Pass"/>
    <s v="Pass"/>
    <s v="October"/>
    <s v="2025"/>
    <m/>
    <n v="27753.039999999997"/>
    <n v="26365.387999999995"/>
    <n v="5446.7999999999956"/>
    <n v="0.19625958093239501"/>
    <n v="0.19625958093239501"/>
  </r>
  <r>
    <x v="14"/>
    <d v="2024-12-27T00:00:00"/>
    <d v="2024-12-28T00:00:00"/>
    <n v="1"/>
    <s v="CUST-4912"/>
    <s v="Rahul Verma"/>
    <x v="0"/>
    <x v="3"/>
    <s v="Rajasthan"/>
    <s v="Udaipur"/>
    <x v="2"/>
    <x v="6"/>
    <s v="Max Copiers 983"/>
    <x v="3"/>
    <n v="2"/>
    <n v="2737.83"/>
    <n v="0.25"/>
    <x v="14"/>
    <n v="2666.3"/>
    <x v="14"/>
    <x v="0"/>
    <x v="0"/>
    <m/>
    <s v="Valid"/>
    <s v="Valid"/>
    <s v="Pass"/>
    <s v="Pass"/>
    <s v="December"/>
    <s v="2024"/>
    <m/>
    <n v="5475.66"/>
    <n v="4106.7449999999999"/>
    <n v="2809.3599999999997"/>
    <n v="0.51306326543284275"/>
    <n v="0.51306326543284275"/>
  </r>
  <r>
    <x v="15"/>
    <d v="2024-09-07T00:00:00"/>
    <d v="2024-09-07T00:00:00"/>
    <n v="0"/>
    <s v="CUST-7656"/>
    <s v="Karan Malhotra"/>
    <x v="1"/>
    <x v="0"/>
    <s v="Punjab"/>
    <s v="Ludhiana"/>
    <x v="0"/>
    <x v="8"/>
    <s v="Classic Storage 198"/>
    <x v="0"/>
    <n v="6"/>
    <n v="3965.76"/>
    <n v="0"/>
    <x v="15"/>
    <n v="15698.47"/>
    <x v="15"/>
    <x v="0"/>
    <x v="0"/>
    <m/>
    <s v="Valid"/>
    <s v="Valid"/>
    <s v="Pass"/>
    <s v="Pass"/>
    <s v="September"/>
    <s v="2024"/>
    <m/>
    <n v="23794.560000000001"/>
    <n v="23794.560000000001"/>
    <n v="8096.090000000002"/>
    <n v="0.34024962008122872"/>
    <n v="0.34024962008122872"/>
  </r>
  <r>
    <x v="16"/>
    <d v="2024-08-05T00:00:00"/>
    <d v="2024-05-15T00:00:00"/>
    <n v="-82"/>
    <s v="CUST-6214"/>
    <s v="Aarav Sharma"/>
    <x v="0"/>
    <x v="2"/>
    <s v="Telangana"/>
    <s v="Hyderabad"/>
    <x v="0"/>
    <x v="2"/>
    <s v="Basic Art 204"/>
    <x v="2"/>
    <n v="4"/>
    <n v="3323.51"/>
    <n v="0.25"/>
    <x v="16"/>
    <n v="5668.17"/>
    <x v="16"/>
    <x v="0"/>
    <x v="0"/>
    <m/>
    <s v="Invalid-Date"/>
    <s v="Valid"/>
    <s v="Pass"/>
    <s v="Pass"/>
    <s v="August"/>
    <s v="2024"/>
    <m/>
    <n v="13294.04"/>
    <n v="9970.5300000000007"/>
    <n v="7625.8700000000008"/>
    <n v="0.57363073979016166"/>
    <n v="0.57363073979016166"/>
  </r>
  <r>
    <x v="17"/>
    <d v="2024-07-01T00:00:00"/>
    <d v="2024-08-01T00:00:00"/>
    <n v="31"/>
    <s v="CUST-1626"/>
    <s v="Sneha Kapoor"/>
    <x v="1"/>
    <x v="0"/>
    <s v="Rajasthan"/>
    <s v="Jaipur"/>
    <x v="1"/>
    <x v="3"/>
    <s v="Basic Furnishings 434"/>
    <x v="1"/>
    <n v="5"/>
    <n v="1526.78"/>
    <n v="0"/>
    <x v="17"/>
    <n v="4706.91"/>
    <x v="17"/>
    <x v="0"/>
    <x v="0"/>
    <m/>
    <s v="Valid"/>
    <s v="Valid"/>
    <s v="Pass"/>
    <s v="Pass"/>
    <s v="July"/>
    <s v="2024"/>
    <m/>
    <n v="7633.9"/>
    <n v="7633.9"/>
    <n v="2926.99"/>
    <n v="0.38342000812166782"/>
    <n v="0.38342000812166782"/>
  </r>
  <r>
    <x v="18"/>
    <d v="2025-07-15T00:00:00"/>
    <d v="2025-07-17T00:00:00"/>
    <n v="2"/>
    <s v="CUST-2110"/>
    <s v="Aarav Sharma"/>
    <x v="3"/>
    <x v="0"/>
    <s v="Uttar Pradesh"/>
    <s v="Noida"/>
    <x v="2"/>
    <x v="6"/>
    <s v="Eco Copiers 755"/>
    <x v="2"/>
    <n v="2"/>
    <n v="1997.99"/>
    <n v="0"/>
    <x v="18"/>
    <n v="2633.2"/>
    <x v="18"/>
    <x v="1"/>
    <x v="1"/>
    <m/>
    <s v="Valid"/>
    <s v="Valid"/>
    <s v="Pass"/>
    <s v="Pass"/>
    <s v="July"/>
    <s v="2025"/>
    <m/>
    <n v="3995.98"/>
    <n v="3995.98"/>
    <n v="1362.7800000000002"/>
    <n v="0.34103774293164635"/>
    <n v="0.34103774293164635"/>
  </r>
  <r>
    <x v="19"/>
    <d v="2024-07-27T00:00:00"/>
    <d v="2024-07-31T00:00:00"/>
    <n v="4"/>
    <s v="CUST-3186"/>
    <s v="Rohan Mehta"/>
    <x v="3"/>
    <x v="3"/>
    <s v="Madhya Pradesh"/>
    <s v="Indore"/>
    <x v="0"/>
    <x v="8"/>
    <s v="Prime Storage 121"/>
    <x v="0"/>
    <n v="3"/>
    <n v="3887.94"/>
    <n v="-0.19"/>
    <x v="19"/>
    <n v="7529.31"/>
    <x v="19"/>
    <x v="0"/>
    <x v="0"/>
    <m/>
    <s v="Valid"/>
    <s v="Invalid-Discount"/>
    <s v="Pass"/>
    <s v="Pass"/>
    <s v="July"/>
    <s v="2024"/>
    <m/>
    <n v="11663.82"/>
    <n v="13879.9458"/>
    <n v="4134.5099999999993"/>
    <n v="0.35447306285590824"/>
    <n v="0.35447306285590824"/>
  </r>
  <r>
    <x v="20"/>
    <d v="2025-01-21T00:00:00"/>
    <d v="2025-01-23T00:00:00"/>
    <n v="2"/>
    <s v="CUST-3190"/>
    <s v="Aditi Sen"/>
    <x v="3"/>
    <x v="1"/>
    <s v="Bihar"/>
    <s v="Patna"/>
    <x v="2"/>
    <x v="6"/>
    <s v="Elite Copiers 233"/>
    <x v="2"/>
    <n v="5"/>
    <n v="4373.0600000000004"/>
    <n v="0.25"/>
    <x v="20"/>
    <n v="9556.52"/>
    <x v="20"/>
    <x v="0"/>
    <x v="0"/>
    <m/>
    <s v="Valid"/>
    <s v="Valid"/>
    <s v="Pass"/>
    <s v="Pass"/>
    <s v="January"/>
    <s v="2025"/>
    <m/>
    <n v="21865.300000000003"/>
    <n v="16398.975000000002"/>
    <n v="12308.780000000002"/>
    <n v="0.5629367079344898"/>
    <n v="0.5629367079344898"/>
  </r>
  <r>
    <x v="21"/>
    <d v="2025-01-24T00:00:00"/>
    <d v="2025-01-30T00:00:00"/>
    <n v="6"/>
    <s v="CUST-3036"/>
    <s v="Sneha Kapoor"/>
    <x v="0"/>
    <x v="3"/>
    <s v="Madhya Pradesh"/>
    <s v="Indore"/>
    <x v="1"/>
    <x v="3"/>
    <s v="Eco Furnishings 897"/>
    <x v="0"/>
    <n v="4"/>
    <n v="697.69"/>
    <n v="-0.23"/>
    <x v="21"/>
    <n v="2037.71"/>
    <x v="21"/>
    <x v="0"/>
    <x v="0"/>
    <m/>
    <s v="Valid"/>
    <s v="Invalid-Discount"/>
    <s v="Pass"/>
    <s v="Pass"/>
    <s v="January"/>
    <s v="2025"/>
    <m/>
    <n v="2790.76"/>
    <n v="3432.6348000000003"/>
    <n v="753.05000000000018"/>
    <n v="0.2698368903094498"/>
    <n v="0.2698368903094498"/>
  </r>
  <r>
    <x v="22"/>
    <d v="2025-01-19T00:00:00"/>
    <d v="2025-01-21T00:00:00"/>
    <n v="2"/>
    <s v="CUST-3588"/>
    <s v="Mira Das"/>
    <x v="0"/>
    <x v="2"/>
    <s v="Telangana"/>
    <s v="Hyderabad"/>
    <x v="0"/>
    <x v="9"/>
    <s v="Max Binders 355"/>
    <x v="3"/>
    <n v="8"/>
    <n v="1219.3399999999999"/>
    <n v="0.15"/>
    <x v="22"/>
    <n v="6685.03"/>
    <x v="22"/>
    <x v="3"/>
    <x v="2"/>
    <m/>
    <s v="Valid"/>
    <s v="Valid"/>
    <s v="Pass"/>
    <s v="Pass"/>
    <s v="January"/>
    <s v="2025"/>
    <m/>
    <n v="9754.7199999999993"/>
    <n v="8291.5119999999988"/>
    <n v="3069.6899999999996"/>
    <n v="0.31468765889743627"/>
    <n v="0.31468765889743627"/>
  </r>
  <r>
    <x v="23"/>
    <d v="2025-08-29T00:00:00"/>
    <d v="2025-08-31T00:00:00"/>
    <n v="2"/>
    <s v="CUST-7098"/>
    <s v="Rahul Verma"/>
    <x v="3"/>
    <x v="1"/>
    <s v="Bihar"/>
    <s v="Patna"/>
    <x v="1"/>
    <x v="10"/>
    <s v="Pro Bookcases 394"/>
    <x v="2"/>
    <n v="4"/>
    <n v="1958.01"/>
    <n v="0.2"/>
    <x v="23"/>
    <n v="4321.8599999999997"/>
    <x v="23"/>
    <x v="0"/>
    <x v="0"/>
    <m/>
    <s v="Valid"/>
    <s v="Valid"/>
    <s v="Pass"/>
    <s v="Pass"/>
    <s v="August"/>
    <s v="2025"/>
    <m/>
    <n v="7832.04"/>
    <n v="6265.6320000000005"/>
    <n v="3510.1800000000003"/>
    <n v="0.4481820828289948"/>
    <n v="0.4481820828289948"/>
  </r>
  <r>
    <x v="24"/>
    <d v="2024-03-04T00:00:00"/>
    <d v="2024-01-03T00:00:00"/>
    <n v="-61"/>
    <s v="CUST-1747"/>
    <s v="Diya Patel"/>
    <x v="0"/>
    <x v="0"/>
    <s v="Punjab"/>
    <s v="Ludhiana"/>
    <x v="0"/>
    <x v="2"/>
    <s v="Max Art 215"/>
    <x v="3"/>
    <n v="4"/>
    <n v="4492.9399999999996"/>
    <n v="0.25"/>
    <x v="24"/>
    <n v="10937.35"/>
    <x v="24"/>
    <x v="2"/>
    <x v="1"/>
    <m/>
    <s v="Invalid-Date"/>
    <s v="Valid"/>
    <s v="Pass"/>
    <s v="Pass"/>
    <s v="March"/>
    <s v="2024"/>
    <m/>
    <n v="17971.759999999998"/>
    <n v="13478.82"/>
    <n v="7034.409999999998"/>
    <n v="0.3914146416377694"/>
    <n v="0.3914146416377694"/>
  </r>
  <r>
    <x v="25"/>
    <d v="2024-10-11T00:00:00"/>
    <d v="2024-10-19T00:00:00"/>
    <n v="8"/>
    <s v="CUST-1731"/>
    <s v="Arjun Bose"/>
    <x v="2"/>
    <x v="1"/>
    <s v="Assam"/>
    <s v="Guwahati"/>
    <x v="2"/>
    <x v="5"/>
    <s v="Classic Accessories 478"/>
    <x v="2"/>
    <n v="2"/>
    <n v="4315.2"/>
    <n v="0.15"/>
    <x v="25"/>
    <n v="4968.41"/>
    <x v="25"/>
    <x v="0"/>
    <x v="0"/>
    <m/>
    <s v="Valid"/>
    <s v="Valid"/>
    <s v="Pass"/>
    <s v="Pass"/>
    <s v="October"/>
    <s v="2024"/>
    <m/>
    <n v="8630.4"/>
    <n v="7335.8399999999992"/>
    <n v="3661.99"/>
    <n v="0.42431289395624766"/>
    <n v="0.42431289395624766"/>
  </r>
  <r>
    <x v="26"/>
    <d v="2024-11-23T00:00:00"/>
    <d v="2024-11-23T00:00:00"/>
    <n v="0"/>
    <s v="CUST-4401"/>
    <s v="Diya Patel"/>
    <x v="2"/>
    <x v="0"/>
    <s v="Uttar Pradesh"/>
    <s v="Noida"/>
    <x v="2"/>
    <x v="11"/>
    <s v="Pro Phones 243"/>
    <x v="3"/>
    <n v="4"/>
    <n v="716.13"/>
    <n v="0.1"/>
    <x v="26"/>
    <n v="1527.55"/>
    <x v="26"/>
    <x v="0"/>
    <x v="2"/>
    <m/>
    <s v="Valid"/>
    <s v="Valid"/>
    <s v="Pass"/>
    <s v="Pass"/>
    <s v="November"/>
    <s v="2024"/>
    <m/>
    <n v="2864.52"/>
    <n v="2578.0680000000002"/>
    <n v="1336.97"/>
    <n v="0.46673439180037146"/>
    <n v="0.46673439180037146"/>
  </r>
  <r>
    <x v="27"/>
    <d v="2025-09-29T00:00:00"/>
    <d v="2025-10-05T00:00:00"/>
    <n v="6"/>
    <s v="CUST-9875"/>
    <s v="Arjun Bose"/>
    <x v="1"/>
    <x v="2"/>
    <s v="Karnataka"/>
    <s v="Bengaluru"/>
    <x v="0"/>
    <x v="0"/>
    <s v="Basic Paper 613"/>
    <x v="0"/>
    <n v="5"/>
    <n v="1806.51"/>
    <n v="0.25"/>
    <x v="27"/>
    <n v="4710.3599999999997"/>
    <x v="27"/>
    <x v="3"/>
    <x v="2"/>
    <m/>
    <s v="Valid"/>
    <s v="Valid"/>
    <s v="Pass"/>
    <s v="Pass"/>
    <s v="September"/>
    <s v="2025"/>
    <m/>
    <n v="9032.5499999999993"/>
    <n v="6774.4124999999995"/>
    <n v="4322.1899999999996"/>
    <n v="0.47851271235697562"/>
    <n v="0.47851271235697562"/>
  </r>
  <r>
    <x v="28"/>
    <d v="2024-10-11T00:00:00"/>
    <d v="2024-10-18T00:00:00"/>
    <n v="7"/>
    <s v="CUST-1569"/>
    <s v="Ananya Rao"/>
    <x v="3"/>
    <x v="3"/>
    <s v="Gujarat"/>
    <s v="Ahmedabad"/>
    <x v="2"/>
    <x v="11"/>
    <s v="Prime Phones 698"/>
    <x v="0"/>
    <n v="2"/>
    <n v="1942.22"/>
    <n v="0.25"/>
    <x v="28"/>
    <n v="2122.33"/>
    <x v="28"/>
    <x v="1"/>
    <x v="1"/>
    <m/>
    <s v="Valid"/>
    <s v="Valid"/>
    <s v="Pass"/>
    <s v="Pass"/>
    <s v="October"/>
    <s v="2024"/>
    <m/>
    <n v="3884.44"/>
    <n v="2913.33"/>
    <n v="1762.1100000000001"/>
    <n v="0.45363295610178045"/>
    <n v="0.45363295610178045"/>
  </r>
  <r>
    <x v="29"/>
    <d v="2025-08-13T00:00:00"/>
    <d v="2025-08-13T00:00:00"/>
    <n v="0"/>
    <s v="CUST-5936"/>
    <s v="Rohan Mehta"/>
    <x v="3"/>
    <x v="2"/>
    <s v="Kerala"/>
    <s v="Kochi"/>
    <x v="2"/>
    <x v="11"/>
    <s v="Pro Phones 442"/>
    <x v="3"/>
    <n v="1"/>
    <n v="256.01"/>
    <n v="0.15"/>
    <x v="29"/>
    <n v="119.77"/>
    <x v="29"/>
    <x v="0"/>
    <x v="0"/>
    <m/>
    <s v="Valid"/>
    <s v="Valid"/>
    <s v="Pass"/>
    <s v="Pass"/>
    <s v="August"/>
    <s v="2025"/>
    <m/>
    <n v="256.01"/>
    <n v="217.60849999999999"/>
    <n v="136.24"/>
    <n v="0.53216671223780332"/>
    <n v="0.53216671223780332"/>
  </r>
  <r>
    <x v="30"/>
    <d v="2024-02-09T00:00:00"/>
    <d v="2024-12-02T00:00:00"/>
    <n v="297"/>
    <s v="CUST-8759"/>
    <s v="Ananya Rao"/>
    <x v="2"/>
    <x v="3"/>
    <s v="Goa"/>
    <s v="Panaji"/>
    <x v="0"/>
    <x v="7"/>
    <s v="Pro Labels 355"/>
    <x v="2"/>
    <n v="1"/>
    <n v="3421.77"/>
    <n v="0.1"/>
    <x v="30"/>
    <n v="2001.89"/>
    <x v="30"/>
    <x v="0"/>
    <x v="0"/>
    <m/>
    <s v="Valid"/>
    <s v="Valid"/>
    <s v="Pass"/>
    <s v="Pass"/>
    <s v="February"/>
    <s v="2024"/>
    <m/>
    <n v="3421.77"/>
    <n v="3079.5929999999998"/>
    <n v="1419.8799999999999"/>
    <n v="0.41495483331725974"/>
    <n v="0.41495483331725974"/>
  </r>
  <r>
    <x v="31"/>
    <d v="2025-06-15T00:00:00"/>
    <d v="2025-06-19T00:00:00"/>
    <n v="4"/>
    <s v="CUST-7867"/>
    <s v="Karan Malhotra"/>
    <x v="1"/>
    <x v="3"/>
    <s v="Madhya Pradesh"/>
    <s v="Indore"/>
    <x v="0"/>
    <x v="0"/>
    <s v="Pro Paper 959"/>
    <x v="0"/>
    <n v="9"/>
    <n v="3092.55"/>
    <n v="0"/>
    <x v="31"/>
    <n v="17769.75"/>
    <x v="31"/>
    <x v="3"/>
    <x v="2"/>
    <m/>
    <s v="Valid"/>
    <s v="Valid"/>
    <s v="Pass"/>
    <s v="Pass"/>
    <s v="June"/>
    <s v="2025"/>
    <m/>
    <n v="27832.95"/>
    <n v="27832.95"/>
    <n v="10063.200000000001"/>
    <n v="0.36155707533696574"/>
    <n v="0.36155707533696574"/>
  </r>
  <r>
    <x v="32"/>
    <d v="2024-11-22T00:00:00"/>
    <d v="2024-11-26T00:00:00"/>
    <n v="4"/>
    <s v="CUST-6509"/>
    <s v="Aarav Sharma"/>
    <x v="2"/>
    <x v="2"/>
    <s v="Andhra Pradesh"/>
    <s v="Vijayawada"/>
    <x v="2"/>
    <x v="11"/>
    <s v="Basic Phones 242"/>
    <x v="0"/>
    <n v="3"/>
    <n v="4001.25"/>
    <n v="0"/>
    <x v="32"/>
    <n v="7529.92"/>
    <x v="32"/>
    <x v="0"/>
    <x v="0"/>
    <m/>
    <s v="Valid"/>
    <s v="Valid"/>
    <s v="Pass"/>
    <s v="Pass"/>
    <s v="November"/>
    <s v="2024"/>
    <m/>
    <n v="12003.75"/>
    <n v="12003.75"/>
    <n v="4473.83"/>
    <n v="0.37270269707383108"/>
    <n v="0.37270269707383108"/>
  </r>
  <r>
    <x v="33"/>
    <d v="2024-07-22T00:00:00"/>
    <d v="2024-07-27T00:00:00"/>
    <n v="5"/>
    <s v="CUST-6660"/>
    <s v="Priya Menon"/>
    <x v="3"/>
    <x v="3"/>
    <s v="Goa"/>
    <s v="Panaji"/>
    <x v="1"/>
    <x v="1"/>
    <s v="Max Tables 836"/>
    <x v="1"/>
    <n v="7"/>
    <n v="492.41"/>
    <n v="0.25"/>
    <x v="33"/>
    <n v="2070.73"/>
    <x v="33"/>
    <x v="0"/>
    <x v="0"/>
    <m/>
    <s v="Valid"/>
    <s v="Valid"/>
    <s v="Pass"/>
    <s v="Pass"/>
    <s v="July"/>
    <s v="2024"/>
    <m/>
    <n v="3446.8700000000003"/>
    <n v="2585.1525000000001"/>
    <n v="1376.1400000000003"/>
    <n v="0.39924337152256983"/>
    <n v="0.39924337152256983"/>
  </r>
  <r>
    <x v="34"/>
    <d v="2025-01-31T00:00:00"/>
    <d v="2025-05-02T00:00:00"/>
    <n v="91"/>
    <s v="CUST-2392"/>
    <s v="Priya Menon"/>
    <x v="3"/>
    <x v="1"/>
    <s v="West Bengal"/>
    <s v="Kolkata"/>
    <x v="1"/>
    <x v="4"/>
    <s v="Elite Chairs 862"/>
    <x v="4"/>
    <n v="2"/>
    <n v="4159.6899999999996"/>
    <n v="0.2"/>
    <x v="34"/>
    <n v="4340.21"/>
    <x v="34"/>
    <x v="0"/>
    <x v="0"/>
    <m/>
    <s v="Valid"/>
    <s v="Valid"/>
    <s v="Flagged"/>
    <s v="Pass"/>
    <s v="January"/>
    <s v="2025"/>
    <m/>
    <n v="8319.3799999999992"/>
    <n v="6655.5039999999999"/>
    <n v="3979.1699999999992"/>
    <n v="0.47830126764254061"/>
    <n v="0.47830126764254061"/>
  </r>
  <r>
    <x v="35"/>
    <d v="2024-05-29T00:00:00"/>
    <d v="2024-05-29T00:00:00"/>
    <n v="0"/>
    <s v="CUST-1611"/>
    <s v="Sneha Kapoor"/>
    <x v="1"/>
    <x v="3"/>
    <s v="Gujarat"/>
    <s v="Ahmedabad"/>
    <x v="1"/>
    <x v="10"/>
    <s v="Prime Bookcases 414"/>
    <x v="0"/>
    <n v="8"/>
    <n v="2507.12"/>
    <n v="0.05"/>
    <x v="35"/>
    <n v="15313.83"/>
    <x v="35"/>
    <x v="2"/>
    <x v="2"/>
    <m/>
    <s v="Valid"/>
    <s v="Valid"/>
    <s v="Pass"/>
    <s v="Pass"/>
    <s v="May"/>
    <s v="2024"/>
    <m/>
    <n v="20056.96"/>
    <n v="19054.111999999997"/>
    <n v="4743.1299999999992"/>
    <n v="0.2364829964261782"/>
    <n v="0.2364829964261782"/>
  </r>
  <r>
    <x v="36"/>
    <d v="2024-10-25T00:00:00"/>
    <d v="2024-10-28T00:00:00"/>
    <n v="3"/>
    <s v="CUST-8296"/>
    <s v="Rohan Mehta"/>
    <x v="2"/>
    <x v="3"/>
    <s v="Maharashtra"/>
    <s v="Mumbai"/>
    <x v="1"/>
    <x v="10"/>
    <s v="Eco Bookcases 220"/>
    <x v="0"/>
    <n v="3"/>
    <n v="3126.47"/>
    <n v="0"/>
    <x v="36"/>
    <n v="6670.85"/>
    <x v="36"/>
    <x v="0"/>
    <x v="2"/>
    <m/>
    <s v="Valid"/>
    <s v="Valid"/>
    <s v="Pass"/>
    <s v="Pass"/>
    <s v="October"/>
    <s v="2024"/>
    <m/>
    <n v="9379.41"/>
    <n v="9379.41"/>
    <n v="2708.5599999999995"/>
    <n v="0.28877722585962223"/>
    <n v="0.28877722585962223"/>
  </r>
  <r>
    <x v="37"/>
    <d v="2025-07-29T00:00:00"/>
    <d v="2025-07-29T00:00:00"/>
    <n v="0"/>
    <s v="CUST-4646"/>
    <s v="Diya Patel"/>
    <x v="0"/>
    <x v="3"/>
    <s v="Maharashtra"/>
    <s v="Mumbai"/>
    <x v="2"/>
    <x v="6"/>
    <s v="Pro Copiers 830"/>
    <x v="3"/>
    <n v="4"/>
    <n v="1327.54"/>
    <n v="0.2"/>
    <x v="37"/>
    <n v="3321.09"/>
    <x v="37"/>
    <x v="0"/>
    <x v="0"/>
    <m/>
    <s v="Valid"/>
    <s v="Valid"/>
    <s v="Pass"/>
    <s v="Pass"/>
    <s v="July"/>
    <s v="2025"/>
    <m/>
    <n v="5310.16"/>
    <n v="4248.1279999999997"/>
    <n v="1989.0699999999997"/>
    <n v="0.37457816713620679"/>
    <n v="0.37457816713620679"/>
  </r>
  <r>
    <x v="38"/>
    <d v="2024-06-17T00:00:00"/>
    <d v="2024-06-22T00:00:00"/>
    <n v="5"/>
    <s v="CUST-8235"/>
    <s v="Aarav Sharma"/>
    <x v="2"/>
    <x v="3"/>
    <s v="Gujarat"/>
    <s v="Ahmedabad"/>
    <x v="2"/>
    <x v="11"/>
    <s v="Prime Phones 507"/>
    <x v="2"/>
    <n v="7"/>
    <n v="2210.6799999999998"/>
    <n v="0.1"/>
    <x v="38"/>
    <n v="10504.87"/>
    <x v="38"/>
    <x v="0"/>
    <x v="0"/>
    <m/>
    <s v="Valid"/>
    <s v="Valid"/>
    <s v="Pass"/>
    <s v="Pass"/>
    <s v="June"/>
    <s v="2024"/>
    <m/>
    <n v="15474.759999999998"/>
    <n v="13927.284"/>
    <n v="4969.8899999999976"/>
    <n v="0.32116103900803616"/>
    <n v="0.32116103900803616"/>
  </r>
  <r>
    <x v="39"/>
    <d v="2024-11-12T00:00:00"/>
    <d v="2024-11-12T00:00:00"/>
    <n v="0"/>
    <s v="CUST-5830"/>
    <s v="Mira Das"/>
    <x v="1"/>
    <x v="3"/>
    <s v="Madhya Pradesh"/>
    <s v="Indore"/>
    <x v="2"/>
    <x v="6"/>
    <s v="Classic Copiers 590"/>
    <x v="2"/>
    <n v="4"/>
    <n v="1370.92"/>
    <n v="0.1"/>
    <x v="39"/>
    <n v="3374.77"/>
    <x v="39"/>
    <x v="2"/>
    <x v="2"/>
    <m/>
    <s v="Valid"/>
    <s v="Valid"/>
    <s v="Pass"/>
    <s v="Pass"/>
    <s v="November"/>
    <s v="2024"/>
    <m/>
    <n v="5483.68"/>
    <n v="4935.3120000000008"/>
    <n v="2108.9100000000003"/>
    <n v="0.38457933358620494"/>
    <n v="0.38457933358620494"/>
  </r>
  <r>
    <x v="40"/>
    <d v="2024-10-10T00:00:00"/>
    <d v="2024-10-16T00:00:00"/>
    <n v="6"/>
    <s v="CUST-7178"/>
    <s v="Isha Nair"/>
    <x v="3"/>
    <x v="3"/>
    <s v="Rajasthan"/>
    <s v="Udaipur"/>
    <x v="2"/>
    <x v="6"/>
    <s v="Eco Copiers 865"/>
    <x v="3"/>
    <n v="7"/>
    <n v="2509.27"/>
    <n v="0.2"/>
    <x v="40"/>
    <n v="11990.37"/>
    <x v="40"/>
    <x v="0"/>
    <x v="0"/>
    <m/>
    <s v="Valid"/>
    <s v="Valid"/>
    <s v="Pass"/>
    <s v="Pass"/>
    <s v="October"/>
    <s v="2024"/>
    <m/>
    <n v="17564.89"/>
    <n v="14051.912"/>
    <n v="5574.5199999999986"/>
    <n v="0.31736720241345084"/>
    <n v="0.31736720241345084"/>
  </r>
  <r>
    <x v="41"/>
    <d v="2024-12-03T00:00:00"/>
    <d v="2024-03-17T00:00:00"/>
    <n v="-261"/>
    <s v="CUST-3829"/>
    <s v="Aarav Sharma"/>
    <x v="1"/>
    <x v="1"/>
    <s v="Odisha"/>
    <s v="Bhubaneswar"/>
    <x v="1"/>
    <x v="10"/>
    <s v="Classic Bookcases 835"/>
    <x v="1"/>
    <n v="8"/>
    <n v="855.81"/>
    <n v="0"/>
    <x v="41"/>
    <n v="4239.8900000000003"/>
    <x v="41"/>
    <x v="2"/>
    <x v="1"/>
    <m/>
    <s v="Invalid-Date"/>
    <s v="Valid"/>
    <s v="Pass"/>
    <s v="Pass"/>
    <s v="December"/>
    <s v="2024"/>
    <m/>
    <n v="6846.48"/>
    <n v="6846.48"/>
    <n v="2606.5899999999992"/>
    <n v="0.38071972750961069"/>
    <n v="0.38071972750961069"/>
  </r>
  <r>
    <x v="42"/>
    <d v="2025-10-10T00:00:00"/>
    <d v="2025-10-15T00:00:00"/>
    <n v="5"/>
    <s v="CUST-6708"/>
    <s v="Arjun Bose"/>
    <x v="2"/>
    <x v="1"/>
    <s v="Jharkhand"/>
    <s v="Ranchi"/>
    <x v="2"/>
    <x v="11"/>
    <s v="Eco Phones 702"/>
    <x v="3"/>
    <n v="8"/>
    <n v="979.87"/>
    <n v="0.05"/>
    <x v="42"/>
    <n v="4496.22"/>
    <x v="42"/>
    <x v="0"/>
    <x v="0"/>
    <m/>
    <s v="Valid"/>
    <s v="Valid"/>
    <s v="Pass"/>
    <s v="Pass"/>
    <s v="October"/>
    <s v="2025"/>
    <m/>
    <n v="7838.96"/>
    <n v="7447.0119999999997"/>
    <n v="3342.74"/>
    <n v="0.42642646473511792"/>
    <n v="0.42642646473511792"/>
  </r>
  <r>
    <x v="43"/>
    <d v="2024-08-07T00:00:00"/>
    <d v="2024-07-14T00:00:00"/>
    <n v="-24"/>
    <s v="CUST-7119"/>
    <s v="Priya Menon"/>
    <x v="1"/>
    <x v="1"/>
    <s v="Odisha"/>
    <s v="Bhubaneswar"/>
    <x v="1"/>
    <x v="3"/>
    <s v="Smart Furnishings 956"/>
    <x v="1"/>
    <n v="3"/>
    <n v="1010.23"/>
    <n v="0"/>
    <x v="43"/>
    <n v="1721.08"/>
    <x v="43"/>
    <x v="0"/>
    <x v="0"/>
    <m/>
    <s v="Invalid-Date"/>
    <s v="Valid"/>
    <s v="Pass"/>
    <s v="Pass"/>
    <s v="August"/>
    <s v="2024"/>
    <m/>
    <n v="3030.69"/>
    <n v="3030.69"/>
    <n v="1309.6100000000001"/>
    <n v="0.43211611877163292"/>
    <n v="0.43211611877163292"/>
  </r>
  <r>
    <x v="44"/>
    <d v="2024-06-22T00:00:00"/>
    <d v="2024-06-25T00:00:00"/>
    <n v="3"/>
    <s v="CUST-3373"/>
    <s v="Rohan Mehta"/>
    <x v="1"/>
    <x v="0"/>
    <s v="Haryana"/>
    <s v="Gurugram"/>
    <x v="1"/>
    <x v="4"/>
    <s v="Max Chairs 393"/>
    <x v="3"/>
    <n v="9"/>
    <n v="3329.77"/>
    <n v="0.1"/>
    <x v="44"/>
    <n v="17376.2"/>
    <x v="44"/>
    <x v="0"/>
    <x v="0"/>
    <m/>
    <s v="Valid"/>
    <s v="Valid"/>
    <s v="Pass"/>
    <s v="Pass"/>
    <s v="June"/>
    <s v="2024"/>
    <m/>
    <n v="29967.93"/>
    <n v="26971.137000000002"/>
    <n v="12591.73"/>
    <n v="0.42017349880355431"/>
    <n v="0.42017349880355431"/>
  </r>
  <r>
    <x v="45"/>
    <d v="2024-01-18T00:00:00"/>
    <d v="2024-01-24T00:00:00"/>
    <n v="6"/>
    <s v="CUST-8896"/>
    <s v="Isha Nair"/>
    <x v="3"/>
    <x v="1"/>
    <s v="Bihar"/>
    <s v="Patna"/>
    <x v="0"/>
    <x v="2"/>
    <s v="Prime Art 221"/>
    <x v="0"/>
    <n v="8"/>
    <n v="3927.82"/>
    <n v="0.05"/>
    <x v="45"/>
    <n v="17487.48"/>
    <x v="45"/>
    <x v="2"/>
    <x v="2"/>
    <m/>
    <s v="Valid"/>
    <s v="Valid"/>
    <s v="Pass"/>
    <s v="Pass"/>
    <s v="January"/>
    <s v="2024"/>
    <m/>
    <n v="31422.560000000001"/>
    <n v="29851.432000000001"/>
    <n v="13935.080000000002"/>
    <n v="0.44347373352139358"/>
    <n v="0.44347373352139358"/>
  </r>
  <r>
    <x v="46"/>
    <d v="2024-07-19T00:00:00"/>
    <d v="2024-07-19T00:00:00"/>
    <n v="0"/>
    <s v="CUST-8517"/>
    <s v="Ananya Rao"/>
    <x v="1"/>
    <x v="2"/>
    <s v="Kerala"/>
    <s v="Kochi"/>
    <x v="1"/>
    <x v="10"/>
    <s v="Elite Bookcases 671"/>
    <x v="3"/>
    <n v="9"/>
    <n v="2386.79"/>
    <n v="0.25"/>
    <x v="46"/>
    <n v="10680.03"/>
    <x v="46"/>
    <x v="1"/>
    <x v="2"/>
    <m/>
    <s v="Valid"/>
    <s v="Valid"/>
    <s v="Pass"/>
    <s v="Pass"/>
    <s v="July"/>
    <s v="2024"/>
    <m/>
    <n v="21481.11"/>
    <n v="16110.8325"/>
    <n v="10801.08"/>
    <n v="0.50281759182835517"/>
    <n v="0.50281759182835517"/>
  </r>
  <r>
    <x v="47"/>
    <d v="2024-08-12T00:00:00"/>
    <d v="2024-12-08T00:00:00"/>
    <n v="118"/>
    <s v="CUST-1987"/>
    <s v="Rahul Verma"/>
    <x v="2"/>
    <x v="2"/>
    <s v="Tamil Nadu"/>
    <s v="Chennai"/>
    <x v="0"/>
    <x v="8"/>
    <s v="Max Storage 432"/>
    <x v="3"/>
    <n v="8"/>
    <n v="2445.31"/>
    <n v="0.1"/>
    <x v="47"/>
    <n v="12438.96"/>
    <x v="47"/>
    <x v="0"/>
    <x v="0"/>
    <m/>
    <s v="Valid"/>
    <s v="Valid"/>
    <s v="Pass"/>
    <s v="Pass"/>
    <s v="August"/>
    <s v="2024"/>
    <m/>
    <n v="19562.48"/>
    <n v="17606.232"/>
    <n v="7123.52"/>
    <n v="0.36414196972980933"/>
    <n v="0.36414196972980933"/>
  </r>
  <r>
    <x v="48"/>
    <d v="2025-01-30T00:00:00"/>
    <d v="2025-05-02T00:00:00"/>
    <n v="92"/>
    <s v="CUST-8183"/>
    <s v="Neha Gupta"/>
    <x v="2"/>
    <x v="3"/>
    <s v="Maharashtra"/>
    <s v="Mumbai"/>
    <x v="1"/>
    <x v="4"/>
    <s v="Basic Chairs 837"/>
    <x v="0"/>
    <n v="7"/>
    <n v="4063.66"/>
    <n v="0"/>
    <x v="48"/>
    <n v="20938.59"/>
    <x v="48"/>
    <x v="0"/>
    <x v="0"/>
    <m/>
    <s v="Valid"/>
    <s v="Valid"/>
    <s v="Pass"/>
    <s v="Pass"/>
    <s v="January"/>
    <s v="2025"/>
    <m/>
    <n v="28445.62"/>
    <n v="28445.62"/>
    <n v="7507.0299999999988"/>
    <n v="0.26390811660986818"/>
    <n v="0.26390811660986818"/>
  </r>
  <r>
    <x v="49"/>
    <d v="2024-04-06T00:00:00"/>
    <d v="2024-04-13T00:00:00"/>
    <n v="7"/>
    <s v="CUST-2380"/>
    <s v="Aarav Sharma"/>
    <x v="3"/>
    <x v="0"/>
    <s v="Uttar Pradesh"/>
    <s v="Noida"/>
    <x v="2"/>
    <x v="6"/>
    <s v="Classic Copiers 295"/>
    <x v="0"/>
    <n v="9"/>
    <n v="792.11"/>
    <n v="0.05"/>
    <x v="49"/>
    <n v="5755.46"/>
    <x v="49"/>
    <x v="0"/>
    <x v="0"/>
    <m/>
    <s v="Valid"/>
    <s v="Valid"/>
    <s v="Pass"/>
    <s v="Pass"/>
    <s v="April"/>
    <s v="2024"/>
    <m/>
    <n v="7128.99"/>
    <n v="6772.5404999999992"/>
    <n v="1373.5299999999997"/>
    <n v="0.19266824613304265"/>
    <n v="0.19266824613304265"/>
  </r>
  <r>
    <x v="50"/>
    <d v="2025-11-05T00:00:00"/>
    <d v="2025-05-19T00:00:00"/>
    <n v="-170"/>
    <s v="CUST-8787"/>
    <s v="Sneha Kapoor"/>
    <x v="0"/>
    <x v="1"/>
    <s v="West Bengal"/>
    <s v="Kolkata"/>
    <x v="2"/>
    <x v="6"/>
    <s v="Pro Copiers 963"/>
    <x v="3"/>
    <n v="1"/>
    <n v="2382.8000000000002"/>
    <n v="0.15"/>
    <x v="50"/>
    <n v="1140.6500000000001"/>
    <x v="50"/>
    <x v="0"/>
    <x v="0"/>
    <m/>
    <s v="Invalid-Date"/>
    <s v="Valid"/>
    <s v="Pass"/>
    <s v="Pass"/>
    <s v="November"/>
    <s v="2025"/>
    <m/>
    <n v="2382.8000000000002"/>
    <n v="2025.38"/>
    <n v="1242.1500000000001"/>
    <n v="0.52129847238542892"/>
    <n v="0.52129847238542892"/>
  </r>
  <r>
    <x v="51"/>
    <d v="2024-04-24T00:00:00"/>
    <d v="2024-04-29T00:00:00"/>
    <n v="5"/>
    <s v="CUST-3557"/>
    <s v="Ananya Rao"/>
    <x v="2"/>
    <x v="2"/>
    <s v="Telangana"/>
    <s v="Hyderabad"/>
    <x v="0"/>
    <x v="2"/>
    <s v="Pro Art 907"/>
    <x v="3"/>
    <n v="6"/>
    <n v="1528.08"/>
    <n v="0"/>
    <x v="51"/>
    <n v="7439.77"/>
    <x v="51"/>
    <x v="0"/>
    <x v="0"/>
    <m/>
    <s v="Valid"/>
    <s v="Valid"/>
    <s v="Pass"/>
    <s v="Pass"/>
    <s v="April"/>
    <s v="2024"/>
    <m/>
    <n v="9168.48"/>
    <n v="9168.48"/>
    <n v="1728.7099999999991"/>
    <n v="0.18854924698532355"/>
    <n v="0.18854924698532355"/>
  </r>
  <r>
    <x v="52"/>
    <d v="2024-10-26T00:00:00"/>
    <d v="2024-10-28T00:00:00"/>
    <n v="2"/>
    <s v="CUST-2778"/>
    <s v="Kabir Singh"/>
    <x v="1"/>
    <x v="0"/>
    <s v="Rajasthan"/>
    <s v="Jaipur"/>
    <x v="1"/>
    <x v="4"/>
    <s v="Pro Chairs 526"/>
    <x v="2"/>
    <n v="9"/>
    <n v="1399.63"/>
    <n v="0"/>
    <x v="52"/>
    <n v="10603.29"/>
    <x v="52"/>
    <x v="3"/>
    <x v="1"/>
    <m/>
    <s v="Valid"/>
    <s v="Valid"/>
    <s v="Pass"/>
    <s v="Pass"/>
    <s v="October"/>
    <s v="2024"/>
    <m/>
    <n v="12596.670000000002"/>
    <n v="12596.670000000002"/>
    <n v="1993.380000000001"/>
    <n v="0.15824658421630483"/>
    <n v="0.15824658421630483"/>
  </r>
  <r>
    <x v="53"/>
    <d v="2025-03-31T00:00:00"/>
    <d v="2025-03-31T00:00:00"/>
    <n v="0"/>
    <s v="CUST-7195"/>
    <s v="Kabir Singh"/>
    <x v="3"/>
    <x v="3"/>
    <s v="Gujarat"/>
    <s v="Ahmedabad"/>
    <x v="0"/>
    <x v="8"/>
    <s v="Elite Storage 924"/>
    <x v="2"/>
    <n v="5"/>
    <n v="1207.47"/>
    <n v="0.15"/>
    <x v="53"/>
    <n v="2838.68"/>
    <x v="53"/>
    <x v="0"/>
    <x v="0"/>
    <m/>
    <s v="Valid"/>
    <s v="Valid"/>
    <s v="Pass"/>
    <s v="Pass"/>
    <s v="March"/>
    <s v="2025"/>
    <m/>
    <n v="6037.35"/>
    <n v="5131.7475000000004"/>
    <n v="3198.6700000000005"/>
    <n v="0.52981357714891475"/>
    <n v="0.52981357714891475"/>
  </r>
  <r>
    <x v="54"/>
    <d v="2025-05-30T00:00:00"/>
    <d v="2025-02-06T00:00:00"/>
    <n v="-113"/>
    <s v="CUST-9039"/>
    <s v="Arjun Bose"/>
    <x v="2"/>
    <x v="2"/>
    <s v="Tamil Nadu"/>
    <s v="Chennai"/>
    <x v="0"/>
    <x v="7"/>
    <s v="Pro Labels 957"/>
    <x v="1"/>
    <n v="8"/>
    <n v="474.37"/>
    <n v="0.1"/>
    <x v="54"/>
    <n v="1993.23"/>
    <x v="54"/>
    <x v="3"/>
    <x v="1"/>
    <m/>
    <s v="Invalid-Date"/>
    <s v="Valid"/>
    <s v="Pass"/>
    <s v="Pass"/>
    <s v="May"/>
    <s v="2025"/>
    <m/>
    <n v="3794.96"/>
    <n v="3415.4639999999999"/>
    <n v="1801.73"/>
    <n v="0.47476916752745746"/>
    <n v="0.47476916752745746"/>
  </r>
  <r>
    <x v="55"/>
    <d v="2025-07-01T00:00:00"/>
    <d v="2025-07-03T00:00:00"/>
    <n v="2"/>
    <s v="CUST-9821"/>
    <s v="Mira Das"/>
    <x v="1"/>
    <x v="2"/>
    <s v="Andhra Pradesh"/>
    <s v="Vijayawada"/>
    <x v="2"/>
    <x v="12"/>
    <s v="Classic Machines 310"/>
    <x v="1"/>
    <n v="3"/>
    <n v="1516.24"/>
    <n v="0.25"/>
    <x v="55"/>
    <n v="2803.13"/>
    <x v="55"/>
    <x v="0"/>
    <x v="0"/>
    <m/>
    <s v="Valid"/>
    <s v="Valid"/>
    <s v="Pass"/>
    <s v="Pass"/>
    <s v="July"/>
    <s v="2025"/>
    <m/>
    <n v="4548.72"/>
    <n v="3411.54"/>
    <n v="1745.5900000000001"/>
    <n v="0.3837541110466241"/>
    <n v="0.3837541110466241"/>
  </r>
  <r>
    <x v="56"/>
    <d v="2025-01-05T00:00:00"/>
    <d v="2025-01-06T00:00:00"/>
    <n v="1"/>
    <s v="CUST-8701"/>
    <s v="Karan Malhotra"/>
    <x v="0"/>
    <x v="2"/>
    <s v="Karnataka"/>
    <s v="Bengaluru"/>
    <x v="0"/>
    <x v="9"/>
    <s v="Smart Binders 393"/>
    <x v="0"/>
    <n v="3"/>
    <n v="3155.61"/>
    <n v="0"/>
    <x v="56"/>
    <n v="6557.83"/>
    <x v="56"/>
    <x v="1"/>
    <x v="1"/>
    <m/>
    <s v="Valid"/>
    <s v="Valid"/>
    <s v="Pass"/>
    <s v="Pass"/>
    <s v="January"/>
    <s v="2025"/>
    <m/>
    <n v="9466.83"/>
    <n v="9466.83"/>
    <n v="2909"/>
    <n v="0.30728343067320318"/>
    <n v="0.30728343067320318"/>
  </r>
  <r>
    <x v="57"/>
    <d v="2024-02-07T00:00:00"/>
    <d v="2024-02-15T00:00:00"/>
    <n v="8"/>
    <s v="CUST-9941"/>
    <s v="Priya Menon"/>
    <x v="0"/>
    <x v="3"/>
    <s v="Goa"/>
    <s v="Panaji"/>
    <x v="1"/>
    <x v="4"/>
    <s v="Max Chairs 813"/>
    <x v="1"/>
    <n v="5"/>
    <n v="255.87"/>
    <n v="0"/>
    <x v="57"/>
    <n v="1091.54"/>
    <x v="57"/>
    <x v="0"/>
    <x v="0"/>
    <m/>
    <s v="Valid"/>
    <s v="Valid"/>
    <s v="Pass"/>
    <s v="Pass"/>
    <s v="February"/>
    <s v="2024"/>
    <m/>
    <n v="1279.3499999999999"/>
    <n v="1279.3499999999999"/>
    <n v="187.80999999999995"/>
    <n v="0.14680110993864068"/>
    <n v="0.14680110993864068"/>
  </r>
  <r>
    <x v="58"/>
    <d v="2024-09-01T00:00:00"/>
    <d v="2024-07-09T00:00:00"/>
    <n v="-54"/>
    <s v="CUST-3983"/>
    <s v="Isha Nair"/>
    <x v="3"/>
    <x v="0"/>
    <s v="Rajasthan"/>
    <s v="Jaipur"/>
    <x v="0"/>
    <x v="8"/>
    <s v="Basic Storage 872"/>
    <x v="4"/>
    <n v="9"/>
    <n v="1389.48"/>
    <n v="0.1"/>
    <x v="58"/>
    <n v="6578.06"/>
    <x v="58"/>
    <x v="2"/>
    <x v="2"/>
    <m/>
    <s v="Invalid-Date"/>
    <s v="Valid"/>
    <s v="Flagged"/>
    <s v="Pass"/>
    <s v="September"/>
    <s v="2024"/>
    <m/>
    <n v="12505.32"/>
    <n v="11254.788"/>
    <n v="5927.2599999999993"/>
    <n v="0.47397907450589027"/>
    <n v="0.47397907450589027"/>
  </r>
  <r>
    <x v="59"/>
    <d v="2024-07-20T00:00:00"/>
    <d v="2024-07-25T00:00:00"/>
    <n v="5"/>
    <s v="CUST-2418"/>
    <s v="Priya Menon"/>
    <x v="2"/>
    <x v="1"/>
    <s v="Assam"/>
    <s v="Guwahati"/>
    <x v="0"/>
    <x v="7"/>
    <s v="Smart Labels 655"/>
    <x v="1"/>
    <n v="5"/>
    <n v="4133.8500000000004"/>
    <n v="0.2"/>
    <x v="59"/>
    <n v="12990.21"/>
    <x v="59"/>
    <x v="0"/>
    <x v="1"/>
    <m/>
    <s v="Valid"/>
    <s v="Valid"/>
    <s v="Pass"/>
    <s v="Pass"/>
    <s v="July"/>
    <s v="2024"/>
    <m/>
    <n v="20669.25"/>
    <n v="16535.400000000001"/>
    <n v="7679.0400000000009"/>
    <n v="0.37152001161145182"/>
    <n v="0.37152001161145182"/>
  </r>
  <r>
    <x v="60"/>
    <d v="2024-07-13T00:00:00"/>
    <d v="2024-07-19T00:00:00"/>
    <n v="6"/>
    <s v="CUST-2892"/>
    <s v="Ananya Rao"/>
    <x v="2"/>
    <x v="1"/>
    <s v="Assam"/>
    <s v="Guwahati"/>
    <x v="0"/>
    <x v="7"/>
    <s v="Eco Labels 210"/>
    <x v="1"/>
    <n v="3"/>
    <n v="275.76"/>
    <n v="0.2"/>
    <x v="60"/>
    <n v="481.47"/>
    <x v="60"/>
    <x v="1"/>
    <x v="1"/>
    <m/>
    <s v="Valid"/>
    <s v="Valid"/>
    <s v="Pass"/>
    <s v="Pass"/>
    <s v="July"/>
    <s v="2024"/>
    <m/>
    <n v="827.28"/>
    <n v="661.82400000000007"/>
    <n v="345.80999999999995"/>
    <n v="0.4180084131128517"/>
    <n v="0.4180084131128517"/>
  </r>
  <r>
    <x v="61"/>
    <d v="2024-04-16T00:00:00"/>
    <d v="2024-04-16T00:00:00"/>
    <n v="0"/>
    <s v="CUST-7008"/>
    <s v="Vikram Iyer"/>
    <x v="3"/>
    <x v="1"/>
    <s v="Bihar"/>
    <s v="Patna"/>
    <x v="1"/>
    <x v="10"/>
    <s v="Classic Bookcases 296"/>
    <x v="3"/>
    <n v="1"/>
    <n v="949.59"/>
    <n v="0"/>
    <x v="61"/>
    <n v="751.25"/>
    <x v="61"/>
    <x v="0"/>
    <x v="0"/>
    <m/>
    <s v="Valid"/>
    <s v="Valid"/>
    <s v="Pass"/>
    <s v="Pass"/>
    <s v="April"/>
    <s v="2024"/>
    <m/>
    <n v="949.59"/>
    <n v="949.59"/>
    <n v="198.34000000000003"/>
    <n v="0.20886909087079689"/>
    <n v="0.20886909087079689"/>
  </r>
  <r>
    <x v="62"/>
    <d v="2024-10-30T00:00:00"/>
    <d v="2024-11-02T00:00:00"/>
    <n v="3"/>
    <s v="CUST-4900"/>
    <s v="Sneha Kapoor"/>
    <x v="3"/>
    <x v="0"/>
    <s v="Rajasthan"/>
    <s v="Jaipur"/>
    <x v="2"/>
    <x v="11"/>
    <s v="Basic Phones 230"/>
    <x v="3"/>
    <n v="9"/>
    <n v="3042.29"/>
    <n v="0.2"/>
    <x v="62"/>
    <n v="13570.55"/>
    <x v="62"/>
    <x v="0"/>
    <x v="0"/>
    <m/>
    <s v="Valid"/>
    <s v="Valid"/>
    <s v="Pass"/>
    <s v="Pass"/>
    <s v="October"/>
    <s v="2024"/>
    <m/>
    <n v="27380.61"/>
    <n v="21904.488000000001"/>
    <n v="13810.060000000001"/>
    <n v="0.50437371556002586"/>
    <n v="0.50437371556002586"/>
  </r>
  <r>
    <x v="63"/>
    <d v="2024-01-25T00:00:00"/>
    <d v="2024-02-01T00:00:00"/>
    <n v="7"/>
    <s v="CUST-5382"/>
    <s v="Sneha Kapoor"/>
    <x v="3"/>
    <x v="0"/>
    <s v="Haryana"/>
    <s v="Gurugram"/>
    <x v="0"/>
    <x v="9"/>
    <s v="Pro Binders 690"/>
    <x v="1"/>
    <n v="2"/>
    <n v="2832.77"/>
    <n v="0.15"/>
    <x v="63"/>
    <n v="3027.75"/>
    <x v="63"/>
    <x v="0"/>
    <x v="0"/>
    <m/>
    <s v="Valid"/>
    <s v="Valid"/>
    <s v="Pass"/>
    <s v="Pass"/>
    <s v="January"/>
    <s v="2024"/>
    <m/>
    <n v="5665.54"/>
    <n v="4815.7089999999998"/>
    <n v="2637.79"/>
    <n v="0.46558492217864494"/>
    <n v="0.46558492217864494"/>
  </r>
  <r>
    <x v="64"/>
    <d v="2024-12-23T00:00:00"/>
    <d v="2024-12-29T00:00:00"/>
    <n v="6"/>
    <s v="CUST-2749"/>
    <s v="Aarav Sharma"/>
    <x v="2"/>
    <x v="1"/>
    <s v="Jharkhand"/>
    <s v="Ranchi"/>
    <x v="0"/>
    <x v="0"/>
    <s v="Classic Paper 458"/>
    <x v="2"/>
    <n v="7"/>
    <n v="447.84"/>
    <n v="0"/>
    <x v="64"/>
    <n v="2367.63"/>
    <x v="64"/>
    <x v="1"/>
    <x v="2"/>
    <m/>
    <s v="Valid"/>
    <s v="Valid"/>
    <s v="Pass"/>
    <s v="Pass"/>
    <s v="December"/>
    <s v="2024"/>
    <m/>
    <n v="3134.8799999999997"/>
    <n v="3134.8799999999997"/>
    <n v="767.24999999999955"/>
    <n v="0.24474621038125849"/>
    <n v="0.24474621038125849"/>
  </r>
  <r>
    <x v="65"/>
    <d v="2024-04-22T00:00:00"/>
    <d v="2024-04-27T00:00:00"/>
    <n v="5"/>
    <s v="CUST-2463"/>
    <s v="Mira Das"/>
    <x v="3"/>
    <x v="3"/>
    <s v="Maharashtra"/>
    <s v="Mumbai"/>
    <x v="0"/>
    <x v="0"/>
    <s v="Pro Paper 552"/>
    <x v="0"/>
    <n v="1"/>
    <n v="4280.1899999999996"/>
    <n v="0.05"/>
    <x v="65"/>
    <n v="2628.92"/>
    <x v="65"/>
    <x v="0"/>
    <x v="0"/>
    <m/>
    <s v="Valid"/>
    <s v="Valid"/>
    <s v="Pass"/>
    <s v="Pass"/>
    <s v="April"/>
    <s v="2024"/>
    <m/>
    <n v="4280.1899999999996"/>
    <n v="4066.1804999999995"/>
    <n v="1651.2699999999995"/>
    <n v="0.38579362131120343"/>
    <n v="0.38579362131120343"/>
  </r>
  <r>
    <x v="66"/>
    <d v="2025-08-28T00:00:00"/>
    <d v="2025-01-09T00:00:00"/>
    <n v="-231"/>
    <s v="CUST-1504"/>
    <s v="Karan Malhotra"/>
    <x v="1"/>
    <x v="2"/>
    <s v="Tamil Nadu"/>
    <s v="Chennai"/>
    <x v="2"/>
    <x v="5"/>
    <s v="Elite Accessories 187"/>
    <x v="1"/>
    <n v="7"/>
    <n v="1057.46"/>
    <n v="0.05"/>
    <x v="66"/>
    <n v="4610.34"/>
    <x v="66"/>
    <x v="0"/>
    <x v="0"/>
    <m/>
    <s v="Invalid-Date"/>
    <s v="Valid"/>
    <s v="Pass"/>
    <s v="Pass"/>
    <s v="August"/>
    <s v="2025"/>
    <m/>
    <n v="7402.22"/>
    <n v="7032.1089999999995"/>
    <n v="2791.88"/>
    <n v="0.37716793070187055"/>
    <n v="0.37716793070187055"/>
  </r>
  <r>
    <x v="67"/>
    <d v="2025-02-03T00:00:00"/>
    <d v="2025-02-07T00:00:00"/>
    <n v="4"/>
    <s v="CUST-8282"/>
    <s v="Kabir Singh"/>
    <x v="0"/>
    <x v="0"/>
    <s v="Haryana"/>
    <s v="Gurugram"/>
    <x v="0"/>
    <x v="0"/>
    <s v="Eco Paper 922"/>
    <x v="2"/>
    <n v="7"/>
    <n v="3609.34"/>
    <n v="0.05"/>
    <x v="67"/>
    <n v="18707.57"/>
    <x v="67"/>
    <x v="0"/>
    <x v="0"/>
    <m/>
    <s v="Valid"/>
    <s v="Valid"/>
    <s v="Pass"/>
    <s v="Pass"/>
    <s v="February"/>
    <s v="2025"/>
    <m/>
    <n v="25265.38"/>
    <n v="24002.111000000001"/>
    <n v="6557.8100000000013"/>
    <n v="0.25955714895244009"/>
    <n v="0.25955714895244009"/>
  </r>
  <r>
    <x v="68"/>
    <d v="2024-10-11T00:00:00"/>
    <d v="2024-11-13T00:00:00"/>
    <n v="33"/>
    <s v="CUST-6054"/>
    <s v="Isha Nair"/>
    <x v="2"/>
    <x v="1"/>
    <s v="Jharkhand"/>
    <s v="Ranchi"/>
    <x v="0"/>
    <x v="8"/>
    <s v="Pro Storage 975"/>
    <x v="0"/>
    <n v="9"/>
    <n v="2211.12"/>
    <n v="0"/>
    <x v="68"/>
    <n v="10962.66"/>
    <x v="68"/>
    <x v="3"/>
    <x v="2"/>
    <m/>
    <s v="Valid"/>
    <s v="Valid"/>
    <s v="Pass"/>
    <s v="Pass"/>
    <s v="October"/>
    <s v="2024"/>
    <m/>
    <n v="19900.079999999998"/>
    <n v="19900.079999999998"/>
    <n v="8937.4199999999983"/>
    <n v="0.44911477742803041"/>
    <n v="0.44911477742803041"/>
  </r>
  <r>
    <x v="69"/>
    <d v="2024-04-09T00:00:00"/>
    <d v="2024-04-14T00:00:00"/>
    <n v="5"/>
    <s v="CUST-5979"/>
    <s v="Neha Gupta"/>
    <x v="1"/>
    <x v="3"/>
    <s v="Gujarat"/>
    <s v="Ahmedabad"/>
    <x v="2"/>
    <x v="12"/>
    <s v="Prime Machines 782"/>
    <x v="1"/>
    <n v="7"/>
    <n v="3417.09"/>
    <n v="0.1"/>
    <x v="69"/>
    <n v="18287.580000000002"/>
    <x v="69"/>
    <x v="1"/>
    <x v="2"/>
    <m/>
    <s v="Valid"/>
    <s v="Valid"/>
    <s v="Pass"/>
    <s v="Pass"/>
    <s v="April"/>
    <s v="2024"/>
    <m/>
    <n v="23919.63"/>
    <n v="21527.667000000001"/>
    <n v="5632.0499999999993"/>
    <n v="0.23545723742382299"/>
    <n v="0.23545723742382299"/>
  </r>
  <r>
    <x v="70"/>
    <d v="2025-08-22T00:00:00"/>
    <d v="2025-08-27T00:00:00"/>
    <n v="5"/>
    <s v="CUST-5582"/>
    <s v="Karan Malhotra"/>
    <x v="2"/>
    <x v="2"/>
    <s v="Andhra Pradesh"/>
    <s v="Vijayawada"/>
    <x v="2"/>
    <x v="11"/>
    <s v="Max Phones 661"/>
    <x v="2"/>
    <n v="2"/>
    <n v="905.87"/>
    <n v="0.15"/>
    <x v="70"/>
    <n v="1070.2"/>
    <x v="70"/>
    <x v="0"/>
    <x v="0"/>
    <m/>
    <s v="Valid"/>
    <s v="Valid"/>
    <s v="Pass"/>
    <s v="Pass"/>
    <s v="August"/>
    <s v="2025"/>
    <m/>
    <n v="1811.74"/>
    <n v="1539.979"/>
    <n v="741.54"/>
    <n v="0.40929713976619159"/>
    <n v="0.40929713976619159"/>
  </r>
  <r>
    <x v="71"/>
    <d v="2025-04-16T00:00:00"/>
    <d v="2025-04-23T00:00:00"/>
    <n v="7"/>
    <s v="CUST-3308"/>
    <s v="Mira Das"/>
    <x v="1"/>
    <x v="3"/>
    <s v="Goa"/>
    <s v="Panaji"/>
    <x v="2"/>
    <x v="12"/>
    <s v="Elite Machines 836"/>
    <x v="3"/>
    <n v="6"/>
    <n v="2027.32"/>
    <n v="0.1"/>
    <x v="71"/>
    <n v="6447.36"/>
    <x v="71"/>
    <x v="0"/>
    <x v="0"/>
    <m/>
    <s v="Valid"/>
    <s v="Valid"/>
    <s v="Pass"/>
    <s v="Pass"/>
    <s v="April"/>
    <s v="2025"/>
    <m/>
    <n v="12163.92"/>
    <n v="10947.528"/>
    <n v="5716.56"/>
    <n v="0.46996034173194173"/>
    <n v="0.46996034173194173"/>
  </r>
  <r>
    <x v="72"/>
    <d v="2024-02-11T00:00:00"/>
    <d v="2024-07-02T00:00:00"/>
    <n v="142"/>
    <s v="CUST-5018"/>
    <s v="Karan Malhotra"/>
    <x v="3"/>
    <x v="2"/>
    <s v="Tamil Nadu"/>
    <s v="Chennai"/>
    <x v="1"/>
    <x v="1"/>
    <s v="Prime Tables 902"/>
    <x v="2"/>
    <n v="7"/>
    <n v="2287.4699999999998"/>
    <n v="0.15"/>
    <x v="72"/>
    <n v="10039.049999999999"/>
    <x v="72"/>
    <x v="0"/>
    <x v="0"/>
    <m/>
    <s v="Valid"/>
    <s v="Valid"/>
    <s v="Pass"/>
    <s v="Pass"/>
    <s v="February"/>
    <s v="2024"/>
    <m/>
    <n v="16012.289999999999"/>
    <n v="13610.446499999998"/>
    <n v="5973.24"/>
    <n v="0.37304095791420216"/>
    <n v="0.37304095791420216"/>
  </r>
  <r>
    <x v="73"/>
    <d v="2025-03-29T00:00:00"/>
    <d v="2025-03-04T00:00:00"/>
    <n v="-25"/>
    <s v="CUST-2342"/>
    <s v="Sneha Kapoor"/>
    <x v="2"/>
    <x v="1"/>
    <s v="West Bengal"/>
    <s v="Kolkata"/>
    <x v="1"/>
    <x v="10"/>
    <s v="Smart Bookcases 167"/>
    <x v="2"/>
    <n v="5"/>
    <n v="1425.74"/>
    <n v="0"/>
    <x v="73"/>
    <n v="4382.1499999999996"/>
    <x v="73"/>
    <x v="0"/>
    <x v="0"/>
    <m/>
    <s v="Invalid-Date"/>
    <s v="Valid"/>
    <s v="Pass"/>
    <s v="Pass"/>
    <s v="March"/>
    <s v="2025"/>
    <m/>
    <n v="7128.7"/>
    <n v="7128.7"/>
    <n v="2746.55"/>
    <n v="0.38528062620113068"/>
    <n v="0.38528062620113068"/>
  </r>
  <r>
    <x v="74"/>
    <d v="2025-02-27T00:00:00"/>
    <d v="2025-01-03T00:00:00"/>
    <n v="-55"/>
    <s v="CUST-6201"/>
    <s v="Vikram Iyer"/>
    <x v="1"/>
    <x v="1"/>
    <s v="West Bengal"/>
    <s v="Kolkata"/>
    <x v="1"/>
    <x v="4"/>
    <s v="Max Chairs 244"/>
    <x v="3"/>
    <n v="6"/>
    <n v="551.64"/>
    <n v="0"/>
    <x v="74"/>
    <n v="2671.08"/>
    <x v="74"/>
    <x v="0"/>
    <x v="0"/>
    <m/>
    <s v="Invalid-Date"/>
    <s v="Valid"/>
    <s v="Pass"/>
    <s v="Pass"/>
    <s v="February"/>
    <s v="2025"/>
    <m/>
    <n v="3309.84"/>
    <n v="3309.84"/>
    <n v="638.76000000000022"/>
    <n v="0.19298818069755644"/>
    <n v="0.19298818069755644"/>
  </r>
  <r>
    <x v="75"/>
    <d v="2025-08-22T00:00:00"/>
    <d v="2025-08-27T00:00:00"/>
    <n v="5"/>
    <s v="CUST-5808"/>
    <s v="Priya Menon"/>
    <x v="1"/>
    <x v="1"/>
    <s v="Odisha"/>
    <s v="Bhubaneswar"/>
    <x v="0"/>
    <x v="7"/>
    <s v="Eco Labels 653"/>
    <x v="2"/>
    <n v="3"/>
    <n v="3294.82"/>
    <n v="0.2"/>
    <x v="75"/>
    <n v="5391.18"/>
    <x v="75"/>
    <x v="0"/>
    <x v="0"/>
    <m/>
    <s v="Valid"/>
    <s v="Valid"/>
    <s v="Pass"/>
    <s v="Pass"/>
    <s v="August"/>
    <s v="2025"/>
    <m/>
    <n v="9884.4600000000009"/>
    <n v="7907.5680000000011"/>
    <n v="4493.2800000000007"/>
    <n v="0.45458021986026553"/>
    <n v="0.45458021986026553"/>
  </r>
  <r>
    <x v="76"/>
    <d v="2024-11-03T00:00:00"/>
    <d v="2024-11-11T00:00:00"/>
    <n v="8"/>
    <s v="CUST-2642"/>
    <s v="Ananya Rao"/>
    <x v="2"/>
    <x v="1"/>
    <s v="Jharkhand"/>
    <s v="Ranchi"/>
    <x v="0"/>
    <x v="7"/>
    <s v="Max Labels 617"/>
    <x v="0"/>
    <n v="3"/>
    <n v="3406.27"/>
    <n v="0"/>
    <x v="76"/>
    <n v="7616.97"/>
    <x v="76"/>
    <x v="0"/>
    <x v="0"/>
    <m/>
    <s v="Valid"/>
    <s v="Valid"/>
    <s v="Pass"/>
    <s v="Pass"/>
    <s v="November"/>
    <s v="2024"/>
    <m/>
    <n v="10218.81"/>
    <n v="10218.81"/>
    <n v="2601.8399999999992"/>
    <n v="0.2546128169522674"/>
    <n v="0.2546128169522674"/>
  </r>
  <r>
    <x v="77"/>
    <d v="2025-08-07T00:00:00"/>
    <d v="2025-07-12T00:00:00"/>
    <n v="-26"/>
    <s v="CUST-4385"/>
    <s v="Rohan Mehta"/>
    <x v="3"/>
    <x v="0"/>
    <s v="Uttar Pradesh"/>
    <s v="Noida"/>
    <x v="1"/>
    <x v="3"/>
    <s v="Pro Furnishings 529"/>
    <x v="3"/>
    <n v="1"/>
    <n v="2582.1999999999998"/>
    <n v="0.15"/>
    <x v="77"/>
    <n v="1223.17"/>
    <x v="77"/>
    <x v="1"/>
    <x v="1"/>
    <m/>
    <s v="Invalid-Date"/>
    <s v="Valid"/>
    <s v="Pass"/>
    <s v="Pass"/>
    <s v="August"/>
    <s v="2025"/>
    <m/>
    <n v="2582.1999999999998"/>
    <n v="2194.87"/>
    <n v="1359.0299999999997"/>
    <n v="0.52630702501742699"/>
    <n v="0.52630702501742699"/>
  </r>
  <r>
    <x v="78"/>
    <d v="2025-07-16T00:00:00"/>
    <d v="2025-07-21T00:00:00"/>
    <n v="5"/>
    <s v="CUST-8043"/>
    <s v="Sneha Kapoor"/>
    <x v="2"/>
    <x v="1"/>
    <s v="West Bengal"/>
    <s v="Kolkata"/>
    <x v="1"/>
    <x v="1"/>
    <s v="Smart Tables 561"/>
    <x v="2"/>
    <n v="5"/>
    <n v="2129.5100000000002"/>
    <n v="0.15"/>
    <x v="78"/>
    <n v="6778.85"/>
    <x v="78"/>
    <x v="0"/>
    <x v="0"/>
    <m/>
    <s v="Valid"/>
    <s v="Valid"/>
    <s v="Pass"/>
    <s v="Pass"/>
    <s v="July"/>
    <s v="2025"/>
    <m/>
    <n v="10647.550000000001"/>
    <n v="9050.4175000000014"/>
    <n v="3868.7000000000007"/>
    <n v="0.36334180163511798"/>
    <n v="0.36334180163511798"/>
  </r>
  <r>
    <x v="79"/>
    <d v="2025-09-27T00:00:00"/>
    <d v="2025-03-10T00:00:00"/>
    <n v="-201"/>
    <s v="CUST-9978"/>
    <s v="Diya Patel"/>
    <x v="3"/>
    <x v="2"/>
    <s v="Tamil Nadu"/>
    <s v="Chennai"/>
    <x v="1"/>
    <x v="4"/>
    <s v="Prime Chairs 838"/>
    <x v="1"/>
    <n v="9"/>
    <n v="4131.5200000000004"/>
    <n v="0.1"/>
    <x v="79"/>
    <n v="24781.26"/>
    <x v="79"/>
    <x v="0"/>
    <x v="0"/>
    <m/>
    <s v="Invalid-Date"/>
    <s v="Valid"/>
    <s v="Pass"/>
    <s v="Pass"/>
    <s v="September"/>
    <s v="2025"/>
    <m/>
    <n v="37183.680000000008"/>
    <n v="33465.312000000005"/>
    <n v="12402.420000000009"/>
    <n v="0.33354471639170752"/>
    <n v="0.33354471639170752"/>
  </r>
  <r>
    <x v="80"/>
    <d v="2024-08-10T00:00:00"/>
    <d v="2024-08-14T00:00:00"/>
    <n v="4"/>
    <s v="CUST-2094"/>
    <s v="Aarav Sharma"/>
    <x v="1"/>
    <x v="0"/>
    <s v="Delhi"/>
    <s v="New Delhi"/>
    <x v="0"/>
    <x v="8"/>
    <s v="Elite Storage 371"/>
    <x v="0"/>
    <n v="4"/>
    <n v="1182.32"/>
    <n v="0.1"/>
    <x v="80"/>
    <n v="2495.33"/>
    <x v="80"/>
    <x v="2"/>
    <x v="2"/>
    <m/>
    <s v="Valid"/>
    <s v="Valid"/>
    <s v="Pass"/>
    <s v="Pass"/>
    <s v="August"/>
    <s v="2024"/>
    <m/>
    <n v="4729.28"/>
    <n v="4256.3519999999999"/>
    <n v="2233.9499999999998"/>
    <n v="0.47236577237972799"/>
    <n v="0.47236577237972799"/>
  </r>
  <r>
    <x v="81"/>
    <d v="2025-03-16T00:00:00"/>
    <d v="2025-03-17T00:00:00"/>
    <n v="1"/>
    <s v="CUST-7907"/>
    <s v="Karan Malhotra"/>
    <x v="3"/>
    <x v="3"/>
    <s v="Goa"/>
    <s v="Panaji"/>
    <x v="0"/>
    <x v="7"/>
    <s v="Eco Labels 662"/>
    <x v="1"/>
    <n v="3"/>
    <n v="1841.91"/>
    <n v="0"/>
    <x v="81"/>
    <n v="3093.42"/>
    <x v="81"/>
    <x v="0"/>
    <x v="0"/>
    <m/>
    <s v="Valid"/>
    <s v="Valid"/>
    <s v="Pass"/>
    <s v="Pass"/>
    <s v="March"/>
    <s v="2025"/>
    <m/>
    <n v="5525.7300000000005"/>
    <n v="5525.7300000000005"/>
    <n v="2432.3100000000004"/>
    <n v="0.44017894468242208"/>
    <n v="0.44017894468242208"/>
  </r>
  <r>
    <x v="82"/>
    <d v="2024-08-03T00:00:00"/>
    <d v="2024-08-04T00:00:00"/>
    <n v="1"/>
    <s v="CUST-6516"/>
    <s v="Arjun Bose"/>
    <x v="0"/>
    <x v="0"/>
    <s v="Uttar Pradesh"/>
    <s v="Noida"/>
    <x v="2"/>
    <x v="6"/>
    <s v="Smart Copiers 702"/>
    <x v="0"/>
    <n v="6"/>
    <n v="1001.73"/>
    <n v="0"/>
    <x v="82"/>
    <n v="3762.85"/>
    <x v="82"/>
    <x v="3"/>
    <x v="2"/>
    <m/>
    <s v="Valid"/>
    <s v="Valid"/>
    <s v="Pass"/>
    <s v="Pass"/>
    <s v="August"/>
    <s v="2024"/>
    <m/>
    <n v="6010.38"/>
    <n v="6010.38"/>
    <n v="2247.5300000000002"/>
    <n v="0.37394141468592673"/>
    <n v="0.37394141468592673"/>
  </r>
  <r>
    <x v="83"/>
    <d v="2024-10-26T00:00:00"/>
    <d v="2024-10-29T00:00:00"/>
    <n v="3"/>
    <s v="CUST-4989"/>
    <s v="Aditi Sen"/>
    <x v="3"/>
    <x v="3"/>
    <s v="Maharashtra"/>
    <s v="Mumbai"/>
    <x v="1"/>
    <x v="1"/>
    <s v="Elite Tables 362"/>
    <x v="0"/>
    <n v="9"/>
    <n v="131.74"/>
    <n v="0.2"/>
    <x v="83"/>
    <n v="674.62"/>
    <x v="83"/>
    <x v="0"/>
    <x v="0"/>
    <m/>
    <s v="Valid"/>
    <s v="Valid"/>
    <s v="Pass"/>
    <s v="Pass"/>
    <s v="October"/>
    <s v="2024"/>
    <m/>
    <n v="1185.6600000000001"/>
    <n v="948.52800000000013"/>
    <n v="511.04000000000008"/>
    <n v="0.43101732368469886"/>
    <n v="0.43101732368469886"/>
  </r>
  <r>
    <x v="84"/>
    <d v="2024-10-01T00:00:00"/>
    <d v="2024-03-10T00:00:00"/>
    <n v="-205"/>
    <s v="CUST-3758"/>
    <s v="Rohan Mehta"/>
    <x v="2"/>
    <x v="2"/>
    <s v="Tamil Nadu"/>
    <s v="Chennai"/>
    <x v="2"/>
    <x v="11"/>
    <s v="Elite Phones 781"/>
    <x v="0"/>
    <n v="6"/>
    <n v="570.28"/>
    <n v="0.2"/>
    <x v="84"/>
    <n v="2085.44"/>
    <x v="84"/>
    <x v="0"/>
    <x v="0"/>
    <m/>
    <s v="Invalid-Date"/>
    <s v="Valid"/>
    <s v="Pass"/>
    <s v="Pass"/>
    <s v="October"/>
    <s v="2024"/>
    <m/>
    <n v="3421.68"/>
    <n v="2737.3440000000001"/>
    <n v="1336.2399999999998"/>
    <n v="0.39052161511304384"/>
    <n v="0.39052161511304384"/>
  </r>
  <r>
    <x v="85"/>
    <d v="2024-07-30T00:00:00"/>
    <d v="2024-05-08T00:00:00"/>
    <n v="-83"/>
    <s v="CUST-6702"/>
    <s v="Kabir Singh"/>
    <x v="2"/>
    <x v="0"/>
    <s v="Delhi"/>
    <s v="New Delhi"/>
    <x v="0"/>
    <x v="9"/>
    <s v="Eco Binders 456"/>
    <x v="3"/>
    <n v="1"/>
    <n v="608.64"/>
    <n v="0"/>
    <x v="85"/>
    <n v="343.99"/>
    <x v="85"/>
    <x v="0"/>
    <x v="1"/>
    <m/>
    <s v="Invalid-Date"/>
    <s v="Valid"/>
    <s v="Pass"/>
    <s v="Pass"/>
    <s v="July"/>
    <s v="2024"/>
    <m/>
    <n v="608.64"/>
    <n v="608.64"/>
    <n v="264.64999999999998"/>
    <n v="0.43482189800210302"/>
    <n v="0.43482189800210302"/>
  </r>
  <r>
    <x v="86"/>
    <d v="2024-07-01T00:00:00"/>
    <d v="2024-01-07T00:00:00"/>
    <n v="-176"/>
    <s v="CUST-9148"/>
    <s v="Ananya Rao"/>
    <x v="1"/>
    <x v="0"/>
    <s v="Delhi"/>
    <s v="New Delhi"/>
    <x v="2"/>
    <x v="6"/>
    <s v="Basic Copiers 525"/>
    <x v="0"/>
    <n v="3"/>
    <n v="885.28"/>
    <n v="0.1"/>
    <x v="86"/>
    <n v="1495.94"/>
    <x v="86"/>
    <x v="1"/>
    <x v="1"/>
    <m/>
    <s v="Invalid-Date"/>
    <s v="Valid"/>
    <s v="Pass"/>
    <s v="Pass"/>
    <s v="July"/>
    <s v="2024"/>
    <m/>
    <n v="2655.84"/>
    <n v="2390.2560000000003"/>
    <n v="1159.9000000000001"/>
    <n v="0.43673564672570636"/>
    <n v="0.43673564672570636"/>
  </r>
  <r>
    <x v="87"/>
    <d v="2024-08-02T00:00:00"/>
    <d v="2024-03-08T00:00:00"/>
    <n v="-147"/>
    <s v="CUST-5829"/>
    <s v="Vikram Iyer"/>
    <x v="0"/>
    <x v="1"/>
    <s v="Assam"/>
    <s v="Guwahati"/>
    <x v="0"/>
    <x v="9"/>
    <s v="Eco Binders 258"/>
    <x v="3"/>
    <n v="7"/>
    <n v="3345.22"/>
    <n v="0"/>
    <x v="87"/>
    <n v="15490.89"/>
    <x v="87"/>
    <x v="0"/>
    <x v="0"/>
    <m/>
    <s v="Invalid-Date"/>
    <s v="Valid"/>
    <s v="Pass"/>
    <s v="Pass"/>
    <s v="August"/>
    <s v="2024"/>
    <m/>
    <n v="23416.539999999997"/>
    <n v="23416.539999999997"/>
    <n v="7925.6499999999978"/>
    <n v="0.33846375254414185"/>
    <n v="0.33846375254414185"/>
  </r>
  <r>
    <x v="88"/>
    <d v="2024-03-24T00:00:00"/>
    <d v="2024-03-27T00:00:00"/>
    <n v="3"/>
    <s v="CUST-6059"/>
    <s v="Rohan Mehta"/>
    <x v="1"/>
    <x v="3"/>
    <s v="Maharashtra"/>
    <s v="Mumbai"/>
    <x v="1"/>
    <x v="10"/>
    <s v="Max Bookcases 398"/>
    <x v="3"/>
    <n v="2"/>
    <n v="3284.75"/>
    <n v="0.05"/>
    <x v="88"/>
    <n v="5345.88"/>
    <x v="88"/>
    <x v="0"/>
    <x v="0"/>
    <m/>
    <s v="Valid"/>
    <s v="Valid"/>
    <s v="Pass"/>
    <s v="Pass"/>
    <s v="March"/>
    <s v="2024"/>
    <m/>
    <n v="6569.5"/>
    <n v="6241.0249999999996"/>
    <n v="1223.6199999999999"/>
    <n v="0.18625770606591063"/>
    <n v="0.18625770606591063"/>
  </r>
  <r>
    <x v="89"/>
    <d v="2024-09-05T00:00:00"/>
    <d v="2024-05-09T00:00:00"/>
    <n v="-119"/>
    <s v="CUST-7744"/>
    <s v="Kabir Singh"/>
    <x v="0"/>
    <x v="2"/>
    <s v="Andhra Pradesh"/>
    <s v="Vijayawada"/>
    <x v="1"/>
    <x v="10"/>
    <s v="Smart Bookcases 857"/>
    <x v="3"/>
    <n v="7"/>
    <n v="3761.09"/>
    <n v="0.2"/>
    <x v="89"/>
    <n v="12057.13"/>
    <x v="89"/>
    <x v="2"/>
    <x v="1"/>
    <m/>
    <s v="Invalid-Date"/>
    <s v="Valid"/>
    <s v="Pass"/>
    <s v="Pass"/>
    <s v="September"/>
    <s v="2024"/>
    <m/>
    <n v="26327.63"/>
    <n v="21062.104000000003"/>
    <n v="14270.500000000002"/>
    <n v="0.54203511671958327"/>
    <n v="0.54203511671958327"/>
  </r>
  <r>
    <x v="90"/>
    <d v="2025-08-24T00:00:00"/>
    <d v="2025-08-29T00:00:00"/>
    <n v="5"/>
    <s v="CUST-5909"/>
    <s v="Aarav Sharma"/>
    <x v="1"/>
    <x v="1"/>
    <s v="Bihar"/>
    <s v="Patna"/>
    <x v="2"/>
    <x v="6"/>
    <s v="Smart Copiers 556"/>
    <x v="2"/>
    <n v="3"/>
    <n v="3703.96"/>
    <n v="0.15"/>
    <x v="90"/>
    <n v="5586.28"/>
    <x v="90"/>
    <x v="0"/>
    <x v="0"/>
    <m/>
    <s v="Valid"/>
    <s v="Valid"/>
    <s v="Pass"/>
    <s v="Pass"/>
    <s v="August"/>
    <s v="2025"/>
    <m/>
    <n v="11111.880000000001"/>
    <n v="9445.098"/>
    <n v="5525.6000000000013"/>
    <n v="0.49726958894444512"/>
    <n v="0.49726958894444512"/>
  </r>
  <r>
    <x v="91"/>
    <d v="2025-03-02T00:00:00"/>
    <d v="2025-08-03T00:00:00"/>
    <n v="154"/>
    <s v="CUST-6409"/>
    <s v="Sneha Kapoor"/>
    <x v="2"/>
    <x v="3"/>
    <s v="Madhya Pradesh"/>
    <s v="Indore"/>
    <x v="2"/>
    <x v="6"/>
    <s v="Prime Copiers 575"/>
    <x v="0"/>
    <n v="9"/>
    <n v="269.68"/>
    <n v="0"/>
    <x v="91"/>
    <n v="1538.35"/>
    <x v="91"/>
    <x v="0"/>
    <x v="0"/>
    <m/>
    <s v="Valid"/>
    <s v="Valid"/>
    <s v="Pass"/>
    <s v="Pass"/>
    <s v="March"/>
    <s v="2025"/>
    <m/>
    <n v="2427.12"/>
    <n v="2427.12"/>
    <n v="888.77"/>
    <n v="0.36618296581957216"/>
    <n v="0.36618296581957216"/>
  </r>
  <r>
    <x v="92"/>
    <d v="2025-01-23T00:00:00"/>
    <d v="2025-01-26T00:00:00"/>
    <n v="3"/>
    <s v="CUST-3014"/>
    <s v="Aarav Sharma"/>
    <x v="0"/>
    <x v="3"/>
    <s v="Madhya Pradesh"/>
    <s v="Indore"/>
    <x v="0"/>
    <x v="0"/>
    <s v="Elite Paper 669"/>
    <x v="3"/>
    <n v="9"/>
    <n v="4458.26"/>
    <n v="0.1"/>
    <x v="92"/>
    <n v="29194.5"/>
    <x v="92"/>
    <x v="0"/>
    <x v="0"/>
    <m/>
    <s v="Valid"/>
    <s v="Valid"/>
    <s v="Pass"/>
    <s v="Pass"/>
    <s v="January"/>
    <s v="2025"/>
    <m/>
    <n v="40124.340000000004"/>
    <n v="36111.906000000003"/>
    <n v="10929.840000000004"/>
    <n v="0.27239924694088435"/>
    <n v="0.27239924694088435"/>
  </r>
  <r>
    <x v="93"/>
    <d v="2024-07-01T00:00:00"/>
    <d v="2024-01-13T00:00:00"/>
    <n v="-170"/>
    <s v="CUST-6106"/>
    <s v="Rohan Mehta"/>
    <x v="2"/>
    <x v="0"/>
    <s v="Uttar Pradesh"/>
    <s v="Noida"/>
    <x v="0"/>
    <x v="9"/>
    <s v="Eco Binders 780"/>
    <x v="3"/>
    <n v="7"/>
    <n v="2788.97"/>
    <n v="-0.09"/>
    <x v="93"/>
    <n v="12455.78"/>
    <x v="93"/>
    <x v="0"/>
    <x v="0"/>
    <m/>
    <s v="Invalid-Date"/>
    <s v="Invalid-Discount"/>
    <s v="Pass"/>
    <s v="Pass"/>
    <s v="July"/>
    <s v="2024"/>
    <m/>
    <n v="19522.789999999997"/>
    <n v="21279.841099999998"/>
    <n v="7067.0099999999966"/>
    <n v="0.36198770769956534"/>
    <n v="0.36198770769956534"/>
  </r>
  <r>
    <x v="94"/>
    <d v="2024-06-09T00:00:00"/>
    <d v="2024-09-09T00:00:00"/>
    <n v="92"/>
    <s v="CUST-1926"/>
    <s v="Diya Patel"/>
    <x v="0"/>
    <x v="0"/>
    <s v="Haryana"/>
    <s v="Gurugram"/>
    <x v="2"/>
    <x v="11"/>
    <s v="Elite Phones 723"/>
    <x v="0"/>
    <n v="7"/>
    <n v="3781.53"/>
    <n v="0"/>
    <x v="94"/>
    <n v="21367.599999999999"/>
    <x v="94"/>
    <x v="2"/>
    <x v="1"/>
    <m/>
    <s v="Valid"/>
    <s v="Valid"/>
    <s v="Pass"/>
    <s v="Pass"/>
    <s v="June"/>
    <s v="2024"/>
    <m/>
    <n v="26470.710000000003"/>
    <n v="26470.710000000003"/>
    <n v="5103.1100000000042"/>
    <n v="0.19278326875251944"/>
    <n v="0.19278326875251944"/>
  </r>
  <r>
    <x v="95"/>
    <d v="2025-09-05T00:00:00"/>
    <d v="2025-10-09T00:00:00"/>
    <n v="34"/>
    <s v="CUST-2687"/>
    <s v="Sneha Kapoor"/>
    <x v="2"/>
    <x v="3"/>
    <s v="Goa"/>
    <s v="Panaji"/>
    <x v="1"/>
    <x v="10"/>
    <s v="Classic Bookcases 988"/>
    <x v="1"/>
    <n v="6"/>
    <n v="1754.13"/>
    <n v="0"/>
    <x v="95"/>
    <n v="8841.0499999999993"/>
    <x v="95"/>
    <x v="0"/>
    <x v="0"/>
    <m/>
    <s v="Valid"/>
    <s v="Valid"/>
    <s v="Pass"/>
    <s v="Pass"/>
    <s v="September"/>
    <s v="2025"/>
    <m/>
    <n v="10524.78"/>
    <n v="10524.78"/>
    <n v="1683.7300000000014"/>
    <n v="0.15997769074507984"/>
    <n v="0.15997769074507984"/>
  </r>
  <r>
    <x v="96"/>
    <d v="2024-06-05T00:00:00"/>
    <d v="2024-06-07T00:00:00"/>
    <n v="2"/>
    <s v="CUST-7283"/>
    <s v="Rahul Verma"/>
    <x v="3"/>
    <x v="1"/>
    <s v="Odisha"/>
    <s v="Bhubaneswar"/>
    <x v="2"/>
    <x v="6"/>
    <s v="Smart Copiers 547"/>
    <x v="0"/>
    <n v="2"/>
    <n v="2259.2399999999998"/>
    <n v="0.15"/>
    <x v="96"/>
    <n v="2516.29"/>
    <x v="96"/>
    <x v="0"/>
    <x v="0"/>
    <m/>
    <s v="Valid"/>
    <s v="Valid"/>
    <s v="Pass"/>
    <s v="Pass"/>
    <s v="June"/>
    <s v="2024"/>
    <m/>
    <n v="4518.4799999999996"/>
    <n v="3840.7079999999996"/>
    <n v="2002.1899999999996"/>
    <n v="0.44311140029390411"/>
    <n v="0.44311140029390411"/>
  </r>
  <r>
    <x v="97"/>
    <d v="2025-08-08T00:00:00"/>
    <d v="2025-11-08T00:00:00"/>
    <n v="92"/>
    <s v="CUST-8111"/>
    <s v="Diya Patel"/>
    <x v="1"/>
    <x v="3"/>
    <s v="Gujarat"/>
    <s v="Ahmedabad"/>
    <x v="0"/>
    <x v="8"/>
    <s v="Basic Storage 656"/>
    <x v="1"/>
    <n v="5"/>
    <n v="3602.36"/>
    <n v="0.2"/>
    <x v="97"/>
    <n v="8809.9699999999993"/>
    <x v="97"/>
    <x v="2"/>
    <x v="2"/>
    <m/>
    <s v="Valid"/>
    <s v="Valid"/>
    <s v="Pass"/>
    <s v="Pass"/>
    <s v="August"/>
    <s v="2025"/>
    <m/>
    <n v="18011.8"/>
    <n v="14409.44"/>
    <n v="9201.83"/>
    <n v="0.51087786895257559"/>
    <n v="0.51087786895257559"/>
  </r>
  <r>
    <x v="98"/>
    <d v="2024-01-26T00:00:00"/>
    <d v="2024-01-02T00:00:00"/>
    <n v="-24"/>
    <s v="CUST-5434"/>
    <s v="Rohan Mehta"/>
    <x v="3"/>
    <x v="2"/>
    <s v="Kerala"/>
    <s v="Kochi"/>
    <x v="2"/>
    <x v="6"/>
    <s v="Elite Copiers 785"/>
    <x v="4"/>
    <n v="8"/>
    <n v="2108.9299999999998"/>
    <n v="0.1"/>
    <x v="98"/>
    <n v="11270.74"/>
    <x v="98"/>
    <x v="0"/>
    <x v="0"/>
    <m/>
    <s v="Invalid-Date"/>
    <s v="Valid"/>
    <s v="Flagged"/>
    <s v="Pass"/>
    <s v="January"/>
    <s v="2024"/>
    <m/>
    <n v="16871.439999999999"/>
    <n v="15184.295999999998"/>
    <n v="5600.6999999999989"/>
    <n v="0.33196336530847392"/>
    <n v="0.33196336530847392"/>
  </r>
  <r>
    <x v="99"/>
    <d v="2025-01-11T00:00:00"/>
    <d v="2025-01-11T00:00:00"/>
    <n v="0"/>
    <s v="CUST-3865"/>
    <s v="Aditi Sen"/>
    <x v="1"/>
    <x v="3"/>
    <s v="Rajasthan"/>
    <s v="Udaipur"/>
    <x v="2"/>
    <x v="5"/>
    <s v="Smart Accessories 542"/>
    <x v="1"/>
    <n v="3"/>
    <n v="2165.29"/>
    <n v="0"/>
    <x v="99"/>
    <n v="4700.8900000000003"/>
    <x v="99"/>
    <x v="0"/>
    <x v="0"/>
    <m/>
    <s v="Valid"/>
    <s v="Valid"/>
    <s v="Pass"/>
    <s v="Pass"/>
    <s v="January"/>
    <s v="2025"/>
    <m/>
    <n v="6495.87"/>
    <n v="6495.87"/>
    <n v="1794.9799999999996"/>
    <n v="0.27632634273777024"/>
    <n v="0.27632634273777024"/>
  </r>
  <r>
    <x v="100"/>
    <d v="2025-09-12T00:00:00"/>
    <d v="2025-09-18T00:00:00"/>
    <n v="6"/>
    <s v="CUST-6015"/>
    <s v="Aarav Sharma"/>
    <x v="3"/>
    <x v="2"/>
    <s v="Kerala"/>
    <s v="Kochi"/>
    <x v="0"/>
    <x v="8"/>
    <s v="Eco Storage 936"/>
    <x v="3"/>
    <n v="6"/>
    <n v="1673.8"/>
    <n v="0.05"/>
    <x v="100"/>
    <n v="5561.49"/>
    <x v="100"/>
    <x v="0"/>
    <x v="0"/>
    <m/>
    <s v="Valid"/>
    <s v="Valid"/>
    <s v="Pass"/>
    <s v="Pass"/>
    <s v="September"/>
    <s v="2025"/>
    <m/>
    <n v="10042.799999999999"/>
    <n v="9540.659999999998"/>
    <n v="4481.3099999999995"/>
    <n v="0.44622117337794237"/>
    <n v="0.44622117337794237"/>
  </r>
  <r>
    <x v="101"/>
    <d v="2024-06-22T00:00:00"/>
    <d v="2024-06-26T00:00:00"/>
    <n v="4"/>
    <s v="CUST-7909"/>
    <s v="Rohan Mehta"/>
    <x v="3"/>
    <x v="1"/>
    <s v="Bihar"/>
    <s v="Patna"/>
    <x v="1"/>
    <x v="3"/>
    <s v="Classic Furnishings 682"/>
    <x v="2"/>
    <n v="5"/>
    <n v="4396.5200000000004"/>
    <n v="0.25"/>
    <x v="101"/>
    <n v="12054.14"/>
    <x v="101"/>
    <x v="0"/>
    <x v="0"/>
    <m/>
    <s v="Valid"/>
    <s v="Valid"/>
    <s v="Pass"/>
    <s v="Pass"/>
    <s v="June"/>
    <s v="2024"/>
    <m/>
    <n v="21982.600000000002"/>
    <n v="16486.95"/>
    <n v="9928.4600000000028"/>
    <n v="0.4516508511277102"/>
    <n v="0.4516508511277102"/>
  </r>
  <r>
    <x v="102"/>
    <d v="2025-07-12T00:00:00"/>
    <d v="2025-07-16T00:00:00"/>
    <n v="4"/>
    <s v="CUST-9603"/>
    <s v="Vikram Iyer"/>
    <x v="0"/>
    <x v="2"/>
    <s v="Karnataka"/>
    <s v="Bengaluru"/>
    <x v="1"/>
    <x v="4"/>
    <s v="Classic Chairs 604"/>
    <x v="2"/>
    <n v="4"/>
    <n v="2865.71"/>
    <n v="0"/>
    <x v="102"/>
    <n v="8979.7800000000007"/>
    <x v="102"/>
    <x v="1"/>
    <x v="1"/>
    <m/>
    <s v="Valid"/>
    <s v="Valid"/>
    <s v="Pass"/>
    <s v="Pass"/>
    <s v="July"/>
    <s v="2025"/>
    <m/>
    <n v="11462.84"/>
    <n v="11462.84"/>
    <n v="2483.0599999999995"/>
    <n v="0.21661822026653077"/>
    <n v="0.21661822026653077"/>
  </r>
  <r>
    <x v="103"/>
    <d v="2025-02-05T00:00:00"/>
    <d v="2025-10-05T00:00:00"/>
    <n v="242"/>
    <s v="CUST-6263"/>
    <s v="Kabir Singh"/>
    <x v="2"/>
    <x v="3"/>
    <s v="Maharashtra"/>
    <s v="Mumbai"/>
    <x v="1"/>
    <x v="1"/>
    <s v="Prime Tables 377"/>
    <x v="2"/>
    <n v="4"/>
    <n v="2440.34"/>
    <n v="0.2"/>
    <x v="103"/>
    <n v="6657.75"/>
    <x v="103"/>
    <x v="0"/>
    <x v="0"/>
    <m/>
    <s v="Valid"/>
    <s v="Valid"/>
    <s v="Pass"/>
    <s v="Pass"/>
    <s v="February"/>
    <s v="2025"/>
    <m/>
    <n v="9761.36"/>
    <n v="7809.0880000000006"/>
    <n v="3103.6100000000006"/>
    <n v="0.31794852356638831"/>
    <n v="0.31794852356638831"/>
  </r>
  <r>
    <x v="104"/>
    <d v="2025-02-01T00:00:00"/>
    <d v="2025-08-02T00:00:00"/>
    <n v="182"/>
    <s v="CUST-1576"/>
    <s v="Ananya Rao"/>
    <x v="0"/>
    <x v="2"/>
    <s v="Karnataka"/>
    <s v="Bengaluru"/>
    <x v="0"/>
    <x v="7"/>
    <s v="Prime Labels 807"/>
    <x v="1"/>
    <n v="5"/>
    <n v="2112.54"/>
    <n v="0.25"/>
    <x v="104"/>
    <n v="5619.95"/>
    <x v="104"/>
    <x v="0"/>
    <x v="1"/>
    <m/>
    <s v="Valid"/>
    <s v="Valid"/>
    <s v="Pass"/>
    <s v="Pass"/>
    <s v="February"/>
    <s v="2025"/>
    <m/>
    <n v="10562.7"/>
    <n v="7922.0250000000005"/>
    <n v="4942.7500000000009"/>
    <n v="0.46794380224753146"/>
    <n v="0.46794380224753146"/>
  </r>
  <r>
    <x v="105"/>
    <d v="2024-06-24T00:00:00"/>
    <d v="2024-06-29T00:00:00"/>
    <n v="5"/>
    <s v="CUST-6540"/>
    <s v="Mira Das"/>
    <x v="3"/>
    <x v="1"/>
    <s v="West Bengal"/>
    <s v="Kolkata"/>
    <x v="1"/>
    <x v="1"/>
    <s v="Eco Tables 575"/>
    <x v="0"/>
    <n v="2"/>
    <n v="685"/>
    <n v="0.1"/>
    <x v="105"/>
    <n v="1006.9"/>
    <x v="105"/>
    <x v="0"/>
    <x v="0"/>
    <m/>
    <s v="Valid"/>
    <s v="Valid"/>
    <s v="Pass"/>
    <s v="Pass"/>
    <s v="June"/>
    <s v="2024"/>
    <m/>
    <n v="1370"/>
    <n v="1233"/>
    <n v="363.1"/>
    <n v="0.26503649635036497"/>
    <n v="0.26503649635036497"/>
  </r>
  <r>
    <x v="106"/>
    <d v="2024-02-20T00:00:00"/>
    <d v="2024-02-28T00:00:00"/>
    <n v="8"/>
    <s v="CUST-4008"/>
    <s v="Arjun Bose"/>
    <x v="3"/>
    <x v="1"/>
    <s v="West Bengal"/>
    <s v="Kolkata"/>
    <x v="0"/>
    <x v="0"/>
    <s v="Eco Paper 918"/>
    <x v="3"/>
    <n v="2"/>
    <n v="4004.04"/>
    <n v="0"/>
    <x v="106"/>
    <n v="5709.39"/>
    <x v="106"/>
    <x v="0"/>
    <x v="1"/>
    <m/>
    <s v="Valid"/>
    <s v="Valid"/>
    <s v="Pass"/>
    <s v="Pass"/>
    <s v="February"/>
    <s v="2024"/>
    <m/>
    <n v="8008.08"/>
    <n v="8008.08"/>
    <n v="2298.6899999999996"/>
    <n v="0.28704633320346445"/>
    <n v="0.28704633320346445"/>
  </r>
  <r>
    <x v="107"/>
    <d v="2024-10-29T00:00:00"/>
    <d v="2024-04-11T00:00:00"/>
    <n v="-201"/>
    <s v="CUST-6604"/>
    <s v="Rohan Mehta"/>
    <x v="3"/>
    <x v="1"/>
    <s v="West Bengal"/>
    <s v="Kolkata"/>
    <x v="1"/>
    <x v="3"/>
    <s v="Prime Furnishings 952"/>
    <x v="2"/>
    <n v="3"/>
    <n v="4302.8900000000003"/>
    <n v="0.05"/>
    <x v="107"/>
    <n v="8925.57"/>
    <x v="107"/>
    <x v="0"/>
    <x v="0"/>
    <m/>
    <s v="Invalid-Date"/>
    <s v="Valid"/>
    <s v="Pass"/>
    <s v="Pass"/>
    <s v="October"/>
    <s v="2024"/>
    <m/>
    <n v="12908.670000000002"/>
    <n v="12263.236500000001"/>
    <n v="3983.1000000000022"/>
    <n v="0.30856006079634862"/>
    <n v="0.30856006079634862"/>
  </r>
  <r>
    <x v="108"/>
    <d v="2024-08-15T00:00:00"/>
    <d v="2024-08-23T00:00:00"/>
    <n v="8"/>
    <s v="CUST-4337"/>
    <s v="Aditi Sen"/>
    <x v="1"/>
    <x v="1"/>
    <s v="Odisha"/>
    <s v="Bhubaneswar"/>
    <x v="1"/>
    <x v="10"/>
    <s v="Prime Bookcases 631"/>
    <x v="1"/>
    <n v="2"/>
    <n v="537.54"/>
    <n v="0.25"/>
    <x v="108"/>
    <n v="498.5"/>
    <x v="108"/>
    <x v="0"/>
    <x v="0"/>
    <m/>
    <s v="Valid"/>
    <s v="Valid"/>
    <s v="Pass"/>
    <s v="Pass"/>
    <s v="August"/>
    <s v="2024"/>
    <m/>
    <n v="1075.08"/>
    <n v="806.31"/>
    <n v="576.57999999999993"/>
    <n v="0.53631357666406221"/>
    <n v="0.53631357666406221"/>
  </r>
  <r>
    <x v="109"/>
    <d v="2025-08-23T00:00:00"/>
    <d v="2025-08-27T00:00:00"/>
    <n v="4"/>
    <s v="CUST-3740"/>
    <s v="Sneha Kapoor"/>
    <x v="0"/>
    <x v="0"/>
    <s v="Delhi"/>
    <s v="New Delhi"/>
    <x v="0"/>
    <x v="9"/>
    <s v="Classic Binders 660"/>
    <x v="0"/>
    <n v="1"/>
    <n v="2788.62"/>
    <n v="0.25"/>
    <x v="109"/>
    <n v="1317.22"/>
    <x v="109"/>
    <x v="0"/>
    <x v="0"/>
    <m/>
    <s v="Valid"/>
    <s v="Valid"/>
    <s v="Pass"/>
    <s v="Pass"/>
    <s v="August"/>
    <s v="2025"/>
    <m/>
    <n v="2788.62"/>
    <n v="2091.4650000000001"/>
    <n v="1471.3999999999999"/>
    <n v="0.52764449799542423"/>
    <n v="0.52764449799542423"/>
  </r>
  <r>
    <x v="110"/>
    <d v="2024-10-18T00:00:00"/>
    <d v="2024-10-24T00:00:00"/>
    <n v="6"/>
    <s v="CUST-7128"/>
    <s v="Vikram Iyer"/>
    <x v="2"/>
    <x v="2"/>
    <s v="Kerala"/>
    <s v="Kochi"/>
    <x v="0"/>
    <x v="7"/>
    <s v="Pro Labels 255"/>
    <x v="2"/>
    <n v="2"/>
    <n v="2250.4699999999998"/>
    <n v="0"/>
    <x v="110"/>
    <n v="2607.73"/>
    <x v="110"/>
    <x v="1"/>
    <x v="1"/>
    <m/>
    <s v="Valid"/>
    <s v="Valid"/>
    <s v="Pass"/>
    <s v="Pass"/>
    <s v="October"/>
    <s v="2024"/>
    <m/>
    <n v="4500.9399999999996"/>
    <n v="4500.9399999999996"/>
    <n v="1893.2099999999996"/>
    <n v="0.42062546934640316"/>
    <n v="0.42062546934640316"/>
  </r>
  <r>
    <x v="111"/>
    <d v="2025-06-27T00:00:00"/>
    <d v="2025-06-30T00:00:00"/>
    <n v="3"/>
    <s v="CUST-4743"/>
    <s v="Neha Gupta"/>
    <x v="2"/>
    <x v="1"/>
    <s v="Bihar"/>
    <s v="Patna"/>
    <x v="2"/>
    <x v="5"/>
    <s v="Basic Accessories 187"/>
    <x v="2"/>
    <n v="1"/>
    <n v="1708.44"/>
    <n v="0.05"/>
    <x v="111"/>
    <n v="1077.46"/>
    <x v="111"/>
    <x v="2"/>
    <x v="1"/>
    <m/>
    <s v="Valid"/>
    <s v="Valid"/>
    <s v="Pass"/>
    <s v="Pass"/>
    <s v="June"/>
    <s v="2025"/>
    <m/>
    <n v="1708.44"/>
    <n v="1623.018"/>
    <n v="630.98"/>
    <n v="0.36933108566879724"/>
    <n v="0.36933108566879724"/>
  </r>
  <r>
    <x v="112"/>
    <d v="2024-01-10T00:00:00"/>
    <d v="2024-01-14T00:00:00"/>
    <n v="4"/>
    <s v="CUST-5213"/>
    <s v="Sneha Kapoor"/>
    <x v="0"/>
    <x v="4"/>
    <s v="Gujarat"/>
    <s v="Ahmedabad"/>
    <x v="2"/>
    <x v="5"/>
    <s v="Max Accessories 451"/>
    <x v="3"/>
    <n v="3"/>
    <n v="3829.48"/>
    <n v="0.05"/>
    <x v="112"/>
    <n v="6548.74"/>
    <x v="112"/>
    <x v="0"/>
    <x v="0"/>
    <m/>
    <s v="Valid"/>
    <s v="Valid"/>
    <s v="Pass"/>
    <s v="Flagged"/>
    <s v="January"/>
    <s v="2024"/>
    <m/>
    <n v="11488.44"/>
    <n v="10914.018"/>
    <n v="4939.7000000000007"/>
    <n v="0.42997134510864837"/>
    <n v="0.42997134510864837"/>
  </r>
  <r>
    <x v="113"/>
    <d v="2024-02-12T00:00:00"/>
    <d v="2024-02-12T00:00:00"/>
    <n v="0"/>
    <s v="CUST-4989"/>
    <s v="Isha Nair"/>
    <x v="3"/>
    <x v="2"/>
    <s v="Tamil Nadu"/>
    <s v="Chennai"/>
    <x v="1"/>
    <x v="1"/>
    <s v="Classic Tables 752"/>
    <x v="3"/>
    <n v="3"/>
    <n v="1089.1500000000001"/>
    <n v="0.25"/>
    <x v="113"/>
    <n v="1639.89"/>
    <x v="113"/>
    <x v="0"/>
    <x v="0"/>
    <m/>
    <s v="Valid"/>
    <s v="Valid"/>
    <s v="Pass"/>
    <s v="Pass"/>
    <s v="February"/>
    <s v="2024"/>
    <m/>
    <n v="3267.4500000000003"/>
    <n v="2450.5875000000001"/>
    <n v="1627.5600000000002"/>
    <n v="0.49811320754716981"/>
    <n v="0.49811320754716981"/>
  </r>
  <r>
    <x v="114"/>
    <d v="2024-09-25T00:00:00"/>
    <d v="2024-09-30T00:00:00"/>
    <n v="5"/>
    <s v="CUST-2927"/>
    <s v="Neha Gupta"/>
    <x v="1"/>
    <x v="0"/>
    <s v="Rajasthan"/>
    <s v="Jaipur"/>
    <x v="2"/>
    <x v="5"/>
    <s v="Eco Accessories 452"/>
    <x v="0"/>
    <n v="1"/>
    <n v="4388.3999999999996"/>
    <n v="0.1"/>
    <x v="114"/>
    <n v="3186.73"/>
    <x v="114"/>
    <x v="2"/>
    <x v="1"/>
    <m/>
    <s v="Valid"/>
    <s v="Valid"/>
    <s v="Pass"/>
    <s v="Pass"/>
    <s v="September"/>
    <s v="2024"/>
    <m/>
    <n v="4388.3999999999996"/>
    <n v="3949.56"/>
    <n v="1201.6699999999996"/>
    <n v="0.2738287302889435"/>
    <n v="0.2738287302889435"/>
  </r>
  <r>
    <x v="115"/>
    <d v="2024-12-27T00:00:00"/>
    <d v="2025-01-01T00:00:00"/>
    <n v="5"/>
    <s v="CUST-7764"/>
    <s v="Kabir Singh"/>
    <x v="2"/>
    <x v="2"/>
    <s v="Tamil Nadu"/>
    <s v="Chennai"/>
    <x v="0"/>
    <x v="9"/>
    <s v="Classic Binders 203"/>
    <x v="1"/>
    <n v="2"/>
    <n v="446.34"/>
    <n v="0.15"/>
    <x v="115"/>
    <n v="490.74"/>
    <x v="115"/>
    <x v="0"/>
    <x v="1"/>
    <m/>
    <s v="Valid"/>
    <s v="Valid"/>
    <s v="Pass"/>
    <s v="Pass"/>
    <s v="December"/>
    <s v="2024"/>
    <m/>
    <n v="892.68"/>
    <n v="758.77799999999991"/>
    <n v="401.93999999999994"/>
    <n v="0.45026213200699017"/>
    <n v="0.45026213200699017"/>
  </r>
  <r>
    <x v="116"/>
    <d v="2025-02-15T00:00:00"/>
    <d v="2025-02-19T00:00:00"/>
    <n v="4"/>
    <s v="CUST-3632"/>
    <s v="Ananya Rao"/>
    <x v="1"/>
    <x v="4"/>
    <s v="Madhya Pradesh"/>
    <s v="Indore"/>
    <x v="0"/>
    <x v="9"/>
    <s v="Basic Binders 859"/>
    <x v="2"/>
    <n v="9"/>
    <n v="531.99"/>
    <n v="0.25"/>
    <x v="116"/>
    <n v="3061.39"/>
    <x v="116"/>
    <x v="3"/>
    <x v="1"/>
    <m/>
    <s v="Valid"/>
    <s v="Valid"/>
    <s v="Pass"/>
    <s v="Flagged"/>
    <s v="February"/>
    <s v="2025"/>
    <m/>
    <n v="4787.91"/>
    <n v="3590.9324999999999"/>
    <n v="1726.52"/>
    <n v="0.36059992773464833"/>
    <n v="0.36059992773464833"/>
  </r>
  <r>
    <x v="117"/>
    <d v="2024-02-15T00:00:00"/>
    <d v="2024-02-17T00:00:00"/>
    <n v="2"/>
    <s v="CUST-9608"/>
    <s v="Mira Das"/>
    <x v="3"/>
    <x v="2"/>
    <s v="Tamil Nadu"/>
    <s v="Chennai"/>
    <x v="2"/>
    <x v="12"/>
    <s v="Elite Machines 705"/>
    <x v="3"/>
    <n v="9"/>
    <n v="3324.55"/>
    <n v="0.7"/>
    <x v="117"/>
    <n v="20370.16"/>
    <x v="117"/>
    <x v="0"/>
    <x v="0"/>
    <m/>
    <s v="Valid"/>
    <s v="Invalid-Discount"/>
    <s v="Pass"/>
    <s v="Pass"/>
    <s v="February"/>
    <s v="2024"/>
    <m/>
    <n v="29920.95"/>
    <n v="8976.2850000000017"/>
    <n v="9550.7900000000009"/>
    <n v="0.31920076067103487"/>
    <n v="0.31920076067103487"/>
  </r>
  <r>
    <x v="118"/>
    <d v="2024-10-06T00:00:00"/>
    <d v="2024-06-18T00:00:00"/>
    <n v="-110"/>
    <s v="CUST-9135"/>
    <s v="Vikram Iyer"/>
    <x v="3"/>
    <x v="2"/>
    <s v="Andhra Pradesh"/>
    <s v="Vijayawada"/>
    <x v="2"/>
    <x v="6"/>
    <s v="Pro Copiers 208"/>
    <x v="1"/>
    <n v="5"/>
    <n v="1580.27"/>
    <n v="0.2"/>
    <x v="118"/>
    <n v="4407.22"/>
    <x v="118"/>
    <x v="0"/>
    <x v="0"/>
    <m/>
    <s v="Invalid-Date"/>
    <s v="Valid"/>
    <s v="Pass"/>
    <s v="Pass"/>
    <s v="October"/>
    <s v="2024"/>
    <m/>
    <n v="7901.35"/>
    <n v="6321.0800000000008"/>
    <n v="3494.13"/>
    <n v="0.44221936757642683"/>
    <n v="0.44221936757642683"/>
  </r>
  <r>
    <x v="119"/>
    <d v="2024-06-12T00:00:00"/>
    <d v="2024-06-19T00:00:00"/>
    <n v="7"/>
    <s v="CUST-7861"/>
    <s v="Aditi Sen"/>
    <x v="1"/>
    <x v="2"/>
    <s v="Kerala"/>
    <s v="Kochi"/>
    <x v="1"/>
    <x v="4"/>
    <s v="Elite Chairs 921"/>
    <x v="3"/>
    <n v="8"/>
    <n v="314.05"/>
    <n v="0.25"/>
    <x v="119"/>
    <n v="1517.69"/>
    <x v="119"/>
    <x v="1"/>
    <x v="2"/>
    <m/>
    <s v="Valid"/>
    <s v="Valid"/>
    <s v="Pass"/>
    <s v="Pass"/>
    <s v="June"/>
    <s v="2024"/>
    <m/>
    <n v="2512.4"/>
    <n v="1884.3000000000002"/>
    <n v="994.71"/>
    <n v="0.39592023563126888"/>
    <n v="0.39592023563126888"/>
  </r>
  <r>
    <x v="120"/>
    <d v="2024-08-10T00:00:00"/>
    <d v="2024-08-18T00:00:00"/>
    <n v="8"/>
    <s v="CUST-6096"/>
    <s v="Sneha Kapoor"/>
    <x v="1"/>
    <x v="1"/>
    <s v="Bihar"/>
    <s v="Patna"/>
    <x v="2"/>
    <x v="11"/>
    <s v="Prime Phones 540"/>
    <x v="3"/>
    <n v="1"/>
    <n v="1823.67"/>
    <n v="0.2"/>
    <x v="120"/>
    <n v="893.2"/>
    <x v="120"/>
    <x v="0"/>
    <x v="2"/>
    <m/>
    <s v="Valid"/>
    <s v="Valid"/>
    <s v="Pass"/>
    <s v="Pass"/>
    <s v="August"/>
    <s v="2024"/>
    <m/>
    <n v="1823.67"/>
    <n v="1458.9360000000001"/>
    <n v="930.47"/>
    <n v="0.51021840574226696"/>
    <n v="0.51021840574226696"/>
  </r>
  <r>
    <x v="121"/>
    <d v="2025-08-22T00:00:00"/>
    <d v="2025-08-26T00:00:00"/>
    <n v="4"/>
    <s v="CUST-2044"/>
    <s v="Kabir Singh"/>
    <x v="1"/>
    <x v="2"/>
    <s v="Andhra Pradesh"/>
    <s v="Vijayawada"/>
    <x v="2"/>
    <x v="12"/>
    <s v="Max Machines 948"/>
    <x v="0"/>
    <n v="5"/>
    <n v="3482.92"/>
    <n v="0"/>
    <x v="121"/>
    <n v="11760.91"/>
    <x v="121"/>
    <x v="1"/>
    <x v="1"/>
    <m/>
    <s v="Valid"/>
    <s v="Valid"/>
    <s v="Pass"/>
    <s v="Pass"/>
    <s v="August"/>
    <s v="2025"/>
    <m/>
    <n v="17414.599999999999"/>
    <n v="17414.599999999999"/>
    <n v="5653.6899999999987"/>
    <n v="0.3246523032398102"/>
    <n v="0.3246523032398102"/>
  </r>
  <r>
    <x v="122"/>
    <d v="2024-11-30T00:00:00"/>
    <d v="2024-12-04T00:00:00"/>
    <n v="4"/>
    <s v="CUST-1721"/>
    <s v="Ananya Rao"/>
    <x v="1"/>
    <x v="1"/>
    <s v="Assam"/>
    <s v="Guwahati"/>
    <x v="1"/>
    <x v="4"/>
    <s v="Max Chairs 786"/>
    <x v="0"/>
    <n v="3"/>
    <n v="170.35"/>
    <n v="0"/>
    <x v="122"/>
    <n v="367.18"/>
    <x v="122"/>
    <x v="0"/>
    <x v="0"/>
    <m/>
    <s v="Valid"/>
    <s v="Valid"/>
    <s v="Pass"/>
    <s v="Pass"/>
    <s v="November"/>
    <s v="2024"/>
    <m/>
    <n v="511.04999999999995"/>
    <n v="511.04999999999995"/>
    <n v="143.86999999999995"/>
    <n v="0.28151844242246349"/>
    <n v="0.28151844242246349"/>
  </r>
  <r>
    <x v="123"/>
    <d v="2024-05-24T00:00:00"/>
    <d v="2024-05-25T00:00:00"/>
    <n v="1"/>
    <s v="CUST-1007"/>
    <s v="Sneha Kapoor"/>
    <x v="1"/>
    <x v="0"/>
    <s v="Punjab"/>
    <s v="Ludhiana"/>
    <x v="2"/>
    <x v="6"/>
    <s v="Max Copiers 970"/>
    <x v="1"/>
    <n v="1"/>
    <n v="634.13"/>
    <n v="0"/>
    <x v="123"/>
    <n v="453.35"/>
    <x v="123"/>
    <x v="1"/>
    <x v="1"/>
    <m/>
    <s v="Valid"/>
    <s v="Valid"/>
    <s v="Pass"/>
    <s v="Pass"/>
    <s v="May"/>
    <s v="2024"/>
    <m/>
    <n v="634.13"/>
    <n v="634.13"/>
    <n v="180.77999999999997"/>
    <n v="0.28508350022865969"/>
    <n v="0.28508350022865969"/>
  </r>
  <r>
    <x v="124"/>
    <d v="2024-07-21T00:00:00"/>
    <d v="2024-07-24T00:00:00"/>
    <n v="3"/>
    <s v="CUST-4450"/>
    <s v="Isha Nair"/>
    <x v="2"/>
    <x v="2"/>
    <s v="Karnataka"/>
    <s v="Bengaluru"/>
    <x v="2"/>
    <x v="6"/>
    <s v="Pro Copiers 769"/>
    <x v="3"/>
    <n v="9"/>
    <n v="465.06"/>
    <n v="-0.15"/>
    <x v="124"/>
    <n v="3443.74"/>
    <x v="124"/>
    <x v="0"/>
    <x v="0"/>
    <m/>
    <s v="Valid"/>
    <s v="Invalid-Discount"/>
    <s v="Pass"/>
    <s v="Pass"/>
    <s v="July"/>
    <s v="2024"/>
    <m/>
    <n v="4185.54"/>
    <n v="4813.3709999999992"/>
    <n v="741.80000000000018"/>
    <n v="0.17722922251370199"/>
    <n v="0.17722922251370199"/>
  </r>
  <r>
    <x v="125"/>
    <d v="2025-07-17T00:00:00"/>
    <d v="2025-07-18T00:00:00"/>
    <n v="1"/>
    <s v="CUST-7924"/>
    <s v="Neha Gupta"/>
    <x v="1"/>
    <x v="3"/>
    <s v="Rajasthan"/>
    <s v="Udaipur"/>
    <x v="1"/>
    <x v="1"/>
    <s v="Basic Tables 753"/>
    <x v="1"/>
    <n v="6"/>
    <n v="3235.27"/>
    <n v="0.25"/>
    <x v="125"/>
    <n v="9591.48"/>
    <x v="125"/>
    <x v="1"/>
    <x v="2"/>
    <m/>
    <s v="Valid"/>
    <s v="Valid"/>
    <s v="Pass"/>
    <s v="Pass"/>
    <s v="July"/>
    <s v="2025"/>
    <m/>
    <n v="19411.62"/>
    <n v="14558.715"/>
    <n v="9820.14"/>
    <n v="0.50588977117829426"/>
    <n v="0.50588977117829426"/>
  </r>
  <r>
    <x v="126"/>
    <d v="2025-09-24T00:00:00"/>
    <d v="2025-09-26T00:00:00"/>
    <n v="2"/>
    <s v="CUST-1715"/>
    <s v="Priya Menon"/>
    <x v="2"/>
    <x v="0"/>
    <s v="Delhi"/>
    <s v="New Delhi"/>
    <x v="2"/>
    <x v="6"/>
    <s v="Prime Copiers 651"/>
    <x v="3"/>
    <n v="3"/>
    <n v="1593.86"/>
    <n v="0.1"/>
    <x v="126"/>
    <n v="2568.5700000000002"/>
    <x v="126"/>
    <x v="0"/>
    <x v="0"/>
    <m/>
    <s v="Valid"/>
    <s v="Valid"/>
    <s v="Pass"/>
    <s v="Pass"/>
    <s v="September"/>
    <s v="2025"/>
    <m/>
    <n v="4781.58"/>
    <n v="4303.4220000000005"/>
    <n v="2213.0099999999998"/>
    <n v="0.46281982106333047"/>
    <n v="0.46281982106333047"/>
  </r>
  <r>
    <x v="127"/>
    <d v="2025-01-30T00:00:00"/>
    <d v="2025-01-26T00:00:00"/>
    <n v="-4"/>
    <s v="CUST-6802"/>
    <s v="Priya Menon"/>
    <x v="2"/>
    <x v="3"/>
    <s v="Madhya Pradesh"/>
    <s v="Indore"/>
    <x v="0"/>
    <x v="8"/>
    <s v="Basic Storage 321"/>
    <x v="0"/>
    <n v="2"/>
    <n v="3039.3"/>
    <n v="0.05"/>
    <x v="127"/>
    <n v="3518.36"/>
    <x v="127"/>
    <x v="0"/>
    <x v="0"/>
    <m/>
    <s v="Invalid-Date"/>
    <s v="Valid"/>
    <s v="Pass"/>
    <s v="Pass"/>
    <s v="January"/>
    <s v="2025"/>
    <m/>
    <n v="6078.6"/>
    <n v="5774.67"/>
    <n v="2560.2400000000002"/>
    <n v="0.42118908959299839"/>
    <n v="0.42118908959299839"/>
  </r>
  <r>
    <x v="128"/>
    <d v="2024-12-13T00:00:00"/>
    <d v="2024-12-16T00:00:00"/>
    <n v="3"/>
    <s v="CUST-9328"/>
    <s v="Neha Gupta"/>
    <x v="1"/>
    <x v="1"/>
    <s v="Odisha"/>
    <s v="Bhubaneswar"/>
    <x v="1"/>
    <x v="3"/>
    <s v="Prime Furnishings 710"/>
    <x v="3"/>
    <n v="5"/>
    <n v="923.45"/>
    <n v="0.05"/>
    <x v="128"/>
    <n v="3366.88"/>
    <x v="128"/>
    <x v="0"/>
    <x v="2"/>
    <m/>
    <s v="Valid"/>
    <s v="Valid"/>
    <s v="Pass"/>
    <s v="Pass"/>
    <s v="December"/>
    <s v="2024"/>
    <m/>
    <n v="4617.25"/>
    <n v="4386.3874999999998"/>
    <n v="1250.3699999999999"/>
    <n v="0.27080405002977959"/>
    <n v="0.27080405002977959"/>
  </r>
  <r>
    <x v="129"/>
    <d v="2024-07-19T00:00:00"/>
    <d v="2024-07-25T00:00:00"/>
    <n v="6"/>
    <s v="CUST-2588"/>
    <s v="Isha Nair"/>
    <x v="1"/>
    <x v="3"/>
    <s v="Goa"/>
    <s v="Panaji"/>
    <x v="0"/>
    <x v="9"/>
    <s v="Elite Binders 723"/>
    <x v="3"/>
    <n v="7"/>
    <n v="2741.29"/>
    <n v="0.05"/>
    <x v="129"/>
    <n v="15139.15"/>
    <x v="129"/>
    <x v="0"/>
    <x v="0"/>
    <m/>
    <s v="Valid"/>
    <s v="Valid"/>
    <s v="Pass"/>
    <s v="Pass"/>
    <s v="July"/>
    <s v="2024"/>
    <m/>
    <n v="19189.03"/>
    <n v="18229.5785"/>
    <n v="4049.8799999999992"/>
    <n v="0.21105183534550728"/>
    <n v="0.21105183534550728"/>
  </r>
  <r>
    <x v="130"/>
    <d v="2024-01-27T00:00:00"/>
    <d v="2024-02-02T00:00:00"/>
    <n v="6"/>
    <s v="CUST-5435"/>
    <s v="Arjun Bose"/>
    <x v="0"/>
    <x v="3"/>
    <s v="Gujarat"/>
    <s v="Ahmedabad"/>
    <x v="0"/>
    <x v="7"/>
    <s v="Smart Labels 878"/>
    <x v="1"/>
    <n v="5"/>
    <n v="218.42"/>
    <n v="0.2"/>
    <x v="130"/>
    <n v="661.72"/>
    <x v="130"/>
    <x v="2"/>
    <x v="1"/>
    <m/>
    <s v="Valid"/>
    <s v="Valid"/>
    <s v="Pass"/>
    <s v="Pass"/>
    <s v="January"/>
    <s v="2024"/>
    <m/>
    <n v="1092.0999999999999"/>
    <n v="873.68"/>
    <n v="430.37999999999988"/>
    <n v="0.39408479077007591"/>
    <n v="0.39408479077007591"/>
  </r>
  <r>
    <x v="131"/>
    <d v="2025-09-29T00:00:00"/>
    <d v="2025-04-10T00:00:00"/>
    <n v="-172"/>
    <s v="CUST-7637"/>
    <s v="Ananya Rao"/>
    <x v="3"/>
    <x v="1"/>
    <s v="Jharkhand"/>
    <s v="Ranchi"/>
    <x v="0"/>
    <x v="0"/>
    <s v="Pro Paper 934"/>
    <x v="1"/>
    <n v="9"/>
    <n v="373.91"/>
    <n v="0.2"/>
    <x v="131"/>
    <n v="2044.49"/>
    <x v="131"/>
    <x v="0"/>
    <x v="0"/>
    <m/>
    <s v="Invalid-Date"/>
    <s v="Valid"/>
    <s v="Pass"/>
    <s v="Pass"/>
    <s v="September"/>
    <s v="2025"/>
    <m/>
    <n v="3365.19"/>
    <n v="2692.152"/>
    <n v="1320.7"/>
    <n v="0.39245926678731363"/>
    <n v="0.39245926678731363"/>
  </r>
  <r>
    <x v="132"/>
    <d v="2024-11-04T00:00:00"/>
    <d v="2024-04-11T00:00:00"/>
    <n v="-207"/>
    <s v="CUST-3602"/>
    <s v="Kabir Singh"/>
    <x v="2"/>
    <x v="1"/>
    <s v="Assam"/>
    <s v="Guwahati"/>
    <x v="2"/>
    <x v="12"/>
    <s v="Classic Machines 886"/>
    <x v="2"/>
    <n v="2"/>
    <n v="533.08000000000004"/>
    <n v="0"/>
    <x v="132"/>
    <n v="656.3"/>
    <x v="132"/>
    <x v="3"/>
    <x v="1"/>
    <m/>
    <s v="Invalid-Date"/>
    <s v="Valid"/>
    <s v="Pass"/>
    <s v="Pass"/>
    <s v="November"/>
    <s v="2024"/>
    <m/>
    <n v="1066.1600000000001"/>
    <n v="1066.1600000000001"/>
    <n v="409.86000000000013"/>
    <n v="0.38442635251744589"/>
    <n v="0.38442635251744589"/>
  </r>
  <r>
    <x v="133"/>
    <d v="2024-12-13T00:00:00"/>
    <d v="2024-12-18T00:00:00"/>
    <n v="5"/>
    <s v="CUST-9441"/>
    <s v="Karan Malhotra"/>
    <x v="0"/>
    <x v="3"/>
    <s v="Goa"/>
    <s v="Panaji"/>
    <x v="2"/>
    <x v="11"/>
    <s v="Prime Phones 419"/>
    <x v="0"/>
    <n v="8"/>
    <n v="3372.15"/>
    <n v="0.15"/>
    <x v="133"/>
    <n v="16875.55"/>
    <x v="133"/>
    <x v="0"/>
    <x v="0"/>
    <m/>
    <s v="Valid"/>
    <s v="Valid"/>
    <s v="Pass"/>
    <s v="Pass"/>
    <s v="December"/>
    <s v="2024"/>
    <m/>
    <n v="26977.200000000001"/>
    <n v="22930.62"/>
    <n v="10101.650000000001"/>
    <n v="0.37445138857998611"/>
    <n v="0.37445138857998611"/>
  </r>
  <r>
    <x v="134"/>
    <d v="2025-07-14T00:00:00"/>
    <d v="2025-07-14T00:00:00"/>
    <n v="0"/>
    <s v="CUST-7361"/>
    <s v="Vikram Iyer"/>
    <x v="3"/>
    <x v="1"/>
    <s v="West Bengal"/>
    <s v="Kolkata"/>
    <x v="1"/>
    <x v="10"/>
    <s v="Elite Bookcases 266"/>
    <x v="4"/>
    <n v="5"/>
    <n v="383.1"/>
    <n v="0.25"/>
    <x v="134"/>
    <n v="912.52"/>
    <x v="134"/>
    <x v="2"/>
    <x v="1"/>
    <m/>
    <s v="Valid"/>
    <s v="Valid"/>
    <s v="Flagged"/>
    <s v="Pass"/>
    <s v="July"/>
    <s v="2025"/>
    <m/>
    <n v="1915.5"/>
    <n v="1436.625"/>
    <n v="1002.98"/>
    <n v="0.52361263377708167"/>
    <n v="0.52361263377708167"/>
  </r>
  <r>
    <x v="135"/>
    <d v="2025-08-24T00:00:00"/>
    <d v="2025-08-24T00:00:00"/>
    <n v="0"/>
    <s v="CUST-1148"/>
    <s v="Diya Patel"/>
    <x v="1"/>
    <x v="2"/>
    <s v="Kerala"/>
    <s v="Kochi"/>
    <x v="1"/>
    <x v="10"/>
    <s v="Prime Bookcases 954"/>
    <x v="3"/>
    <n v="1"/>
    <n v="3424.78"/>
    <n v="0"/>
    <x v="135"/>
    <n v="1951.45"/>
    <x v="135"/>
    <x v="0"/>
    <x v="0"/>
    <m/>
    <s v="Valid"/>
    <s v="Valid"/>
    <s v="Pass"/>
    <s v="Pass"/>
    <s v="August"/>
    <s v="2025"/>
    <m/>
    <n v="3424.78"/>
    <n v="3424.78"/>
    <n v="1473.3300000000002"/>
    <n v="0.43019697615613267"/>
    <n v="0.43019697615613267"/>
  </r>
  <r>
    <x v="136"/>
    <d v="2025-02-09T00:00:00"/>
    <d v="2025-02-15T00:00:00"/>
    <n v="6"/>
    <s v="CUST-3350"/>
    <s v="Mira Das"/>
    <x v="3"/>
    <x v="1"/>
    <s v="Jharkhand"/>
    <s v="Ranchi"/>
    <x v="0"/>
    <x v="9"/>
    <s v="Max Binders 362"/>
    <x v="3"/>
    <n v="9"/>
    <n v="4330.33"/>
    <n v="0.2"/>
    <x v="136"/>
    <n v="21421.09"/>
    <x v="136"/>
    <x v="0"/>
    <x v="0"/>
    <m/>
    <s v="Valid"/>
    <s v="Valid"/>
    <s v="Pass"/>
    <s v="Pass"/>
    <s v="February"/>
    <s v="2025"/>
    <m/>
    <n v="38972.97"/>
    <n v="31178.376000000004"/>
    <n v="17551.88"/>
    <n v="0.45036033948657239"/>
    <n v="0.45036033948657239"/>
  </r>
  <r>
    <x v="137"/>
    <d v="2025-09-01T00:00:00"/>
    <d v="2025-09-01T00:00:00"/>
    <n v="0"/>
    <s v="CUST-7932"/>
    <s v="Sneha Kapoor"/>
    <x v="1"/>
    <x v="0"/>
    <s v="Rajasthan"/>
    <s v="Jaipur"/>
    <x v="1"/>
    <x v="4"/>
    <s v="Prime Chairs 261"/>
    <x v="1"/>
    <n v="8"/>
    <n v="2667.07"/>
    <n v="0.1"/>
    <x v="137"/>
    <n v="15526.62"/>
    <x v="137"/>
    <x v="0"/>
    <x v="0"/>
    <m/>
    <s v="Valid"/>
    <s v="Valid"/>
    <s v="Pass"/>
    <s v="Pass"/>
    <s v="September"/>
    <s v="2025"/>
    <m/>
    <n v="21336.560000000001"/>
    <n v="19202.904000000002"/>
    <n v="5809.9400000000005"/>
    <n v="0.27229975216248542"/>
    <n v="0.27229975216248542"/>
  </r>
  <r>
    <x v="138"/>
    <d v="2024-01-20T00:00:00"/>
    <d v="2024-01-26T00:00:00"/>
    <n v="6"/>
    <s v="CUST-7173"/>
    <s v="Diya Patel"/>
    <x v="3"/>
    <x v="1"/>
    <s v="Jharkhand"/>
    <s v="Ranchi"/>
    <x v="2"/>
    <x v="12"/>
    <s v="Basic Machines 185"/>
    <x v="3"/>
    <n v="8"/>
    <n v="4003.05"/>
    <n v="0.25"/>
    <x v="138"/>
    <n v="14070.78"/>
    <x v="138"/>
    <x v="0"/>
    <x v="0"/>
    <m/>
    <s v="Valid"/>
    <s v="Valid"/>
    <s v="Pass"/>
    <s v="Pass"/>
    <s v="January"/>
    <s v="2024"/>
    <m/>
    <n v="32024.400000000001"/>
    <n v="24018.300000000003"/>
    <n v="17953.620000000003"/>
    <n v="0.5606231498482408"/>
    <n v="0.5606231498482408"/>
  </r>
  <r>
    <x v="139"/>
    <d v="2025-02-03T00:00:00"/>
    <d v="2025-03-07T00:00:00"/>
    <n v="32"/>
    <s v="CUST-4225"/>
    <s v="Neha Gupta"/>
    <x v="3"/>
    <x v="2"/>
    <s v="Karnataka"/>
    <s v="Bengaluru"/>
    <x v="0"/>
    <x v="7"/>
    <s v="Basic Labels 509"/>
    <x v="3"/>
    <n v="8"/>
    <n v="1287.6300000000001"/>
    <n v="0"/>
    <x v="139"/>
    <n v="6564.06"/>
    <x v="139"/>
    <x v="0"/>
    <x v="0"/>
    <m/>
    <s v="Valid"/>
    <s v="Valid"/>
    <s v="Pass"/>
    <s v="Pass"/>
    <s v="February"/>
    <s v="2025"/>
    <m/>
    <n v="10301.040000000001"/>
    <n v="10301.040000000001"/>
    <n v="3736.9800000000005"/>
    <n v="0.3627769623261341"/>
    <n v="0.3627769623261341"/>
  </r>
  <r>
    <x v="140"/>
    <d v="2024-05-31T00:00:00"/>
    <d v="2024-01-06T00:00:00"/>
    <n v="-146"/>
    <s v="CUST-2149"/>
    <s v="Mira Das"/>
    <x v="2"/>
    <x v="2"/>
    <s v="Karnataka"/>
    <s v="Bengaluru"/>
    <x v="1"/>
    <x v="10"/>
    <s v="Elite Bookcases 696"/>
    <x v="1"/>
    <n v="3"/>
    <n v="2914.55"/>
    <n v="0"/>
    <x v="140"/>
    <n v="6603.76"/>
    <x v="140"/>
    <x v="0"/>
    <x v="0"/>
    <m/>
    <s v="Invalid-Date"/>
    <s v="Valid"/>
    <s v="Pass"/>
    <s v="Pass"/>
    <s v="May"/>
    <s v="2024"/>
    <m/>
    <n v="8743.6500000000015"/>
    <n v="8743.6500000000015"/>
    <n v="2139.8900000000012"/>
    <n v="0.24473646589239059"/>
    <n v="0.24473646589239059"/>
  </r>
  <r>
    <x v="141"/>
    <d v="2024-03-23T00:00:00"/>
    <d v="2024-03-29T00:00:00"/>
    <n v="6"/>
    <s v="CUST-3314"/>
    <s v="Priya Menon"/>
    <x v="2"/>
    <x v="0"/>
    <s v="Delhi"/>
    <s v="New Delhi"/>
    <x v="1"/>
    <x v="10"/>
    <s v="Elite Bookcases 772"/>
    <x v="1"/>
    <n v="7"/>
    <n v="634.29"/>
    <n v="0.1"/>
    <x v="141"/>
    <n v="2859.51"/>
    <x v="141"/>
    <x v="0"/>
    <x v="2"/>
    <m/>
    <s v="Valid"/>
    <s v="Valid"/>
    <s v="Pass"/>
    <s v="Pass"/>
    <s v="March"/>
    <s v="2024"/>
    <m/>
    <n v="4440.03"/>
    <n v="3996.027"/>
    <n v="1580.5199999999995"/>
    <n v="0.35597056776643393"/>
    <n v="0.35597056776643393"/>
  </r>
  <r>
    <x v="142"/>
    <d v="2024-03-30T00:00:00"/>
    <d v="2024-03-26T00:00:00"/>
    <n v="-4"/>
    <s v="CUST-8944"/>
    <s v="Aditi Sen"/>
    <x v="3"/>
    <x v="0"/>
    <s v="Rajasthan"/>
    <s v="Jaipur"/>
    <x v="2"/>
    <x v="11"/>
    <s v="Classic Phones 142"/>
    <x v="0"/>
    <n v="5"/>
    <n v="907.54"/>
    <n v="0.15"/>
    <x v="142"/>
    <n v="2769.26"/>
    <x v="142"/>
    <x v="0"/>
    <x v="0"/>
    <m/>
    <s v="Invalid-Date"/>
    <s v="Valid"/>
    <s v="Pass"/>
    <s v="Pass"/>
    <s v="March"/>
    <s v="2024"/>
    <m/>
    <n v="4537.7"/>
    <n v="3857.0449999999996"/>
    <n v="1768.4399999999996"/>
    <n v="0.38972166516076417"/>
    <n v="0.38972166516076417"/>
  </r>
  <r>
    <x v="143"/>
    <d v="2024-03-24T00:00:00"/>
    <d v="2024-03-26T00:00:00"/>
    <n v="2"/>
    <s v="CUST-3144"/>
    <s v="Priya Menon"/>
    <x v="0"/>
    <x v="3"/>
    <s v="Gujarat"/>
    <s v="Ahmedabad"/>
    <x v="0"/>
    <x v="0"/>
    <s v="Pro Paper 575"/>
    <x v="0"/>
    <n v="1"/>
    <n v="3409.5"/>
    <n v="0.1"/>
    <x v="143"/>
    <n v="1916.16"/>
    <x v="143"/>
    <x v="0"/>
    <x v="2"/>
    <m/>
    <s v="Valid"/>
    <s v="Valid"/>
    <s v="Pass"/>
    <s v="Pass"/>
    <s v="March"/>
    <s v="2024"/>
    <m/>
    <n v="3409.5"/>
    <n v="3068.55"/>
    <n v="1493.34"/>
    <n v="0.4379938407391113"/>
    <n v="0.4379938407391113"/>
  </r>
  <r>
    <x v="144"/>
    <d v="2024-06-07T00:00:00"/>
    <d v="2024-06-15T00:00:00"/>
    <n v="8"/>
    <s v="CUST-6747"/>
    <s v="Kabir Singh"/>
    <x v="1"/>
    <x v="2"/>
    <s v="Telangana"/>
    <s v="Hyderabad"/>
    <x v="2"/>
    <x v="5"/>
    <s v="Elite Accessories 905"/>
    <x v="2"/>
    <n v="7"/>
    <n v="2147.9899999999998"/>
    <n v="0.25"/>
    <x v="144"/>
    <n v="6908.76"/>
    <x v="144"/>
    <x v="1"/>
    <x v="2"/>
    <m/>
    <s v="Valid"/>
    <s v="Valid"/>
    <s v="Pass"/>
    <s v="Pass"/>
    <s v="June"/>
    <s v="2024"/>
    <m/>
    <n v="15035.929999999998"/>
    <n v="11276.947499999998"/>
    <n v="8127.1699999999983"/>
    <n v="0.54051661586612865"/>
    <n v="0.54051661586612865"/>
  </r>
  <r>
    <x v="145"/>
    <d v="2025-04-11T00:00:00"/>
    <d v="2025-04-13T00:00:00"/>
    <n v="2"/>
    <s v="CUST-6161"/>
    <s v="Mira Das"/>
    <x v="1"/>
    <x v="3"/>
    <s v="Goa"/>
    <s v="Panaji"/>
    <x v="0"/>
    <x v="0"/>
    <s v="Smart Paper 899"/>
    <x v="3"/>
    <n v="4"/>
    <n v="4182.1499999999996"/>
    <n v="0.1"/>
    <x v="145"/>
    <n v="9808.83"/>
    <x v="145"/>
    <x v="0"/>
    <x v="0"/>
    <m/>
    <s v="Valid"/>
    <s v="Valid"/>
    <s v="Pass"/>
    <s v="Pass"/>
    <s v="April"/>
    <s v="2025"/>
    <m/>
    <n v="16728.599999999999"/>
    <n v="15055.74"/>
    <n v="6919.7699999999986"/>
    <n v="0.41364908001865064"/>
    <n v="0.41364908001865064"/>
  </r>
  <r>
    <x v="146"/>
    <d v="2025-07-30T00:00:00"/>
    <d v="2025-01-08T00:00:00"/>
    <n v="-203"/>
    <s v="CUST-1460"/>
    <s v="Sneha Kapoor"/>
    <x v="1"/>
    <x v="2"/>
    <s v="Tamil Nadu"/>
    <s v="Chennai"/>
    <x v="0"/>
    <x v="8"/>
    <s v="Classic Storage 423"/>
    <x v="1"/>
    <n v="9"/>
    <n v="3165.43"/>
    <n v="0.1"/>
    <x v="146"/>
    <n v="21635.08"/>
    <x v="146"/>
    <x v="0"/>
    <x v="0"/>
    <m/>
    <s v="Invalid-Date"/>
    <s v="Valid"/>
    <s v="Pass"/>
    <s v="Pass"/>
    <s v="July"/>
    <s v="2025"/>
    <m/>
    <n v="28488.87"/>
    <n v="25639.983"/>
    <n v="6853.7899999999972"/>
    <n v="0.24057781161555364"/>
    <n v="0.24057781161555364"/>
  </r>
  <r>
    <x v="147"/>
    <d v="2024-12-23T00:00:00"/>
    <d v="2024-12-30T00:00:00"/>
    <n v="7"/>
    <s v="CUST-2692"/>
    <s v="Priya Menon"/>
    <x v="3"/>
    <x v="3"/>
    <s v="Goa"/>
    <s v="Panaji"/>
    <x v="1"/>
    <x v="3"/>
    <s v="Classic Furnishings 743"/>
    <x v="2"/>
    <n v="8"/>
    <n v="386.1"/>
    <n v="0.1"/>
    <x v="147"/>
    <n v="1744.05"/>
    <x v="147"/>
    <x v="0"/>
    <x v="0"/>
    <m/>
    <s v="Valid"/>
    <s v="Valid"/>
    <s v="Pass"/>
    <s v="Pass"/>
    <s v="December"/>
    <s v="2024"/>
    <m/>
    <n v="3088.8"/>
    <n v="2779.92"/>
    <n v="1344.7500000000002"/>
    <n v="0.43536324786324793"/>
    <n v="0.43536324786324793"/>
  </r>
  <r>
    <x v="148"/>
    <d v="2025-02-09T00:00:00"/>
    <d v="2025-02-13T00:00:00"/>
    <n v="4"/>
    <s v="CUST-2822"/>
    <s v="Mira Das"/>
    <x v="3"/>
    <x v="3"/>
    <s v="Madhya Pradesh"/>
    <s v="Indore"/>
    <x v="2"/>
    <x v="11"/>
    <s v="Smart Phones 336"/>
    <x v="4"/>
    <n v="8"/>
    <n v="1696.07"/>
    <n v="0.25"/>
    <x v="148"/>
    <n v="7604.47"/>
    <x v="148"/>
    <x v="0"/>
    <x v="0"/>
    <m/>
    <s v="Valid"/>
    <s v="Valid"/>
    <s v="Flagged"/>
    <s v="Pass"/>
    <s v="February"/>
    <s v="2025"/>
    <m/>
    <n v="13568.56"/>
    <n v="10176.42"/>
    <n v="5964.0899999999992"/>
    <n v="0.43955217060616597"/>
    <n v="0.43955217060616597"/>
  </r>
  <r>
    <x v="149"/>
    <d v="2024-01-30T00:00:00"/>
    <d v="2024-01-30T00:00:00"/>
    <n v="0"/>
    <s v="CUST-5876"/>
    <s v="Aarav Sharma"/>
    <x v="1"/>
    <x v="3"/>
    <s v="Rajasthan"/>
    <s v="Udaipur"/>
    <x v="2"/>
    <x v="6"/>
    <s v="Eco Copiers 381"/>
    <x v="1"/>
    <n v="7"/>
    <n v="2527.61"/>
    <n v="0.25"/>
    <x v="149"/>
    <n v="8977.1"/>
    <x v="149"/>
    <x v="0"/>
    <x v="0"/>
    <m/>
    <s v="Valid"/>
    <s v="Valid"/>
    <s v="Pass"/>
    <s v="Pass"/>
    <s v="January"/>
    <s v="2024"/>
    <m/>
    <n v="17693.27"/>
    <n v="13269.952499999999"/>
    <n v="8716.17"/>
    <n v="0.49262629236992372"/>
    <n v="0.49262629236992372"/>
  </r>
  <r>
    <x v="150"/>
    <d v="2024-03-04T00:00:00"/>
    <d v="2024-12-03T00:00:00"/>
    <n v="274"/>
    <s v="CUST-4661"/>
    <s v="Arjun Bose"/>
    <x v="0"/>
    <x v="4"/>
    <s v="Gujarat"/>
    <s v="Ahmedabad"/>
    <x v="1"/>
    <x v="10"/>
    <s v="Max Bookcases 595"/>
    <x v="2"/>
    <n v="1"/>
    <n v="1554.12"/>
    <n v="0.1"/>
    <x v="150"/>
    <n v="1056.92"/>
    <x v="150"/>
    <x v="0"/>
    <x v="0"/>
    <m/>
    <s v="Valid"/>
    <s v="Valid"/>
    <s v="Pass"/>
    <s v="Flagged"/>
    <s v="March"/>
    <s v="2024"/>
    <m/>
    <n v="1554.12"/>
    <n v="1398.7079999999999"/>
    <n v="497.19999999999982"/>
    <n v="0.3199238154067896"/>
    <n v="0.3199238154067896"/>
  </r>
  <r>
    <x v="151"/>
    <d v="2024-06-27T00:00:00"/>
    <d v="2024-06-27T00:00:00"/>
    <n v="0"/>
    <s v="CUST-6011"/>
    <s v="Neha Gupta"/>
    <x v="3"/>
    <x v="4"/>
    <s v="Madhya Pradesh"/>
    <s v="Indore"/>
    <x v="2"/>
    <x v="6"/>
    <s v="Max Copiers 992"/>
    <x v="3"/>
    <n v="2"/>
    <n v="3859.11"/>
    <n v="0"/>
    <x v="151"/>
    <n v="5355.93"/>
    <x v="151"/>
    <x v="2"/>
    <x v="2"/>
    <m/>
    <s v="Valid"/>
    <s v="Valid"/>
    <s v="Pass"/>
    <s v="Flagged"/>
    <s v="June"/>
    <s v="2024"/>
    <m/>
    <n v="7718.22"/>
    <n v="7718.22"/>
    <n v="2362.29"/>
    <n v="0.30606668376905555"/>
    <n v="0.30606668376905555"/>
  </r>
  <r>
    <x v="152"/>
    <d v="2024-06-14T00:00:00"/>
    <d v="2024-06-17T00:00:00"/>
    <n v="3"/>
    <s v="CUST-6160"/>
    <s v="Kabir Singh"/>
    <x v="1"/>
    <x v="2"/>
    <s v="Kerala"/>
    <s v="Kochi"/>
    <x v="1"/>
    <x v="1"/>
    <s v="Pro Tables 407"/>
    <x v="0"/>
    <n v="6"/>
    <n v="1088.04"/>
    <n v="0.1"/>
    <x v="152"/>
    <n v="4380.55"/>
    <x v="152"/>
    <x v="2"/>
    <x v="2"/>
    <m/>
    <s v="Valid"/>
    <s v="Valid"/>
    <s v="Pass"/>
    <s v="Pass"/>
    <s v="June"/>
    <s v="2024"/>
    <m/>
    <n v="6528.24"/>
    <n v="5875.4160000000002"/>
    <n v="2147.6899999999996"/>
    <n v="0.32898453488229595"/>
    <n v="0.32898453488229595"/>
  </r>
  <r>
    <x v="153"/>
    <d v="2025-09-23T00:00:00"/>
    <d v="2025-09-25T00:00:00"/>
    <n v="2"/>
    <s v="CUST-6971"/>
    <s v="Aditi Sen"/>
    <x v="0"/>
    <x v="1"/>
    <s v="Odisha"/>
    <s v="Bhubaneswar"/>
    <x v="0"/>
    <x v="7"/>
    <s v="Prime Labels 559"/>
    <x v="3"/>
    <n v="7"/>
    <n v="3280.31"/>
    <n v="0"/>
    <x v="153"/>
    <n v="15716.5"/>
    <x v="153"/>
    <x v="1"/>
    <x v="2"/>
    <m/>
    <s v="Valid"/>
    <s v="Valid"/>
    <s v="Pass"/>
    <s v="Pass"/>
    <s v="September"/>
    <s v="2025"/>
    <m/>
    <n v="22962.17"/>
    <n v="22962.17"/>
    <n v="7245.6699999999983"/>
    <n v="0.31554813852523517"/>
    <n v="0.31554813852523517"/>
  </r>
  <r>
    <x v="154"/>
    <d v="2024-02-12T00:00:00"/>
    <d v="2024-11-02T00:00:00"/>
    <n v="264"/>
    <s v="CUST-7764"/>
    <s v="Priya Menon"/>
    <x v="0"/>
    <x v="2"/>
    <s v="Tamil Nadu"/>
    <s v="Chennai"/>
    <x v="1"/>
    <x v="10"/>
    <s v="Classic Bookcases 847"/>
    <x v="1"/>
    <n v="1"/>
    <n v="2599.12"/>
    <n v="0.15"/>
    <x v="154"/>
    <n v="1523.78"/>
    <x v="154"/>
    <x v="0"/>
    <x v="0"/>
    <m/>
    <s v="Valid"/>
    <s v="Valid"/>
    <s v="Pass"/>
    <s v="Pass"/>
    <s v="February"/>
    <s v="2024"/>
    <m/>
    <n v="2599.12"/>
    <n v="2209.252"/>
    <n v="1075.3399999999999"/>
    <n v="0.41373234017667515"/>
    <n v="0.41373234017667515"/>
  </r>
  <r>
    <x v="155"/>
    <d v="2025-01-26T00:00:00"/>
    <d v="2025-03-02T00:00:00"/>
    <n v="35"/>
    <s v="CUST-8327"/>
    <s v="Karan Malhotra"/>
    <x v="2"/>
    <x v="3"/>
    <s v="Rajasthan"/>
    <s v="Udaipur"/>
    <x v="1"/>
    <x v="3"/>
    <s v="Classic Furnishings 655"/>
    <x v="1"/>
    <n v="3"/>
    <n v="2859.32"/>
    <n v="0.1"/>
    <x v="155"/>
    <n v="5881"/>
    <x v="155"/>
    <x v="1"/>
    <x v="2"/>
    <m/>
    <s v="Valid"/>
    <s v="Valid"/>
    <s v="Pass"/>
    <s v="Pass"/>
    <s v="January"/>
    <s v="2025"/>
    <m/>
    <n v="8577.9600000000009"/>
    <n v="7720.1640000000007"/>
    <n v="2696.9600000000009"/>
    <n v="0.31440575614714927"/>
    <n v="0.31440575614714927"/>
  </r>
  <r>
    <x v="156"/>
    <d v="2025-03-27T00:00:00"/>
    <d v="2025-03-27T00:00:00"/>
    <n v="0"/>
    <s v="CUST-4058"/>
    <s v="Vikram Iyer"/>
    <x v="1"/>
    <x v="1"/>
    <s v="Bihar"/>
    <s v="Patna"/>
    <x v="2"/>
    <x v="12"/>
    <s v="Eco Machines 657"/>
    <x v="0"/>
    <n v="7"/>
    <n v="2305.37"/>
    <n v="0.25"/>
    <x v="156"/>
    <n v="6717.87"/>
    <x v="156"/>
    <x v="0"/>
    <x v="0"/>
    <m/>
    <s v="Valid"/>
    <s v="Valid"/>
    <s v="Pass"/>
    <s v="Pass"/>
    <s v="March"/>
    <s v="2025"/>
    <m/>
    <n v="16137.59"/>
    <n v="12103.192500000001"/>
    <n v="9419.7200000000012"/>
    <n v="0.58371293359169496"/>
    <n v="0.58371293359169496"/>
  </r>
  <r>
    <x v="157"/>
    <d v="2024-10-22T00:00:00"/>
    <d v="2024-10-24T00:00:00"/>
    <n v="2"/>
    <s v="CUST-1142"/>
    <s v="Rohan Mehta"/>
    <x v="1"/>
    <x v="2"/>
    <s v="Andhra Pradesh"/>
    <s v="Vijayawada"/>
    <x v="1"/>
    <x v="10"/>
    <s v="Pro Bookcases 430"/>
    <x v="3"/>
    <n v="3"/>
    <n v="915.84"/>
    <n v="0.15"/>
    <x v="157"/>
    <n v="1466.15"/>
    <x v="157"/>
    <x v="0"/>
    <x v="0"/>
    <m/>
    <s v="Valid"/>
    <s v="Valid"/>
    <s v="Pass"/>
    <s v="Pass"/>
    <s v="October"/>
    <s v="2024"/>
    <m/>
    <n v="2747.52"/>
    <n v="2335.3919999999998"/>
    <n v="1281.3699999999999"/>
    <n v="0.46637331120428599"/>
    <n v="0.46637331120428599"/>
  </r>
  <r>
    <x v="158"/>
    <d v="2024-09-09T00:00:00"/>
    <d v="2024-11-09T00:00:00"/>
    <n v="61"/>
    <s v="CUST-2324"/>
    <s v="Neha Gupta"/>
    <x v="3"/>
    <x v="2"/>
    <s v="Telangana"/>
    <s v="Hyderabad"/>
    <x v="1"/>
    <x v="10"/>
    <s v="Max Bookcases 881"/>
    <x v="2"/>
    <n v="1"/>
    <n v="4199.54"/>
    <n v="0.05"/>
    <x v="158"/>
    <n v="2381.38"/>
    <x v="158"/>
    <x v="0"/>
    <x v="0"/>
    <m/>
    <s v="Valid"/>
    <s v="Valid"/>
    <s v="Pass"/>
    <s v="Pass"/>
    <s v="September"/>
    <s v="2024"/>
    <m/>
    <n v="4199.54"/>
    <n v="3989.5629999999996"/>
    <n v="1818.1599999999999"/>
    <n v="0.43294265562418738"/>
    <n v="0.43294265562418738"/>
  </r>
  <r>
    <x v="159"/>
    <d v="2025-01-30T00:00:00"/>
    <d v="2025-02-04T00:00:00"/>
    <n v="5"/>
    <s v="CUST-7717"/>
    <s v="Priya Menon"/>
    <x v="2"/>
    <x v="0"/>
    <s v="Haryana"/>
    <s v="Gurugram"/>
    <x v="1"/>
    <x v="4"/>
    <s v="Elite Chairs 998"/>
    <x v="1"/>
    <n v="9"/>
    <n v="4430.5"/>
    <n v="0.15"/>
    <x v="159"/>
    <n v="25750.35"/>
    <x v="159"/>
    <x v="2"/>
    <x v="1"/>
    <m/>
    <s v="Valid"/>
    <s v="Valid"/>
    <s v="Pass"/>
    <s v="Pass"/>
    <s v="January"/>
    <s v="2025"/>
    <m/>
    <n v="39874.5"/>
    <n v="33893.324999999997"/>
    <n v="14124.150000000001"/>
    <n v="0.35421509987586053"/>
    <n v="0.35421509987586053"/>
  </r>
  <r>
    <x v="160"/>
    <d v="2025-10-08T00:00:00"/>
    <d v="2025-06-10T00:00:00"/>
    <n v="-120"/>
    <s v="CUST-4932"/>
    <s v="Vikram Iyer"/>
    <x v="1"/>
    <x v="3"/>
    <s v="Maharashtra"/>
    <s v="Mumbai"/>
    <x v="0"/>
    <x v="0"/>
    <s v="Max Paper 113"/>
    <x v="0"/>
    <n v="4"/>
    <n v="1260.42"/>
    <n v="0.05"/>
    <x v="160"/>
    <n v="4037.64"/>
    <x v="160"/>
    <x v="2"/>
    <x v="1"/>
    <m/>
    <s v="Invalid-Date"/>
    <s v="Valid"/>
    <s v="Pass"/>
    <s v="Pass"/>
    <s v="October"/>
    <s v="2025"/>
    <m/>
    <n v="5041.68"/>
    <n v="4789.5960000000005"/>
    <n v="1004.0400000000004"/>
    <n v="0.1991479030799258"/>
    <n v="0.1991479030799258"/>
  </r>
  <r>
    <x v="161"/>
    <d v="2025-07-24T00:00:00"/>
    <d v="2025-07-30T00:00:00"/>
    <n v="6"/>
    <s v="CUST-2367"/>
    <s v="Arjun Bose"/>
    <x v="0"/>
    <x v="3"/>
    <s v="Rajasthan"/>
    <s v="Udaipur"/>
    <x v="0"/>
    <x v="9"/>
    <s v="Smart Binders 267"/>
    <x v="3"/>
    <n v="1"/>
    <n v="1643.41"/>
    <n v="0"/>
    <x v="161"/>
    <n v="907.4"/>
    <x v="161"/>
    <x v="2"/>
    <x v="1"/>
    <m/>
    <s v="Valid"/>
    <s v="Valid"/>
    <s v="Pass"/>
    <s v="Pass"/>
    <s v="July"/>
    <s v="2025"/>
    <m/>
    <n v="1643.41"/>
    <n v="1643.41"/>
    <n v="736.0100000000001"/>
    <n v="0.44785537388722235"/>
    <n v="0.44785537388722235"/>
  </r>
  <r>
    <x v="162"/>
    <d v="2024-03-09T00:00:00"/>
    <d v="2024-03-14T00:00:00"/>
    <n v="5"/>
    <s v="CUST-4830"/>
    <s v="Neha Gupta"/>
    <x v="1"/>
    <x v="3"/>
    <s v="Goa"/>
    <s v="Panaji"/>
    <x v="1"/>
    <x v="3"/>
    <s v="Pro Furnishings 108"/>
    <x v="0"/>
    <n v="8"/>
    <n v="4472.84"/>
    <n v="0"/>
    <x v="162"/>
    <n v="26424.41"/>
    <x v="162"/>
    <x v="2"/>
    <x v="2"/>
    <m/>
    <s v="Valid"/>
    <s v="Valid"/>
    <s v="Pass"/>
    <s v="Pass"/>
    <s v="March"/>
    <s v="2024"/>
    <m/>
    <n v="35782.720000000001"/>
    <n v="35782.720000000001"/>
    <n v="9358.3100000000013"/>
    <n v="0.2615315437171909"/>
    <n v="0.2615315437171909"/>
  </r>
  <r>
    <x v="163"/>
    <d v="2025-09-21T00:00:00"/>
    <d v="2025-09-26T00:00:00"/>
    <n v="5"/>
    <s v="CUST-2548"/>
    <s v="Rohan Mehta"/>
    <x v="3"/>
    <x v="3"/>
    <s v="Gujarat"/>
    <s v="Ahmedabad"/>
    <x v="1"/>
    <x v="1"/>
    <s v="Elite Tables 389"/>
    <x v="4"/>
    <n v="6"/>
    <n v="2903.58"/>
    <n v="0.1"/>
    <x v="163"/>
    <n v="12477.82"/>
    <x v="163"/>
    <x v="2"/>
    <x v="2"/>
    <m/>
    <s v="Valid"/>
    <s v="Valid"/>
    <s v="Flagged"/>
    <s v="Pass"/>
    <s v="September"/>
    <s v="2025"/>
    <m/>
    <n v="17421.48"/>
    <n v="15679.332"/>
    <n v="4943.66"/>
    <n v="0.28376808399745601"/>
    <n v="0.28376808399745601"/>
  </r>
  <r>
    <x v="164"/>
    <d v="2025-09-09T00:00:00"/>
    <d v="2025-09-14T00:00:00"/>
    <n v="5"/>
    <s v="CUST-3833"/>
    <s v="Rahul Verma"/>
    <x v="1"/>
    <x v="1"/>
    <s v="West Bengal"/>
    <s v="Kolkata"/>
    <x v="1"/>
    <x v="10"/>
    <s v="Pro Bookcases 595"/>
    <x v="0"/>
    <n v="1"/>
    <n v="3154.42"/>
    <n v="0.25"/>
    <x v="164"/>
    <n v="1547.99"/>
    <x v="164"/>
    <x v="0"/>
    <x v="0"/>
    <m/>
    <s v="Valid"/>
    <s v="Valid"/>
    <s v="Pass"/>
    <s v="Pass"/>
    <s v="September"/>
    <s v="2025"/>
    <m/>
    <n v="3154.42"/>
    <n v="2365.8150000000001"/>
    <n v="1606.43"/>
    <n v="0.50926319259959041"/>
    <n v="0.50926319259959041"/>
  </r>
  <r>
    <x v="165"/>
    <d v="2024-11-22T00:00:00"/>
    <d v="2024-11-29T00:00:00"/>
    <n v="7"/>
    <s v="CUST-4598"/>
    <s v="Mira Das"/>
    <x v="3"/>
    <x v="1"/>
    <s v="Bihar"/>
    <s v="Patna"/>
    <x v="1"/>
    <x v="4"/>
    <s v="Max Chairs 148"/>
    <x v="3"/>
    <n v="4"/>
    <n v="3422.99"/>
    <n v="0.25"/>
    <x v="165"/>
    <n v="6470.92"/>
    <x v="165"/>
    <x v="0"/>
    <x v="0"/>
    <m/>
    <s v="Valid"/>
    <s v="Valid"/>
    <s v="Pass"/>
    <s v="Pass"/>
    <s v="November"/>
    <s v="2024"/>
    <m/>
    <n v="13691.96"/>
    <n v="10268.969999999999"/>
    <n v="7221.0399999999991"/>
    <n v="0.52739271806227883"/>
    <n v="0.52739271806227883"/>
  </r>
  <r>
    <x v="166"/>
    <d v="2025-02-20T00:00:00"/>
    <d v="2025-02-26T00:00:00"/>
    <n v="6"/>
    <s v="CUST-7215"/>
    <s v="Karan Malhotra"/>
    <x v="1"/>
    <x v="3"/>
    <s v="Gujarat"/>
    <s v="Ahmedabad"/>
    <x v="0"/>
    <x v="7"/>
    <s v="Basic Labels 671"/>
    <x v="2"/>
    <n v="1"/>
    <n v="2557.85"/>
    <n v="0.2"/>
    <x v="166"/>
    <n v="1449.54"/>
    <x v="166"/>
    <x v="0"/>
    <x v="0"/>
    <m/>
    <s v="Valid"/>
    <s v="Valid"/>
    <s v="Pass"/>
    <s v="Pass"/>
    <s v="February"/>
    <s v="2025"/>
    <m/>
    <n v="2557.85"/>
    <n v="2046.28"/>
    <n v="1108.31"/>
    <n v="0.43329749594385908"/>
    <n v="0.43329749594385908"/>
  </r>
  <r>
    <x v="167"/>
    <d v="2025-08-18T00:00:00"/>
    <d v="2025-08-18T00:00:00"/>
    <n v="0"/>
    <s v="CUST-7770"/>
    <s v="Arjun Bose"/>
    <x v="3"/>
    <x v="2"/>
    <s v="Karnataka"/>
    <s v="Bengaluru"/>
    <x v="0"/>
    <x v="8"/>
    <s v="Elite Storage 628"/>
    <x v="2"/>
    <n v="9"/>
    <n v="3030.93"/>
    <n v="0.15"/>
    <x v="167"/>
    <n v="17906.54"/>
    <x v="167"/>
    <x v="0"/>
    <x v="2"/>
    <m/>
    <s v="Valid"/>
    <s v="Valid"/>
    <s v="Pass"/>
    <s v="Pass"/>
    <s v="August"/>
    <s v="2025"/>
    <m/>
    <n v="27278.37"/>
    <n v="23186.6145"/>
    <n v="9371.8299999999981"/>
    <n v="0.34356268354744063"/>
    <n v="0.34356268354744063"/>
  </r>
  <r>
    <x v="168"/>
    <d v="2025-01-20T00:00:00"/>
    <d v="2025-01-23T00:00:00"/>
    <n v="3"/>
    <s v="CUST-9756"/>
    <s v="Kabir Singh"/>
    <x v="0"/>
    <x v="3"/>
    <s v="Maharashtra"/>
    <s v="Mumbai"/>
    <x v="2"/>
    <x v="5"/>
    <s v="Eco Accessories 590"/>
    <x v="1"/>
    <n v="5"/>
    <n v="639.27"/>
    <n v="0.2"/>
    <x v="168"/>
    <n v="2025.69"/>
    <x v="168"/>
    <x v="0"/>
    <x v="1"/>
    <m/>
    <s v="Valid"/>
    <s v="Valid"/>
    <s v="Pass"/>
    <s v="Pass"/>
    <s v="January"/>
    <s v="2025"/>
    <m/>
    <n v="3196.35"/>
    <n v="2557.08"/>
    <n v="1170.6599999999999"/>
    <n v="0.36624900276878308"/>
    <n v="0.36624900276878308"/>
  </r>
  <r>
    <x v="169"/>
    <d v="2025-09-13T00:00:00"/>
    <d v="2025-09-13T00:00:00"/>
    <n v="0"/>
    <s v="CUST-2261"/>
    <s v="Diya Patel"/>
    <x v="0"/>
    <x v="1"/>
    <s v="Assam"/>
    <s v="Guwahati"/>
    <x v="0"/>
    <x v="2"/>
    <s v="Pro Art 734"/>
    <x v="3"/>
    <n v="8"/>
    <n v="733.9"/>
    <n v="0.05"/>
    <x v="169"/>
    <n v="3541.29"/>
    <x v="169"/>
    <x v="2"/>
    <x v="2"/>
    <m/>
    <s v="Valid"/>
    <s v="Valid"/>
    <s v="Pass"/>
    <s v="Pass"/>
    <s v="September"/>
    <s v="2025"/>
    <m/>
    <n v="5871.2"/>
    <n v="5577.6399999999994"/>
    <n v="2329.91"/>
    <n v="0.39683710314756776"/>
    <n v="0.39683710314756776"/>
  </r>
  <r>
    <x v="170"/>
    <d v="2025-09-07T00:00:00"/>
    <d v="2025-09-15T00:00:00"/>
    <n v="8"/>
    <s v="CUST-3734"/>
    <s v="Rohan Mehta"/>
    <x v="2"/>
    <x v="1"/>
    <s v="Bihar"/>
    <s v="Patna"/>
    <x v="2"/>
    <x v="6"/>
    <s v="Eco Copiers 102"/>
    <x v="3"/>
    <n v="3"/>
    <n v="1711.32"/>
    <n v="0"/>
    <x v="170"/>
    <n v="3930"/>
    <x v="170"/>
    <x v="0"/>
    <x v="0"/>
    <m/>
    <s v="Valid"/>
    <s v="Valid"/>
    <s v="Pass"/>
    <s v="Pass"/>
    <s v="September"/>
    <s v="2025"/>
    <m/>
    <n v="5133.96"/>
    <n v="5133.96"/>
    <n v="1203.96"/>
    <n v="0.23450903396208775"/>
    <n v="0.23450903396208775"/>
  </r>
  <r>
    <x v="171"/>
    <d v="2025-02-23T00:00:00"/>
    <d v="2025-02-25T00:00:00"/>
    <n v="2"/>
    <s v="CUST-3436"/>
    <s v="Karan Malhotra"/>
    <x v="2"/>
    <x v="1"/>
    <s v="Bihar"/>
    <s v="Patna"/>
    <x v="0"/>
    <x v="7"/>
    <s v="Basic Labels 876"/>
    <x v="1"/>
    <n v="5"/>
    <n v="4246.2700000000004"/>
    <n v="0.25"/>
    <x v="171"/>
    <n v="11291.8"/>
    <x v="171"/>
    <x v="0"/>
    <x v="0"/>
    <m/>
    <s v="Valid"/>
    <s v="Valid"/>
    <s v="Pass"/>
    <s v="Pass"/>
    <s v="February"/>
    <s v="2025"/>
    <m/>
    <n v="21231.350000000002"/>
    <n v="15923.512500000001"/>
    <n v="9939.5500000000029"/>
    <n v="0.46815440374728889"/>
    <n v="0.46815440374728889"/>
  </r>
  <r>
    <x v="172"/>
    <d v="2025-08-02T00:00:00"/>
    <d v="2025-08-10T00:00:00"/>
    <n v="8"/>
    <s v="CUST-4845"/>
    <s v="Karan Malhotra"/>
    <x v="2"/>
    <x v="0"/>
    <s v="Delhi"/>
    <s v="New Delhi"/>
    <x v="1"/>
    <x v="3"/>
    <s v="Prime Furnishings 381"/>
    <x v="1"/>
    <n v="9"/>
    <n v="2962.62"/>
    <n v="0.1"/>
    <x v="172"/>
    <n v="16134.63"/>
    <x v="172"/>
    <x v="1"/>
    <x v="2"/>
    <m/>
    <s v="Valid"/>
    <s v="Valid"/>
    <s v="Pass"/>
    <s v="Pass"/>
    <s v="August"/>
    <s v="2025"/>
    <m/>
    <n v="26663.579999999998"/>
    <n v="23997.221999999998"/>
    <n v="10528.949999999999"/>
    <n v="0.39488133251423851"/>
    <n v="0.39488133251423851"/>
  </r>
  <r>
    <x v="173"/>
    <d v="2024-05-02T00:00:00"/>
    <d v="2024-08-05T00:00:00"/>
    <n v="95"/>
    <s v="CUST-6153"/>
    <s v="Priya Menon"/>
    <x v="3"/>
    <x v="0"/>
    <s v="Punjab"/>
    <s v="Ludhiana"/>
    <x v="2"/>
    <x v="6"/>
    <s v="Prime Copiers 440"/>
    <x v="0"/>
    <n v="1"/>
    <n v="2312.25"/>
    <n v="0.25"/>
    <x v="173"/>
    <n v="1386.07"/>
    <x v="173"/>
    <x v="0"/>
    <x v="0"/>
    <m/>
    <s v="Valid"/>
    <s v="Valid"/>
    <s v="Pass"/>
    <s v="Pass"/>
    <s v="May"/>
    <s v="2024"/>
    <m/>
    <n v="2312.25"/>
    <n v="1734.1875"/>
    <n v="926.18000000000006"/>
    <n v="0.4005535733592821"/>
    <n v="0.4005535733592821"/>
  </r>
  <r>
    <x v="174"/>
    <d v="2025-09-28T00:00:00"/>
    <d v="2025-10-04T00:00:00"/>
    <n v="6"/>
    <s v="CUST-5475"/>
    <s v="Karan Malhotra"/>
    <x v="1"/>
    <x v="2"/>
    <s v="Karnataka"/>
    <s v="Bengaluru"/>
    <x v="1"/>
    <x v="10"/>
    <s v="Pro Bookcases 319"/>
    <x v="2"/>
    <n v="6"/>
    <n v="1620.53"/>
    <n v="0.15"/>
    <x v="174"/>
    <n v="4768.75"/>
    <x v="174"/>
    <x v="2"/>
    <x v="2"/>
    <m/>
    <s v="Valid"/>
    <s v="Valid"/>
    <s v="Pass"/>
    <s v="Pass"/>
    <s v="September"/>
    <s v="2025"/>
    <m/>
    <n v="9723.18"/>
    <n v="8264.7029999999995"/>
    <n v="4954.43"/>
    <n v="0.50954831649727761"/>
    <n v="0.50954831649727761"/>
  </r>
  <r>
    <x v="175"/>
    <d v="2024-01-27T00:00:00"/>
    <d v="2024-03-02T00:00:00"/>
    <n v="35"/>
    <s v="CUST-5580"/>
    <s v="Arjun Bose"/>
    <x v="1"/>
    <x v="1"/>
    <s v="Bihar"/>
    <s v="Patna"/>
    <x v="2"/>
    <x v="12"/>
    <s v="Basic Machines 584"/>
    <x v="1"/>
    <n v="7"/>
    <n v="2673.42"/>
    <n v="0.15"/>
    <x v="175"/>
    <n v="11014.46"/>
    <x v="175"/>
    <x v="0"/>
    <x v="2"/>
    <m/>
    <s v="Valid"/>
    <s v="Valid"/>
    <s v="Pass"/>
    <s v="Pass"/>
    <s v="January"/>
    <s v="2024"/>
    <m/>
    <n v="18713.940000000002"/>
    <n v="15906.849000000002"/>
    <n v="7699.4800000000032"/>
    <n v="0.4114301958860615"/>
    <n v="0.4114301958860615"/>
  </r>
  <r>
    <x v="176"/>
    <d v="2025-03-18T00:00:00"/>
    <d v="2025-03-26T00:00:00"/>
    <n v="8"/>
    <s v="CUST-3027"/>
    <s v="Vikram Iyer"/>
    <x v="2"/>
    <x v="1"/>
    <s v="Jharkhand"/>
    <s v="Ranchi"/>
    <x v="1"/>
    <x v="10"/>
    <s v="Pro Bookcases 612"/>
    <x v="3"/>
    <n v="8"/>
    <n v="3563.09"/>
    <n v="0.15"/>
    <x v="176"/>
    <n v="13910.64"/>
    <x v="176"/>
    <x v="0"/>
    <x v="0"/>
    <m/>
    <s v="Valid"/>
    <s v="Valid"/>
    <s v="Pass"/>
    <s v="Pass"/>
    <s v="March"/>
    <s v="2025"/>
    <m/>
    <n v="28504.720000000001"/>
    <n v="24229.011999999999"/>
    <n v="14594.080000000002"/>
    <n v="0.51198819002607288"/>
    <n v="0.51198819002607288"/>
  </r>
  <r>
    <x v="177"/>
    <d v="2024-06-01T00:00:00"/>
    <d v="2024-03-06T00:00:00"/>
    <n v="-87"/>
    <s v="CUST-4399"/>
    <s v="Sneha Kapoor"/>
    <x v="3"/>
    <x v="4"/>
    <s v="Bihar"/>
    <s v="Patna"/>
    <x v="0"/>
    <x v="2"/>
    <s v="Classic Art 573"/>
    <x v="1"/>
    <n v="8"/>
    <n v="3879.95"/>
    <n v="0"/>
    <x v="177"/>
    <n v="20866.72"/>
    <x v="177"/>
    <x v="0"/>
    <x v="0"/>
    <m/>
    <s v="Invalid-Date"/>
    <s v="Valid"/>
    <s v="Pass"/>
    <s v="Flagged"/>
    <s v="June"/>
    <s v="2024"/>
    <m/>
    <n v="31039.599999999999"/>
    <n v="31039.599999999999"/>
    <n v="10172.879999999997"/>
    <n v="0.32773875952009685"/>
    <n v="0.32773875952009685"/>
  </r>
  <r>
    <x v="178"/>
    <d v="2024-09-30T00:00:00"/>
    <d v="2024-09-30T00:00:00"/>
    <n v="0"/>
    <s v="CUST-3092"/>
    <s v="Isha Nair"/>
    <x v="2"/>
    <x v="2"/>
    <s v="Telangana"/>
    <s v="Hyderabad"/>
    <x v="0"/>
    <x v="2"/>
    <s v="Eco Art 854"/>
    <x v="3"/>
    <n v="4"/>
    <n v="3281.74"/>
    <n v="0"/>
    <x v="178"/>
    <n v="10732.44"/>
    <x v="178"/>
    <x v="0"/>
    <x v="0"/>
    <m/>
    <s v="Valid"/>
    <s v="Valid"/>
    <s v="Pass"/>
    <s v="Pass"/>
    <s v="September"/>
    <s v="2024"/>
    <m/>
    <n v="13126.96"/>
    <n v="13126.96"/>
    <n v="2394.5199999999986"/>
    <n v="0.18241237879905162"/>
    <n v="0.18241237879905162"/>
  </r>
  <r>
    <x v="179"/>
    <d v="2024-03-15T00:00:00"/>
    <d v="2024-03-19T00:00:00"/>
    <n v="4"/>
    <s v="CUST-1778"/>
    <s v="Ananya Rao"/>
    <x v="1"/>
    <x v="2"/>
    <s v="Tamil Nadu"/>
    <s v="Chennai"/>
    <x v="1"/>
    <x v="3"/>
    <s v="Classic Furnishings 996"/>
    <x v="3"/>
    <n v="4"/>
    <n v="3186.3"/>
    <n v="0.25"/>
    <x v="179"/>
    <n v="5516.76"/>
    <x v="179"/>
    <x v="1"/>
    <x v="2"/>
    <m/>
    <s v="Valid"/>
    <s v="Valid"/>
    <s v="Pass"/>
    <s v="Pass"/>
    <s v="March"/>
    <s v="2024"/>
    <m/>
    <n v="12745.2"/>
    <n v="9558.9000000000015"/>
    <n v="7228.4400000000005"/>
    <n v="0.56714998587703602"/>
    <n v="0.56714998587703602"/>
  </r>
  <r>
    <x v="180"/>
    <d v="2024-08-26T00:00:00"/>
    <d v="2024-08-26T00:00:00"/>
    <n v="0"/>
    <s v="CUST-3787"/>
    <s v="Mira Das"/>
    <x v="3"/>
    <x v="0"/>
    <s v="Uttar Pradesh"/>
    <s v="Noida"/>
    <x v="0"/>
    <x v="9"/>
    <s v="Prime Binders 735"/>
    <x v="2"/>
    <n v="7"/>
    <n v="844.59"/>
    <n v="0.1"/>
    <x v="180"/>
    <n v="3041.5"/>
    <x v="180"/>
    <x v="0"/>
    <x v="0"/>
    <m/>
    <s v="Valid"/>
    <s v="Valid"/>
    <s v="Pass"/>
    <s v="Pass"/>
    <s v="August"/>
    <s v="2024"/>
    <m/>
    <n v="5912.13"/>
    <n v="5320.9170000000004"/>
    <n v="2870.63"/>
    <n v="0.48554920138765556"/>
    <n v="0.48554920138765556"/>
  </r>
  <r>
    <x v="181"/>
    <d v="2025-09-09T00:00:00"/>
    <d v="2025-09-10T00:00:00"/>
    <n v="1"/>
    <s v="CUST-5119"/>
    <s v="Priya Menon"/>
    <x v="3"/>
    <x v="2"/>
    <s v="Tamil Nadu"/>
    <s v="Chennai"/>
    <x v="0"/>
    <x v="2"/>
    <s v="Pro Art 587"/>
    <x v="0"/>
    <n v="4"/>
    <n v="2551.4499999999998"/>
    <n v="0"/>
    <x v="181"/>
    <n v="5986.31"/>
    <x v="181"/>
    <x v="0"/>
    <x v="0"/>
    <m/>
    <s v="Valid"/>
    <s v="Valid"/>
    <s v="Pass"/>
    <s v="Pass"/>
    <s v="September"/>
    <s v="2025"/>
    <m/>
    <n v="10205.799999999999"/>
    <n v="10205.799999999999"/>
    <n v="4219.4899999999989"/>
    <n v="0.41344039663720622"/>
    <n v="0.41344039663720622"/>
  </r>
  <r>
    <x v="182"/>
    <d v="2024-10-16T00:00:00"/>
    <d v="2024-10-16T00:00:00"/>
    <n v="0"/>
    <s v="CUST-4121"/>
    <s v="Ananya Rao"/>
    <x v="3"/>
    <x v="1"/>
    <s v="Bihar"/>
    <s v="Patna"/>
    <x v="2"/>
    <x v="12"/>
    <s v="Basic Machines 575"/>
    <x v="3"/>
    <n v="7"/>
    <n v="775.77"/>
    <n v="0"/>
    <x v="182"/>
    <n v="3707.66"/>
    <x v="182"/>
    <x v="0"/>
    <x v="0"/>
    <m/>
    <s v="Valid"/>
    <s v="Valid"/>
    <s v="Pass"/>
    <s v="Pass"/>
    <s v="October"/>
    <s v="2024"/>
    <m/>
    <n v="5430.3899999999994"/>
    <n v="5430.3899999999994"/>
    <n v="1722.7299999999996"/>
    <n v="0.31723872502711586"/>
    <n v="0.31723872502711586"/>
  </r>
  <r>
    <x v="183"/>
    <d v="2025-06-24T00:00:00"/>
    <d v="2025-06-27T00:00:00"/>
    <n v="3"/>
    <s v="CUST-3366"/>
    <s v="Vikram Iyer"/>
    <x v="3"/>
    <x v="2"/>
    <s v="Telangana"/>
    <s v="Hyderabad"/>
    <x v="2"/>
    <x v="6"/>
    <s v="Elite Copiers 788"/>
    <x v="3"/>
    <n v="7"/>
    <n v="2304.86"/>
    <n v="0.2"/>
    <x v="183"/>
    <n v="8327.89"/>
    <x v="183"/>
    <x v="0"/>
    <x v="2"/>
    <m/>
    <s v="Valid"/>
    <s v="Valid"/>
    <s v="Pass"/>
    <s v="Pass"/>
    <s v="June"/>
    <s v="2025"/>
    <m/>
    <n v="16134.02"/>
    <n v="12907.216"/>
    <n v="7806.130000000001"/>
    <n v="0.4838304402746495"/>
    <n v="0.4838304402746495"/>
  </r>
  <r>
    <x v="184"/>
    <d v="2024-04-02T00:00:00"/>
    <d v="2024-06-04T00:00:00"/>
    <n v="63"/>
    <s v="CUST-1358"/>
    <s v="Vikram Iyer"/>
    <x v="2"/>
    <x v="3"/>
    <s v="Madhya Pradesh"/>
    <s v="Indore"/>
    <x v="1"/>
    <x v="10"/>
    <s v="Max Bookcases 472"/>
    <x v="3"/>
    <n v="2"/>
    <n v="888.98"/>
    <n v="0"/>
    <x v="184"/>
    <n v="1021.16"/>
    <x v="184"/>
    <x v="1"/>
    <x v="2"/>
    <m/>
    <s v="Valid"/>
    <s v="Valid"/>
    <s v="Pass"/>
    <s v="Pass"/>
    <s v="April"/>
    <s v="2024"/>
    <m/>
    <n v="1777.96"/>
    <n v="1777.96"/>
    <n v="756.80000000000007"/>
    <n v="0.42565637022205227"/>
    <n v="0.42565637022205227"/>
  </r>
  <r>
    <x v="185"/>
    <d v="2024-05-11T00:00:00"/>
    <d v="2024-11-13T00:00:00"/>
    <n v="186"/>
    <s v="CUST-4968"/>
    <s v="Arjun Bose"/>
    <x v="0"/>
    <x v="4"/>
    <s v="Punjab"/>
    <s v="Ludhiana"/>
    <x v="0"/>
    <x v="7"/>
    <s v="Smart Labels 475"/>
    <x v="0"/>
    <n v="2"/>
    <n v="1003.17"/>
    <n v="0.2"/>
    <x v="185"/>
    <n v="1337.28"/>
    <x v="185"/>
    <x v="0"/>
    <x v="0"/>
    <m/>
    <s v="Valid"/>
    <s v="Valid"/>
    <s v="Pass"/>
    <s v="Flagged"/>
    <s v="May"/>
    <s v="2024"/>
    <m/>
    <n v="2006.34"/>
    <n v="1605.0720000000001"/>
    <n v="669.06"/>
    <n v="0.33347289093573373"/>
    <n v="0.33347289093573373"/>
  </r>
  <r>
    <x v="186"/>
    <d v="2024-07-19T00:00:00"/>
    <d v="2024-07-20T00:00:00"/>
    <n v="1"/>
    <s v="CUST-2778"/>
    <s v="Vikram Iyer"/>
    <x v="0"/>
    <x v="2"/>
    <s v="Tamil Nadu"/>
    <s v="Chennai"/>
    <x v="1"/>
    <x v="1"/>
    <s v="Basic Tables 417"/>
    <x v="2"/>
    <n v="7"/>
    <n v="3608.43"/>
    <n v="0.05"/>
    <x v="186"/>
    <n v="20167.28"/>
    <x v="186"/>
    <x v="0"/>
    <x v="0"/>
    <m/>
    <s v="Valid"/>
    <s v="Valid"/>
    <s v="Pass"/>
    <s v="Pass"/>
    <s v="July"/>
    <s v="2024"/>
    <m/>
    <n v="25259.01"/>
    <n v="23996.059499999996"/>
    <n v="5091.7299999999996"/>
    <n v="0.20158074287155356"/>
    <n v="0.20158074287155356"/>
  </r>
  <r>
    <x v="187"/>
    <d v="2025-05-01T00:00:00"/>
    <d v="2025-02-05T00:00:00"/>
    <n v="-85"/>
    <s v="CUST-3109"/>
    <s v="Mira Das"/>
    <x v="0"/>
    <x v="3"/>
    <s v="Madhya Pradesh"/>
    <s v="Indore"/>
    <x v="1"/>
    <x v="4"/>
    <s v="Pro Chairs 844"/>
    <x v="1"/>
    <n v="3"/>
    <n v="2905.74"/>
    <n v="0"/>
    <x v="187"/>
    <n v="6215.96"/>
    <x v="187"/>
    <x v="0"/>
    <x v="2"/>
    <m/>
    <s v="Invalid-Date"/>
    <s v="Valid"/>
    <s v="Pass"/>
    <s v="Pass"/>
    <s v="May"/>
    <s v="2025"/>
    <m/>
    <n v="8717.2199999999993"/>
    <n v="8717.2199999999993"/>
    <n v="2501.2599999999993"/>
    <n v="0.28693321953558582"/>
    <n v="0.28693321953558582"/>
  </r>
  <r>
    <x v="188"/>
    <d v="2025-05-21T00:00:00"/>
    <d v="2025-05-28T00:00:00"/>
    <n v="7"/>
    <s v="CUST-3422"/>
    <s v="Priya Menon"/>
    <x v="2"/>
    <x v="1"/>
    <s v="West Bengal"/>
    <s v="Kolkata"/>
    <x v="1"/>
    <x v="10"/>
    <s v="Elite Bookcases 883"/>
    <x v="1"/>
    <n v="2"/>
    <n v="3559.57"/>
    <n v="0.1"/>
    <x v="188"/>
    <n v="4923.09"/>
    <x v="188"/>
    <x v="0"/>
    <x v="0"/>
    <m/>
    <s v="Valid"/>
    <s v="Valid"/>
    <s v="Pass"/>
    <s v="Pass"/>
    <s v="May"/>
    <s v="2025"/>
    <m/>
    <n v="7119.14"/>
    <n v="6407.2260000000006"/>
    <n v="2196.0500000000002"/>
    <n v="0.30847124793163222"/>
    <n v="0.30847124793163222"/>
  </r>
  <r>
    <x v="189"/>
    <d v="2025-05-06T00:00:00"/>
    <d v="2025-07-05T00:00:00"/>
    <n v="60"/>
    <s v="CUST-3375"/>
    <s v="Arjun Bose"/>
    <x v="0"/>
    <x v="3"/>
    <s v="Rajasthan"/>
    <s v="Udaipur"/>
    <x v="1"/>
    <x v="10"/>
    <s v="Basic Bookcases 754"/>
    <x v="2"/>
    <n v="9"/>
    <n v="3318.24"/>
    <n v="0"/>
    <x v="189"/>
    <n v="16872.39"/>
    <x v="189"/>
    <x v="0"/>
    <x v="0"/>
    <m/>
    <s v="Valid"/>
    <s v="Valid"/>
    <s v="Pass"/>
    <s v="Pass"/>
    <s v="May"/>
    <s v="2025"/>
    <m/>
    <n v="29864.159999999996"/>
    <n v="29864.159999999996"/>
    <n v="12991.769999999997"/>
    <n v="0.43502881045373448"/>
    <n v="0.43502881045373448"/>
  </r>
  <r>
    <x v="190"/>
    <d v="2025-04-20T00:00:00"/>
    <d v="2025-04-21T00:00:00"/>
    <n v="1"/>
    <s v="CUST-5138"/>
    <s v="Aditi Sen"/>
    <x v="0"/>
    <x v="2"/>
    <s v="Tamil Nadu"/>
    <s v="Chennai"/>
    <x v="0"/>
    <x v="8"/>
    <s v="Eco Storage 158"/>
    <x v="2"/>
    <n v="3"/>
    <n v="540.09"/>
    <n v="0.1"/>
    <x v="190"/>
    <n v="943.32"/>
    <x v="190"/>
    <x v="0"/>
    <x v="0"/>
    <m/>
    <s v="Valid"/>
    <s v="Valid"/>
    <s v="Pass"/>
    <s v="Pass"/>
    <s v="April"/>
    <s v="2025"/>
    <m/>
    <n v="1620.27"/>
    <n v="1458.2429999999999"/>
    <n v="676.94999999999993"/>
    <n v="0.41780073691421798"/>
    <n v="0.41780073691421798"/>
  </r>
  <r>
    <x v="191"/>
    <d v="2024-10-19T00:00:00"/>
    <d v="2024-10-24T00:00:00"/>
    <n v="5"/>
    <s v="CUST-7410"/>
    <s v="Sneha Kapoor"/>
    <x v="1"/>
    <x v="2"/>
    <s v="Tamil Nadu"/>
    <s v="Chennai"/>
    <x v="1"/>
    <x v="10"/>
    <s v="Prime Bookcases 602"/>
    <x v="0"/>
    <n v="6"/>
    <n v="4308.3999999999996"/>
    <n v="0.65"/>
    <x v="191"/>
    <n v="19397.68"/>
    <x v="191"/>
    <x v="0"/>
    <x v="0"/>
    <m/>
    <s v="Valid"/>
    <s v="Invalid-Discount"/>
    <s v="Pass"/>
    <s v="Pass"/>
    <s v="October"/>
    <s v="2024"/>
    <m/>
    <n v="25850.399999999998"/>
    <n v="9047.64"/>
    <n v="6452.7199999999975"/>
    <n v="0.24961780088509261"/>
    <n v="0.24961780088509261"/>
  </r>
  <r>
    <x v="192"/>
    <d v="2024-12-09T00:00:00"/>
    <d v="2024-12-16T00:00:00"/>
    <n v="7"/>
    <s v="CUST-7115"/>
    <s v="Isha Nair"/>
    <x v="3"/>
    <x v="3"/>
    <s v="Gujarat"/>
    <s v="Ahmedabad"/>
    <x v="1"/>
    <x v="4"/>
    <s v="Eco Chairs 438"/>
    <x v="2"/>
    <n v="4"/>
    <n v="2191.0300000000002"/>
    <n v="0"/>
    <x v="192"/>
    <n v="7220.05"/>
    <x v="192"/>
    <x v="0"/>
    <x v="0"/>
    <m/>
    <s v="Valid"/>
    <s v="Valid"/>
    <s v="Pass"/>
    <s v="Pass"/>
    <s v="December"/>
    <s v="2024"/>
    <m/>
    <n v="8764.1200000000008"/>
    <n v="8764.1200000000008"/>
    <n v="1544.0700000000006"/>
    <n v="0.17618083732308554"/>
    <n v="0.17618083732308554"/>
  </r>
  <r>
    <x v="193"/>
    <d v="2024-06-23T00:00:00"/>
    <d v="2024-06-28T00:00:00"/>
    <n v="5"/>
    <s v="CUST-9853"/>
    <s v="Priya Menon"/>
    <x v="1"/>
    <x v="0"/>
    <s v="Punjab"/>
    <s v="Ludhiana"/>
    <x v="2"/>
    <x v="6"/>
    <s v="Prime Copiers 142"/>
    <x v="1"/>
    <n v="6"/>
    <n v="1956.63"/>
    <n v="0.2"/>
    <x v="193"/>
    <n v="6013.22"/>
    <x v="193"/>
    <x v="1"/>
    <x v="2"/>
    <m/>
    <s v="Valid"/>
    <s v="Valid"/>
    <s v="Pass"/>
    <s v="Pass"/>
    <s v="June"/>
    <s v="2024"/>
    <m/>
    <n v="11739.78"/>
    <n v="9391.8240000000005"/>
    <n v="5726.56"/>
    <n v="0.48779108296748319"/>
    <n v="0.48779108296748319"/>
  </r>
  <r>
    <x v="194"/>
    <d v="2025-01-28T00:00:00"/>
    <d v="2025-01-31T00:00:00"/>
    <n v="3"/>
    <s v="CUST-3637"/>
    <s v="Priya Menon"/>
    <x v="0"/>
    <x v="3"/>
    <s v="Maharashtra"/>
    <s v="Mumbai"/>
    <x v="1"/>
    <x v="3"/>
    <s v="Prime Furnishings 433"/>
    <x v="2"/>
    <n v="9"/>
    <n v="858.39"/>
    <n v="0.05"/>
    <x v="194"/>
    <n v="5434.12"/>
    <x v="194"/>
    <x v="2"/>
    <x v="2"/>
    <m/>
    <s v="Valid"/>
    <s v="Valid"/>
    <s v="Pass"/>
    <s v="Pass"/>
    <s v="January"/>
    <s v="2025"/>
    <m/>
    <n v="7725.51"/>
    <n v="7339.2344999999996"/>
    <n v="2291.3900000000003"/>
    <n v="0.29660048333378641"/>
    <n v="0.29660048333378641"/>
  </r>
  <r>
    <x v="195"/>
    <d v="2025-07-22T00:00:00"/>
    <d v="2025-07-24T00:00:00"/>
    <n v="2"/>
    <s v="CUST-4328"/>
    <s v="Neha Gupta"/>
    <x v="3"/>
    <x v="2"/>
    <s v="Andhra Pradesh"/>
    <s v="Vijayawada"/>
    <x v="1"/>
    <x v="3"/>
    <s v="Smart Furnishings 685"/>
    <x v="1"/>
    <n v="5"/>
    <n v="1922.83"/>
    <n v="0"/>
    <x v="195"/>
    <n v="7576.84"/>
    <x v="195"/>
    <x v="0"/>
    <x v="0"/>
    <m/>
    <s v="Valid"/>
    <s v="Valid"/>
    <s v="Pass"/>
    <s v="Pass"/>
    <s v="July"/>
    <s v="2025"/>
    <m/>
    <n v="9614.15"/>
    <n v="9614.15"/>
    <n v="2037.3099999999995"/>
    <n v="0.21190744891644084"/>
    <n v="0.21190744891644084"/>
  </r>
  <r>
    <x v="196"/>
    <d v="2024-01-22T00:00:00"/>
    <d v="2024-01-25T00:00:00"/>
    <n v="3"/>
    <s v="CUST-8028"/>
    <s v="Kabir Singh"/>
    <x v="3"/>
    <x v="0"/>
    <s v="Uttar Pradesh"/>
    <s v="Noida"/>
    <x v="0"/>
    <x v="8"/>
    <s v="Elite Storage 915"/>
    <x v="2"/>
    <n v="3"/>
    <n v="1212.03"/>
    <n v="0.1"/>
    <x v="196"/>
    <n v="2517.44"/>
    <x v="196"/>
    <x v="0"/>
    <x v="0"/>
    <m/>
    <s v="Valid"/>
    <s v="Valid"/>
    <s v="Pass"/>
    <s v="Pass"/>
    <s v="January"/>
    <s v="2024"/>
    <m/>
    <n v="3636.09"/>
    <n v="3272.4810000000002"/>
    <n v="1118.6500000000001"/>
    <n v="0.30765190080553562"/>
    <n v="0.30765190080553562"/>
  </r>
  <r>
    <x v="197"/>
    <d v="2025-03-31T00:00:00"/>
    <d v="2025-04-07T00:00:00"/>
    <n v="7"/>
    <s v="CUST-6106"/>
    <s v="Rahul Verma"/>
    <x v="1"/>
    <x v="1"/>
    <s v="Bihar"/>
    <s v="Patna"/>
    <x v="0"/>
    <x v="8"/>
    <s v="Basic Storage 961"/>
    <x v="0"/>
    <n v="5"/>
    <n v="4096.4399999999996"/>
    <n v="0.15"/>
    <x v="197"/>
    <n v="14076.25"/>
    <x v="197"/>
    <x v="0"/>
    <x v="0"/>
    <m/>
    <s v="Valid"/>
    <s v="Valid"/>
    <s v="Pass"/>
    <s v="Pass"/>
    <s v="March"/>
    <s v="2025"/>
    <m/>
    <n v="20482.199999999997"/>
    <n v="17409.869999999995"/>
    <n v="6405.9499999999971"/>
    <n v="0.31275693040786623"/>
    <n v="0.31275693040786623"/>
  </r>
  <r>
    <x v="198"/>
    <d v="2024-06-05T00:00:00"/>
    <d v="2024-06-06T00:00:00"/>
    <n v="1"/>
    <s v="CUST-7820"/>
    <s v="Sneha Kapoor"/>
    <x v="0"/>
    <x v="3"/>
    <s v="Gujarat"/>
    <s v="Ahmedabad"/>
    <x v="0"/>
    <x v="2"/>
    <s v="Classic Art 968"/>
    <x v="0"/>
    <n v="1"/>
    <n v="1184.58"/>
    <n v="0.05"/>
    <x v="198"/>
    <n v="676.97"/>
    <x v="198"/>
    <x v="3"/>
    <x v="1"/>
    <m/>
    <s v="Valid"/>
    <s v="Valid"/>
    <s v="Pass"/>
    <s v="Pass"/>
    <s v="June"/>
    <s v="2024"/>
    <m/>
    <n v="1184.58"/>
    <n v="1125.3509999999999"/>
    <n v="507.6099999999999"/>
    <n v="0.42851474784311733"/>
    <n v="0.42851474784311733"/>
  </r>
  <r>
    <x v="199"/>
    <d v="2024-12-03T00:00:00"/>
    <d v="2024-03-12T00:00:00"/>
    <n v="-266"/>
    <s v="CUST-4536"/>
    <s v="Rahul Verma"/>
    <x v="3"/>
    <x v="1"/>
    <s v="Bihar"/>
    <s v="Patna"/>
    <x v="2"/>
    <x v="12"/>
    <s v="Prime Machines 806"/>
    <x v="4"/>
    <n v="6"/>
    <n v="2185.58"/>
    <n v="0.25"/>
    <x v="199"/>
    <n v="5437.64"/>
    <x v="199"/>
    <x v="0"/>
    <x v="0"/>
    <m/>
    <s v="Invalid-Date"/>
    <s v="Valid"/>
    <s v="Flagged"/>
    <s v="Pass"/>
    <s v="December"/>
    <s v="2024"/>
    <m/>
    <n v="13113.48"/>
    <n v="9835.11"/>
    <n v="7675.8399999999992"/>
    <n v="0.58533966574852747"/>
    <n v="0.58533966574852747"/>
  </r>
  <r>
    <x v="200"/>
    <d v="2025-06-27T00:00:00"/>
    <d v="2025-05-07T00:00:00"/>
    <n v="-51"/>
    <s v="CUST-7047"/>
    <s v="Priya Menon"/>
    <x v="1"/>
    <x v="0"/>
    <s v="Rajasthan"/>
    <s v="Jaipur"/>
    <x v="2"/>
    <x v="6"/>
    <s v="Classic Copiers 479"/>
    <x v="2"/>
    <n v="5"/>
    <n v="2868.44"/>
    <n v="0.1"/>
    <x v="200"/>
    <n v="9197.08"/>
    <x v="200"/>
    <x v="2"/>
    <x v="1"/>
    <m/>
    <s v="Invalid-Date"/>
    <s v="Valid"/>
    <s v="Pass"/>
    <s v="Pass"/>
    <s v="June"/>
    <s v="2025"/>
    <m/>
    <n v="14342.2"/>
    <n v="12907.980000000001"/>
    <n v="5145.1200000000008"/>
    <n v="0.35873994226827127"/>
    <n v="0.35873994226827127"/>
  </r>
  <r>
    <x v="201"/>
    <d v="2025-07-26T00:00:00"/>
    <d v="2025-03-08T00:00:00"/>
    <n v="-140"/>
    <s v="CUST-8005"/>
    <s v="Vikram Iyer"/>
    <x v="0"/>
    <x v="3"/>
    <s v="Madhya Pradesh"/>
    <s v="Indore"/>
    <x v="0"/>
    <x v="7"/>
    <s v="Basic Labels 511"/>
    <x v="0"/>
    <n v="2"/>
    <n v="2503.5300000000002"/>
    <n v="-0.16"/>
    <x v="201"/>
    <n v="2954.86"/>
    <x v="201"/>
    <x v="1"/>
    <x v="1"/>
    <m/>
    <s v="Invalid-Date"/>
    <s v="Invalid-Discount"/>
    <s v="Pass"/>
    <s v="Pass"/>
    <s v="July"/>
    <s v="2025"/>
    <m/>
    <n v="5007.0600000000004"/>
    <n v="5808.1895999999997"/>
    <n v="2052.2000000000003"/>
    <n v="0.40986127587845966"/>
    <n v="0.40986127587845966"/>
  </r>
  <r>
    <x v="202"/>
    <d v="2025-03-28T00:00:00"/>
    <d v="2025-03-28T00:00:00"/>
    <n v="0"/>
    <s v="CUST-9378"/>
    <s v="Sneha Kapoor"/>
    <x v="2"/>
    <x v="3"/>
    <s v="Goa"/>
    <s v="Panaji"/>
    <x v="2"/>
    <x v="5"/>
    <s v="Prime Accessories 733"/>
    <x v="3"/>
    <n v="8"/>
    <n v="1740.94"/>
    <n v="0.05"/>
    <x v="202"/>
    <n v="11290.06"/>
    <x v="202"/>
    <x v="0"/>
    <x v="0"/>
    <m/>
    <s v="Valid"/>
    <s v="Valid"/>
    <s v="Pass"/>
    <s v="Pass"/>
    <s v="March"/>
    <s v="2025"/>
    <m/>
    <n v="13927.52"/>
    <n v="13231.144"/>
    <n v="2637.4600000000009"/>
    <n v="0.18937039760129593"/>
    <n v="0.18937039760129593"/>
  </r>
  <r>
    <x v="203"/>
    <d v="2024-03-28T00:00:00"/>
    <d v="2024-03-30T00:00:00"/>
    <n v="2"/>
    <s v="CUST-3384"/>
    <s v="Sneha Kapoor"/>
    <x v="2"/>
    <x v="3"/>
    <s v="Rajasthan"/>
    <s v="Udaipur"/>
    <x v="2"/>
    <x v="5"/>
    <s v="Max Accessories 186"/>
    <x v="0"/>
    <n v="1"/>
    <n v="570.34"/>
    <n v="0.15"/>
    <x v="203"/>
    <n v="333.54"/>
    <x v="203"/>
    <x v="0"/>
    <x v="0"/>
    <m/>
    <s v="Valid"/>
    <s v="Valid"/>
    <s v="Pass"/>
    <s v="Pass"/>
    <s v="March"/>
    <s v="2024"/>
    <m/>
    <n v="570.34"/>
    <n v="484.78899999999999"/>
    <n v="236.8"/>
    <n v="0.41519093873829643"/>
    <n v="0.41519093873829643"/>
  </r>
  <r>
    <x v="204"/>
    <d v="2025-07-20T00:00:00"/>
    <d v="2025-07-23T00:00:00"/>
    <n v="3"/>
    <s v="CUST-1986"/>
    <s v="Mira Das"/>
    <x v="3"/>
    <x v="1"/>
    <s v="West Bengal"/>
    <s v="Kolkata"/>
    <x v="1"/>
    <x v="1"/>
    <s v="Elite Tables 318"/>
    <x v="0"/>
    <n v="4"/>
    <n v="477.69"/>
    <n v="0.15"/>
    <x v="204"/>
    <n v="1217.99"/>
    <x v="204"/>
    <x v="0"/>
    <x v="0"/>
    <m/>
    <s v="Valid"/>
    <s v="Valid"/>
    <s v="Pass"/>
    <s v="Pass"/>
    <s v="July"/>
    <s v="2025"/>
    <m/>
    <n v="1910.76"/>
    <n v="1624.146"/>
    <n v="692.77"/>
    <n v="0.36256254055977727"/>
    <n v="0.36256254055977727"/>
  </r>
  <r>
    <x v="205"/>
    <d v="2025-04-21T00:00:00"/>
    <d v="2025-04-26T00:00:00"/>
    <n v="5"/>
    <s v="CUST-3338"/>
    <s v="Ananya Rao"/>
    <x v="0"/>
    <x v="3"/>
    <s v="Maharashtra"/>
    <s v="Mumbai"/>
    <x v="0"/>
    <x v="7"/>
    <s v="Smart Labels 354"/>
    <x v="1"/>
    <n v="6"/>
    <n v="873.59"/>
    <n v="0.2"/>
    <x v="205"/>
    <n v="3329.99"/>
    <x v="205"/>
    <x v="0"/>
    <x v="0"/>
    <m/>
    <s v="Valid"/>
    <s v="Valid"/>
    <s v="Pass"/>
    <s v="Pass"/>
    <s v="April"/>
    <s v="2025"/>
    <m/>
    <n v="5241.54"/>
    <n v="4193.232"/>
    <n v="1911.5500000000002"/>
    <n v="0.36469243771868576"/>
    <n v="0.36469243771868576"/>
  </r>
  <r>
    <x v="206"/>
    <d v="2025-05-18T00:00:00"/>
    <d v="2025-05-20T00:00:00"/>
    <n v="2"/>
    <s v="CUST-2343"/>
    <s v="Diya Patel"/>
    <x v="1"/>
    <x v="0"/>
    <s v="Uttar Pradesh"/>
    <s v="Noida"/>
    <x v="1"/>
    <x v="3"/>
    <s v="Pro Furnishings 981"/>
    <x v="2"/>
    <n v="2"/>
    <n v="215.13"/>
    <n v="0"/>
    <x v="206"/>
    <n v="286.38"/>
    <x v="206"/>
    <x v="0"/>
    <x v="0"/>
    <m/>
    <s v="Valid"/>
    <s v="Valid"/>
    <s v="Pass"/>
    <s v="Pass"/>
    <s v="May"/>
    <s v="2025"/>
    <m/>
    <n v="430.26"/>
    <n v="430.26"/>
    <n v="143.88"/>
    <n v="0.33440245432994004"/>
    <n v="0.33440245432994004"/>
  </r>
  <r>
    <x v="207"/>
    <d v="2024-07-10T00:00:00"/>
    <d v="2024-07-16T00:00:00"/>
    <n v="6"/>
    <s v="CUST-3362"/>
    <s v="Aarav Sharma"/>
    <x v="3"/>
    <x v="3"/>
    <s v="Goa"/>
    <s v="Panaji"/>
    <x v="1"/>
    <x v="10"/>
    <s v="Eco Bookcases 671"/>
    <x v="0"/>
    <n v="2"/>
    <n v="1095.45"/>
    <n v="0.2"/>
    <x v="207"/>
    <n v="996.41"/>
    <x v="207"/>
    <x v="0"/>
    <x v="0"/>
    <m/>
    <s v="Valid"/>
    <s v="Valid"/>
    <s v="Pass"/>
    <s v="Pass"/>
    <s v="July"/>
    <s v="2024"/>
    <m/>
    <n v="2190.9"/>
    <n v="1752.7200000000003"/>
    <n v="1194.4900000000002"/>
    <n v="0.5452051668264184"/>
    <n v="0.5452051668264184"/>
  </r>
  <r>
    <x v="208"/>
    <d v="2025-06-29T00:00:00"/>
    <d v="2025-07-05T00:00:00"/>
    <n v="6"/>
    <s v="CUST-3662"/>
    <s v="Diya Patel"/>
    <x v="0"/>
    <x v="0"/>
    <s v="Punjab"/>
    <s v="Ludhiana"/>
    <x v="1"/>
    <x v="4"/>
    <s v="Max Chairs 151"/>
    <x v="1"/>
    <n v="1"/>
    <n v="999.83"/>
    <n v="0"/>
    <x v="208"/>
    <n v="634.91"/>
    <x v="208"/>
    <x v="0"/>
    <x v="0"/>
    <m/>
    <s v="Valid"/>
    <s v="Valid"/>
    <s v="Pass"/>
    <s v="Pass"/>
    <s v="June"/>
    <s v="2025"/>
    <m/>
    <n v="999.83"/>
    <n v="999.83"/>
    <n v="364.92000000000007"/>
    <n v="0.3649820469479812"/>
    <n v="0.3649820469479812"/>
  </r>
  <r>
    <x v="209"/>
    <d v="2025-08-13T00:00:00"/>
    <d v="2025-08-14T00:00:00"/>
    <n v="1"/>
    <s v="CUST-4947"/>
    <s v="Rohan Mehta"/>
    <x v="1"/>
    <x v="2"/>
    <s v="Andhra Pradesh"/>
    <s v="Vijayawada"/>
    <x v="0"/>
    <x v="0"/>
    <s v="Prime Paper 903"/>
    <x v="2"/>
    <n v="9"/>
    <n v="864.98"/>
    <n v="0.1"/>
    <x v="209"/>
    <n v="4640.88"/>
    <x v="209"/>
    <x v="0"/>
    <x v="0"/>
    <m/>
    <s v="Valid"/>
    <s v="Valid"/>
    <s v="Pass"/>
    <s v="Pass"/>
    <s v="August"/>
    <s v="2025"/>
    <m/>
    <n v="7784.82"/>
    <n v="7006.3379999999997"/>
    <n v="3143.9399999999996"/>
    <n v="0.40385519511048423"/>
    <n v="0.40385519511048423"/>
  </r>
  <r>
    <x v="210"/>
    <d v="2024-03-15T00:00:00"/>
    <d v="2024-03-18T00:00:00"/>
    <n v="3"/>
    <s v="CUST-3076"/>
    <s v="Kabir Singh"/>
    <x v="3"/>
    <x v="2"/>
    <s v="Karnataka"/>
    <s v="Bengaluru"/>
    <x v="2"/>
    <x v="12"/>
    <s v="Classic Machines 944"/>
    <x v="0"/>
    <n v="1"/>
    <n v="4131.3599999999997"/>
    <n v="0"/>
    <x v="210"/>
    <n v="2937.07"/>
    <x v="210"/>
    <x v="3"/>
    <x v="2"/>
    <m/>
    <s v="Valid"/>
    <s v="Valid"/>
    <s v="Pass"/>
    <s v="Pass"/>
    <s v="March"/>
    <s v="2024"/>
    <m/>
    <n v="4131.3599999999997"/>
    <n v="4131.3599999999997"/>
    <n v="1194.2899999999995"/>
    <n v="0.28907914100925591"/>
    <n v="0.28907914100925591"/>
  </r>
  <r>
    <x v="211"/>
    <d v="2024-05-16T00:00:00"/>
    <d v="2024-05-17T00:00:00"/>
    <n v="1"/>
    <s v="CUST-2222"/>
    <s v="Rohan Mehta"/>
    <x v="2"/>
    <x v="1"/>
    <s v="West Bengal"/>
    <s v="Kolkata"/>
    <x v="2"/>
    <x v="6"/>
    <s v="Basic Copiers 222"/>
    <x v="0"/>
    <n v="8"/>
    <n v="4221.95"/>
    <n v="0.2"/>
    <x v="211"/>
    <n v="22885.24"/>
    <x v="211"/>
    <x v="0"/>
    <x v="0"/>
    <m/>
    <s v="Valid"/>
    <s v="Valid"/>
    <s v="Pass"/>
    <s v="Pass"/>
    <s v="May"/>
    <s v="2024"/>
    <m/>
    <n v="33775.599999999999"/>
    <n v="27020.48"/>
    <n v="10890.359999999997"/>
    <n v="0.32243276211229399"/>
    <n v="0.32243276211229399"/>
  </r>
  <r>
    <x v="212"/>
    <d v="2024-09-21T00:00:00"/>
    <d v="2024-09-21T00:00:00"/>
    <n v="0"/>
    <s v="CUST-3610"/>
    <s v="Ananya Rao"/>
    <x v="1"/>
    <x v="1"/>
    <s v="Odisha"/>
    <s v="Bhubaneswar"/>
    <x v="2"/>
    <x v="11"/>
    <s v="Max Phones 329"/>
    <x v="1"/>
    <n v="2"/>
    <n v="214.5"/>
    <n v="0.15"/>
    <x v="212"/>
    <n v="280.74"/>
    <x v="212"/>
    <x v="0"/>
    <x v="0"/>
    <m/>
    <s v="Valid"/>
    <s v="Valid"/>
    <s v="Pass"/>
    <s v="Pass"/>
    <s v="September"/>
    <s v="2024"/>
    <m/>
    <n v="429"/>
    <n v="364.65"/>
    <n v="148.26"/>
    <n v="0.34559440559440557"/>
    <n v="0.34559440559440557"/>
  </r>
  <r>
    <x v="213"/>
    <d v="2024-05-15T00:00:00"/>
    <d v="2024-05-21T00:00:00"/>
    <n v="6"/>
    <s v="CUST-9136"/>
    <s v="Isha Nair"/>
    <x v="1"/>
    <x v="1"/>
    <s v="Bihar"/>
    <s v="Patna"/>
    <x v="2"/>
    <x v="5"/>
    <s v="Classic Accessories 840"/>
    <x v="0"/>
    <n v="4"/>
    <n v="4332.7299999999996"/>
    <n v="0.2"/>
    <x v="213"/>
    <n v="11294.06"/>
    <x v="213"/>
    <x v="0"/>
    <x v="0"/>
    <m/>
    <s v="Valid"/>
    <s v="Valid"/>
    <s v="Pass"/>
    <s v="Pass"/>
    <s v="May"/>
    <s v="2024"/>
    <m/>
    <n v="17330.919999999998"/>
    <n v="13864.735999999999"/>
    <n v="6036.8599999999988"/>
    <n v="0.34832888271367007"/>
    <n v="0.34832888271367007"/>
  </r>
  <r>
    <x v="214"/>
    <d v="2024-03-17T00:00:00"/>
    <d v="2024-03-23T00:00:00"/>
    <n v="6"/>
    <s v="CUST-1301"/>
    <s v="Rahul Verma"/>
    <x v="0"/>
    <x v="0"/>
    <s v="Haryana"/>
    <s v="Gurugram"/>
    <x v="2"/>
    <x v="5"/>
    <s v="Classic Accessories 757"/>
    <x v="2"/>
    <n v="3"/>
    <n v="248.18"/>
    <n v="0.05"/>
    <x v="214"/>
    <n v="569"/>
    <x v="214"/>
    <x v="0"/>
    <x v="0"/>
    <m/>
    <s v="Valid"/>
    <s v="Valid"/>
    <s v="Pass"/>
    <s v="Pass"/>
    <s v="March"/>
    <s v="2024"/>
    <m/>
    <n v="744.54"/>
    <n v="707.31299999999999"/>
    <n v="175.53999999999996"/>
    <n v="0.23576973701883039"/>
    <n v="0.23576973701883039"/>
  </r>
  <r>
    <x v="215"/>
    <d v="2024-03-01T00:00:00"/>
    <d v="2024-04-03T00:00:00"/>
    <n v="33"/>
    <s v="CUST-8603"/>
    <s v="Mira Das"/>
    <x v="0"/>
    <x v="3"/>
    <s v="Madhya Pradesh"/>
    <s v="Indore"/>
    <x v="0"/>
    <x v="0"/>
    <s v="Prime Paper 286"/>
    <x v="2"/>
    <n v="8"/>
    <n v="3202.4"/>
    <n v="0.25"/>
    <x v="215"/>
    <n v="10916.01"/>
    <x v="215"/>
    <x v="0"/>
    <x v="0"/>
    <m/>
    <s v="Valid"/>
    <s v="Valid"/>
    <s v="Pass"/>
    <s v="Pass"/>
    <s v="March"/>
    <s v="2024"/>
    <m/>
    <n v="25619.200000000001"/>
    <n v="19214.400000000001"/>
    <n v="14703.19"/>
    <n v="0.57391292468148891"/>
    <n v="0.57391292468148891"/>
  </r>
  <r>
    <x v="216"/>
    <d v="2025-10-04T00:00:00"/>
    <d v="2025-04-15T00:00:00"/>
    <n v="-172"/>
    <s v="CUST-4330"/>
    <s v="Isha Nair"/>
    <x v="0"/>
    <x v="3"/>
    <s v="Gujarat"/>
    <s v="Ahmedabad"/>
    <x v="1"/>
    <x v="1"/>
    <s v="Basic Tables 400"/>
    <x v="3"/>
    <n v="8"/>
    <n v="1839.87"/>
    <n v="0.25"/>
    <x v="216"/>
    <n v="7642.91"/>
    <x v="216"/>
    <x v="3"/>
    <x v="2"/>
    <m/>
    <s v="Invalid-Date"/>
    <s v="Valid"/>
    <s v="Pass"/>
    <s v="Pass"/>
    <s v="October"/>
    <s v="2025"/>
    <m/>
    <n v="14718.96"/>
    <n v="11039.22"/>
    <n v="7076.0499999999993"/>
    <n v="0.48074388407876639"/>
    <n v="0.48074388407876639"/>
  </r>
  <r>
    <x v="217"/>
    <d v="2025-04-01T00:00:00"/>
    <d v="2025-08-04T00:00:00"/>
    <n v="125"/>
    <s v="CUST-4533"/>
    <s v="Aditi Sen"/>
    <x v="0"/>
    <x v="1"/>
    <s v="Odisha"/>
    <s v="Bhubaneswar"/>
    <x v="1"/>
    <x v="10"/>
    <s v="Basic Bookcases 405"/>
    <x v="0"/>
    <n v="5"/>
    <n v="1021.28"/>
    <n v="0.1"/>
    <x v="217"/>
    <n v="3396.8"/>
    <x v="217"/>
    <x v="1"/>
    <x v="1"/>
    <m/>
    <s v="Valid"/>
    <s v="Valid"/>
    <s v="Pass"/>
    <s v="Pass"/>
    <s v="April"/>
    <s v="2025"/>
    <m/>
    <n v="5106.3999999999996"/>
    <n v="4595.76"/>
    <n v="1709.5999999999995"/>
    <n v="0.33479555068149763"/>
    <n v="0.33479555068149763"/>
  </r>
  <r>
    <x v="218"/>
    <d v="2025-02-26T00:00:00"/>
    <d v="2025-02-27T00:00:00"/>
    <n v="1"/>
    <s v="CUST-8270"/>
    <s v="Priya Menon"/>
    <x v="2"/>
    <x v="3"/>
    <s v="Gujarat"/>
    <s v="Ahmedabad"/>
    <x v="1"/>
    <x v="10"/>
    <s v="Classic Bookcases 139"/>
    <x v="3"/>
    <n v="5"/>
    <n v="258.27999999999997"/>
    <n v="0"/>
    <x v="218"/>
    <n v="756.93"/>
    <x v="218"/>
    <x v="0"/>
    <x v="0"/>
    <m/>
    <s v="Valid"/>
    <s v="Valid"/>
    <s v="Pass"/>
    <s v="Pass"/>
    <s v="February"/>
    <s v="2025"/>
    <m/>
    <n v="1291.3999999999999"/>
    <n v="1291.3999999999999"/>
    <n v="534.46999999999991"/>
    <n v="0.41386866966083319"/>
    <n v="0.41386866966083319"/>
  </r>
  <r>
    <x v="219"/>
    <d v="2024-06-18T00:00:00"/>
    <d v="2024-06-19T00:00:00"/>
    <n v="1"/>
    <s v="CUST-1472"/>
    <s v="Rahul Verma"/>
    <x v="0"/>
    <x v="1"/>
    <s v="Bihar"/>
    <s v="Patna"/>
    <x v="2"/>
    <x v="12"/>
    <s v="Elite Machines 290"/>
    <x v="2"/>
    <n v="2"/>
    <n v="121.49"/>
    <n v="0.85"/>
    <x v="219"/>
    <n v="161.41999999999999"/>
    <x v="219"/>
    <x v="0"/>
    <x v="0"/>
    <m/>
    <s v="Valid"/>
    <s v="Invalid-Discount"/>
    <s v="Pass"/>
    <s v="Pass"/>
    <s v="June"/>
    <s v="2024"/>
    <m/>
    <n v="242.98"/>
    <n v="36.447000000000003"/>
    <n v="81.56"/>
    <n v="0.33566548687134745"/>
    <n v="0.33566548687134745"/>
  </r>
  <r>
    <x v="220"/>
    <d v="2024-03-09T00:00:00"/>
    <d v="2024-03-09T00:00:00"/>
    <n v="0"/>
    <s v="CUST-1031"/>
    <s v="Sneha Kapoor"/>
    <x v="0"/>
    <x v="2"/>
    <s v="Kerala"/>
    <s v="Kochi"/>
    <x v="0"/>
    <x v="8"/>
    <s v="Elite Storage 925"/>
    <x v="2"/>
    <n v="4"/>
    <n v="2810.17"/>
    <n v="0.15"/>
    <x v="220"/>
    <n v="6068.47"/>
    <x v="220"/>
    <x v="1"/>
    <x v="1"/>
    <m/>
    <s v="Valid"/>
    <s v="Valid"/>
    <s v="Pass"/>
    <s v="Pass"/>
    <s v="March"/>
    <s v="2024"/>
    <m/>
    <n v="11240.68"/>
    <n v="9554.5779999999995"/>
    <n v="5172.21"/>
    <n v="0.46013319478892734"/>
    <n v="0.46013319478892734"/>
  </r>
  <r>
    <x v="221"/>
    <d v="2025-01-12T00:00:00"/>
    <d v="2025-01-15T00:00:00"/>
    <n v="3"/>
    <s v="CUST-2495"/>
    <s v="Mira Das"/>
    <x v="2"/>
    <x v="2"/>
    <s v="Karnataka"/>
    <s v="Bengaluru"/>
    <x v="1"/>
    <x v="4"/>
    <s v="Classic Chairs 231"/>
    <x v="1"/>
    <n v="4"/>
    <n v="1531.53"/>
    <n v="0.2"/>
    <x v="221"/>
    <n v="3552.69"/>
    <x v="221"/>
    <x v="0"/>
    <x v="0"/>
    <m/>
    <s v="Valid"/>
    <s v="Valid"/>
    <s v="Pass"/>
    <s v="Pass"/>
    <s v="January"/>
    <s v="2025"/>
    <m/>
    <n v="6126.12"/>
    <n v="4900.8959999999997"/>
    <n v="2573.4299999999998"/>
    <n v="0.42007502301619948"/>
    <n v="0.42007502301619948"/>
  </r>
  <r>
    <x v="222"/>
    <d v="2025-04-29T00:00:00"/>
    <d v="2025-02-05T00:00:00"/>
    <n v="-83"/>
    <s v="CUST-4583"/>
    <s v="Vikram Iyer"/>
    <x v="1"/>
    <x v="3"/>
    <s v="Goa"/>
    <s v="Panaji"/>
    <x v="0"/>
    <x v="8"/>
    <s v="Prime Storage 818"/>
    <x v="2"/>
    <n v="6"/>
    <n v="4308.09"/>
    <n v="0"/>
    <x v="222"/>
    <n v="17729.09"/>
    <x v="222"/>
    <x v="0"/>
    <x v="0"/>
    <m/>
    <s v="Invalid-Date"/>
    <s v="Valid"/>
    <s v="Pass"/>
    <s v="Pass"/>
    <s v="April"/>
    <s v="2025"/>
    <m/>
    <n v="25848.54"/>
    <n v="25848.54"/>
    <n v="8119.4500000000007"/>
    <n v="0.31411638723115504"/>
    <n v="0.31411638723115504"/>
  </r>
  <r>
    <x v="223"/>
    <d v="2025-02-19T00:00:00"/>
    <d v="2025-02-26T00:00:00"/>
    <n v="7"/>
    <s v="CUST-5319"/>
    <s v="Mira Das"/>
    <x v="2"/>
    <x v="3"/>
    <s v="Maharashtra"/>
    <s v="Mumbai"/>
    <x v="1"/>
    <x v="3"/>
    <s v="Elite Furnishings 449"/>
    <x v="2"/>
    <n v="3"/>
    <n v="490.3"/>
    <n v="0.2"/>
    <x v="223"/>
    <n v="654.33000000000004"/>
    <x v="223"/>
    <x v="2"/>
    <x v="2"/>
    <m/>
    <s v="Valid"/>
    <s v="Valid"/>
    <s v="Pass"/>
    <s v="Pass"/>
    <s v="February"/>
    <s v="2025"/>
    <m/>
    <n v="1470.9"/>
    <n v="1176.72"/>
    <n v="816.57"/>
    <n v="0.55514990821945742"/>
    <n v="0.55514990821945742"/>
  </r>
  <r>
    <x v="224"/>
    <d v="2025-02-10T00:00:00"/>
    <d v="2025-08-10T00:00:00"/>
    <n v="181"/>
    <s v="CUST-9871"/>
    <s v="Isha Nair"/>
    <x v="1"/>
    <x v="0"/>
    <s v="Punjab"/>
    <s v="Ludhiana"/>
    <x v="1"/>
    <x v="3"/>
    <s v="Classic Furnishings 109"/>
    <x v="3"/>
    <n v="4"/>
    <n v="3944.64"/>
    <n v="0.25"/>
    <x v="224"/>
    <n v="6682.92"/>
    <x v="224"/>
    <x v="0"/>
    <x v="1"/>
    <m/>
    <s v="Valid"/>
    <s v="Valid"/>
    <s v="Pass"/>
    <s v="Pass"/>
    <s v="February"/>
    <s v="2025"/>
    <m/>
    <n v="15778.56"/>
    <n v="11833.92"/>
    <n v="9095.64"/>
    <n v="0.5764556461426138"/>
    <n v="0.5764556461426138"/>
  </r>
  <r>
    <x v="225"/>
    <d v="2024-09-02T00:00:00"/>
    <d v="2024-10-09T00:00:00"/>
    <n v="37"/>
    <s v="CUST-1266"/>
    <s v="Mira Das"/>
    <x v="2"/>
    <x v="3"/>
    <s v="Goa"/>
    <s v="Panaji"/>
    <x v="2"/>
    <x v="11"/>
    <s v="Classic Phones 548"/>
    <x v="3"/>
    <n v="6"/>
    <n v="1032.47"/>
    <n v="0.15"/>
    <x v="225"/>
    <n v="4293.1099999999997"/>
    <x v="225"/>
    <x v="0"/>
    <x v="0"/>
    <m/>
    <s v="Valid"/>
    <s v="Valid"/>
    <s v="Pass"/>
    <s v="Pass"/>
    <s v="September"/>
    <s v="2024"/>
    <m/>
    <n v="6194.82"/>
    <n v="5265.5969999999998"/>
    <n v="1901.71"/>
    <n v="0.30698389945147725"/>
    <n v="0.30698389945147725"/>
  </r>
  <r>
    <x v="226"/>
    <d v="2025-04-10T00:00:00"/>
    <d v="2025-04-15T00:00:00"/>
    <n v="5"/>
    <s v="CUST-2545"/>
    <s v="Diya Patel"/>
    <x v="3"/>
    <x v="4"/>
    <s v="Kerala"/>
    <s v="Kochi"/>
    <x v="2"/>
    <x v="6"/>
    <s v="Max Copiers 363"/>
    <x v="1"/>
    <n v="1"/>
    <n v="2208.27"/>
    <n v="0.1"/>
    <x v="226"/>
    <n v="1110.23"/>
    <x v="226"/>
    <x v="0"/>
    <x v="0"/>
    <m/>
    <s v="Valid"/>
    <s v="Valid"/>
    <s v="Pass"/>
    <s v="Flagged"/>
    <s v="April"/>
    <s v="2025"/>
    <m/>
    <n v="2208.27"/>
    <n v="1987.443"/>
    <n v="1098.04"/>
    <n v="0.49723992084301283"/>
    <n v="0.49723992084301283"/>
  </r>
  <r>
    <x v="227"/>
    <d v="2024-07-05T00:00:00"/>
    <d v="2024-12-07T00:00:00"/>
    <n v="155"/>
    <s v="CUST-2819"/>
    <s v="Ananya Rao"/>
    <x v="1"/>
    <x v="3"/>
    <s v="Goa"/>
    <s v="Panaji"/>
    <x v="0"/>
    <x v="9"/>
    <s v="Prime Binders 507"/>
    <x v="2"/>
    <n v="3"/>
    <n v="577.75"/>
    <n v="0.15"/>
    <x v="227"/>
    <n v="899.86"/>
    <x v="227"/>
    <x v="0"/>
    <x v="0"/>
    <m/>
    <s v="Valid"/>
    <s v="Valid"/>
    <s v="Pass"/>
    <s v="Pass"/>
    <s v="July"/>
    <s v="2024"/>
    <m/>
    <n v="1733.25"/>
    <n v="1473.2625"/>
    <n v="833.39"/>
    <n v="0.48082503966536849"/>
    <n v="0.48082503966536849"/>
  </r>
  <r>
    <x v="228"/>
    <d v="2024-04-24T00:00:00"/>
    <d v="2024-04-28T00:00:00"/>
    <n v="4"/>
    <s v="CUST-1076"/>
    <s v="Karan Malhotra"/>
    <x v="1"/>
    <x v="2"/>
    <s v="Telangana"/>
    <s v="Hyderabad"/>
    <x v="0"/>
    <x v="7"/>
    <s v="Smart Labels 914"/>
    <x v="0"/>
    <n v="1"/>
    <n v="3194.37"/>
    <n v="0.15"/>
    <x v="228"/>
    <n v="1551.55"/>
    <x v="228"/>
    <x v="0"/>
    <x v="0"/>
    <m/>
    <s v="Valid"/>
    <s v="Valid"/>
    <s v="Pass"/>
    <s v="Pass"/>
    <s v="April"/>
    <s v="2024"/>
    <m/>
    <n v="3194.37"/>
    <n v="2715.2145"/>
    <n v="1642.82"/>
    <n v="0.51428607205802712"/>
    <n v="0.51428607205802712"/>
  </r>
  <r>
    <x v="229"/>
    <d v="2025-06-28T00:00:00"/>
    <d v="2025-04-07T00:00:00"/>
    <n v="-82"/>
    <s v="CUST-1943"/>
    <s v="Rohan Mehta"/>
    <x v="0"/>
    <x v="2"/>
    <s v="Telangana"/>
    <s v="Hyderabad"/>
    <x v="1"/>
    <x v="10"/>
    <s v="Smart Bookcases 662"/>
    <x v="2"/>
    <n v="3"/>
    <n v="2886.23"/>
    <n v="0"/>
    <x v="229"/>
    <n v="5535.94"/>
    <x v="229"/>
    <x v="1"/>
    <x v="2"/>
    <m/>
    <s v="Invalid-Date"/>
    <s v="Valid"/>
    <s v="Pass"/>
    <s v="Pass"/>
    <s v="June"/>
    <s v="2025"/>
    <m/>
    <n v="8658.69"/>
    <n v="8658.69"/>
    <n v="3122.7500000000009"/>
    <n v="0.36064924370776652"/>
    <n v="0.36064924370776652"/>
  </r>
  <r>
    <x v="230"/>
    <d v="2024-05-28T00:00:00"/>
    <d v="2024-06-03T00:00:00"/>
    <n v="6"/>
    <s v="CUST-3434"/>
    <s v="Neha Gupta"/>
    <x v="1"/>
    <x v="0"/>
    <s v="Rajasthan"/>
    <s v="Jaipur"/>
    <x v="0"/>
    <x v="0"/>
    <s v="Eco Paper 937"/>
    <x v="3"/>
    <n v="8"/>
    <n v="1540.33"/>
    <n v="0.1"/>
    <x v="230"/>
    <n v="8840.9500000000007"/>
    <x v="230"/>
    <x v="0"/>
    <x v="0"/>
    <m/>
    <s v="Valid"/>
    <s v="Valid"/>
    <s v="Pass"/>
    <s v="Pass"/>
    <s v="May"/>
    <s v="2024"/>
    <m/>
    <n v="12322.64"/>
    <n v="11090.376"/>
    <n v="3481.6899999999987"/>
    <n v="0.2825441626145046"/>
    <n v="0.2825441626145046"/>
  </r>
  <r>
    <x v="231"/>
    <d v="2024-05-02T00:00:00"/>
    <d v="2024-02-05T00:00:00"/>
    <n v="-87"/>
    <s v="CUST-9139"/>
    <s v="Ananya Rao"/>
    <x v="2"/>
    <x v="0"/>
    <s v="Rajasthan"/>
    <s v="Jaipur"/>
    <x v="0"/>
    <x v="7"/>
    <s v="Max Labels 370"/>
    <x v="2"/>
    <n v="7"/>
    <n v="2183.38"/>
    <n v="0.25"/>
    <x v="231"/>
    <n v="7163.54"/>
    <x v="231"/>
    <x v="1"/>
    <x v="1"/>
    <m/>
    <s v="Invalid-Date"/>
    <s v="Valid"/>
    <s v="Pass"/>
    <s v="Pass"/>
    <s v="May"/>
    <s v="2024"/>
    <m/>
    <n v="15283.66"/>
    <n v="11462.744999999999"/>
    <n v="8120.12"/>
    <n v="0.53129420570727171"/>
    <n v="0.53129420570727171"/>
  </r>
  <r>
    <x v="232"/>
    <d v="2025-06-04T00:00:00"/>
    <d v="2025-10-06T00:00:00"/>
    <n v="124"/>
    <s v="CUST-5341"/>
    <s v="Rahul Verma"/>
    <x v="0"/>
    <x v="2"/>
    <s v="Andhra Pradesh"/>
    <s v="Vijayawada"/>
    <x v="2"/>
    <x v="11"/>
    <s v="Classic Phones 530"/>
    <x v="3"/>
    <n v="4"/>
    <n v="223.37"/>
    <n v="0.25"/>
    <x v="232"/>
    <n v="559.57000000000005"/>
    <x v="232"/>
    <x v="0"/>
    <x v="0"/>
    <m/>
    <s v="Valid"/>
    <s v="Valid"/>
    <s v="Pass"/>
    <s v="Pass"/>
    <s v="June"/>
    <s v="2025"/>
    <m/>
    <n v="893.48"/>
    <n v="670.11"/>
    <n v="333.90999999999997"/>
    <n v="0.37371849397860046"/>
    <n v="0.37371849397860046"/>
  </r>
  <r>
    <x v="233"/>
    <d v="2024-10-14T00:00:00"/>
    <d v="2024-10-14T00:00:00"/>
    <n v="0"/>
    <s v="CUST-3710"/>
    <s v="Vikram Iyer"/>
    <x v="2"/>
    <x v="2"/>
    <s v="Karnataka"/>
    <s v="Bengaluru"/>
    <x v="1"/>
    <x v="10"/>
    <s v="Smart Bookcases 328"/>
    <x v="4"/>
    <n v="8"/>
    <n v="3904.59"/>
    <n v="0"/>
    <x v="233"/>
    <n v="26377.7"/>
    <x v="233"/>
    <x v="0"/>
    <x v="0"/>
    <m/>
    <s v="Valid"/>
    <s v="Valid"/>
    <s v="Flagged"/>
    <s v="Pass"/>
    <s v="October"/>
    <s v="2024"/>
    <m/>
    <n v="31236.720000000001"/>
    <n v="31236.720000000001"/>
    <n v="4859.0200000000004"/>
    <n v="0.15555474454424154"/>
    <n v="0.15555474454424154"/>
  </r>
  <r>
    <x v="234"/>
    <d v="2024-02-09T00:00:00"/>
    <d v="2024-03-09T00:00:00"/>
    <n v="29"/>
    <s v="CUST-9754"/>
    <s v="Kabir Singh"/>
    <x v="3"/>
    <x v="0"/>
    <s v="Delhi"/>
    <s v="New Delhi"/>
    <x v="1"/>
    <x v="3"/>
    <s v="Eco Furnishings 981"/>
    <x v="2"/>
    <n v="9"/>
    <n v="1353.61"/>
    <n v="0.1"/>
    <x v="234"/>
    <n v="9262.4699999999993"/>
    <x v="234"/>
    <x v="0"/>
    <x v="0"/>
    <m/>
    <s v="Valid"/>
    <s v="Valid"/>
    <s v="Pass"/>
    <s v="Pass"/>
    <s v="February"/>
    <s v="2024"/>
    <m/>
    <n v="12182.49"/>
    <n v="10964.241"/>
    <n v="2920.0200000000004"/>
    <n v="0.23968991560838551"/>
    <n v="0.23968991560838551"/>
  </r>
  <r>
    <x v="235"/>
    <d v="2024-02-11T00:00:00"/>
    <d v="2024-03-11T00:00:00"/>
    <n v="29"/>
    <s v="CUST-6256"/>
    <s v="Rahul Verma"/>
    <x v="1"/>
    <x v="3"/>
    <s v="Rajasthan"/>
    <s v="Udaipur"/>
    <x v="0"/>
    <x v="8"/>
    <s v="Basic Storage 195"/>
    <x v="3"/>
    <n v="6"/>
    <n v="2671.29"/>
    <n v="0.05"/>
    <x v="235"/>
    <n v="11145.28"/>
    <x v="235"/>
    <x v="0"/>
    <x v="0"/>
    <m/>
    <s v="Valid"/>
    <s v="Valid"/>
    <s v="Pass"/>
    <s v="Pass"/>
    <s v="February"/>
    <s v="2024"/>
    <m/>
    <n v="16027.74"/>
    <n v="15226.352999999999"/>
    <n v="4882.4599999999991"/>
    <n v="0.30462560535671274"/>
    <n v="0.30462560535671274"/>
  </r>
  <r>
    <x v="236"/>
    <d v="2024-10-14T00:00:00"/>
    <d v="2024-10-21T00:00:00"/>
    <n v="7"/>
    <s v="CUST-7113"/>
    <s v="Priya Menon"/>
    <x v="2"/>
    <x v="0"/>
    <s v="Uttar Pradesh"/>
    <s v="Noida"/>
    <x v="1"/>
    <x v="10"/>
    <s v="Elite Bookcases 907"/>
    <x v="2"/>
    <n v="6"/>
    <n v="4062.78"/>
    <n v="0"/>
    <x v="236"/>
    <n v="18533.39"/>
    <x v="236"/>
    <x v="0"/>
    <x v="0"/>
    <m/>
    <s v="Valid"/>
    <s v="Valid"/>
    <s v="Pass"/>
    <s v="Pass"/>
    <s v="October"/>
    <s v="2024"/>
    <m/>
    <n v="24376.68"/>
    <n v="24376.68"/>
    <n v="5843.2900000000009"/>
    <n v="0.23970819652224998"/>
    <n v="0.23970819652224998"/>
  </r>
  <r>
    <x v="237"/>
    <d v="2024-08-27T00:00:00"/>
    <d v="2024-08-27T00:00:00"/>
    <n v="0"/>
    <s v="CUST-3827"/>
    <s v="Mira Das"/>
    <x v="0"/>
    <x v="0"/>
    <s v="Haryana"/>
    <s v="Gurugram"/>
    <x v="2"/>
    <x v="6"/>
    <s v="Smart Copiers 471"/>
    <x v="3"/>
    <n v="9"/>
    <n v="2330.3000000000002"/>
    <n v="0"/>
    <x v="237"/>
    <n v="13504.88"/>
    <x v="237"/>
    <x v="0"/>
    <x v="0"/>
    <m/>
    <s v="Valid"/>
    <s v="Valid"/>
    <s v="Pass"/>
    <s v="Pass"/>
    <s v="August"/>
    <s v="2024"/>
    <m/>
    <n v="20972.7"/>
    <n v="20972.7"/>
    <n v="7467.8200000000015"/>
    <n v="0.35607337157352181"/>
    <n v="0.35607337157352181"/>
  </r>
  <r>
    <x v="238"/>
    <d v="2024-12-01T00:00:00"/>
    <d v="2024-01-17T00:00:00"/>
    <n v="-319"/>
    <s v="CUST-2375"/>
    <s v="Arjun Bose"/>
    <x v="0"/>
    <x v="2"/>
    <s v="Andhra Pradesh"/>
    <s v="Vijayawada"/>
    <x v="0"/>
    <x v="8"/>
    <s v="Prime Storage 625"/>
    <x v="2"/>
    <n v="7"/>
    <n v="4005.05"/>
    <n v="0.55000000000000004"/>
    <x v="238"/>
    <n v="18838.75"/>
    <x v="238"/>
    <x v="0"/>
    <x v="0"/>
    <m/>
    <s v="Invalid-Date"/>
    <s v="Invalid-Discount"/>
    <s v="Pass"/>
    <s v="Pass"/>
    <s v="December"/>
    <s v="2024"/>
    <m/>
    <n v="28035.350000000002"/>
    <n v="12615.907499999999"/>
    <n v="9196.6000000000022"/>
    <n v="0.32803585473339913"/>
    <n v="0.32803585473339913"/>
  </r>
  <r>
    <x v="239"/>
    <d v="2024-09-21T00:00:00"/>
    <d v="2024-09-21T00:00:00"/>
    <n v="0"/>
    <s v="CUST-2233"/>
    <s v="Kabir Singh"/>
    <x v="2"/>
    <x v="2"/>
    <s v="Karnataka"/>
    <s v="Bengaluru"/>
    <x v="2"/>
    <x v="12"/>
    <s v="Smart Machines 801"/>
    <x v="2"/>
    <n v="2"/>
    <n v="1960.06"/>
    <n v="0.2"/>
    <x v="239"/>
    <n v="2279.4899999999998"/>
    <x v="239"/>
    <x v="0"/>
    <x v="0"/>
    <m/>
    <s v="Valid"/>
    <s v="Valid"/>
    <s v="Pass"/>
    <s v="Pass"/>
    <s v="September"/>
    <s v="2024"/>
    <m/>
    <n v="3920.12"/>
    <n v="3136.096"/>
    <n v="1640.63"/>
    <n v="0.41851524953317759"/>
    <n v="0.41851524953317759"/>
  </r>
  <r>
    <x v="240"/>
    <d v="2024-12-17T00:00:00"/>
    <d v="2024-12-23T00:00:00"/>
    <n v="6"/>
    <s v="CUST-9778"/>
    <s v="Aarav Sharma"/>
    <x v="2"/>
    <x v="2"/>
    <s v="Telangana"/>
    <s v="Hyderabad"/>
    <x v="0"/>
    <x v="9"/>
    <s v="Max Binders 170"/>
    <x v="2"/>
    <n v="9"/>
    <n v="2315.1"/>
    <n v="0"/>
    <x v="240"/>
    <n v="13928.19"/>
    <x v="240"/>
    <x v="0"/>
    <x v="0"/>
    <m/>
    <s v="Valid"/>
    <s v="Valid"/>
    <s v="Pass"/>
    <s v="Pass"/>
    <s v="December"/>
    <s v="2024"/>
    <m/>
    <n v="20835.899999999998"/>
    <n v="20835.899999999998"/>
    <n v="6907.7099999999973"/>
    <n v="0.33152923559817421"/>
    <n v="0.33152923559817421"/>
  </r>
  <r>
    <x v="241"/>
    <d v="2025-06-07T00:00:00"/>
    <d v="2025-07-06T00:00:00"/>
    <n v="29"/>
    <s v="CUST-6949"/>
    <s v="Sneha Kapoor"/>
    <x v="2"/>
    <x v="0"/>
    <s v="Haryana"/>
    <s v="Gurugram"/>
    <x v="0"/>
    <x v="8"/>
    <s v="Basic Storage 737"/>
    <x v="3"/>
    <n v="1"/>
    <n v="1617.2"/>
    <n v="0.25"/>
    <x v="241"/>
    <n v="690.52"/>
    <x v="241"/>
    <x v="2"/>
    <x v="2"/>
    <m/>
    <s v="Valid"/>
    <s v="Valid"/>
    <s v="Pass"/>
    <s v="Pass"/>
    <s v="June"/>
    <s v="2025"/>
    <m/>
    <n v="1617.2"/>
    <n v="1212.9000000000001"/>
    <n v="926.68000000000006"/>
    <n v="0.57301508780608457"/>
    <n v="0.57301508780608457"/>
  </r>
  <r>
    <x v="242"/>
    <d v="2025-02-07T00:00:00"/>
    <d v="2025-07-02T00:00:00"/>
    <n v="145"/>
    <s v="CUST-3430"/>
    <s v="Arjun Bose"/>
    <x v="0"/>
    <x v="0"/>
    <s v="Uttar Pradesh"/>
    <s v="Noida"/>
    <x v="0"/>
    <x v="2"/>
    <s v="Classic Art 126"/>
    <x v="0"/>
    <n v="3"/>
    <n v="1999.24"/>
    <n v="0.05"/>
    <x v="242"/>
    <n v="4251.5"/>
    <x v="242"/>
    <x v="0"/>
    <x v="0"/>
    <m/>
    <s v="Valid"/>
    <s v="Valid"/>
    <s v="Pass"/>
    <s v="Pass"/>
    <s v="February"/>
    <s v="2025"/>
    <m/>
    <n v="5997.72"/>
    <n v="5697.8339999999998"/>
    <n v="1746.2200000000003"/>
    <n v="0.29114730264167055"/>
    <n v="0.29114730264167055"/>
  </r>
  <r>
    <x v="243"/>
    <d v="2025-07-29T00:00:00"/>
    <d v="2025-02-08T00:00:00"/>
    <n v="-171"/>
    <s v="CUST-6310"/>
    <s v="Sneha Kapoor"/>
    <x v="1"/>
    <x v="4"/>
    <s v="Madhya Pradesh"/>
    <s v="Indore"/>
    <x v="2"/>
    <x v="5"/>
    <s v="Prime Accessories 243"/>
    <x v="2"/>
    <n v="1"/>
    <n v="4499.46"/>
    <n v="0.1"/>
    <x v="243"/>
    <n v="2509.1999999999998"/>
    <x v="243"/>
    <x v="0"/>
    <x v="0"/>
    <m/>
    <s v="Invalid-Date"/>
    <s v="Valid"/>
    <s v="Pass"/>
    <s v="Flagged"/>
    <s v="July"/>
    <s v="2025"/>
    <m/>
    <n v="4499.46"/>
    <n v="4049.5140000000001"/>
    <n v="1990.2600000000002"/>
    <n v="0.44233307996959642"/>
    <n v="0.44233307996959642"/>
  </r>
  <r>
    <x v="244"/>
    <d v="2024-08-23T00:00:00"/>
    <d v="2024-08-24T00:00:00"/>
    <n v="1"/>
    <s v="CUST-6008"/>
    <s v="Neha Gupta"/>
    <x v="0"/>
    <x v="2"/>
    <s v="Telangana"/>
    <s v="Hyderabad"/>
    <x v="1"/>
    <x v="10"/>
    <s v="Eco Bookcases 768"/>
    <x v="1"/>
    <n v="6"/>
    <n v="1021.89"/>
    <n v="0"/>
    <x v="244"/>
    <n v="4060.88"/>
    <x v="244"/>
    <x v="0"/>
    <x v="0"/>
    <m/>
    <s v="Valid"/>
    <s v="Valid"/>
    <s v="Pass"/>
    <s v="Pass"/>
    <s v="August"/>
    <s v="2024"/>
    <m/>
    <n v="6131.34"/>
    <n v="6131.34"/>
    <n v="2070.46"/>
    <n v="0.33768474754295147"/>
    <n v="0.33768474754295147"/>
  </r>
  <r>
    <x v="245"/>
    <d v="2024-10-18T00:00:00"/>
    <d v="2024-10-24T00:00:00"/>
    <n v="6"/>
    <s v="CUST-1704"/>
    <s v="Neha Gupta"/>
    <x v="3"/>
    <x v="2"/>
    <s v="Kerala"/>
    <s v="Kochi"/>
    <x v="1"/>
    <x v="4"/>
    <s v="Pro Chairs 316"/>
    <x v="0"/>
    <n v="3"/>
    <n v="3275.93"/>
    <n v="0"/>
    <x v="245"/>
    <n v="5478.28"/>
    <x v="245"/>
    <x v="0"/>
    <x v="0"/>
    <m/>
    <s v="Valid"/>
    <s v="Valid"/>
    <s v="Pass"/>
    <s v="Pass"/>
    <s v="October"/>
    <s v="2024"/>
    <m/>
    <n v="9827.7899999999991"/>
    <n v="9827.7899999999991"/>
    <n v="4349.5099999999993"/>
    <n v="0.44257254174132737"/>
    <n v="0.44257254174132737"/>
  </r>
  <r>
    <x v="246"/>
    <d v="2024-05-04T00:00:00"/>
    <d v="2024-09-05T00:00:00"/>
    <n v="124"/>
    <s v="CUST-1827"/>
    <s v="Ananya Rao"/>
    <x v="2"/>
    <x v="0"/>
    <s v="Punjab"/>
    <s v="Ludhiana"/>
    <x v="2"/>
    <x v="12"/>
    <s v="Classic Machines 819"/>
    <x v="1"/>
    <n v="3"/>
    <n v="231.95"/>
    <n v="0.25"/>
    <x v="246"/>
    <n v="444.52"/>
    <x v="246"/>
    <x v="1"/>
    <x v="1"/>
    <m/>
    <s v="Valid"/>
    <s v="Valid"/>
    <s v="Pass"/>
    <s v="Pass"/>
    <s v="May"/>
    <s v="2024"/>
    <m/>
    <n v="695.84999999999991"/>
    <n v="521.88749999999993"/>
    <n v="251.32999999999993"/>
    <n v="0.36118416325357472"/>
    <n v="0.36118416325357472"/>
  </r>
  <r>
    <x v="247"/>
    <d v="2024-07-25T00:00:00"/>
    <d v="2024-01-08T00:00:00"/>
    <n v="-199"/>
    <s v="CUST-6663"/>
    <s v="Rahul Verma"/>
    <x v="2"/>
    <x v="0"/>
    <s v="Rajasthan"/>
    <s v="Jaipur"/>
    <x v="2"/>
    <x v="5"/>
    <s v="Smart Accessories 572"/>
    <x v="0"/>
    <n v="8"/>
    <n v="2493.4"/>
    <n v="0.25"/>
    <x v="247"/>
    <n v="12500.84"/>
    <x v="247"/>
    <x v="0"/>
    <x v="0"/>
    <m/>
    <s v="Invalid-Date"/>
    <s v="Valid"/>
    <s v="Pass"/>
    <s v="Pass"/>
    <s v="July"/>
    <s v="2024"/>
    <m/>
    <n v="19947.2"/>
    <n v="14960.400000000001"/>
    <n v="7446.3600000000006"/>
    <n v="0.37330352129622202"/>
    <n v="0.37330352129622202"/>
  </r>
  <r>
    <x v="248"/>
    <d v="2024-02-06T00:00:00"/>
    <d v="2024-06-07T00:00:00"/>
    <n v="122"/>
    <s v="CUST-6278"/>
    <s v="Rohan Mehta"/>
    <x v="3"/>
    <x v="1"/>
    <s v="Odisha"/>
    <s v="Bhubaneswar"/>
    <x v="0"/>
    <x v="7"/>
    <s v="Basic Labels 432"/>
    <x v="0"/>
    <n v="9"/>
    <n v="787.91"/>
    <n v="0.15"/>
    <x v="248"/>
    <n v="4883.82"/>
    <x v="248"/>
    <x v="0"/>
    <x v="0"/>
    <m/>
    <s v="Valid"/>
    <s v="Valid"/>
    <s v="Pass"/>
    <s v="Pass"/>
    <s v="February"/>
    <s v="2024"/>
    <m/>
    <n v="7091.19"/>
    <n v="6027.5114999999996"/>
    <n v="2207.37"/>
    <n v="0.31128343761766358"/>
    <n v="0.31128343761766358"/>
  </r>
  <r>
    <x v="249"/>
    <d v="2025-01-08T00:00:00"/>
    <d v="2025-02-08T00:00:00"/>
    <n v="31"/>
    <s v="CUST-2305"/>
    <s v="Mira Das"/>
    <x v="2"/>
    <x v="0"/>
    <s v="Rajasthan"/>
    <s v="Jaipur"/>
    <x v="1"/>
    <x v="3"/>
    <s v="Classic Furnishings 378"/>
    <x v="2"/>
    <n v="4"/>
    <n v="2790.29"/>
    <n v="0.2"/>
    <x v="249"/>
    <n v="5634.38"/>
    <x v="249"/>
    <x v="0"/>
    <x v="0"/>
    <m/>
    <s v="Valid"/>
    <s v="Valid"/>
    <s v="Pass"/>
    <s v="Pass"/>
    <s v="January"/>
    <s v="2025"/>
    <m/>
    <n v="11161.16"/>
    <n v="8928.9279999999999"/>
    <n v="5526.78"/>
    <n v="0.49517971250300147"/>
    <n v="0.49517971250300147"/>
  </r>
  <r>
    <x v="250"/>
    <d v="2024-02-21T00:00:00"/>
    <d v="2024-02-27T00:00:00"/>
    <n v="6"/>
    <s v="CUST-5351"/>
    <s v="Arjun Bose"/>
    <x v="1"/>
    <x v="1"/>
    <s v="West Bengal"/>
    <s v="Kolkata"/>
    <x v="1"/>
    <x v="3"/>
    <s v="Prime Furnishings 781"/>
    <x v="3"/>
    <n v="5"/>
    <n v="3373.86"/>
    <n v="0.15"/>
    <x v="250"/>
    <n v="11897.65"/>
    <x v="250"/>
    <x v="2"/>
    <x v="2"/>
    <m/>
    <s v="Valid"/>
    <s v="Valid"/>
    <s v="Pass"/>
    <s v="Pass"/>
    <s v="February"/>
    <s v="2024"/>
    <m/>
    <n v="16869.3"/>
    <n v="14338.904999999999"/>
    <n v="4971.6499999999996"/>
    <n v="0.29471584475941504"/>
    <n v="0.29471584475941504"/>
  </r>
  <r>
    <x v="251"/>
    <d v="2025-04-06T00:00:00"/>
    <d v="2025-10-04T00:00:00"/>
    <n v="181"/>
    <s v="CUST-6268"/>
    <s v="Ananya Rao"/>
    <x v="2"/>
    <x v="3"/>
    <s v="Gujarat"/>
    <s v="Ahmedabad"/>
    <x v="1"/>
    <x v="1"/>
    <s v="Prime Tables 263"/>
    <x v="0"/>
    <n v="6"/>
    <n v="1022.16"/>
    <n v="0"/>
    <x v="251"/>
    <n v="4881.1000000000004"/>
    <x v="251"/>
    <x v="0"/>
    <x v="0"/>
    <m/>
    <s v="Valid"/>
    <s v="Valid"/>
    <s v="Pass"/>
    <s v="Pass"/>
    <s v="April"/>
    <s v="2025"/>
    <m/>
    <n v="6132.96"/>
    <n v="6132.96"/>
    <n v="1251.8599999999997"/>
    <n v="0.20412003339333692"/>
    <n v="0.20412003339333692"/>
  </r>
  <r>
    <x v="252"/>
    <d v="2025-06-25T00:00:00"/>
    <d v="2025-06-28T00:00:00"/>
    <n v="3"/>
    <s v="CUST-2103"/>
    <s v="Arjun Bose"/>
    <x v="2"/>
    <x v="0"/>
    <s v="Haryana"/>
    <s v="Gurugram"/>
    <x v="0"/>
    <x v="8"/>
    <s v="Basic Storage 269"/>
    <x v="2"/>
    <n v="2"/>
    <n v="1455.92"/>
    <n v="0.2"/>
    <x v="252"/>
    <n v="1603.62"/>
    <x v="252"/>
    <x v="2"/>
    <x v="2"/>
    <m/>
    <s v="Valid"/>
    <s v="Valid"/>
    <s v="Pass"/>
    <s v="Pass"/>
    <s v="June"/>
    <s v="2025"/>
    <m/>
    <n v="2911.84"/>
    <n v="2329.4720000000002"/>
    <n v="1308.2200000000003"/>
    <n v="0.44927605912412777"/>
    <n v="0.44927605912412777"/>
  </r>
  <r>
    <x v="253"/>
    <d v="2024-09-12T00:00:00"/>
    <d v="2024-09-13T00:00:00"/>
    <n v="1"/>
    <s v="CUST-5394"/>
    <s v="Priya Menon"/>
    <x v="1"/>
    <x v="0"/>
    <s v="Rajasthan"/>
    <s v="Jaipur"/>
    <x v="2"/>
    <x v="11"/>
    <s v="Classic Phones 442"/>
    <x v="1"/>
    <n v="6"/>
    <n v="832.79"/>
    <n v="0.05"/>
    <x v="253"/>
    <n v="2825.38"/>
    <x v="32"/>
    <x v="1"/>
    <x v="1"/>
    <m/>
    <s v="Valid"/>
    <s v="Valid"/>
    <s v="Pass"/>
    <s v="Pass"/>
    <s v="September"/>
    <s v="2024"/>
    <m/>
    <n v="4996.74"/>
    <n v="4746.9029999999993"/>
    <n v="2171.3599999999997"/>
    <n v="0.43455533007520897"/>
    <n v="0.43455533007520897"/>
  </r>
  <r>
    <x v="254"/>
    <d v="2025-01-01T00:00:00"/>
    <d v="2025-01-03T00:00:00"/>
    <n v="2"/>
    <s v="CUST-6853"/>
    <s v="Ananya Rao"/>
    <x v="0"/>
    <x v="3"/>
    <s v="Madhya Pradesh"/>
    <s v="Indore"/>
    <x v="2"/>
    <x v="5"/>
    <s v="Elite Accessories 978"/>
    <x v="1"/>
    <n v="7"/>
    <n v="1000.55"/>
    <n v="0.2"/>
    <x v="254"/>
    <n v="3132.52"/>
    <x v="253"/>
    <x v="0"/>
    <x v="2"/>
    <m/>
    <s v="Valid"/>
    <s v="Valid"/>
    <s v="Pass"/>
    <s v="Pass"/>
    <s v="January"/>
    <s v="2025"/>
    <m/>
    <n v="7003.8499999999995"/>
    <n v="5603.08"/>
    <n v="3871.3299999999995"/>
    <n v="0.55274313413336951"/>
    <n v="0.55274313413336951"/>
  </r>
  <r>
    <x v="255"/>
    <d v="2025-02-04T00:00:00"/>
    <d v="2025-10-02T00:00:00"/>
    <n v="240"/>
    <s v="CUST-1549"/>
    <s v="Isha Nair"/>
    <x v="2"/>
    <x v="3"/>
    <s v="Maharashtra"/>
    <s v="Mumbai"/>
    <x v="2"/>
    <x v="11"/>
    <s v="Eco Phones 132"/>
    <x v="2"/>
    <n v="7"/>
    <n v="1830"/>
    <n v="0"/>
    <x v="255"/>
    <n v="9334.1200000000008"/>
    <x v="254"/>
    <x v="0"/>
    <x v="0"/>
    <m/>
    <s v="Valid"/>
    <s v="Valid"/>
    <s v="Pass"/>
    <s v="Pass"/>
    <s v="February"/>
    <s v="2025"/>
    <m/>
    <n v="12810"/>
    <n v="12810"/>
    <n v="3475.8799999999992"/>
    <n v="0.27134113973458229"/>
    <n v="0.27134113973458229"/>
  </r>
  <r>
    <x v="256"/>
    <d v="2024-11-05T00:00:00"/>
    <d v="2024-03-11T00:00:00"/>
    <n v="-239"/>
    <s v="CUST-8411"/>
    <s v="Ananya Rao"/>
    <x v="0"/>
    <x v="1"/>
    <s v="West Bengal"/>
    <s v="Kolkata"/>
    <x v="1"/>
    <x v="1"/>
    <s v="Prime Tables 481"/>
    <x v="2"/>
    <n v="9"/>
    <n v="2260.61"/>
    <n v="0.05"/>
    <x v="256"/>
    <n v="12039.5"/>
    <x v="255"/>
    <x v="0"/>
    <x v="0"/>
    <m/>
    <s v="Invalid-Date"/>
    <s v="Valid"/>
    <s v="Pass"/>
    <s v="Pass"/>
    <s v="November"/>
    <s v="2024"/>
    <m/>
    <n v="20345.490000000002"/>
    <n v="19328.215500000002"/>
    <n v="8305.9900000000016"/>
    <n v="0.40824723317059464"/>
    <n v="0.40824723317059464"/>
  </r>
  <r>
    <x v="257"/>
    <d v="2025-08-09T00:00:00"/>
    <d v="2025-12-08T00:00:00"/>
    <n v="121"/>
    <s v="CUST-5615"/>
    <s v="Diya Patel"/>
    <x v="2"/>
    <x v="2"/>
    <s v="Karnataka"/>
    <s v="Bengaluru"/>
    <x v="2"/>
    <x v="5"/>
    <s v="Smart Accessories 180"/>
    <x v="0"/>
    <n v="2"/>
    <n v="3237.27"/>
    <n v="0"/>
    <x v="257"/>
    <n v="5095.91"/>
    <x v="256"/>
    <x v="0"/>
    <x v="1"/>
    <m/>
    <s v="Valid"/>
    <s v="Valid"/>
    <s v="Pass"/>
    <s v="Pass"/>
    <s v="August"/>
    <s v="2025"/>
    <m/>
    <n v="6474.54"/>
    <n v="6474.54"/>
    <n v="1378.63"/>
    <n v="0.21293095725719513"/>
    <n v="0.21293095725719513"/>
  </r>
  <r>
    <x v="258"/>
    <d v="2024-12-30T00:00:00"/>
    <d v="2025-04-01T00:00:00"/>
    <n v="92"/>
    <s v="CUST-8467"/>
    <s v="Sneha Kapoor"/>
    <x v="2"/>
    <x v="2"/>
    <s v="Tamil Nadu"/>
    <s v="Chennai"/>
    <x v="1"/>
    <x v="1"/>
    <s v="Smart Tables 774"/>
    <x v="1"/>
    <n v="2"/>
    <n v="3720.07"/>
    <n v="0.25"/>
    <x v="258"/>
    <n v="4307.01"/>
    <x v="257"/>
    <x v="0"/>
    <x v="0"/>
    <m/>
    <s v="Valid"/>
    <s v="Valid"/>
    <s v="Pass"/>
    <s v="Pass"/>
    <s v="December"/>
    <s v="2024"/>
    <m/>
    <n v="7440.14"/>
    <n v="5580.1050000000005"/>
    <n v="3133.13"/>
    <n v="0.42111169951103072"/>
    <n v="0.42111169951103072"/>
  </r>
  <r>
    <x v="259"/>
    <d v="2024-06-21T00:00:00"/>
    <d v="2024-06-29T00:00:00"/>
    <n v="8"/>
    <s v="CUST-5174"/>
    <s v="Neha Gupta"/>
    <x v="0"/>
    <x v="2"/>
    <s v="Tamil Nadu"/>
    <s v="Chennai"/>
    <x v="2"/>
    <x v="12"/>
    <s v="Prime Machines 793"/>
    <x v="3"/>
    <n v="8"/>
    <n v="2853.92"/>
    <n v="0.2"/>
    <x v="259"/>
    <n v="10437.14"/>
    <x v="258"/>
    <x v="0"/>
    <x v="0"/>
    <m/>
    <s v="Valid"/>
    <s v="Valid"/>
    <s v="Pass"/>
    <s v="Pass"/>
    <s v="June"/>
    <s v="2024"/>
    <m/>
    <n v="22831.360000000001"/>
    <n v="18265.088"/>
    <n v="12394.220000000001"/>
    <n v="0.54285947048270455"/>
    <n v="0.54285947048270455"/>
  </r>
  <r>
    <x v="260"/>
    <d v="2025-09-23T00:00:00"/>
    <d v="2025-09-27T00:00:00"/>
    <n v="4"/>
    <s v="CUST-3543"/>
    <s v="Aditi Sen"/>
    <x v="2"/>
    <x v="1"/>
    <s v="West Bengal"/>
    <s v="Kolkata"/>
    <x v="0"/>
    <x v="9"/>
    <s v="Elite Binders 827"/>
    <x v="1"/>
    <n v="7"/>
    <n v="2897.12"/>
    <n v="0.25"/>
    <x v="260"/>
    <n v="10891.15"/>
    <x v="259"/>
    <x v="3"/>
    <x v="2"/>
    <m/>
    <s v="Valid"/>
    <s v="Valid"/>
    <s v="Pass"/>
    <s v="Pass"/>
    <s v="September"/>
    <s v="2025"/>
    <m/>
    <n v="20279.84"/>
    <n v="15209.880000000001"/>
    <n v="9388.69"/>
    <n v="0.46295680833773839"/>
    <n v="0.46295680833773839"/>
  </r>
  <r>
    <x v="261"/>
    <d v="2025-06-18T00:00:00"/>
    <d v="2025-06-24T00:00:00"/>
    <n v="6"/>
    <s v="CUST-7623"/>
    <s v="Sneha Kapoor"/>
    <x v="2"/>
    <x v="0"/>
    <s v="Rajasthan"/>
    <s v="Jaipur"/>
    <x v="0"/>
    <x v="7"/>
    <s v="Prime Labels 326"/>
    <x v="3"/>
    <n v="3"/>
    <n v="686.74"/>
    <n v="0.2"/>
    <x v="261"/>
    <n v="987.91"/>
    <x v="260"/>
    <x v="3"/>
    <x v="1"/>
    <m/>
    <s v="Valid"/>
    <s v="Valid"/>
    <s v="Pass"/>
    <s v="Pass"/>
    <s v="June"/>
    <s v="2025"/>
    <m/>
    <n v="2060.2200000000003"/>
    <n v="1648.1760000000004"/>
    <n v="1072.3100000000004"/>
    <n v="0.52048324936171875"/>
    <n v="0.52048324936171875"/>
  </r>
  <r>
    <x v="262"/>
    <d v="2025-05-26T00:00:00"/>
    <d v="2025-01-06T00:00:00"/>
    <n v="-140"/>
    <s v="CUST-6153"/>
    <s v="Arjun Bose"/>
    <x v="1"/>
    <x v="0"/>
    <s v="Delhi"/>
    <s v="New Delhi"/>
    <x v="2"/>
    <x v="11"/>
    <s v="Eco Phones 245"/>
    <x v="1"/>
    <n v="4"/>
    <n v="3349.86"/>
    <n v="0"/>
    <x v="262"/>
    <n v="8581.35"/>
    <x v="261"/>
    <x v="2"/>
    <x v="2"/>
    <m/>
    <s v="Invalid-Date"/>
    <s v="Valid"/>
    <s v="Pass"/>
    <s v="Pass"/>
    <s v="May"/>
    <s v="2025"/>
    <m/>
    <n v="13399.44"/>
    <n v="13399.44"/>
    <n v="4818.09"/>
    <n v="0.3595739821962709"/>
    <n v="0.3595739821962709"/>
  </r>
  <r>
    <x v="263"/>
    <d v="2025-08-06T00:00:00"/>
    <d v="2025-08-10T00:00:00"/>
    <n v="4"/>
    <s v="CUST-8265"/>
    <s v="Rohan Mehta"/>
    <x v="1"/>
    <x v="0"/>
    <s v="Delhi"/>
    <s v="New Delhi"/>
    <x v="0"/>
    <x v="9"/>
    <s v="Smart Binders 905"/>
    <x v="0"/>
    <n v="9"/>
    <n v="4042.45"/>
    <n v="0.1"/>
    <x v="263"/>
    <n v="22452.05"/>
    <x v="262"/>
    <x v="2"/>
    <x v="2"/>
    <m/>
    <s v="Valid"/>
    <s v="Valid"/>
    <s v="Pass"/>
    <s v="Pass"/>
    <s v="August"/>
    <s v="2025"/>
    <m/>
    <n v="36382.049999999996"/>
    <n v="32743.844999999998"/>
    <n v="13929.999999999996"/>
    <n v="0.38288111857358226"/>
    <n v="0.38288111857358226"/>
  </r>
  <r>
    <x v="264"/>
    <d v="2024-05-16T00:00:00"/>
    <d v="2024-05-21T00:00:00"/>
    <n v="5"/>
    <s v="CUST-4750"/>
    <s v="Diya Patel"/>
    <x v="1"/>
    <x v="1"/>
    <s v="Bihar"/>
    <s v="Patna"/>
    <x v="2"/>
    <x v="6"/>
    <s v="Pro Copiers 599"/>
    <x v="3"/>
    <n v="4"/>
    <n v="1503.07"/>
    <n v="0"/>
    <x v="264"/>
    <n v="3927.64"/>
    <x v="263"/>
    <x v="0"/>
    <x v="0"/>
    <m/>
    <s v="Valid"/>
    <s v="Valid"/>
    <s v="Pass"/>
    <s v="Pass"/>
    <s v="May"/>
    <s v="2024"/>
    <m/>
    <n v="6012.28"/>
    <n v="6012.28"/>
    <n v="2084.64"/>
    <n v="0.34673035853286938"/>
    <n v="0.34673035853286938"/>
  </r>
  <r>
    <x v="265"/>
    <d v="2024-11-14T00:00:00"/>
    <d v="2024-11-22T00:00:00"/>
    <n v="8"/>
    <s v="CUST-3974"/>
    <s v="Priya Menon"/>
    <x v="2"/>
    <x v="1"/>
    <s v="Bihar"/>
    <s v="Patna"/>
    <x v="1"/>
    <x v="10"/>
    <s v="Basic Bookcases 570"/>
    <x v="1"/>
    <n v="1"/>
    <n v="582.37"/>
    <n v="0.15"/>
    <x v="265"/>
    <n v="285.13"/>
    <x v="264"/>
    <x v="1"/>
    <x v="1"/>
    <m/>
    <s v="Valid"/>
    <s v="Valid"/>
    <s v="Pass"/>
    <s v="Pass"/>
    <s v="November"/>
    <s v="2024"/>
    <m/>
    <n v="582.37"/>
    <n v="495.0145"/>
    <n v="297.24"/>
    <n v="0.51039717018390374"/>
    <n v="0.51039717018390374"/>
  </r>
  <r>
    <x v="266"/>
    <d v="2025-05-03T00:00:00"/>
    <d v="2025-10-05T00:00:00"/>
    <n v="155"/>
    <s v="CUST-7114"/>
    <s v="Neha Gupta"/>
    <x v="3"/>
    <x v="3"/>
    <s v="Maharashtra"/>
    <s v="Mumbai"/>
    <x v="0"/>
    <x v="8"/>
    <s v="Classic Storage 926"/>
    <x v="0"/>
    <n v="3"/>
    <n v="4339.24"/>
    <n v="0"/>
    <x v="266"/>
    <n v="10170.57"/>
    <x v="265"/>
    <x v="0"/>
    <x v="0"/>
    <m/>
    <s v="Valid"/>
    <s v="Valid"/>
    <s v="Pass"/>
    <s v="Pass"/>
    <s v="May"/>
    <s v="2025"/>
    <m/>
    <n v="13017.72"/>
    <n v="13017.72"/>
    <n v="2847.1499999999996"/>
    <n v="0.21871341525244051"/>
    <n v="0.21871341525244051"/>
  </r>
  <r>
    <x v="267"/>
    <d v="2025-05-28T00:00:00"/>
    <d v="2025-06-04T00:00:00"/>
    <n v="7"/>
    <s v="CUST-4431"/>
    <s v="Diya Patel"/>
    <x v="2"/>
    <x v="1"/>
    <s v="Jharkhand"/>
    <s v="Ranchi"/>
    <x v="1"/>
    <x v="3"/>
    <s v="Basic Furnishings 372"/>
    <x v="2"/>
    <n v="4"/>
    <n v="261.8"/>
    <n v="0.25"/>
    <x v="267"/>
    <n v="557.22"/>
    <x v="266"/>
    <x v="0"/>
    <x v="0"/>
    <m/>
    <s v="Valid"/>
    <s v="Valid"/>
    <s v="Pass"/>
    <s v="Pass"/>
    <s v="May"/>
    <s v="2025"/>
    <m/>
    <n v="1047.2"/>
    <n v="785.40000000000009"/>
    <n v="489.98"/>
    <n v="0.46789533995416349"/>
    <n v="0.46789533995416349"/>
  </r>
  <r>
    <x v="268"/>
    <d v="2025-08-17T00:00:00"/>
    <d v="2025-08-17T00:00:00"/>
    <n v="0"/>
    <s v="CUST-1488"/>
    <s v="Aarav Sharma"/>
    <x v="3"/>
    <x v="0"/>
    <s v="Punjab"/>
    <s v="Ludhiana"/>
    <x v="2"/>
    <x v="5"/>
    <s v="Prime Accessories 367"/>
    <x v="2"/>
    <n v="7"/>
    <n v="632.20000000000005"/>
    <n v="0.25"/>
    <x v="268"/>
    <n v="2124.6"/>
    <x v="267"/>
    <x v="0"/>
    <x v="0"/>
    <m/>
    <s v="Valid"/>
    <s v="Valid"/>
    <s v="Pass"/>
    <s v="Pass"/>
    <s v="August"/>
    <s v="2025"/>
    <m/>
    <n v="4425.4000000000005"/>
    <n v="3319.05"/>
    <n v="2300.8000000000006"/>
    <n v="0.51990780494418587"/>
    <n v="0.51990780494418587"/>
  </r>
  <r>
    <x v="269"/>
    <d v="2025-10-02T00:00:00"/>
    <d v="2025-12-02T00:00:00"/>
    <n v="61"/>
    <s v="CUST-1586"/>
    <s v="Rahul Verma"/>
    <x v="1"/>
    <x v="3"/>
    <s v="Rajasthan"/>
    <s v="Udaipur"/>
    <x v="1"/>
    <x v="1"/>
    <s v="Max Tables 526"/>
    <x v="1"/>
    <n v="1"/>
    <n v="1925.86"/>
    <n v="0"/>
    <x v="269"/>
    <n v="1321.89"/>
    <x v="268"/>
    <x v="0"/>
    <x v="0"/>
    <m/>
    <s v="Valid"/>
    <s v="Valid"/>
    <s v="Pass"/>
    <s v="Pass"/>
    <s v="October"/>
    <s v="2025"/>
    <m/>
    <n v="1925.86"/>
    <n v="1925.86"/>
    <n v="603.9699999999998"/>
    <n v="0.31361054282242729"/>
    <n v="0.31361054282242729"/>
  </r>
  <r>
    <x v="270"/>
    <d v="2024-12-01T00:00:00"/>
    <d v="2024-01-13T00:00:00"/>
    <n v="-323"/>
    <s v="CUST-2487"/>
    <s v="Aditi Sen"/>
    <x v="2"/>
    <x v="0"/>
    <s v="Uttar Pradesh"/>
    <s v="Noida"/>
    <x v="2"/>
    <x v="12"/>
    <s v="Prime Machines 794"/>
    <x v="1"/>
    <n v="3"/>
    <n v="827.44"/>
    <n v="0"/>
    <x v="270"/>
    <n v="1520.21"/>
    <x v="269"/>
    <x v="0"/>
    <x v="0"/>
    <m/>
    <s v="Invalid-Date"/>
    <s v="Valid"/>
    <s v="Pass"/>
    <s v="Pass"/>
    <s v="December"/>
    <s v="2024"/>
    <m/>
    <n v="2482.3200000000002"/>
    <n v="2482.3200000000002"/>
    <n v="962.11000000000013"/>
    <n v="0.38758500112797706"/>
    <n v="0.38758500112797706"/>
  </r>
  <r>
    <x v="271"/>
    <d v="2024-12-21T00:00:00"/>
    <d v="2024-12-25T00:00:00"/>
    <n v="4"/>
    <s v="CUST-8009"/>
    <s v="Aditi Sen"/>
    <x v="0"/>
    <x v="2"/>
    <s v="Telangana"/>
    <s v="Hyderabad"/>
    <x v="0"/>
    <x v="9"/>
    <s v="Max Binders 927"/>
    <x v="3"/>
    <n v="7"/>
    <n v="1667.75"/>
    <n v="0"/>
    <x v="271"/>
    <n v="9621.19"/>
    <x v="270"/>
    <x v="3"/>
    <x v="1"/>
    <m/>
    <s v="Valid"/>
    <s v="Valid"/>
    <s v="Pass"/>
    <s v="Pass"/>
    <s v="December"/>
    <s v="2024"/>
    <m/>
    <n v="11674.25"/>
    <n v="11674.25"/>
    <n v="2053.0599999999995"/>
    <n v="0.17586226095894808"/>
    <n v="0.17586226095894808"/>
  </r>
  <r>
    <x v="272"/>
    <d v="2024-08-18T00:00:00"/>
    <d v="2024-08-24T00:00:00"/>
    <n v="6"/>
    <s v="CUST-7389"/>
    <s v="Arjun Bose"/>
    <x v="0"/>
    <x v="2"/>
    <s v="Andhra Pradesh"/>
    <s v="Vijayawada"/>
    <x v="1"/>
    <x v="4"/>
    <s v="Eco Chairs 314"/>
    <x v="2"/>
    <n v="7"/>
    <n v="557.21"/>
    <n v="0.1"/>
    <x v="272"/>
    <n v="2191.5"/>
    <x v="271"/>
    <x v="0"/>
    <x v="0"/>
    <m/>
    <s v="Valid"/>
    <s v="Valid"/>
    <s v="Pass"/>
    <s v="Pass"/>
    <s v="August"/>
    <s v="2024"/>
    <m/>
    <n v="3900.4700000000003"/>
    <n v="3510.4230000000002"/>
    <n v="1708.9700000000003"/>
    <n v="0.4381446338518179"/>
    <n v="0.4381446338518179"/>
  </r>
  <r>
    <x v="273"/>
    <d v="2025-02-13T00:00:00"/>
    <d v="2025-02-13T00:00:00"/>
    <n v="0"/>
    <s v="CUST-8249"/>
    <s v="Isha Nair"/>
    <x v="0"/>
    <x v="1"/>
    <s v="Bihar"/>
    <s v="Patna"/>
    <x v="0"/>
    <x v="0"/>
    <s v="Basic Paper 657"/>
    <x v="0"/>
    <n v="9"/>
    <n v="2521.63"/>
    <n v="0"/>
    <x v="273"/>
    <n v="15405.36"/>
    <x v="272"/>
    <x v="0"/>
    <x v="2"/>
    <m/>
    <s v="Valid"/>
    <s v="Valid"/>
    <s v="Pass"/>
    <s v="Pass"/>
    <s v="February"/>
    <s v="2025"/>
    <m/>
    <n v="22694.670000000002"/>
    <n v="22694.670000000002"/>
    <n v="7289.3100000000013"/>
    <n v="0.32119039404406413"/>
    <n v="0.32119039404406413"/>
  </r>
  <r>
    <x v="274"/>
    <d v="2024-04-07T00:00:00"/>
    <d v="2024-04-14T00:00:00"/>
    <n v="7"/>
    <s v="CUST-4202"/>
    <s v="Rohan Mehta"/>
    <x v="0"/>
    <x v="2"/>
    <s v="Kerala"/>
    <s v="Kochi"/>
    <x v="2"/>
    <x v="6"/>
    <s v="Pro Copiers 406"/>
    <x v="3"/>
    <n v="6"/>
    <n v="4246.71"/>
    <n v="0.15"/>
    <x v="274"/>
    <n v="15490.69"/>
    <x v="273"/>
    <x v="3"/>
    <x v="2"/>
    <m/>
    <s v="Valid"/>
    <s v="Valid"/>
    <s v="Pass"/>
    <s v="Pass"/>
    <s v="April"/>
    <s v="2024"/>
    <m/>
    <n v="25480.260000000002"/>
    <n v="21658.221000000001"/>
    <n v="9989.5700000000015"/>
    <n v="0.39205133699577638"/>
    <n v="0.39205133699577638"/>
  </r>
  <r>
    <x v="275"/>
    <d v="2024-02-15T00:00:00"/>
    <d v="2024-02-22T00:00:00"/>
    <n v="7"/>
    <s v="CUST-2875"/>
    <s v="Priya Menon"/>
    <x v="1"/>
    <x v="1"/>
    <s v="West Bengal"/>
    <s v="Kolkata"/>
    <x v="1"/>
    <x v="3"/>
    <s v="Eco Furnishings 678"/>
    <x v="1"/>
    <n v="1"/>
    <n v="980.51"/>
    <n v="0"/>
    <x v="275"/>
    <n v="660.92"/>
    <x v="274"/>
    <x v="0"/>
    <x v="0"/>
    <m/>
    <s v="Valid"/>
    <s v="Valid"/>
    <s v="Pass"/>
    <s v="Pass"/>
    <s v="February"/>
    <s v="2024"/>
    <m/>
    <n v="980.51"/>
    <n v="980.51"/>
    <n v="319.59000000000003"/>
    <n v="0.32594262169687205"/>
    <n v="0.32594262169687205"/>
  </r>
  <r>
    <x v="276"/>
    <d v="2024-01-22T00:00:00"/>
    <d v="2024-01-23T00:00:00"/>
    <n v="1"/>
    <s v="CUST-7039"/>
    <s v="Aarav Sharma"/>
    <x v="1"/>
    <x v="4"/>
    <s v="Assam"/>
    <s v="Guwahati"/>
    <x v="1"/>
    <x v="4"/>
    <s v="Basic Chairs 141"/>
    <x v="0"/>
    <n v="6"/>
    <n v="3391.53"/>
    <n v="-0.14000000000000001"/>
    <x v="276"/>
    <n v="8413.5300000000007"/>
    <x v="275"/>
    <x v="0"/>
    <x v="0"/>
    <m/>
    <s v="Valid"/>
    <s v="Invalid-Discount"/>
    <s v="Pass"/>
    <s v="Flagged"/>
    <s v="January"/>
    <s v="2024"/>
    <m/>
    <n v="20349.18"/>
    <n v="23198.065200000005"/>
    <n v="11935.65"/>
    <n v="0.58654206213714755"/>
    <n v="0.58654206213714755"/>
  </r>
  <r>
    <x v="277"/>
    <d v="2025-06-04T00:00:00"/>
    <d v="2025-04-06T00:00:00"/>
    <n v="-59"/>
    <s v="CUST-2819"/>
    <s v="Isha Nair"/>
    <x v="2"/>
    <x v="0"/>
    <s v="Haryana"/>
    <s v="Gurugram"/>
    <x v="2"/>
    <x v="5"/>
    <s v="Elite Accessories 291"/>
    <x v="0"/>
    <n v="1"/>
    <n v="2133.73"/>
    <n v="0.15"/>
    <x v="277"/>
    <n v="1002.57"/>
    <x v="276"/>
    <x v="2"/>
    <x v="1"/>
    <m/>
    <s v="Invalid-Date"/>
    <s v="Valid"/>
    <s v="Pass"/>
    <s v="Pass"/>
    <s v="June"/>
    <s v="2025"/>
    <m/>
    <n v="2133.73"/>
    <n v="1813.6704999999999"/>
    <n v="1131.1599999999999"/>
    <n v="0.5301326784550997"/>
    <n v="0.5301326784550997"/>
  </r>
  <r>
    <x v="278"/>
    <d v="2025-03-07T00:00:00"/>
    <d v="2025-03-14T00:00:00"/>
    <n v="7"/>
    <s v="CUST-8242"/>
    <s v="Priya Menon"/>
    <x v="1"/>
    <x v="0"/>
    <s v="Delhi"/>
    <s v="New Delhi"/>
    <x v="2"/>
    <x v="5"/>
    <s v="Pro Accessories 207"/>
    <x v="1"/>
    <n v="1"/>
    <n v="3979.64"/>
    <n v="0.05"/>
    <x v="278"/>
    <n v="2148.31"/>
    <x v="277"/>
    <x v="0"/>
    <x v="2"/>
    <m/>
    <s v="Valid"/>
    <s v="Valid"/>
    <s v="Pass"/>
    <s v="Pass"/>
    <s v="March"/>
    <s v="2025"/>
    <m/>
    <n v="3979.64"/>
    <n v="3780.6579999999999"/>
    <n v="1831.33"/>
    <n v="0.46017478967946851"/>
    <n v="0.46017478967946851"/>
  </r>
  <r>
    <x v="279"/>
    <d v="2024-09-04T00:00:00"/>
    <d v="2024-10-04T00:00:00"/>
    <n v="30"/>
    <s v="CUST-4571"/>
    <s v="Rohan Mehta"/>
    <x v="1"/>
    <x v="3"/>
    <s v="Maharashtra"/>
    <s v="Mumbai"/>
    <x v="0"/>
    <x v="8"/>
    <s v="Max Storage 564"/>
    <x v="2"/>
    <n v="1"/>
    <n v="4359.12"/>
    <n v="0.05"/>
    <x v="279"/>
    <n v="2754.17"/>
    <x v="278"/>
    <x v="0"/>
    <x v="0"/>
    <m/>
    <s v="Valid"/>
    <s v="Valid"/>
    <s v="Pass"/>
    <s v="Pass"/>
    <s v="September"/>
    <s v="2024"/>
    <m/>
    <n v="4359.12"/>
    <n v="4141.1639999999998"/>
    <n v="1604.9499999999998"/>
    <n v="0.36818211015067259"/>
    <n v="0.36818211015067259"/>
  </r>
  <r>
    <x v="280"/>
    <d v="2024-12-23T00:00:00"/>
    <d v="2024-12-26T00:00:00"/>
    <n v="3"/>
    <s v="CUST-4098"/>
    <s v="Aditi Sen"/>
    <x v="0"/>
    <x v="2"/>
    <s v="Karnataka"/>
    <s v="Bengaluru"/>
    <x v="2"/>
    <x v="6"/>
    <s v="Prime Copiers 961"/>
    <x v="3"/>
    <n v="9"/>
    <n v="993.67"/>
    <n v="0"/>
    <x v="280"/>
    <n v="5165.38"/>
    <x v="279"/>
    <x v="0"/>
    <x v="0"/>
    <m/>
    <s v="Valid"/>
    <s v="Valid"/>
    <s v="Pass"/>
    <s v="Pass"/>
    <s v="December"/>
    <s v="2024"/>
    <m/>
    <n v="8943.0299999999988"/>
    <n v="8943.0299999999988"/>
    <n v="3777.6499999999987"/>
    <n v="0.42241276167026154"/>
    <n v="0.42241276167026154"/>
  </r>
  <r>
    <x v="281"/>
    <d v="2025-07-25T00:00:00"/>
    <d v="2025-07-27T00:00:00"/>
    <n v="2"/>
    <s v="CUST-2052"/>
    <s v="Kabir Singh"/>
    <x v="0"/>
    <x v="1"/>
    <s v="Jharkhand"/>
    <s v="Ranchi"/>
    <x v="0"/>
    <x v="9"/>
    <s v="Basic Binders 637"/>
    <x v="0"/>
    <n v="6"/>
    <n v="3438.38"/>
    <n v="0.2"/>
    <x v="281"/>
    <n v="11262.71"/>
    <x v="280"/>
    <x v="0"/>
    <x v="0"/>
    <m/>
    <s v="Valid"/>
    <s v="Valid"/>
    <s v="Pass"/>
    <s v="Pass"/>
    <s v="July"/>
    <s v="2025"/>
    <m/>
    <n v="20630.28"/>
    <n v="16504.223999999998"/>
    <n v="9367.57"/>
    <n v="0.45406897046477313"/>
    <n v="0.45406897046477313"/>
  </r>
  <r>
    <x v="282"/>
    <d v="2024-10-01T00:00:00"/>
    <d v="2024-02-10T00:00:00"/>
    <n v="-234"/>
    <s v="CUST-9445"/>
    <s v="Karan Malhotra"/>
    <x v="3"/>
    <x v="1"/>
    <s v="Assam"/>
    <s v="Guwahati"/>
    <x v="1"/>
    <x v="1"/>
    <s v="Classic Tables 811"/>
    <x v="0"/>
    <n v="2"/>
    <n v="2298"/>
    <n v="0"/>
    <x v="282"/>
    <n v="3220.33"/>
    <x v="281"/>
    <x v="0"/>
    <x v="0"/>
    <m/>
    <s v="Invalid-Date"/>
    <s v="Valid"/>
    <s v="Pass"/>
    <s v="Pass"/>
    <s v="October"/>
    <s v="2024"/>
    <m/>
    <n v="4596"/>
    <n v="4596"/>
    <n v="1375.67"/>
    <n v="0.29931897302001742"/>
    <n v="0.29931897302001742"/>
  </r>
  <r>
    <x v="283"/>
    <d v="2025-03-13T00:00:00"/>
    <d v="2025-03-20T00:00:00"/>
    <n v="7"/>
    <s v="CUST-6568"/>
    <s v="Vikram Iyer"/>
    <x v="0"/>
    <x v="3"/>
    <s v="Maharashtra"/>
    <s v="Mumbai"/>
    <x v="1"/>
    <x v="3"/>
    <s v="Classic Furnishings 819"/>
    <x v="2"/>
    <n v="1"/>
    <n v="1814.01"/>
    <n v="0"/>
    <x v="283"/>
    <n v="1033.47"/>
    <x v="282"/>
    <x v="0"/>
    <x v="0"/>
    <m/>
    <s v="Valid"/>
    <s v="Valid"/>
    <s v="Pass"/>
    <s v="Pass"/>
    <s v="March"/>
    <s v="2025"/>
    <m/>
    <n v="1814.01"/>
    <n v="1814.01"/>
    <n v="780.54"/>
    <n v="0.43028428729720342"/>
    <n v="0.43028428729720342"/>
  </r>
  <r>
    <x v="284"/>
    <d v="2024-08-12T00:00:00"/>
    <d v="2024-12-14T00:00:00"/>
    <n v="124"/>
    <s v="CUST-2076"/>
    <s v="Karan Malhotra"/>
    <x v="0"/>
    <x v="1"/>
    <s v="Odisha"/>
    <s v="Bhubaneswar"/>
    <x v="1"/>
    <x v="1"/>
    <s v="Prime Tables 542"/>
    <x v="1"/>
    <n v="3"/>
    <n v="1576.92"/>
    <n v="0"/>
    <x v="284"/>
    <n v="3139.73"/>
    <x v="283"/>
    <x v="0"/>
    <x v="2"/>
    <m/>
    <s v="Valid"/>
    <s v="Valid"/>
    <s v="Pass"/>
    <s v="Pass"/>
    <s v="August"/>
    <s v="2024"/>
    <m/>
    <n v="4730.76"/>
    <n v="4730.76"/>
    <n v="1591.0300000000002"/>
    <n v="0.33631594077907145"/>
    <n v="0.33631594077907145"/>
  </r>
  <r>
    <x v="285"/>
    <d v="2025-08-15T00:00:00"/>
    <d v="2025-08-20T00:00:00"/>
    <n v="5"/>
    <s v="CUST-5610"/>
    <s v="Neha Gupta"/>
    <x v="3"/>
    <x v="0"/>
    <s v="Rajasthan"/>
    <s v="Jaipur"/>
    <x v="0"/>
    <x v="8"/>
    <s v="Basic Storage 771"/>
    <x v="3"/>
    <n v="9"/>
    <n v="4081.77"/>
    <n v="0"/>
    <x v="285"/>
    <n v="30820.84"/>
    <x v="284"/>
    <x v="0"/>
    <x v="0"/>
    <m/>
    <s v="Valid"/>
    <s v="Valid"/>
    <s v="Pass"/>
    <s v="Pass"/>
    <s v="August"/>
    <s v="2025"/>
    <m/>
    <n v="36735.93"/>
    <n v="36735.93"/>
    <n v="5915.09"/>
    <n v="0.16101647624001897"/>
    <n v="0.16101647624001897"/>
  </r>
  <r>
    <x v="286"/>
    <d v="2024-02-28T00:00:00"/>
    <d v="2024-02-03T00:00:00"/>
    <n v="-25"/>
    <s v="CUST-5823"/>
    <s v="Priya Menon"/>
    <x v="1"/>
    <x v="0"/>
    <s v="Delhi"/>
    <s v="New Delhi"/>
    <x v="1"/>
    <x v="3"/>
    <s v="Pro Furnishings 848"/>
    <x v="2"/>
    <n v="7"/>
    <n v="701.8"/>
    <n v="0.1"/>
    <x v="286"/>
    <n v="2489.98"/>
    <x v="285"/>
    <x v="2"/>
    <x v="2"/>
    <m/>
    <s v="Invalid-Date"/>
    <s v="Valid"/>
    <s v="Pass"/>
    <s v="Pass"/>
    <s v="February"/>
    <s v="2024"/>
    <m/>
    <n v="4912.5999999999995"/>
    <n v="4421.3399999999992"/>
    <n v="2422.6199999999994"/>
    <n v="0.49314415991531974"/>
    <n v="0.49314415991531974"/>
  </r>
  <r>
    <x v="287"/>
    <d v="2024-05-09T00:00:00"/>
    <d v="2024-09-07T00:00:00"/>
    <n v="121"/>
    <s v="CUST-7095"/>
    <s v="Neha Gupta"/>
    <x v="1"/>
    <x v="2"/>
    <s v="Tamil Nadu"/>
    <s v="Chennai"/>
    <x v="2"/>
    <x v="6"/>
    <s v="Prime Copiers 924"/>
    <x v="3"/>
    <n v="3"/>
    <n v="2555.66"/>
    <n v="0.15"/>
    <x v="287"/>
    <n v="4511.54"/>
    <x v="286"/>
    <x v="0"/>
    <x v="1"/>
    <m/>
    <s v="Valid"/>
    <s v="Valid"/>
    <s v="Pass"/>
    <s v="Pass"/>
    <s v="May"/>
    <s v="2024"/>
    <m/>
    <n v="7666.98"/>
    <n v="6516.9329999999991"/>
    <n v="3155.4399999999996"/>
    <n v="0.41156231006211047"/>
    <n v="0.41156231006211047"/>
  </r>
  <r>
    <x v="288"/>
    <d v="2024-06-24T00:00:00"/>
    <d v="2024-06-24T00:00:00"/>
    <n v="0"/>
    <s v="CUST-4805"/>
    <s v="Rohan Mehta"/>
    <x v="1"/>
    <x v="1"/>
    <s v="Bihar"/>
    <s v="Patna"/>
    <x v="0"/>
    <x v="9"/>
    <s v="Classic Binders 721"/>
    <x v="1"/>
    <n v="2"/>
    <n v="4359.8999999999996"/>
    <n v="0.15"/>
    <x v="288"/>
    <n v="4904.63"/>
    <x v="287"/>
    <x v="0"/>
    <x v="0"/>
    <m/>
    <s v="Valid"/>
    <s v="Valid"/>
    <s v="Pass"/>
    <s v="Pass"/>
    <s v="June"/>
    <s v="2024"/>
    <m/>
    <n v="8719.7999999999993"/>
    <n v="7411.829999999999"/>
    <n v="3815.1699999999992"/>
    <n v="0.4375295304938186"/>
    <n v="0.4375295304938186"/>
  </r>
  <r>
    <x v="289"/>
    <d v="2025-06-19T00:00:00"/>
    <d v="2025-06-27T00:00:00"/>
    <n v="8"/>
    <s v="CUST-9114"/>
    <s v="Karan Malhotra"/>
    <x v="3"/>
    <x v="2"/>
    <s v="Tamil Nadu"/>
    <s v="Chennai"/>
    <x v="1"/>
    <x v="10"/>
    <s v="Basic Bookcases 823"/>
    <x v="2"/>
    <n v="2"/>
    <n v="4346.6899999999996"/>
    <n v="0.05"/>
    <x v="289"/>
    <n v="7018.97"/>
    <x v="288"/>
    <x v="0"/>
    <x v="0"/>
    <m/>
    <s v="Valid"/>
    <s v="Valid"/>
    <s v="Pass"/>
    <s v="Pass"/>
    <s v="June"/>
    <s v="2025"/>
    <m/>
    <n v="8693.3799999999992"/>
    <n v="8258.7109999999993"/>
    <n v="1674.4099999999989"/>
    <n v="0.19260747833408859"/>
    <n v="0.19260747833408859"/>
  </r>
  <r>
    <x v="290"/>
    <d v="2025-08-22T00:00:00"/>
    <d v="2025-08-26T00:00:00"/>
    <n v="4"/>
    <s v="CUST-8557"/>
    <s v="Diya Patel"/>
    <x v="3"/>
    <x v="1"/>
    <s v="Jharkhand"/>
    <s v="Ranchi"/>
    <x v="1"/>
    <x v="1"/>
    <s v="Classic Tables 178"/>
    <x v="3"/>
    <n v="1"/>
    <n v="1842.63"/>
    <n v="0.1"/>
    <x v="290"/>
    <n v="971.12"/>
    <x v="289"/>
    <x v="0"/>
    <x v="0"/>
    <m/>
    <s v="Valid"/>
    <s v="Valid"/>
    <s v="Pass"/>
    <s v="Pass"/>
    <s v="August"/>
    <s v="2025"/>
    <m/>
    <n v="1842.63"/>
    <n v="1658.3670000000002"/>
    <n v="871.5100000000001"/>
    <n v="0.47297069948931691"/>
    <n v="0.47297069948931691"/>
  </r>
  <r>
    <x v="291"/>
    <d v="2024-05-04T00:00:00"/>
    <d v="2024-10-04T00:00:00"/>
    <n v="153"/>
    <s v="CUST-2860"/>
    <s v="Priya Menon"/>
    <x v="3"/>
    <x v="0"/>
    <s v="Rajasthan"/>
    <s v="Jaipur"/>
    <x v="0"/>
    <x v="9"/>
    <s v="Eco Binders 153"/>
    <x v="3"/>
    <n v="4"/>
    <n v="3228.66"/>
    <n v="0.25"/>
    <x v="291"/>
    <n v="7730.04"/>
    <x v="290"/>
    <x v="0"/>
    <x v="0"/>
    <m/>
    <s v="Valid"/>
    <s v="Valid"/>
    <s v="Pass"/>
    <s v="Pass"/>
    <s v="May"/>
    <s v="2024"/>
    <m/>
    <n v="12914.64"/>
    <n v="9685.98"/>
    <n v="5184.5999999999995"/>
    <n v="0.40145137611269072"/>
    <n v="0.40145137611269072"/>
  </r>
  <r>
    <x v="292"/>
    <d v="2025-02-28T00:00:00"/>
    <d v="2025-03-03T00:00:00"/>
    <n v="3"/>
    <s v="CUST-7837"/>
    <s v="Kabir Singh"/>
    <x v="3"/>
    <x v="0"/>
    <s v="Haryana"/>
    <s v="Gurugram"/>
    <x v="0"/>
    <x v="2"/>
    <s v="Classic Art 183"/>
    <x v="1"/>
    <n v="9"/>
    <n v="3748.95"/>
    <n v="0"/>
    <x v="292"/>
    <n v="24621.89"/>
    <x v="291"/>
    <x v="2"/>
    <x v="1"/>
    <m/>
    <s v="Valid"/>
    <s v="Valid"/>
    <s v="Pass"/>
    <s v="Pass"/>
    <s v="February"/>
    <s v="2025"/>
    <m/>
    <n v="33740.549999999996"/>
    <n v="33740.549999999996"/>
    <n v="9118.6599999999962"/>
    <n v="0.2702581908119458"/>
    <n v="0.2702581908119458"/>
  </r>
  <r>
    <x v="293"/>
    <d v="2024-07-03T00:00:00"/>
    <d v="2024-03-11T00:00:00"/>
    <n v="-114"/>
    <s v="CUST-7010"/>
    <s v="Arjun Bose"/>
    <x v="3"/>
    <x v="2"/>
    <s v="Telangana"/>
    <s v="Hyderabad"/>
    <x v="2"/>
    <x v="11"/>
    <s v="Pro Phones 455"/>
    <x v="2"/>
    <n v="2"/>
    <n v="4401.51"/>
    <n v="0.65"/>
    <x v="293"/>
    <n v="6541.04"/>
    <x v="292"/>
    <x v="0"/>
    <x v="0"/>
    <m/>
    <s v="Invalid-Date"/>
    <s v="Invalid-Discount"/>
    <s v="Pass"/>
    <s v="Pass"/>
    <s v="July"/>
    <s v="2024"/>
    <m/>
    <n v="8803.02"/>
    <n v="3081.0569999999998"/>
    <n v="2261.9800000000005"/>
    <n v="0.25695499953425077"/>
    <n v="0.25695499953425077"/>
  </r>
  <r>
    <x v="294"/>
    <d v="2025-07-16T00:00:00"/>
    <d v="2025-07-22T00:00:00"/>
    <n v="6"/>
    <s v="CUST-4755"/>
    <s v="Priya Menon"/>
    <x v="0"/>
    <x v="1"/>
    <s v="Odisha"/>
    <s v="Bhubaneswar"/>
    <x v="2"/>
    <x v="11"/>
    <s v="Basic Phones 326"/>
    <x v="0"/>
    <n v="6"/>
    <n v="4159.33"/>
    <n v="0.25"/>
    <x v="294"/>
    <n v="12282.43"/>
    <x v="293"/>
    <x v="0"/>
    <x v="2"/>
    <m/>
    <s v="Valid"/>
    <s v="Valid"/>
    <s v="Pass"/>
    <s v="Pass"/>
    <s v="July"/>
    <s v="2025"/>
    <m/>
    <n v="24955.98"/>
    <n v="18716.985000000001"/>
    <n v="12673.55"/>
    <n v="0.50783619797739854"/>
    <n v="0.50783619797739854"/>
  </r>
  <r>
    <x v="295"/>
    <d v="2025-06-25T00:00:00"/>
    <d v="2025-06-28T00:00:00"/>
    <n v="3"/>
    <s v="CUST-6778"/>
    <s v="Aditi Sen"/>
    <x v="1"/>
    <x v="1"/>
    <s v="Assam"/>
    <s v="Guwahati"/>
    <x v="0"/>
    <x v="9"/>
    <s v="Max Binders 587"/>
    <x v="3"/>
    <n v="3"/>
    <n v="3476.05"/>
    <n v="0.1"/>
    <x v="295"/>
    <n v="5828.54"/>
    <x v="294"/>
    <x v="0"/>
    <x v="0"/>
    <m/>
    <s v="Valid"/>
    <s v="Valid"/>
    <s v="Pass"/>
    <s v="Pass"/>
    <s v="June"/>
    <s v="2025"/>
    <m/>
    <n v="10428.150000000001"/>
    <n v="9385.3350000000009"/>
    <n v="4599.6100000000015"/>
    <n v="0.44107631746762377"/>
    <n v="0.44107631746762377"/>
  </r>
  <r>
    <x v="296"/>
    <d v="2025-05-24T00:00:00"/>
    <d v="2025-05-26T00:00:00"/>
    <n v="2"/>
    <s v="CUST-7629"/>
    <s v="Aditi Sen"/>
    <x v="3"/>
    <x v="0"/>
    <s v="Haryana"/>
    <s v="Gurugram"/>
    <x v="1"/>
    <x v="3"/>
    <s v="Basic Furnishings 617"/>
    <x v="1"/>
    <n v="6"/>
    <n v="3495.41"/>
    <n v="0.15"/>
    <x v="296"/>
    <n v="10855.35"/>
    <x v="295"/>
    <x v="0"/>
    <x v="0"/>
    <m/>
    <s v="Valid"/>
    <s v="Valid"/>
    <s v="Pass"/>
    <s v="Pass"/>
    <s v="May"/>
    <s v="2025"/>
    <m/>
    <n v="20972.46"/>
    <n v="17826.591"/>
    <n v="10117.109999999999"/>
    <n v="0.48239977570585418"/>
    <n v="0.48239977570585418"/>
  </r>
  <r>
    <x v="297"/>
    <d v="2024-10-29T00:00:00"/>
    <d v="2024-11-06T00:00:00"/>
    <n v="8"/>
    <s v="CUST-6724"/>
    <s v="Sneha Kapoor"/>
    <x v="2"/>
    <x v="2"/>
    <s v="Tamil Nadu"/>
    <s v="Chennai"/>
    <x v="2"/>
    <x v="6"/>
    <s v="Prime Copiers 669"/>
    <x v="1"/>
    <n v="6"/>
    <n v="1169.92"/>
    <n v="0.15"/>
    <x v="297"/>
    <n v="3994.72"/>
    <x v="296"/>
    <x v="0"/>
    <x v="0"/>
    <m/>
    <s v="Valid"/>
    <s v="Valid"/>
    <s v="Pass"/>
    <s v="Pass"/>
    <s v="October"/>
    <s v="2024"/>
    <m/>
    <n v="7019.52"/>
    <n v="5966.5920000000006"/>
    <n v="3024.8000000000006"/>
    <n v="0.43091265499635312"/>
    <n v="0.43091265499635312"/>
  </r>
  <r>
    <x v="298"/>
    <d v="2025-01-23T00:00:00"/>
    <d v="2025-01-26T00:00:00"/>
    <n v="3"/>
    <s v="CUST-2141"/>
    <s v="Isha Nair"/>
    <x v="0"/>
    <x v="2"/>
    <s v="Kerala"/>
    <s v="Kochi"/>
    <x v="2"/>
    <x v="6"/>
    <s v="Eco Copiers 894"/>
    <x v="2"/>
    <n v="7"/>
    <n v="348.49"/>
    <n v="0.2"/>
    <x v="298"/>
    <n v="1609.95"/>
    <x v="297"/>
    <x v="3"/>
    <x v="2"/>
    <m/>
    <s v="Valid"/>
    <s v="Valid"/>
    <s v="Pass"/>
    <s v="Pass"/>
    <s v="January"/>
    <s v="2025"/>
    <m/>
    <n v="2439.4300000000003"/>
    <n v="1951.5440000000003"/>
    <n v="829.48000000000025"/>
    <n v="0.3400302529689313"/>
    <n v="0.3400302529689313"/>
  </r>
  <r>
    <x v="299"/>
    <d v="2024-11-06T00:00:00"/>
    <d v="2024-12-11T00:00:00"/>
    <n v="35"/>
    <s v="CUST-7264"/>
    <s v="Rahul Verma"/>
    <x v="1"/>
    <x v="3"/>
    <s v="Gujarat"/>
    <s v="Ahmedabad"/>
    <x v="2"/>
    <x v="5"/>
    <s v="Max Accessories 145"/>
    <x v="3"/>
    <n v="7"/>
    <n v="1719.05"/>
    <n v="0.1"/>
    <x v="299"/>
    <n v="7055.31"/>
    <x v="298"/>
    <x v="0"/>
    <x v="0"/>
    <m/>
    <s v="Valid"/>
    <s v="Valid"/>
    <s v="Pass"/>
    <s v="Pass"/>
    <s v="November"/>
    <s v="2024"/>
    <m/>
    <n v="12033.35"/>
    <n v="10830.015000000001"/>
    <n v="4978.04"/>
    <n v="0.41368696165240765"/>
    <n v="0.41368696165240765"/>
  </r>
  <r>
    <x v="300"/>
    <d v="2024-04-15T00:00:00"/>
    <d v="2024-04-23T00:00:00"/>
    <n v="8"/>
    <s v="CUST-2668"/>
    <s v="Diya Patel"/>
    <x v="1"/>
    <x v="0"/>
    <s v="Punjab"/>
    <s v="Ludhiana"/>
    <x v="2"/>
    <x v="5"/>
    <s v="Classic Accessories 126"/>
    <x v="0"/>
    <n v="9"/>
    <n v="3893.74"/>
    <n v="0.1"/>
    <x v="300"/>
    <n v="22100.14"/>
    <x v="299"/>
    <x v="0"/>
    <x v="0"/>
    <m/>
    <s v="Valid"/>
    <s v="Valid"/>
    <s v="Pass"/>
    <s v="Pass"/>
    <s v="April"/>
    <s v="2024"/>
    <m/>
    <n v="35043.659999999996"/>
    <n v="31539.293999999998"/>
    <n v="12943.519999999997"/>
    <n v="0.36935411426774484"/>
    <n v="0.36935411426774484"/>
  </r>
  <r>
    <x v="301"/>
    <d v="2025-05-28T00:00:00"/>
    <d v="2025-06-01T00:00:00"/>
    <n v="4"/>
    <s v="CUST-5599"/>
    <s v="Isha Nair"/>
    <x v="3"/>
    <x v="1"/>
    <s v="Bihar"/>
    <s v="Patna"/>
    <x v="2"/>
    <x v="11"/>
    <s v="Elite Phones 202"/>
    <x v="1"/>
    <n v="4"/>
    <n v="1654.11"/>
    <n v="0.05"/>
    <x v="301"/>
    <n v="3705.38"/>
    <x v="300"/>
    <x v="0"/>
    <x v="0"/>
    <m/>
    <s v="Valid"/>
    <s v="Valid"/>
    <s v="Pass"/>
    <s v="Pass"/>
    <s v="May"/>
    <s v="2025"/>
    <m/>
    <n v="6616.44"/>
    <n v="6285.6179999999995"/>
    <n v="2911.0599999999995"/>
    <n v="0.43997376232535923"/>
    <n v="0.43997376232535923"/>
  </r>
  <r>
    <x v="302"/>
    <d v="2025-06-04T00:00:00"/>
    <d v="2025-12-06T00:00:00"/>
    <n v="185"/>
    <s v="CUST-1623"/>
    <s v="Neha Gupta"/>
    <x v="0"/>
    <x v="3"/>
    <s v="Goa"/>
    <s v="Panaji"/>
    <x v="0"/>
    <x v="8"/>
    <s v="Elite Storage 535"/>
    <x v="1"/>
    <n v="2"/>
    <n v="2703.28"/>
    <n v="0.25"/>
    <x v="302"/>
    <n v="2424.83"/>
    <x v="301"/>
    <x v="0"/>
    <x v="0"/>
    <m/>
    <s v="Valid"/>
    <s v="Valid"/>
    <s v="Pass"/>
    <s v="Pass"/>
    <s v="June"/>
    <s v="2025"/>
    <m/>
    <n v="5406.56"/>
    <n v="4054.92"/>
    <n v="2981.7300000000005"/>
    <n v="0.55150224911958812"/>
    <n v="0.55150224911958812"/>
  </r>
  <r>
    <x v="303"/>
    <d v="2024-06-23T00:00:00"/>
    <d v="2024-06-28T00:00:00"/>
    <n v="5"/>
    <s v="CUST-9035"/>
    <s v="Diya Patel"/>
    <x v="3"/>
    <x v="3"/>
    <s v="Gujarat"/>
    <s v="Ahmedabad"/>
    <x v="1"/>
    <x v="4"/>
    <s v="Elite Chairs 107"/>
    <x v="3"/>
    <n v="2"/>
    <n v="1313.14"/>
    <n v="0.1"/>
    <x v="303"/>
    <n v="1876.1"/>
    <x v="302"/>
    <x v="2"/>
    <x v="2"/>
    <m/>
    <s v="Valid"/>
    <s v="Valid"/>
    <s v="Pass"/>
    <s v="Pass"/>
    <s v="June"/>
    <s v="2024"/>
    <m/>
    <n v="2626.28"/>
    <n v="2363.652"/>
    <n v="750.18000000000029"/>
    <n v="0.28564357189637063"/>
    <n v="0.28564357189637063"/>
  </r>
  <r>
    <x v="304"/>
    <d v="2024-06-03T00:00:00"/>
    <d v="2024-03-13T00:00:00"/>
    <n v="-82"/>
    <s v="CUST-6286"/>
    <s v="Karan Malhotra"/>
    <x v="0"/>
    <x v="0"/>
    <s v="Punjab"/>
    <s v="Ludhiana"/>
    <x v="1"/>
    <x v="3"/>
    <s v="Pro Furnishings 991"/>
    <x v="3"/>
    <n v="6"/>
    <n v="2403.0500000000002"/>
    <n v="0.1"/>
    <x v="304"/>
    <n v="10019.98"/>
    <x v="303"/>
    <x v="0"/>
    <x v="0"/>
    <m/>
    <s v="Invalid-Date"/>
    <s v="Valid"/>
    <s v="Pass"/>
    <s v="Pass"/>
    <s v="June"/>
    <s v="2024"/>
    <m/>
    <n v="14418.300000000001"/>
    <n v="12976.470000000001"/>
    <n v="4398.3200000000015"/>
    <n v="0.30505121963060838"/>
    <n v="0.30505121963060838"/>
  </r>
  <r>
    <x v="305"/>
    <d v="2024-05-01T00:00:00"/>
    <d v="2024-02-05T00:00:00"/>
    <n v="-86"/>
    <s v="CUST-7246"/>
    <s v="Ananya Rao"/>
    <x v="0"/>
    <x v="1"/>
    <s v="Assam"/>
    <s v="Guwahati"/>
    <x v="1"/>
    <x v="4"/>
    <s v="Eco Chairs 105"/>
    <x v="2"/>
    <n v="4"/>
    <n v="4156.0600000000004"/>
    <n v="0.55000000000000004"/>
    <x v="305"/>
    <n v="9851.91"/>
    <x v="304"/>
    <x v="0"/>
    <x v="1"/>
    <m/>
    <s v="Invalid-Date"/>
    <s v="Invalid-Discount"/>
    <s v="Pass"/>
    <s v="Pass"/>
    <s v="May"/>
    <s v="2024"/>
    <m/>
    <n v="16624.240000000002"/>
    <n v="7480.9080000000004"/>
    <n v="6772.3300000000017"/>
    <n v="0.40737681842899293"/>
    <n v="0.40737681842899293"/>
  </r>
  <r>
    <x v="306"/>
    <d v="2025-02-20T00:00:00"/>
    <d v="2025-02-23T00:00:00"/>
    <n v="3"/>
    <s v="CUST-2589"/>
    <s v="Aarav Sharma"/>
    <x v="0"/>
    <x v="0"/>
    <s v="Rajasthan"/>
    <s v="Jaipur"/>
    <x v="2"/>
    <x v="11"/>
    <s v="Pro Phones 530"/>
    <x v="0"/>
    <n v="4"/>
    <n v="3673.11"/>
    <n v="0"/>
    <x v="306"/>
    <n v="10082.19"/>
    <x v="305"/>
    <x v="0"/>
    <x v="0"/>
    <m/>
    <s v="Valid"/>
    <s v="Valid"/>
    <s v="Pass"/>
    <s v="Pass"/>
    <s v="February"/>
    <s v="2025"/>
    <m/>
    <n v="14692.44"/>
    <n v="14692.44"/>
    <n v="4610.25"/>
    <n v="0.31378382351740075"/>
    <n v="0.31378382351740075"/>
  </r>
  <r>
    <x v="307"/>
    <d v="2025-07-12T00:00:00"/>
    <d v="2025-07-19T00:00:00"/>
    <n v="7"/>
    <s v="CUST-4153"/>
    <s v="Ananya Rao"/>
    <x v="2"/>
    <x v="0"/>
    <s v="Uttar Pradesh"/>
    <s v="Noida"/>
    <x v="1"/>
    <x v="1"/>
    <s v="Basic Tables 911"/>
    <x v="2"/>
    <n v="9"/>
    <n v="4093.04"/>
    <n v="0.2"/>
    <x v="307"/>
    <n v="18935.509999999998"/>
    <x v="306"/>
    <x v="2"/>
    <x v="1"/>
    <m/>
    <s v="Valid"/>
    <s v="Valid"/>
    <s v="Pass"/>
    <s v="Pass"/>
    <s v="July"/>
    <s v="2025"/>
    <m/>
    <n v="36837.360000000001"/>
    <n v="29469.888000000003"/>
    <n v="17901.850000000002"/>
    <n v="0.48596995007242655"/>
    <n v="0.48596995007242655"/>
  </r>
  <r>
    <x v="308"/>
    <d v="2025-06-13T00:00:00"/>
    <d v="2025-06-19T00:00:00"/>
    <n v="6"/>
    <s v="CUST-6727"/>
    <s v="Rohan Mehta"/>
    <x v="0"/>
    <x v="0"/>
    <s v="Rajasthan"/>
    <s v="Jaipur"/>
    <x v="1"/>
    <x v="1"/>
    <s v="Classic Tables 224"/>
    <x v="2"/>
    <n v="4"/>
    <n v="731.57"/>
    <n v="0.2"/>
    <x v="308"/>
    <n v="1565.49"/>
    <x v="307"/>
    <x v="0"/>
    <x v="0"/>
    <m/>
    <s v="Valid"/>
    <s v="Valid"/>
    <s v="Pass"/>
    <s v="Pass"/>
    <s v="June"/>
    <s v="2025"/>
    <m/>
    <n v="2926.28"/>
    <n v="2341.0240000000003"/>
    <n v="1360.7900000000002"/>
    <n v="0.46502385280971065"/>
    <n v="0.46502385280971065"/>
  </r>
  <r>
    <x v="309"/>
    <d v="2024-07-20T00:00:00"/>
    <d v="2024-07-22T00:00:00"/>
    <n v="2"/>
    <s v="CUST-8860"/>
    <s v="Ananya Rao"/>
    <x v="0"/>
    <x v="2"/>
    <s v="Tamil Nadu"/>
    <s v="Chennai"/>
    <x v="1"/>
    <x v="1"/>
    <s v="Prime Tables 214"/>
    <x v="2"/>
    <n v="7"/>
    <n v="2060.73"/>
    <n v="0.1"/>
    <x v="309"/>
    <n v="7246.36"/>
    <x v="308"/>
    <x v="0"/>
    <x v="1"/>
    <m/>
    <s v="Valid"/>
    <s v="Valid"/>
    <s v="Pass"/>
    <s v="Pass"/>
    <s v="July"/>
    <s v="2024"/>
    <m/>
    <n v="14425.11"/>
    <n v="12982.599"/>
    <n v="7178.7500000000009"/>
    <n v="0.4976565170040298"/>
    <n v="0.4976565170040298"/>
  </r>
  <r>
    <x v="310"/>
    <d v="2024-07-04T00:00:00"/>
    <d v="2024-07-08T00:00:00"/>
    <n v="4"/>
    <s v="CUST-3784"/>
    <s v="Rohan Mehta"/>
    <x v="1"/>
    <x v="2"/>
    <s v="Tamil Nadu"/>
    <s v="Chennai"/>
    <x v="2"/>
    <x v="12"/>
    <s v="Max Machines 988"/>
    <x v="2"/>
    <n v="8"/>
    <n v="2034.25"/>
    <n v="0"/>
    <x v="310"/>
    <n v="9424.25"/>
    <x v="309"/>
    <x v="0"/>
    <x v="0"/>
    <m/>
    <s v="Valid"/>
    <s v="Valid"/>
    <s v="Pass"/>
    <s v="Pass"/>
    <s v="July"/>
    <s v="2024"/>
    <m/>
    <n v="16274"/>
    <n v="16274"/>
    <n v="6849.75"/>
    <n v="0.42090143787636719"/>
    <n v="0.42090143787636719"/>
  </r>
  <r>
    <x v="311"/>
    <d v="2024-04-27T00:00:00"/>
    <d v="2024-05-02T00:00:00"/>
    <n v="5"/>
    <s v="CUST-3545"/>
    <s v="Mira Das"/>
    <x v="2"/>
    <x v="2"/>
    <s v="Karnataka"/>
    <s v="Bengaluru"/>
    <x v="0"/>
    <x v="9"/>
    <s v="Max Binders 425"/>
    <x v="0"/>
    <n v="5"/>
    <n v="554.04"/>
    <n v="0.1"/>
    <x v="311"/>
    <n v="1764"/>
    <x v="310"/>
    <x v="0"/>
    <x v="0"/>
    <m/>
    <s v="Valid"/>
    <s v="Valid"/>
    <s v="Pass"/>
    <s v="Pass"/>
    <s v="April"/>
    <s v="2024"/>
    <m/>
    <n v="2770.2"/>
    <n v="2493.1799999999998"/>
    <n v="1006.1999999999998"/>
    <n v="0.3632228719948018"/>
    <n v="0.3632228719948018"/>
  </r>
  <r>
    <x v="312"/>
    <d v="2024-07-31T00:00:00"/>
    <d v="2024-08-04T00:00:00"/>
    <n v="4"/>
    <s v="CUST-4851"/>
    <s v="Karan Malhotra"/>
    <x v="1"/>
    <x v="1"/>
    <s v="Assam"/>
    <s v="Guwahati"/>
    <x v="2"/>
    <x v="11"/>
    <s v="Elite Phones 679"/>
    <x v="3"/>
    <n v="8"/>
    <n v="2614.7399999999998"/>
    <n v="0"/>
    <x v="312"/>
    <n v="10047.33"/>
    <x v="311"/>
    <x v="0"/>
    <x v="1"/>
    <m/>
    <s v="Valid"/>
    <s v="Valid"/>
    <s v="Pass"/>
    <s v="Pass"/>
    <s v="July"/>
    <s v="2024"/>
    <m/>
    <n v="20917.919999999998"/>
    <n v="20917.919999999998"/>
    <n v="10870.589999999998"/>
    <n v="0.5196783427797792"/>
    <n v="0.5196783427797792"/>
  </r>
  <r>
    <x v="313"/>
    <d v="2025-05-30T00:00:00"/>
    <d v="2025-05-31T00:00:00"/>
    <n v="1"/>
    <s v="CUST-4770"/>
    <s v="Rahul Verma"/>
    <x v="2"/>
    <x v="0"/>
    <s v="Uttar Pradesh"/>
    <s v="Noida"/>
    <x v="2"/>
    <x v="11"/>
    <s v="Pro Phones 764"/>
    <x v="2"/>
    <n v="8"/>
    <n v="2081.4299999999998"/>
    <n v="0.25"/>
    <x v="313"/>
    <n v="10717.4"/>
    <x v="312"/>
    <x v="1"/>
    <x v="1"/>
    <m/>
    <s v="Valid"/>
    <s v="Valid"/>
    <s v="Pass"/>
    <s v="Pass"/>
    <s v="May"/>
    <s v="2025"/>
    <m/>
    <n v="16651.439999999999"/>
    <n v="12488.579999999998"/>
    <n v="5934.0399999999991"/>
    <n v="0.35636797778450391"/>
    <n v="0.35636797778450391"/>
  </r>
  <r>
    <x v="314"/>
    <d v="2025-05-18T00:00:00"/>
    <d v="2025-05-20T00:00:00"/>
    <n v="2"/>
    <s v="CUST-1945"/>
    <s v="Isha Nair"/>
    <x v="2"/>
    <x v="3"/>
    <s v="Madhya Pradesh"/>
    <s v="Indore"/>
    <x v="0"/>
    <x v="7"/>
    <s v="Elite Labels 544"/>
    <x v="3"/>
    <n v="9"/>
    <n v="847.76"/>
    <n v="0.15"/>
    <x v="314"/>
    <n v="5376.17"/>
    <x v="313"/>
    <x v="3"/>
    <x v="2"/>
    <m/>
    <s v="Valid"/>
    <s v="Valid"/>
    <s v="Pass"/>
    <s v="Pass"/>
    <s v="May"/>
    <s v="2025"/>
    <m/>
    <n v="7629.84"/>
    <n v="6485.3639999999996"/>
    <n v="2253.67"/>
    <n v="0.29537578769672757"/>
    <n v="0.29537578769672757"/>
  </r>
  <r>
    <x v="315"/>
    <d v="2024-07-02T00:00:00"/>
    <d v="2024-08-07T00:00:00"/>
    <n v="36"/>
    <s v="CUST-7565"/>
    <s v="Rohan Mehta"/>
    <x v="0"/>
    <x v="0"/>
    <s v="Delhi"/>
    <s v="New Delhi"/>
    <x v="0"/>
    <x v="0"/>
    <s v="Smart Paper 817"/>
    <x v="3"/>
    <n v="9"/>
    <n v="3450.4"/>
    <n v="0.05"/>
    <x v="315"/>
    <n v="17989.68"/>
    <x v="314"/>
    <x v="2"/>
    <x v="2"/>
    <m/>
    <s v="Valid"/>
    <s v="Valid"/>
    <s v="Pass"/>
    <s v="Pass"/>
    <s v="July"/>
    <s v="2024"/>
    <m/>
    <n v="31053.600000000002"/>
    <n v="29500.920000000002"/>
    <n v="13063.920000000002"/>
    <n v="0.42068938866991268"/>
    <n v="0.42068938866991268"/>
  </r>
  <r>
    <x v="316"/>
    <d v="2024-02-16T00:00:00"/>
    <d v="2024-02-18T00:00:00"/>
    <n v="2"/>
    <s v="CUST-9913"/>
    <s v="Karan Malhotra"/>
    <x v="2"/>
    <x v="0"/>
    <s v="Punjab"/>
    <s v="Ludhiana"/>
    <x v="0"/>
    <x v="7"/>
    <s v="Classic Labels 466"/>
    <x v="3"/>
    <n v="2"/>
    <n v="1947.53"/>
    <n v="0.2"/>
    <x v="316"/>
    <n v="1956.63"/>
    <x v="315"/>
    <x v="0"/>
    <x v="1"/>
    <m/>
    <s v="Valid"/>
    <s v="Valid"/>
    <s v="Pass"/>
    <s v="Pass"/>
    <s v="February"/>
    <s v="2024"/>
    <m/>
    <n v="3895.06"/>
    <n v="3116.0480000000002"/>
    <n v="1938.4299999999998"/>
    <n v="0.49766370736265936"/>
    <n v="0.49766370736265936"/>
  </r>
  <r>
    <x v="317"/>
    <d v="2025-08-29T00:00:00"/>
    <d v="2025-04-09T00:00:00"/>
    <n v="-142"/>
    <s v="CUST-7992"/>
    <s v="Neha Gupta"/>
    <x v="2"/>
    <x v="2"/>
    <s v="Kerala"/>
    <s v="Kochi"/>
    <x v="1"/>
    <x v="1"/>
    <s v="Pro Tables 778"/>
    <x v="2"/>
    <n v="9"/>
    <n v="2996.97"/>
    <n v="0.15"/>
    <x v="317"/>
    <n v="14621.59"/>
    <x v="316"/>
    <x v="0"/>
    <x v="0"/>
    <m/>
    <s v="Invalid-Date"/>
    <s v="Valid"/>
    <s v="Pass"/>
    <s v="Pass"/>
    <s v="August"/>
    <s v="2025"/>
    <m/>
    <n v="26972.73"/>
    <n v="22926.820499999998"/>
    <n v="12351.14"/>
    <n v="0.45791212087171002"/>
    <n v="0.45791212087171002"/>
  </r>
  <r>
    <x v="318"/>
    <d v="2024-04-25T00:00:00"/>
    <d v="2024-04-30T00:00:00"/>
    <n v="5"/>
    <s v="CUST-8877"/>
    <s v="Mira Das"/>
    <x v="1"/>
    <x v="2"/>
    <s v="Karnataka"/>
    <s v="Bengaluru"/>
    <x v="2"/>
    <x v="11"/>
    <s v="Basic Phones 789"/>
    <x v="3"/>
    <n v="3"/>
    <n v="4149.46"/>
    <n v="0.1"/>
    <x v="318"/>
    <n v="8452.93"/>
    <x v="317"/>
    <x v="0"/>
    <x v="0"/>
    <m/>
    <s v="Valid"/>
    <s v="Valid"/>
    <s v="Pass"/>
    <s v="Pass"/>
    <s v="April"/>
    <s v="2024"/>
    <m/>
    <n v="12448.380000000001"/>
    <n v="11203.542000000001"/>
    <n v="3995.4500000000007"/>
    <n v="0.32096144237242119"/>
    <n v="0.32096144237242119"/>
  </r>
  <r>
    <x v="319"/>
    <d v="2024-08-21T00:00:00"/>
    <d v="2024-08-25T00:00:00"/>
    <n v="4"/>
    <s v="CUST-4589"/>
    <s v="Diya Patel"/>
    <x v="0"/>
    <x v="3"/>
    <s v="Gujarat"/>
    <s v="Ahmedabad"/>
    <x v="0"/>
    <x v="9"/>
    <s v="Prime Binders 554"/>
    <x v="2"/>
    <n v="1"/>
    <n v="270.27999999999997"/>
    <n v="0"/>
    <x v="319"/>
    <n v="156.34"/>
    <x v="318"/>
    <x v="0"/>
    <x v="0"/>
    <m/>
    <s v="Valid"/>
    <s v="Valid"/>
    <s v="Pass"/>
    <s v="Pass"/>
    <s v="August"/>
    <s v="2024"/>
    <m/>
    <n v="270.27999999999997"/>
    <n v="270.27999999999997"/>
    <n v="113.93999999999997"/>
    <n v="0.42156282373834536"/>
    <n v="0.42156282373834536"/>
  </r>
  <r>
    <x v="320"/>
    <d v="2024-04-12T00:00:00"/>
    <d v="2024-06-12T00:00:00"/>
    <n v="61"/>
    <s v="CUST-4667"/>
    <s v="Aarav Sharma"/>
    <x v="3"/>
    <x v="1"/>
    <s v="West Bengal"/>
    <s v="Kolkata"/>
    <x v="0"/>
    <x v="2"/>
    <s v="Classic Art 299"/>
    <x v="0"/>
    <n v="3"/>
    <n v="876.14"/>
    <n v="0.7"/>
    <x v="320"/>
    <n v="1541.54"/>
    <x v="319"/>
    <x v="2"/>
    <x v="2"/>
    <m/>
    <s v="Valid"/>
    <s v="Invalid-Discount"/>
    <s v="Pass"/>
    <s v="Pass"/>
    <s v="April"/>
    <s v="2024"/>
    <m/>
    <n v="2628.42"/>
    <n v="788.52600000000018"/>
    <n v="1086.8800000000001"/>
    <n v="0.41351077833831734"/>
    <n v="0.41351077833831734"/>
  </r>
  <r>
    <x v="321"/>
    <d v="2024-06-23T00:00:00"/>
    <d v="2024-06-30T00:00:00"/>
    <n v="7"/>
    <s v="CUST-7821"/>
    <s v="Neha Gupta"/>
    <x v="1"/>
    <x v="3"/>
    <s v="Goa"/>
    <s v="Panaji"/>
    <x v="2"/>
    <x v="5"/>
    <s v="Eco Accessories 220"/>
    <x v="1"/>
    <n v="4"/>
    <n v="674.82"/>
    <n v="0"/>
    <x v="321"/>
    <n v="1759.76"/>
    <x v="320"/>
    <x v="3"/>
    <x v="1"/>
    <m/>
    <s v="Valid"/>
    <s v="Valid"/>
    <s v="Pass"/>
    <s v="Pass"/>
    <s v="June"/>
    <s v="2024"/>
    <m/>
    <n v="2699.28"/>
    <n v="2699.28"/>
    <n v="939.52000000000021"/>
    <n v="0.34806318722029583"/>
    <n v="0.34806318722029583"/>
  </r>
  <r>
    <x v="322"/>
    <d v="2024-11-12T00:00:00"/>
    <d v="2024-11-12T00:00:00"/>
    <n v="0"/>
    <s v="CUST-8579"/>
    <s v="Isha Nair"/>
    <x v="0"/>
    <x v="0"/>
    <s v="Uttar Pradesh"/>
    <s v="Noida"/>
    <x v="2"/>
    <x v="11"/>
    <s v="Max Phones 422"/>
    <x v="0"/>
    <n v="6"/>
    <n v="1369.48"/>
    <n v="0.15"/>
    <x v="322"/>
    <n v="4023.63"/>
    <x v="321"/>
    <x v="0"/>
    <x v="0"/>
    <m/>
    <s v="Valid"/>
    <s v="Valid"/>
    <s v="Pass"/>
    <s v="Pass"/>
    <s v="November"/>
    <s v="2024"/>
    <m/>
    <n v="8216.880000000001"/>
    <n v="6984.3480000000009"/>
    <n v="4193.2500000000009"/>
    <n v="0.51032143587347023"/>
    <n v="0.51032143587347023"/>
  </r>
  <r>
    <x v="323"/>
    <d v="2024-02-25T00:00:00"/>
    <d v="2024-02-29T00:00:00"/>
    <n v="4"/>
    <s v="CUST-6909"/>
    <s v="Isha Nair"/>
    <x v="1"/>
    <x v="3"/>
    <s v="Goa"/>
    <s v="Panaji"/>
    <x v="1"/>
    <x v="3"/>
    <s v="Eco Furnishings 897"/>
    <x v="3"/>
    <n v="9"/>
    <n v="1331.46"/>
    <n v="0.15"/>
    <x v="323"/>
    <n v="6479.31"/>
    <x v="322"/>
    <x v="0"/>
    <x v="0"/>
    <m/>
    <s v="Valid"/>
    <s v="Valid"/>
    <s v="Pass"/>
    <s v="Pass"/>
    <s v="February"/>
    <s v="2024"/>
    <m/>
    <n v="11983.14"/>
    <n v="10185.669"/>
    <n v="5503.829999999999"/>
    <n v="0.45929781342786608"/>
    <n v="0.45929781342786608"/>
  </r>
  <r>
    <x v="324"/>
    <d v="2025-07-31T00:00:00"/>
    <d v="2025-08-02T00:00:00"/>
    <n v="2"/>
    <s v="CUST-7212"/>
    <s v="Rohan Mehta"/>
    <x v="3"/>
    <x v="2"/>
    <s v="Andhra Pradesh"/>
    <s v="Vijayawada"/>
    <x v="0"/>
    <x v="7"/>
    <s v="Basic Labels 102"/>
    <x v="1"/>
    <n v="1"/>
    <n v="1947.88"/>
    <n v="0.15"/>
    <x v="324"/>
    <n v="1354.8"/>
    <x v="323"/>
    <x v="0"/>
    <x v="2"/>
    <m/>
    <s v="Valid"/>
    <s v="Valid"/>
    <s v="Pass"/>
    <s v="Pass"/>
    <s v="July"/>
    <s v="2025"/>
    <m/>
    <n v="1947.88"/>
    <n v="1655.6980000000001"/>
    <n v="593.08000000000015"/>
    <n v="0.304474608292092"/>
    <n v="0.304474608292092"/>
  </r>
  <r>
    <x v="325"/>
    <d v="2025-09-16T00:00:00"/>
    <d v="2025-09-22T00:00:00"/>
    <n v="6"/>
    <s v="CUST-7980"/>
    <s v="Sneha Kapoor"/>
    <x v="3"/>
    <x v="1"/>
    <s v="West Bengal"/>
    <s v="Kolkata"/>
    <x v="2"/>
    <x v="6"/>
    <s v="Prime Copiers 170"/>
    <x v="0"/>
    <n v="5"/>
    <n v="3671.2"/>
    <n v="0.15"/>
    <x v="325"/>
    <n v="11908.52"/>
    <x v="324"/>
    <x v="0"/>
    <x v="0"/>
    <m/>
    <s v="Valid"/>
    <s v="Valid"/>
    <s v="Pass"/>
    <s v="Pass"/>
    <s v="September"/>
    <s v="2025"/>
    <m/>
    <n v="18356"/>
    <n v="15602.6"/>
    <n v="6447.48"/>
    <n v="0.35124645892351275"/>
    <n v="0.35124645892351275"/>
  </r>
  <r>
    <x v="326"/>
    <d v="2025-07-22T00:00:00"/>
    <d v="2025-07-22T00:00:00"/>
    <n v="0"/>
    <s v="CUST-1966"/>
    <s v="Sneha Kapoor"/>
    <x v="2"/>
    <x v="1"/>
    <s v="Jharkhand"/>
    <s v="Ranchi"/>
    <x v="1"/>
    <x v="3"/>
    <s v="Smart Furnishings 533"/>
    <x v="1"/>
    <n v="5"/>
    <n v="3187.05"/>
    <n v="0.05"/>
    <x v="326"/>
    <n v="11235.72"/>
    <x v="325"/>
    <x v="0"/>
    <x v="0"/>
    <m/>
    <s v="Valid"/>
    <s v="Valid"/>
    <s v="Pass"/>
    <s v="Pass"/>
    <s v="July"/>
    <s v="2025"/>
    <m/>
    <n v="15935.25"/>
    <n v="15138.487499999999"/>
    <n v="4699.5300000000007"/>
    <n v="0.29491410552077946"/>
    <n v="0.29491410552077946"/>
  </r>
  <r>
    <x v="327"/>
    <d v="2024-07-24T00:00:00"/>
    <d v="2024-07-27T00:00:00"/>
    <n v="3"/>
    <s v="CUST-6163"/>
    <s v="Isha Nair"/>
    <x v="0"/>
    <x v="3"/>
    <s v="Rajasthan"/>
    <s v="Udaipur"/>
    <x v="2"/>
    <x v="5"/>
    <s v="Classic Accessories 489"/>
    <x v="0"/>
    <n v="3"/>
    <n v="1834.55"/>
    <n v="0.2"/>
    <x v="327"/>
    <n v="2993.94"/>
    <x v="326"/>
    <x v="2"/>
    <x v="1"/>
    <m/>
    <s v="Valid"/>
    <s v="Valid"/>
    <s v="Pass"/>
    <s v="Pass"/>
    <s v="July"/>
    <s v="2024"/>
    <m/>
    <n v="5503.65"/>
    <n v="4402.92"/>
    <n v="2509.7099999999996"/>
    <n v="0.45600828541059113"/>
    <n v="0.45600828541059113"/>
  </r>
  <r>
    <x v="328"/>
    <d v="2025-05-29T00:00:00"/>
    <d v="2025-04-06T00:00:00"/>
    <n v="-53"/>
    <s v="CUST-7239"/>
    <s v="Diya Patel"/>
    <x v="0"/>
    <x v="3"/>
    <s v="Maharashtra"/>
    <s v="Mumbai"/>
    <x v="0"/>
    <x v="8"/>
    <s v="Smart Storage 439"/>
    <x v="2"/>
    <n v="6"/>
    <n v="3100.68"/>
    <n v="0"/>
    <x v="328"/>
    <n v="15834.3"/>
    <x v="327"/>
    <x v="0"/>
    <x v="0"/>
    <m/>
    <s v="Invalid-Date"/>
    <s v="Valid"/>
    <s v="Pass"/>
    <s v="Pass"/>
    <s v="May"/>
    <s v="2025"/>
    <m/>
    <n v="18604.079999999998"/>
    <n v="18604.079999999998"/>
    <n v="2769.7799999999988"/>
    <n v="0.1488802456235406"/>
    <n v="0.1488802456235406"/>
  </r>
  <r>
    <x v="329"/>
    <d v="2025-05-12T00:00:00"/>
    <d v="2025-05-18T00:00:00"/>
    <n v="6"/>
    <s v="CUST-9718"/>
    <s v="Neha Gupta"/>
    <x v="1"/>
    <x v="3"/>
    <s v="Maharashtra"/>
    <s v="Mumbai"/>
    <x v="0"/>
    <x v="8"/>
    <s v="Prime Storage 232"/>
    <x v="3"/>
    <n v="4"/>
    <n v="4053.03"/>
    <n v="0.05"/>
    <x v="329"/>
    <n v="8650.42"/>
    <x v="328"/>
    <x v="0"/>
    <x v="0"/>
    <m/>
    <s v="Valid"/>
    <s v="Valid"/>
    <s v="Pass"/>
    <s v="Pass"/>
    <s v="May"/>
    <s v="2025"/>
    <m/>
    <n v="16212.12"/>
    <n v="15401.513999999999"/>
    <n v="7561.7000000000007"/>
    <n v="0.46642265169515157"/>
    <n v="0.46642265169515157"/>
  </r>
  <r>
    <x v="330"/>
    <d v="2024-05-16T00:00:00"/>
    <d v="2024-05-24T00:00:00"/>
    <n v="8"/>
    <s v="CUST-1116"/>
    <s v="Arjun Bose"/>
    <x v="3"/>
    <x v="0"/>
    <s v="Punjab"/>
    <s v="Ludhiana"/>
    <x v="2"/>
    <x v="5"/>
    <s v="Prime Accessories 335"/>
    <x v="1"/>
    <n v="1"/>
    <n v="783.09"/>
    <n v="0"/>
    <x v="330"/>
    <n v="503.89"/>
    <x v="329"/>
    <x v="3"/>
    <x v="1"/>
    <m/>
    <s v="Valid"/>
    <s v="Valid"/>
    <s v="Pass"/>
    <s v="Pass"/>
    <s v="May"/>
    <s v="2024"/>
    <m/>
    <n v="783.09"/>
    <n v="783.09"/>
    <n v="279.20000000000005"/>
    <n v="0.3565362857398256"/>
    <n v="0.3565362857398256"/>
  </r>
  <r>
    <x v="331"/>
    <d v="2024-12-04T00:00:00"/>
    <d v="2024-06-12T00:00:00"/>
    <n v="-175"/>
    <s v="CUST-9346"/>
    <s v="Sneha Kapoor"/>
    <x v="3"/>
    <x v="1"/>
    <s v="Odisha"/>
    <s v="Bhubaneswar"/>
    <x v="0"/>
    <x v="9"/>
    <s v="Smart Binders 939"/>
    <x v="0"/>
    <n v="4"/>
    <n v="2685.66"/>
    <n v="0"/>
    <x v="331"/>
    <n v="6477.37"/>
    <x v="330"/>
    <x v="0"/>
    <x v="2"/>
    <m/>
    <s v="Invalid-Date"/>
    <s v="Valid"/>
    <s v="Pass"/>
    <s v="Pass"/>
    <s v="December"/>
    <s v="2024"/>
    <m/>
    <n v="10742.64"/>
    <n v="10742.64"/>
    <n v="4265.2699999999995"/>
    <n v="0.39704113700170535"/>
    <n v="0.39704113700170535"/>
  </r>
  <r>
    <x v="332"/>
    <d v="2025-05-27T00:00:00"/>
    <d v="2025-05-28T00:00:00"/>
    <n v="1"/>
    <s v="CUST-5332"/>
    <s v="Aarav Sharma"/>
    <x v="0"/>
    <x v="2"/>
    <s v="Andhra Pradesh"/>
    <s v="Vijayawada"/>
    <x v="2"/>
    <x v="12"/>
    <s v="Basic Machines 601"/>
    <x v="0"/>
    <n v="2"/>
    <n v="3911.96"/>
    <n v="0"/>
    <x v="332"/>
    <n v="6034.63"/>
    <x v="331"/>
    <x v="0"/>
    <x v="0"/>
    <m/>
    <s v="Valid"/>
    <s v="Valid"/>
    <s v="Pass"/>
    <s v="Pass"/>
    <s v="May"/>
    <s v="2025"/>
    <m/>
    <n v="7823.92"/>
    <n v="7823.92"/>
    <n v="1789.29"/>
    <n v="0.22869482305545047"/>
    <n v="0.22869482305545047"/>
  </r>
  <r>
    <x v="333"/>
    <d v="2025-06-22T00:00:00"/>
    <d v="2025-06-27T00:00:00"/>
    <n v="5"/>
    <s v="CUST-8081"/>
    <s v="Rohan Mehta"/>
    <x v="3"/>
    <x v="4"/>
    <s v="Delhi"/>
    <s v="New Delhi"/>
    <x v="2"/>
    <x v="11"/>
    <s v="Pro Phones 968"/>
    <x v="2"/>
    <n v="2"/>
    <n v="1468.05"/>
    <n v="0"/>
    <x v="333"/>
    <n v="1923.1"/>
    <x v="332"/>
    <x v="0"/>
    <x v="0"/>
    <m/>
    <s v="Valid"/>
    <s v="Valid"/>
    <s v="Pass"/>
    <s v="Flagged"/>
    <s v="June"/>
    <s v="2025"/>
    <m/>
    <n v="2936.1"/>
    <n v="2936.1"/>
    <n v="1013"/>
    <n v="0.34501549674738602"/>
    <n v="0.34501549674738602"/>
  </r>
  <r>
    <x v="334"/>
    <d v="2024-09-12T00:00:00"/>
    <d v="2024-09-17T00:00:00"/>
    <n v="5"/>
    <s v="CUST-3062"/>
    <s v="Ananya Rao"/>
    <x v="0"/>
    <x v="1"/>
    <s v="Jharkhand"/>
    <s v="Ranchi"/>
    <x v="0"/>
    <x v="8"/>
    <s v="Pro Storage 563"/>
    <x v="2"/>
    <n v="9"/>
    <n v="1921.47"/>
    <n v="0.25"/>
    <x v="334"/>
    <n v="9398.4599999999991"/>
    <x v="333"/>
    <x v="0"/>
    <x v="0"/>
    <m/>
    <s v="Valid"/>
    <s v="Valid"/>
    <s v="Pass"/>
    <s v="Pass"/>
    <s v="September"/>
    <s v="2024"/>
    <m/>
    <n v="17293.23"/>
    <n v="12969.922500000001"/>
    <n v="7894.77"/>
    <n v="0.45652373790205764"/>
    <n v="0.45652373790205764"/>
  </r>
  <r>
    <x v="335"/>
    <d v="2025-06-16T00:00:00"/>
    <d v="2025-06-18T00:00:00"/>
    <n v="2"/>
    <s v="CUST-3621"/>
    <s v="Rahul Verma"/>
    <x v="3"/>
    <x v="3"/>
    <s v="Madhya Pradesh"/>
    <s v="Indore"/>
    <x v="0"/>
    <x v="0"/>
    <s v="Prime Paper 559"/>
    <x v="2"/>
    <n v="3"/>
    <n v="4289.37"/>
    <n v="0.1"/>
    <x v="335"/>
    <n v="6829.43"/>
    <x v="334"/>
    <x v="0"/>
    <x v="0"/>
    <m/>
    <s v="Valid"/>
    <s v="Valid"/>
    <s v="Pass"/>
    <s v="Pass"/>
    <s v="June"/>
    <s v="2025"/>
    <m/>
    <n v="12868.11"/>
    <n v="11581.299000000001"/>
    <n v="6038.68"/>
    <n v="0.46927481968991563"/>
    <n v="0.46927481968991563"/>
  </r>
  <r>
    <x v="336"/>
    <d v="2024-03-17T00:00:00"/>
    <d v="2024-03-21T00:00:00"/>
    <n v="4"/>
    <s v="CUST-2103"/>
    <s v="Aarav Sharma"/>
    <x v="0"/>
    <x v="0"/>
    <s v="Rajasthan"/>
    <s v="Jaipur"/>
    <x v="2"/>
    <x v="6"/>
    <s v="Pro Copiers 999"/>
    <x v="2"/>
    <n v="8"/>
    <n v="1992.57"/>
    <n v="0"/>
    <x v="336"/>
    <n v="12347.15"/>
    <x v="335"/>
    <x v="0"/>
    <x v="0"/>
    <m/>
    <s v="Valid"/>
    <s v="Valid"/>
    <s v="Pass"/>
    <s v="Pass"/>
    <s v="March"/>
    <s v="2024"/>
    <m/>
    <n v="15940.56"/>
    <n v="15940.56"/>
    <n v="3593.41"/>
    <n v="0.2254255810335396"/>
    <n v="0.2254255810335396"/>
  </r>
  <r>
    <x v="337"/>
    <d v="2024-08-12T00:00:00"/>
    <d v="2024-08-18T00:00:00"/>
    <n v="6"/>
    <s v="CUST-4599"/>
    <s v="Ananya Rao"/>
    <x v="0"/>
    <x v="1"/>
    <s v="Assam"/>
    <s v="Guwahati"/>
    <x v="0"/>
    <x v="7"/>
    <s v="Classic Labels 206"/>
    <x v="1"/>
    <n v="6"/>
    <n v="1181.74"/>
    <n v="0"/>
    <x v="337"/>
    <n v="5672.27"/>
    <x v="336"/>
    <x v="0"/>
    <x v="0"/>
    <m/>
    <s v="Valid"/>
    <s v="Valid"/>
    <s v="Pass"/>
    <s v="Pass"/>
    <s v="August"/>
    <s v="2024"/>
    <m/>
    <n v="7090.4400000000005"/>
    <n v="7090.4400000000005"/>
    <n v="1418.17"/>
    <n v="0.20001156486762456"/>
    <n v="0.20001156486762456"/>
  </r>
  <r>
    <x v="338"/>
    <d v="2024-12-08T00:00:00"/>
    <d v="2024-08-12T00:00:00"/>
    <n v="-118"/>
    <s v="CUST-3066"/>
    <s v="Arjun Bose"/>
    <x v="1"/>
    <x v="2"/>
    <s v="Andhra Pradesh"/>
    <s v="Vijayawada"/>
    <x v="2"/>
    <x v="5"/>
    <s v="Eco Accessories 315"/>
    <x v="2"/>
    <n v="8"/>
    <n v="4402.3599999999997"/>
    <n v="0.25"/>
    <x v="338"/>
    <n v="21822.53"/>
    <x v="337"/>
    <x v="0"/>
    <x v="0"/>
    <m/>
    <s v="Invalid-Date"/>
    <s v="Valid"/>
    <s v="Pass"/>
    <s v="Pass"/>
    <s v="December"/>
    <s v="2024"/>
    <m/>
    <n v="35218.879999999997"/>
    <n v="26414.159999999996"/>
    <n v="13396.349999999999"/>
    <n v="0.38037410616124079"/>
    <n v="0.38037410616124079"/>
  </r>
  <r>
    <x v="339"/>
    <d v="2025-02-20T00:00:00"/>
    <d v="2025-02-22T00:00:00"/>
    <n v="2"/>
    <s v="CUST-2752"/>
    <s v="Neha Gupta"/>
    <x v="2"/>
    <x v="1"/>
    <s v="Jharkhand"/>
    <s v="Ranchi"/>
    <x v="1"/>
    <x v="10"/>
    <s v="Elite Bookcases 988"/>
    <x v="3"/>
    <n v="8"/>
    <n v="3265.76"/>
    <n v="0.2"/>
    <x v="339"/>
    <n v="12513.14"/>
    <x v="338"/>
    <x v="0"/>
    <x v="0"/>
    <m/>
    <s v="Valid"/>
    <s v="Valid"/>
    <s v="Pass"/>
    <s v="Pass"/>
    <s v="February"/>
    <s v="2025"/>
    <m/>
    <n v="26126.080000000002"/>
    <n v="20900.864000000001"/>
    <n v="13612.940000000002"/>
    <n v="0.52104793371221403"/>
    <n v="0.52104793371221403"/>
  </r>
  <r>
    <x v="340"/>
    <d v="2024-01-21T00:00:00"/>
    <d v="2024-01-29T00:00:00"/>
    <n v="8"/>
    <s v="CUST-6291"/>
    <s v="Neha Gupta"/>
    <x v="0"/>
    <x v="2"/>
    <s v="Karnataka"/>
    <s v="Bengaluru"/>
    <x v="0"/>
    <x v="9"/>
    <s v="Smart Binders 414"/>
    <x v="3"/>
    <n v="5"/>
    <n v="4058.08"/>
    <n v="0.1"/>
    <x v="340"/>
    <n v="11399.94"/>
    <x v="339"/>
    <x v="0"/>
    <x v="0"/>
    <m/>
    <s v="Valid"/>
    <s v="Valid"/>
    <s v="Pass"/>
    <s v="Pass"/>
    <s v="January"/>
    <s v="2024"/>
    <m/>
    <n v="20290.400000000001"/>
    <n v="18261.36"/>
    <n v="8890.4600000000009"/>
    <n v="0.43816090367858695"/>
    <n v="0.43816090367858695"/>
  </r>
  <r>
    <x v="341"/>
    <d v="2025-09-08T00:00:00"/>
    <d v="2025-09-09T00:00:00"/>
    <n v="1"/>
    <s v="CUST-9969"/>
    <s v="Rohan Mehta"/>
    <x v="3"/>
    <x v="3"/>
    <s v="Gujarat"/>
    <s v="Ahmedabad"/>
    <x v="1"/>
    <x v="4"/>
    <s v="Eco Chairs 552"/>
    <x v="0"/>
    <n v="2"/>
    <n v="3960.33"/>
    <n v="0.05"/>
    <x v="341"/>
    <n v="6229.6"/>
    <x v="340"/>
    <x v="0"/>
    <x v="0"/>
    <m/>
    <s v="Valid"/>
    <s v="Valid"/>
    <s v="Pass"/>
    <s v="Pass"/>
    <s v="September"/>
    <s v="2025"/>
    <m/>
    <n v="7920.66"/>
    <n v="7524.6269999999995"/>
    <n v="1691.0599999999995"/>
    <n v="0.21349988511058415"/>
    <n v="0.21349988511058415"/>
  </r>
  <r>
    <x v="342"/>
    <d v="2025-07-24T00:00:00"/>
    <d v="2025-08-01T00:00:00"/>
    <n v="8"/>
    <s v="CUST-3335"/>
    <s v="Kabir Singh"/>
    <x v="1"/>
    <x v="1"/>
    <s v="Jharkhand"/>
    <s v="Ranchi"/>
    <x v="0"/>
    <x v="9"/>
    <s v="Smart Binders 574"/>
    <x v="2"/>
    <n v="8"/>
    <n v="1528.92"/>
    <n v="0"/>
    <x v="342"/>
    <n v="8766.9"/>
    <x v="341"/>
    <x v="0"/>
    <x v="0"/>
    <m/>
    <s v="Valid"/>
    <s v="Valid"/>
    <s v="Pass"/>
    <s v="Pass"/>
    <s v="July"/>
    <s v="2025"/>
    <m/>
    <n v="12231.36"/>
    <n v="12231.36"/>
    <n v="3464.4600000000009"/>
    <n v="0.28324405462679547"/>
    <n v="0.28324405462679547"/>
  </r>
  <r>
    <x v="343"/>
    <d v="2025-03-10T00:00:00"/>
    <d v="2025-08-10T00:00:00"/>
    <n v="153"/>
    <s v="CUST-7358"/>
    <s v="Aarav Sharma"/>
    <x v="2"/>
    <x v="3"/>
    <s v="Madhya Pradesh"/>
    <s v="Indore"/>
    <x v="2"/>
    <x v="12"/>
    <s v="Pro Machines 444"/>
    <x v="1"/>
    <n v="9"/>
    <n v="3837"/>
    <n v="0.1"/>
    <x v="343"/>
    <n v="17758.25"/>
    <x v="342"/>
    <x v="0"/>
    <x v="0"/>
    <m/>
    <s v="Valid"/>
    <s v="Valid"/>
    <s v="Pass"/>
    <s v="Pass"/>
    <s v="March"/>
    <s v="2025"/>
    <m/>
    <n v="34533"/>
    <n v="31079.7"/>
    <n v="16774.75"/>
    <n v="0.4857599976833753"/>
    <n v="0.4857599976833753"/>
  </r>
  <r>
    <x v="344"/>
    <d v="2024-03-11T00:00:00"/>
    <d v="2024-03-11T00:00:00"/>
    <n v="0"/>
    <s v="CUST-8025"/>
    <s v="Priya Menon"/>
    <x v="0"/>
    <x v="0"/>
    <s v="Punjab"/>
    <s v="Ludhiana"/>
    <x v="1"/>
    <x v="10"/>
    <s v="Elite Bookcases 184"/>
    <x v="1"/>
    <n v="9"/>
    <n v="3456.38"/>
    <n v="0"/>
    <x v="344"/>
    <n v="20146.66"/>
    <x v="343"/>
    <x v="2"/>
    <x v="2"/>
    <m/>
    <s v="Valid"/>
    <s v="Valid"/>
    <s v="Pass"/>
    <s v="Pass"/>
    <s v="March"/>
    <s v="2024"/>
    <m/>
    <n v="31107.420000000002"/>
    <n v="31107.420000000002"/>
    <n v="10960.760000000002"/>
    <n v="0.3523519468988428"/>
    <n v="0.3523519468988428"/>
  </r>
  <r>
    <x v="345"/>
    <d v="2024-09-14T00:00:00"/>
    <d v="2024-09-22T00:00:00"/>
    <n v="8"/>
    <s v="CUST-4634"/>
    <s v="Karan Malhotra"/>
    <x v="0"/>
    <x v="3"/>
    <s v="Madhya Pradesh"/>
    <s v="Indore"/>
    <x v="1"/>
    <x v="3"/>
    <s v="Elite Furnishings 138"/>
    <x v="0"/>
    <n v="2"/>
    <n v="2765.3"/>
    <n v="0"/>
    <x v="345"/>
    <n v="4453.1099999999997"/>
    <x v="344"/>
    <x v="0"/>
    <x v="0"/>
    <m/>
    <s v="Valid"/>
    <s v="Valid"/>
    <s v="Pass"/>
    <s v="Pass"/>
    <s v="September"/>
    <s v="2024"/>
    <m/>
    <n v="5530.6"/>
    <n v="5530.6"/>
    <n v="1077.4900000000007"/>
    <n v="0.19482334647235391"/>
    <n v="0.19482334647235391"/>
  </r>
  <r>
    <x v="346"/>
    <d v="2025-07-22T00:00:00"/>
    <d v="2025-07-28T00:00:00"/>
    <n v="6"/>
    <s v="CUST-3400"/>
    <s v="Rahul Verma"/>
    <x v="2"/>
    <x v="2"/>
    <s v="Kerala"/>
    <s v="Kochi"/>
    <x v="1"/>
    <x v="4"/>
    <s v="Eco Chairs 369"/>
    <x v="0"/>
    <n v="6"/>
    <n v="1607.46"/>
    <n v="0.2"/>
    <x v="346"/>
    <n v="4258.42"/>
    <x v="345"/>
    <x v="0"/>
    <x v="0"/>
    <m/>
    <s v="Valid"/>
    <s v="Valid"/>
    <s v="Pass"/>
    <s v="Pass"/>
    <s v="July"/>
    <s v="2025"/>
    <m/>
    <n v="9644.76"/>
    <n v="7715.8080000000009"/>
    <n v="5386.34"/>
    <n v="0.55847320202887374"/>
    <n v="0.55847320202887374"/>
  </r>
  <r>
    <x v="347"/>
    <d v="2024-12-01T00:00:00"/>
    <d v="2024-08-12T00:00:00"/>
    <n v="-111"/>
    <s v="CUST-1172"/>
    <s v="Aarav Sharma"/>
    <x v="1"/>
    <x v="3"/>
    <s v="Goa"/>
    <s v="Panaji"/>
    <x v="1"/>
    <x v="4"/>
    <s v="Max Chairs 487"/>
    <x v="0"/>
    <n v="5"/>
    <n v="2981.49"/>
    <n v="0.2"/>
    <x v="347"/>
    <n v="10103.51"/>
    <x v="346"/>
    <x v="1"/>
    <x v="2"/>
    <m/>
    <s v="Invalid-Date"/>
    <s v="Valid"/>
    <s v="Pass"/>
    <s v="Pass"/>
    <s v="December"/>
    <s v="2024"/>
    <m/>
    <n v="14907.449999999999"/>
    <n v="11925.96"/>
    <n v="4803.9399999999987"/>
    <n v="0.322250955059383"/>
    <n v="0.322250955059383"/>
  </r>
  <r>
    <x v="348"/>
    <d v="2024-02-06T00:00:00"/>
    <d v="2024-07-06T00:00:00"/>
    <n v="151"/>
    <s v="CUST-9517"/>
    <s v="Aarav Sharma"/>
    <x v="2"/>
    <x v="2"/>
    <s v="Karnataka"/>
    <s v="Bengaluru"/>
    <x v="2"/>
    <x v="11"/>
    <s v="Classic Phones 989"/>
    <x v="1"/>
    <n v="9"/>
    <n v="2860.26"/>
    <n v="0.25"/>
    <x v="348"/>
    <n v="14442.38"/>
    <x v="347"/>
    <x v="0"/>
    <x v="0"/>
    <m/>
    <s v="Valid"/>
    <s v="Valid"/>
    <s v="Pass"/>
    <s v="Pass"/>
    <s v="February"/>
    <s v="2024"/>
    <m/>
    <n v="25742.340000000004"/>
    <n v="19306.755000000005"/>
    <n v="11299.960000000005"/>
    <n v="0.43896397918759533"/>
    <n v="0.43896397918759533"/>
  </r>
  <r>
    <x v="349"/>
    <d v="2025-09-27T00:00:00"/>
    <d v="2025-09-29T00:00:00"/>
    <n v="2"/>
    <s v="CUST-6697"/>
    <s v="Kabir Singh"/>
    <x v="3"/>
    <x v="1"/>
    <s v="Jharkhand"/>
    <s v="Ranchi"/>
    <x v="1"/>
    <x v="3"/>
    <s v="Max Furnishings 628"/>
    <x v="0"/>
    <n v="9"/>
    <n v="2867.55"/>
    <n v="0.25"/>
    <x v="349"/>
    <n v="15012.45"/>
    <x v="348"/>
    <x v="0"/>
    <x v="0"/>
    <m/>
    <s v="Valid"/>
    <s v="Valid"/>
    <s v="Pass"/>
    <s v="Pass"/>
    <s v="September"/>
    <s v="2025"/>
    <m/>
    <n v="25807.95"/>
    <n v="19355.962500000001"/>
    <n v="10795.5"/>
    <n v="0.41830133737859843"/>
    <n v="0.41830133737859843"/>
  </r>
  <r>
    <x v="350"/>
    <d v="2024-01-07T00:00:00"/>
    <d v="2024-01-14T00:00:00"/>
    <n v="7"/>
    <s v="CUST-7644"/>
    <s v="Sneha Kapoor"/>
    <x v="1"/>
    <x v="1"/>
    <s v="Jharkhand"/>
    <s v="Ranchi"/>
    <x v="1"/>
    <x v="3"/>
    <s v="Elite Furnishings 279"/>
    <x v="0"/>
    <n v="4"/>
    <n v="3309.54"/>
    <n v="0.1"/>
    <x v="350"/>
    <n v="9771.24"/>
    <x v="349"/>
    <x v="1"/>
    <x v="2"/>
    <m/>
    <s v="Valid"/>
    <s v="Valid"/>
    <s v="Pass"/>
    <s v="Pass"/>
    <s v="January"/>
    <s v="2024"/>
    <m/>
    <n v="13238.16"/>
    <n v="11914.344000000001"/>
    <n v="3466.92"/>
    <n v="0.26188835910730796"/>
    <n v="0.26188835910730796"/>
  </r>
  <r>
    <x v="351"/>
    <d v="2025-05-23T00:00:00"/>
    <d v="2025-05-27T00:00:00"/>
    <n v="4"/>
    <s v="CUST-9963"/>
    <s v="Vikram Iyer"/>
    <x v="1"/>
    <x v="2"/>
    <s v="Telangana"/>
    <s v="Hyderabad"/>
    <x v="0"/>
    <x v="8"/>
    <s v="Pro Storage 847"/>
    <x v="2"/>
    <n v="6"/>
    <n v="719.44"/>
    <n v="0.25"/>
    <x v="351"/>
    <n v="2118.34"/>
    <x v="350"/>
    <x v="2"/>
    <x v="1"/>
    <m/>
    <s v="Valid"/>
    <s v="Valid"/>
    <s v="Pass"/>
    <s v="Pass"/>
    <s v="May"/>
    <s v="2025"/>
    <m/>
    <n v="4316.6400000000003"/>
    <n v="3237.4800000000005"/>
    <n v="2198.3000000000002"/>
    <n v="0.50926183327773455"/>
    <n v="0.50926183327773455"/>
  </r>
  <r>
    <x v="352"/>
    <d v="2025-08-15T00:00:00"/>
    <d v="2025-08-17T00:00:00"/>
    <n v="2"/>
    <s v="CUST-6382"/>
    <s v="Diya Patel"/>
    <x v="1"/>
    <x v="1"/>
    <s v="Assam"/>
    <s v="Guwahati"/>
    <x v="2"/>
    <x v="6"/>
    <s v="Elite Copiers 706"/>
    <x v="2"/>
    <n v="5"/>
    <n v="2862.6"/>
    <n v="0.25"/>
    <x v="352"/>
    <n v="6475.73"/>
    <x v="351"/>
    <x v="0"/>
    <x v="0"/>
    <m/>
    <s v="Valid"/>
    <s v="Valid"/>
    <s v="Pass"/>
    <s v="Pass"/>
    <s v="August"/>
    <s v="2025"/>
    <m/>
    <n v="14313"/>
    <n v="10734.75"/>
    <n v="7837.27"/>
    <n v="0.54756305456577936"/>
    <n v="0.54756305456577936"/>
  </r>
  <r>
    <x v="353"/>
    <d v="2025-02-21T00:00:00"/>
    <d v="2025-02-27T00:00:00"/>
    <n v="6"/>
    <s v="CUST-3253"/>
    <s v="Ananya Rao"/>
    <x v="0"/>
    <x v="0"/>
    <s v="Rajasthan"/>
    <s v="Jaipur"/>
    <x v="0"/>
    <x v="2"/>
    <s v="Prime Art 978"/>
    <x v="1"/>
    <n v="9"/>
    <n v="1431.67"/>
    <n v="0.2"/>
    <x v="353"/>
    <n v="5822.31"/>
    <x v="352"/>
    <x v="0"/>
    <x v="0"/>
    <m/>
    <s v="Valid"/>
    <s v="Valid"/>
    <s v="Pass"/>
    <s v="Pass"/>
    <s v="February"/>
    <s v="2025"/>
    <m/>
    <n v="12885.03"/>
    <n v="10308.024000000001"/>
    <n v="7062.72"/>
    <n v="0.54813376453139806"/>
    <n v="0.54813376453139806"/>
  </r>
  <r>
    <x v="354"/>
    <d v="2024-12-27T00:00:00"/>
    <d v="2024-12-31T00:00:00"/>
    <n v="4"/>
    <s v="CUST-1058"/>
    <s v="Kabir Singh"/>
    <x v="2"/>
    <x v="0"/>
    <s v="Punjab"/>
    <s v="Ludhiana"/>
    <x v="1"/>
    <x v="3"/>
    <s v="Classic Furnishings 498"/>
    <x v="3"/>
    <n v="6"/>
    <n v="3346.78"/>
    <n v="-0.06"/>
    <x v="354"/>
    <n v="12908.84"/>
    <x v="353"/>
    <x v="2"/>
    <x v="1"/>
    <m/>
    <s v="Valid"/>
    <s v="Invalid-Discount"/>
    <s v="Pass"/>
    <s v="Pass"/>
    <s v="December"/>
    <s v="2024"/>
    <m/>
    <n v="20080.68"/>
    <n v="21285.520800000002"/>
    <n v="7171.84"/>
    <n v="0.35715125185003693"/>
    <n v="0.35715125185003693"/>
  </r>
  <r>
    <x v="355"/>
    <d v="2024-05-12T00:00:00"/>
    <d v="2024-09-05T00:00:00"/>
    <n v="116"/>
    <s v="CUST-6414"/>
    <s v="Priya Menon"/>
    <x v="2"/>
    <x v="3"/>
    <s v="Rajasthan"/>
    <s v="Udaipur"/>
    <x v="1"/>
    <x v="1"/>
    <s v="Max Tables 829"/>
    <x v="3"/>
    <n v="5"/>
    <n v="3203.48"/>
    <n v="0"/>
    <x v="355"/>
    <n v="9557.7999999999993"/>
    <x v="354"/>
    <x v="2"/>
    <x v="1"/>
    <m/>
    <s v="Valid"/>
    <s v="Valid"/>
    <s v="Pass"/>
    <s v="Pass"/>
    <s v="May"/>
    <s v="2024"/>
    <m/>
    <n v="16017.4"/>
    <n v="16017.4"/>
    <n v="6459.6"/>
    <n v="0.40328642601171227"/>
    <n v="0.40328642601171227"/>
  </r>
  <r>
    <x v="356"/>
    <d v="2025-06-27T00:00:00"/>
    <d v="2025-06-29T00:00:00"/>
    <n v="2"/>
    <s v="CUST-9268"/>
    <s v="Rohan Mehta"/>
    <x v="3"/>
    <x v="2"/>
    <s v="Telangana"/>
    <s v="Hyderabad"/>
    <x v="1"/>
    <x v="4"/>
    <s v="Eco Chairs 346"/>
    <x v="2"/>
    <n v="5"/>
    <n v="621.70000000000005"/>
    <n v="0.2"/>
    <x v="356"/>
    <n v="2131.73"/>
    <x v="355"/>
    <x v="2"/>
    <x v="2"/>
    <m/>
    <s v="Valid"/>
    <s v="Valid"/>
    <s v="Pass"/>
    <s v="Pass"/>
    <s v="June"/>
    <s v="2025"/>
    <m/>
    <n v="3108.5"/>
    <n v="2486.8000000000002"/>
    <n v="976.77"/>
    <n v="0.31422551069647742"/>
    <n v="0.31422551069647742"/>
  </r>
  <r>
    <x v="357"/>
    <d v="2025-01-21T00:00:00"/>
    <d v="2025-01-29T00:00:00"/>
    <n v="8"/>
    <s v="CUST-1363"/>
    <s v="Mira Das"/>
    <x v="3"/>
    <x v="2"/>
    <s v="Andhra Pradesh"/>
    <s v="Vijayawada"/>
    <x v="2"/>
    <x v="12"/>
    <s v="Max Machines 770"/>
    <x v="0"/>
    <n v="8"/>
    <n v="546.13"/>
    <n v="0"/>
    <x v="357"/>
    <n v="3716.88"/>
    <x v="356"/>
    <x v="0"/>
    <x v="1"/>
    <m/>
    <s v="Valid"/>
    <s v="Valid"/>
    <s v="Pass"/>
    <s v="Pass"/>
    <s v="January"/>
    <s v="2025"/>
    <m/>
    <n v="4369.04"/>
    <n v="4369.04"/>
    <n v="652.15999999999985"/>
    <n v="0.14926848918755603"/>
    <n v="0.14926848918755603"/>
  </r>
  <r>
    <x v="358"/>
    <d v="2025-09-08T00:00:00"/>
    <d v="2025-07-08T00:00:00"/>
    <n v="-62"/>
    <s v="CUST-2477"/>
    <s v="Vikram Iyer"/>
    <x v="3"/>
    <x v="3"/>
    <s v="Gujarat"/>
    <s v="Ahmedabad"/>
    <x v="1"/>
    <x v="10"/>
    <s v="Smart Bookcases 134"/>
    <x v="0"/>
    <n v="5"/>
    <n v="1253.92"/>
    <n v="0.05"/>
    <x v="358"/>
    <n v="4379.18"/>
    <x v="357"/>
    <x v="2"/>
    <x v="2"/>
    <m/>
    <s v="Invalid-Date"/>
    <s v="Valid"/>
    <s v="Pass"/>
    <s v="Pass"/>
    <s v="September"/>
    <s v="2025"/>
    <m/>
    <n v="6269.6"/>
    <n v="5956.12"/>
    <n v="1890.42"/>
    <n v="0.30152162817404621"/>
    <n v="0.30152162817404621"/>
  </r>
  <r>
    <x v="359"/>
    <d v="2024-08-21T00:00:00"/>
    <d v="2024-08-22T00:00:00"/>
    <n v="1"/>
    <s v="CUST-9571"/>
    <s v="Isha Nair"/>
    <x v="0"/>
    <x v="2"/>
    <s v="Tamil Nadu"/>
    <s v="Chennai"/>
    <x v="2"/>
    <x v="11"/>
    <s v="Classic Phones 586"/>
    <x v="1"/>
    <n v="9"/>
    <n v="616.96"/>
    <n v="0.1"/>
    <x v="359"/>
    <n v="2971.39"/>
    <x v="358"/>
    <x v="0"/>
    <x v="0"/>
    <m/>
    <s v="Valid"/>
    <s v="Valid"/>
    <s v="Pass"/>
    <s v="Pass"/>
    <s v="August"/>
    <s v="2024"/>
    <m/>
    <n v="5552.64"/>
    <n v="4997.3760000000002"/>
    <n v="2581.2500000000005"/>
    <n v="0.46486896323190413"/>
    <n v="0.46486896323190413"/>
  </r>
  <r>
    <x v="360"/>
    <d v="2024-06-17T00:00:00"/>
    <d v="2024-06-20T00:00:00"/>
    <n v="3"/>
    <s v="CUST-3690"/>
    <s v="Sneha Kapoor"/>
    <x v="1"/>
    <x v="3"/>
    <s v="Gujarat"/>
    <s v="Ahmedabad"/>
    <x v="1"/>
    <x v="3"/>
    <s v="Elite Furnishings 634"/>
    <x v="3"/>
    <n v="7"/>
    <n v="3155.25"/>
    <n v="0.2"/>
    <x v="360"/>
    <n v="13718.77"/>
    <x v="359"/>
    <x v="1"/>
    <x v="1"/>
    <m/>
    <s v="Valid"/>
    <s v="Valid"/>
    <s v="Pass"/>
    <s v="Pass"/>
    <s v="June"/>
    <s v="2024"/>
    <m/>
    <n v="22086.75"/>
    <n v="17669.400000000001"/>
    <n v="8367.98"/>
    <n v="0.37886877879271508"/>
    <n v="0.37886877879271508"/>
  </r>
  <r>
    <x v="361"/>
    <d v="2025-04-01T00:00:00"/>
    <d v="2025-02-04T00:00:00"/>
    <n v="-56"/>
    <s v="CUST-2909"/>
    <s v="Rohan Mehta"/>
    <x v="2"/>
    <x v="1"/>
    <s v="Odisha"/>
    <s v="Bhubaneswar"/>
    <x v="1"/>
    <x v="4"/>
    <s v="Basic Chairs 113"/>
    <x v="0"/>
    <n v="9"/>
    <n v="4165.58"/>
    <n v="0.05"/>
    <x v="361"/>
    <n v="20389.71"/>
    <x v="360"/>
    <x v="2"/>
    <x v="2"/>
    <m/>
    <s v="Invalid-Date"/>
    <s v="Valid"/>
    <s v="Pass"/>
    <s v="Pass"/>
    <s v="April"/>
    <s v="2025"/>
    <m/>
    <n v="37490.22"/>
    <n v="35615.709000000003"/>
    <n v="17100.510000000002"/>
    <n v="0.45613255937148411"/>
    <n v="0.45613255937148411"/>
  </r>
  <r>
    <x v="362"/>
    <d v="2024-08-23T00:00:00"/>
    <d v="2024-08-25T00:00:00"/>
    <n v="2"/>
    <s v="CUST-6755"/>
    <s v="Vikram Iyer"/>
    <x v="0"/>
    <x v="3"/>
    <s v="Goa"/>
    <s v="Panaji"/>
    <x v="2"/>
    <x v="12"/>
    <s v="Elite Machines 216"/>
    <x v="1"/>
    <n v="4"/>
    <n v="491.16"/>
    <n v="0.05"/>
    <x v="362"/>
    <n v="1576.49"/>
    <x v="361"/>
    <x v="0"/>
    <x v="0"/>
    <m/>
    <s v="Valid"/>
    <s v="Valid"/>
    <s v="Pass"/>
    <s v="Pass"/>
    <s v="August"/>
    <s v="2024"/>
    <m/>
    <n v="1964.64"/>
    <n v="1866.4079999999999"/>
    <n v="388.15000000000009"/>
    <n v="0.19756800228031601"/>
    <n v="0.19756800228031601"/>
  </r>
  <r>
    <x v="363"/>
    <d v="2025-07-07T00:00:00"/>
    <d v="2025-12-07T00:00:00"/>
    <n v="153"/>
    <s v="CUST-1832"/>
    <s v="Diya Patel"/>
    <x v="2"/>
    <x v="1"/>
    <s v="West Bengal"/>
    <s v="Kolkata"/>
    <x v="1"/>
    <x v="1"/>
    <s v="Smart Tables 943"/>
    <x v="0"/>
    <n v="5"/>
    <n v="1831.37"/>
    <n v="0.25"/>
    <x v="363"/>
    <n v="5205.3599999999997"/>
    <x v="362"/>
    <x v="0"/>
    <x v="0"/>
    <m/>
    <s v="Valid"/>
    <s v="Valid"/>
    <s v="Pass"/>
    <s v="Pass"/>
    <s v="July"/>
    <s v="2025"/>
    <m/>
    <n v="9156.8499999999985"/>
    <n v="6867.6374999999989"/>
    <n v="3951.4899999999989"/>
    <n v="0.4315337698007502"/>
    <n v="0.4315337698007502"/>
  </r>
  <r>
    <x v="364"/>
    <d v="2025-03-21T00:00:00"/>
    <d v="2025-03-24T00:00:00"/>
    <n v="3"/>
    <s v="CUST-4452"/>
    <s v="Aarav Sharma"/>
    <x v="1"/>
    <x v="2"/>
    <s v="Andhra Pradesh"/>
    <s v="Vijayawada"/>
    <x v="1"/>
    <x v="4"/>
    <s v="Prime Chairs 101"/>
    <x v="0"/>
    <n v="5"/>
    <n v="1239.1500000000001"/>
    <n v="0"/>
    <x v="364"/>
    <n v="3967.02"/>
    <x v="363"/>
    <x v="0"/>
    <x v="0"/>
    <m/>
    <s v="Valid"/>
    <s v="Valid"/>
    <s v="Pass"/>
    <s v="Pass"/>
    <s v="March"/>
    <s v="2025"/>
    <m/>
    <n v="6195.75"/>
    <n v="6195.75"/>
    <n v="2228.73"/>
    <n v="0.35971916232901585"/>
    <n v="0.35971916232901585"/>
  </r>
  <r>
    <x v="365"/>
    <d v="2024-06-15T00:00:00"/>
    <d v="2024-06-21T00:00:00"/>
    <n v="6"/>
    <s v="CUST-2203"/>
    <s v="Aditi Sen"/>
    <x v="2"/>
    <x v="3"/>
    <s v="Goa"/>
    <s v="Panaji"/>
    <x v="2"/>
    <x v="5"/>
    <s v="Basic Accessories 774"/>
    <x v="2"/>
    <n v="8"/>
    <n v="1706.4"/>
    <n v="0"/>
    <x v="365"/>
    <n v="10119.61"/>
    <x v="364"/>
    <x v="0"/>
    <x v="0"/>
    <m/>
    <s v="Valid"/>
    <s v="Valid"/>
    <s v="Pass"/>
    <s v="Pass"/>
    <s v="June"/>
    <s v="2024"/>
    <m/>
    <n v="13651.2"/>
    <n v="13651.2"/>
    <n v="3531.59"/>
    <n v="0.2587017991092358"/>
    <n v="0.2587017991092358"/>
  </r>
  <r>
    <x v="366"/>
    <d v="2025-01-16T00:00:00"/>
    <d v="2025-01-22T00:00:00"/>
    <n v="6"/>
    <s v="CUST-5397"/>
    <s v="Sneha Kapoor"/>
    <x v="2"/>
    <x v="0"/>
    <s v="Rajasthan"/>
    <s v="Jaipur"/>
    <x v="1"/>
    <x v="1"/>
    <s v="Max Tables 478"/>
    <x v="1"/>
    <n v="2"/>
    <n v="4418.28"/>
    <n v="0"/>
    <x v="366"/>
    <n v="5867.75"/>
    <x v="365"/>
    <x v="0"/>
    <x v="0"/>
    <m/>
    <s v="Valid"/>
    <s v="Valid"/>
    <s v="Pass"/>
    <s v="Pass"/>
    <s v="January"/>
    <s v="2025"/>
    <m/>
    <n v="8836.56"/>
    <n v="8836.56"/>
    <n v="2968.8099999999995"/>
    <n v="0.33596897435201023"/>
    <n v="0.33596897435201023"/>
  </r>
  <r>
    <x v="367"/>
    <d v="2024-03-15T00:00:00"/>
    <d v="2024-03-16T00:00:00"/>
    <n v="1"/>
    <s v="CUST-4696"/>
    <s v="Rohan Mehta"/>
    <x v="0"/>
    <x v="0"/>
    <s v="Delhi"/>
    <s v="New Delhi"/>
    <x v="0"/>
    <x v="2"/>
    <s v="Eco Art 646"/>
    <x v="3"/>
    <n v="6"/>
    <n v="3815.09"/>
    <n v="0.15"/>
    <x v="367"/>
    <n v="14520.06"/>
    <x v="366"/>
    <x v="3"/>
    <x v="1"/>
    <m/>
    <s v="Valid"/>
    <s v="Valid"/>
    <s v="Pass"/>
    <s v="Pass"/>
    <s v="March"/>
    <s v="2024"/>
    <m/>
    <n v="22890.54"/>
    <n v="19456.958999999999"/>
    <n v="8370.4800000000014"/>
    <n v="0.36567420427827396"/>
    <n v="0.36567420427827396"/>
  </r>
  <r>
    <x v="368"/>
    <d v="2025-07-06T00:00:00"/>
    <d v="2025-07-06T00:00:00"/>
    <n v="0"/>
    <s v="CUST-8246"/>
    <s v="Aarav Sharma"/>
    <x v="3"/>
    <x v="0"/>
    <s v="Rajasthan"/>
    <s v="Jaipur"/>
    <x v="2"/>
    <x v="5"/>
    <s v="Prime Accessories 962"/>
    <x v="1"/>
    <n v="9"/>
    <n v="243.19"/>
    <n v="0.05"/>
    <x v="368"/>
    <n v="1512.17"/>
    <x v="367"/>
    <x v="1"/>
    <x v="2"/>
    <m/>
    <s v="Valid"/>
    <s v="Valid"/>
    <s v="Pass"/>
    <s v="Pass"/>
    <s v="July"/>
    <s v="2025"/>
    <m/>
    <n v="2188.71"/>
    <n v="2079.2745"/>
    <n v="676.54"/>
    <n v="0.30910444965299194"/>
    <n v="0.30910444965299194"/>
  </r>
  <r>
    <x v="369"/>
    <d v="2025-01-23T00:00:00"/>
    <d v="2025-01-30T00:00:00"/>
    <n v="7"/>
    <s v="CUST-5672"/>
    <s v="Priya Menon"/>
    <x v="0"/>
    <x v="0"/>
    <s v="Delhi"/>
    <s v="New Delhi"/>
    <x v="0"/>
    <x v="7"/>
    <s v="Eco Labels 646"/>
    <x v="3"/>
    <n v="9"/>
    <n v="1169.3699999999999"/>
    <n v="0.15"/>
    <x v="369"/>
    <n v="6740.35"/>
    <x v="368"/>
    <x v="0"/>
    <x v="0"/>
    <m/>
    <s v="Valid"/>
    <s v="Valid"/>
    <s v="Pass"/>
    <s v="Pass"/>
    <s v="January"/>
    <s v="2025"/>
    <m/>
    <n v="10524.329999999998"/>
    <n v="8945.6804999999986"/>
    <n v="3783.9799999999977"/>
    <n v="0.35954592833938109"/>
    <n v="0.35954592833938109"/>
  </r>
  <r>
    <x v="370"/>
    <d v="2024-08-15T00:00:00"/>
    <d v="2024-08-21T00:00:00"/>
    <n v="6"/>
    <s v="CUST-8521"/>
    <s v="Ananya Rao"/>
    <x v="1"/>
    <x v="3"/>
    <s v="Rajasthan"/>
    <s v="Udaipur"/>
    <x v="2"/>
    <x v="6"/>
    <s v="Classic Copiers 505"/>
    <x v="2"/>
    <n v="7"/>
    <n v="2333.81"/>
    <n v="0.2"/>
    <x v="370"/>
    <n v="8768.59"/>
    <x v="369"/>
    <x v="0"/>
    <x v="0"/>
    <m/>
    <s v="Valid"/>
    <s v="Valid"/>
    <s v="Pass"/>
    <s v="Pass"/>
    <s v="August"/>
    <s v="2024"/>
    <m/>
    <n v="16336.67"/>
    <n v="13069.336000000001"/>
    <n v="7568.08"/>
    <n v="0.46325719990671294"/>
    <n v="0.46325719990671294"/>
  </r>
  <r>
    <x v="371"/>
    <d v="2024-01-22T00:00:00"/>
    <d v="2024-01-24T00:00:00"/>
    <n v="2"/>
    <s v="CUST-2204"/>
    <s v="Diya Patel"/>
    <x v="3"/>
    <x v="3"/>
    <s v="Maharashtra"/>
    <s v="Mumbai"/>
    <x v="0"/>
    <x v="2"/>
    <s v="Pro Art 906"/>
    <x v="3"/>
    <n v="6"/>
    <n v="1026.06"/>
    <n v="0"/>
    <x v="371"/>
    <n v="2981.94"/>
    <x v="370"/>
    <x v="1"/>
    <x v="1"/>
    <m/>
    <s v="Valid"/>
    <s v="Valid"/>
    <s v="Pass"/>
    <s v="Pass"/>
    <s v="January"/>
    <s v="2024"/>
    <m/>
    <n v="6156.36"/>
    <n v="6156.36"/>
    <n v="3174.4199999999996"/>
    <n v="0.51563261407714944"/>
    <n v="0.51563261407714944"/>
  </r>
  <r>
    <x v="372"/>
    <d v="2025-08-16T00:00:00"/>
    <d v="2025-08-18T00:00:00"/>
    <n v="2"/>
    <s v="CUST-4399"/>
    <s v="Kabir Singh"/>
    <x v="0"/>
    <x v="1"/>
    <s v="Jharkhand"/>
    <s v="Ranchi"/>
    <x v="1"/>
    <x v="4"/>
    <s v="Max Chairs 181"/>
    <x v="1"/>
    <n v="5"/>
    <n v="1530.36"/>
    <n v="0"/>
    <x v="372"/>
    <n v="5171.78"/>
    <x v="371"/>
    <x v="0"/>
    <x v="0"/>
    <m/>
    <s v="Valid"/>
    <s v="Valid"/>
    <s v="Pass"/>
    <s v="Pass"/>
    <s v="August"/>
    <s v="2025"/>
    <m/>
    <n v="7651.7999999999993"/>
    <n v="7651.7999999999993"/>
    <n v="2480.0199999999995"/>
    <n v="0.32410935988917638"/>
    <n v="0.32410935988917638"/>
  </r>
  <r>
    <x v="373"/>
    <d v="2025-04-13T00:00:00"/>
    <d v="2025-04-13T00:00:00"/>
    <n v="0"/>
    <s v="CUST-8566"/>
    <s v="Sneha Kapoor"/>
    <x v="1"/>
    <x v="0"/>
    <s v="Uttar Pradesh"/>
    <s v="Noida"/>
    <x v="0"/>
    <x v="8"/>
    <s v="Prime Storage 951"/>
    <x v="0"/>
    <n v="9"/>
    <n v="1118.68"/>
    <n v="0"/>
    <x v="373"/>
    <n v="8595.3700000000008"/>
    <x v="372"/>
    <x v="0"/>
    <x v="0"/>
    <m/>
    <s v="Valid"/>
    <s v="Valid"/>
    <s v="Pass"/>
    <s v="Pass"/>
    <s v="April"/>
    <s v="2025"/>
    <m/>
    <n v="10068.120000000001"/>
    <n v="10068.120000000001"/>
    <n v="1472.75"/>
    <n v="0.14627855051389932"/>
    <n v="0.14627855051389932"/>
  </r>
  <r>
    <x v="374"/>
    <d v="2025-02-27T00:00:00"/>
    <d v="2025-02-28T00:00:00"/>
    <n v="1"/>
    <s v="CUST-2358"/>
    <s v="Aditi Sen"/>
    <x v="1"/>
    <x v="0"/>
    <s v="Uttar Pradesh"/>
    <s v="Noida"/>
    <x v="0"/>
    <x v="7"/>
    <s v="Smart Labels 668"/>
    <x v="3"/>
    <n v="6"/>
    <n v="2393.25"/>
    <n v="0"/>
    <x v="374"/>
    <n v="8117.71"/>
    <x v="373"/>
    <x v="0"/>
    <x v="0"/>
    <m/>
    <s v="Valid"/>
    <s v="Valid"/>
    <s v="Pass"/>
    <s v="Pass"/>
    <s v="February"/>
    <s v="2025"/>
    <m/>
    <n v="14359.5"/>
    <n v="14359.5"/>
    <n v="6241.79"/>
    <n v="0.43468017688638183"/>
    <n v="0.43468017688638183"/>
  </r>
  <r>
    <x v="375"/>
    <d v="2024-12-31T00:00:00"/>
    <d v="2025-04-01T00:00:00"/>
    <n v="91"/>
    <s v="CUST-2810"/>
    <s v="Vikram Iyer"/>
    <x v="0"/>
    <x v="0"/>
    <s v="Delhi"/>
    <s v="New Delhi"/>
    <x v="1"/>
    <x v="4"/>
    <s v="Pro Chairs 364"/>
    <x v="1"/>
    <n v="3"/>
    <n v="1166.6099999999999"/>
    <n v="0.25"/>
    <x v="375"/>
    <n v="2253.88"/>
    <x v="374"/>
    <x v="0"/>
    <x v="0"/>
    <m/>
    <s v="Valid"/>
    <s v="Valid"/>
    <s v="Pass"/>
    <s v="Pass"/>
    <s v="December"/>
    <s v="2024"/>
    <m/>
    <n v="3499.83"/>
    <n v="2624.8724999999999"/>
    <n v="1245.9499999999998"/>
    <n v="0.3560030058602846"/>
    <n v="0.3560030058602846"/>
  </r>
  <r>
    <x v="376"/>
    <d v="2024-12-29T00:00:00"/>
    <d v="2024-12-31T00:00:00"/>
    <n v="2"/>
    <s v="CUST-5166"/>
    <s v="Isha Nair"/>
    <x v="1"/>
    <x v="1"/>
    <s v="Bihar"/>
    <s v="Patna"/>
    <x v="1"/>
    <x v="4"/>
    <s v="Basic Chairs 248"/>
    <x v="2"/>
    <n v="6"/>
    <n v="1844.78"/>
    <n v="0.2"/>
    <x v="376"/>
    <n v="7433.95"/>
    <x v="375"/>
    <x v="0"/>
    <x v="0"/>
    <m/>
    <s v="Valid"/>
    <s v="Valid"/>
    <s v="Pass"/>
    <s v="Pass"/>
    <s v="December"/>
    <s v="2024"/>
    <m/>
    <n v="11068.68"/>
    <n v="8854.9440000000013"/>
    <n v="3634.7300000000005"/>
    <n v="0.32837971646122216"/>
    <n v="0.32837971646122216"/>
  </r>
  <r>
    <x v="377"/>
    <d v="2025-05-24T00:00:00"/>
    <d v="2025-05-30T00:00:00"/>
    <n v="6"/>
    <s v="CUST-4875"/>
    <s v="Kabir Singh"/>
    <x v="1"/>
    <x v="1"/>
    <s v="Odisha"/>
    <s v="Bhubaneswar"/>
    <x v="0"/>
    <x v="8"/>
    <s v="Basic Storage 360"/>
    <x v="1"/>
    <n v="1"/>
    <n v="2564.7399999999998"/>
    <n v="0"/>
    <x v="377"/>
    <n v="1754.58"/>
    <x v="376"/>
    <x v="0"/>
    <x v="0"/>
    <m/>
    <s v="Valid"/>
    <s v="Valid"/>
    <s v="Pass"/>
    <s v="Pass"/>
    <s v="May"/>
    <s v="2025"/>
    <m/>
    <n v="2564.7399999999998"/>
    <n v="2564.7399999999998"/>
    <n v="810.15999999999985"/>
    <n v="0.31588387126960232"/>
    <n v="0.31588387126960232"/>
  </r>
  <r>
    <x v="378"/>
    <d v="2025-05-22T00:00:00"/>
    <d v="2025-05-22T00:00:00"/>
    <n v="0"/>
    <s v="CUST-3154"/>
    <s v="Mira Das"/>
    <x v="0"/>
    <x v="3"/>
    <s v="Goa"/>
    <s v="Panaji"/>
    <x v="2"/>
    <x v="5"/>
    <s v="Basic Accessories 988"/>
    <x v="3"/>
    <n v="2"/>
    <n v="3910.61"/>
    <n v="0"/>
    <x v="378"/>
    <n v="4994.46"/>
    <x v="377"/>
    <x v="0"/>
    <x v="0"/>
    <m/>
    <s v="Valid"/>
    <s v="Valid"/>
    <s v="Pass"/>
    <s v="Pass"/>
    <s v="May"/>
    <s v="2025"/>
    <m/>
    <n v="7821.22"/>
    <n v="7821.22"/>
    <n v="2826.76"/>
    <n v="0.36142187535959863"/>
    <n v="0.36142187535959863"/>
  </r>
  <r>
    <x v="379"/>
    <d v="2024-09-19T00:00:00"/>
    <d v="2024-09-23T00:00:00"/>
    <n v="4"/>
    <s v="CUST-6405"/>
    <s v="Mira Das"/>
    <x v="1"/>
    <x v="2"/>
    <s v="Kerala"/>
    <s v="Kochi"/>
    <x v="0"/>
    <x v="0"/>
    <s v="Max Paper 334"/>
    <x v="3"/>
    <n v="7"/>
    <n v="1136.68"/>
    <n v="0"/>
    <x v="379"/>
    <n v="4799.54"/>
    <x v="378"/>
    <x v="0"/>
    <x v="0"/>
    <m/>
    <s v="Valid"/>
    <s v="Valid"/>
    <s v="Pass"/>
    <s v="Pass"/>
    <s v="September"/>
    <s v="2024"/>
    <m/>
    <n v="7956.76"/>
    <n v="7956.76"/>
    <n v="3157.2200000000003"/>
    <n v="0.39679718880549369"/>
    <n v="0.39679718880549369"/>
  </r>
  <r>
    <x v="380"/>
    <d v="2024-04-07T00:00:00"/>
    <d v="2024-04-14T00:00:00"/>
    <n v="7"/>
    <s v="CUST-5779"/>
    <s v="Vikram Iyer"/>
    <x v="0"/>
    <x v="3"/>
    <s v="Maharashtra"/>
    <s v="Mumbai"/>
    <x v="1"/>
    <x v="10"/>
    <s v="Prime Bookcases 952"/>
    <x v="1"/>
    <n v="5"/>
    <n v="2235.85"/>
    <n v="0.25"/>
    <x v="380"/>
    <n v="4765.96"/>
    <x v="379"/>
    <x v="0"/>
    <x v="2"/>
    <m/>
    <s v="Valid"/>
    <s v="Valid"/>
    <s v="Pass"/>
    <s v="Pass"/>
    <s v="April"/>
    <s v="2024"/>
    <m/>
    <n v="11179.25"/>
    <n v="8384.4375"/>
    <n v="6413.29"/>
    <n v="0.57367801954513942"/>
    <n v="0.57367801954513942"/>
  </r>
  <r>
    <x v="381"/>
    <d v="2025-09-19T00:00:00"/>
    <d v="2025-09-23T00:00:00"/>
    <n v="4"/>
    <s v="CUST-9943"/>
    <s v="Arjun Bose"/>
    <x v="3"/>
    <x v="0"/>
    <s v="Delhi"/>
    <s v="New Delhi"/>
    <x v="0"/>
    <x v="9"/>
    <s v="Prime Binders 523"/>
    <x v="3"/>
    <n v="4"/>
    <n v="4387.1499999999996"/>
    <n v="0.05"/>
    <x v="381"/>
    <n v="10833.19"/>
    <x v="380"/>
    <x v="3"/>
    <x v="1"/>
    <m/>
    <s v="Valid"/>
    <s v="Valid"/>
    <s v="Pass"/>
    <s v="Pass"/>
    <s v="September"/>
    <s v="2025"/>
    <m/>
    <n v="17548.599999999999"/>
    <n v="16671.169999999998"/>
    <n v="6715.409999999998"/>
    <n v="0.38267497122277555"/>
    <n v="0.38267497122277555"/>
  </r>
  <r>
    <x v="382"/>
    <d v="2025-03-04T00:00:00"/>
    <d v="2025-08-03T00:00:00"/>
    <n v="152"/>
    <s v="CUST-7098"/>
    <s v="Arjun Bose"/>
    <x v="1"/>
    <x v="1"/>
    <s v="Bihar"/>
    <s v="Patna"/>
    <x v="2"/>
    <x v="11"/>
    <s v="Pro Phones 538"/>
    <x v="2"/>
    <n v="3"/>
    <n v="4361.8500000000004"/>
    <n v="0.2"/>
    <x v="382"/>
    <n v="8399.8700000000008"/>
    <x v="381"/>
    <x v="0"/>
    <x v="0"/>
    <m/>
    <s v="Valid"/>
    <s v="Valid"/>
    <s v="Pass"/>
    <s v="Pass"/>
    <s v="March"/>
    <s v="2025"/>
    <m/>
    <n v="13085.550000000001"/>
    <n v="10468.440000000002"/>
    <n v="4685.68"/>
    <n v="0.35808047808460475"/>
    <n v="0.35808047808460475"/>
  </r>
  <r>
    <x v="383"/>
    <d v="2025-06-28T00:00:00"/>
    <d v="2025-05-07T00:00:00"/>
    <n v="-52"/>
    <s v="CUST-7438"/>
    <s v="Vikram Iyer"/>
    <x v="2"/>
    <x v="1"/>
    <s v="West Bengal"/>
    <s v="Kolkata"/>
    <x v="0"/>
    <x v="2"/>
    <s v="Basic Art 608"/>
    <x v="2"/>
    <n v="2"/>
    <n v="2242.75"/>
    <n v="0"/>
    <x v="383"/>
    <n v="3131.86"/>
    <x v="382"/>
    <x v="0"/>
    <x v="1"/>
    <m/>
    <s v="Invalid-Date"/>
    <s v="Valid"/>
    <s v="Pass"/>
    <s v="Pass"/>
    <s v="June"/>
    <s v="2025"/>
    <m/>
    <n v="4485.5"/>
    <n v="4485.5"/>
    <n v="1353.6399999999999"/>
    <n v="0.30178129528480657"/>
    <n v="0.30178129528480657"/>
  </r>
  <r>
    <x v="384"/>
    <d v="2024-03-15T00:00:00"/>
    <d v="2024-03-20T00:00:00"/>
    <n v="5"/>
    <s v="CUST-8432"/>
    <s v="Rohan Mehta"/>
    <x v="0"/>
    <x v="1"/>
    <s v="Jharkhand"/>
    <s v="Ranchi"/>
    <x v="2"/>
    <x v="6"/>
    <s v="Prime Copiers 820"/>
    <x v="3"/>
    <n v="2"/>
    <n v="1881.4"/>
    <n v="0.25"/>
    <x v="384"/>
    <n v="1624.57"/>
    <x v="383"/>
    <x v="0"/>
    <x v="2"/>
    <m/>
    <s v="Valid"/>
    <s v="Valid"/>
    <s v="Pass"/>
    <s v="Pass"/>
    <s v="March"/>
    <s v="2024"/>
    <m/>
    <n v="3762.8"/>
    <n v="2822.1000000000004"/>
    <n v="2138.2300000000005"/>
    <n v="0.56825502285532059"/>
    <n v="0.56825502285532059"/>
  </r>
  <r>
    <x v="385"/>
    <d v="2025-06-24T00:00:00"/>
    <d v="2025-06-30T00:00:00"/>
    <n v="6"/>
    <s v="CUST-2834"/>
    <s v="Arjun Bose"/>
    <x v="0"/>
    <x v="0"/>
    <s v="Haryana"/>
    <s v="Gurugram"/>
    <x v="0"/>
    <x v="7"/>
    <s v="Classic Labels 670"/>
    <x v="3"/>
    <n v="6"/>
    <n v="365.76"/>
    <n v="0.1"/>
    <x v="385"/>
    <n v="1115.3499999999999"/>
    <x v="384"/>
    <x v="0"/>
    <x v="0"/>
    <m/>
    <s v="Valid"/>
    <s v="Valid"/>
    <s v="Pass"/>
    <s v="Pass"/>
    <s v="June"/>
    <s v="2025"/>
    <m/>
    <n v="2194.56"/>
    <n v="1975.104"/>
    <n v="1079.21"/>
    <n v="0.49176600320793235"/>
    <n v="0.49176600320793235"/>
  </r>
  <r>
    <x v="386"/>
    <d v="2025-12-02T00:00:00"/>
    <d v="2025-02-14T00:00:00"/>
    <n v="-291"/>
    <s v="CUST-4222"/>
    <s v="Sneha Kapoor"/>
    <x v="0"/>
    <x v="3"/>
    <s v="Maharashtra"/>
    <s v="Mumbai"/>
    <x v="1"/>
    <x v="3"/>
    <s v="Prime Furnishings 597"/>
    <x v="0"/>
    <n v="8"/>
    <n v="2786.66"/>
    <n v="0.1"/>
    <x v="386"/>
    <n v="14363.38"/>
    <x v="385"/>
    <x v="0"/>
    <x v="0"/>
    <m/>
    <s v="Invalid-Date"/>
    <s v="Valid"/>
    <s v="Pass"/>
    <s v="Pass"/>
    <s v="December"/>
    <s v="2025"/>
    <m/>
    <n v="22293.279999999999"/>
    <n v="20063.952000000001"/>
    <n v="7929.9"/>
    <n v="0.35570808781839192"/>
    <n v="0.35570808781839192"/>
  </r>
  <r>
    <x v="387"/>
    <d v="2025-08-10T00:00:00"/>
    <d v="2025-08-13T00:00:00"/>
    <n v="3"/>
    <s v="CUST-1053"/>
    <s v="Priya Menon"/>
    <x v="1"/>
    <x v="3"/>
    <s v="Madhya Pradesh"/>
    <s v="Indore"/>
    <x v="1"/>
    <x v="4"/>
    <s v="Prime Chairs 196"/>
    <x v="3"/>
    <n v="5"/>
    <n v="352.86"/>
    <n v="0"/>
    <x v="387"/>
    <n v="1332.49"/>
    <x v="386"/>
    <x v="2"/>
    <x v="1"/>
    <m/>
    <s v="Valid"/>
    <s v="Valid"/>
    <s v="Pass"/>
    <s v="Pass"/>
    <s v="August"/>
    <s v="2025"/>
    <m/>
    <n v="1764.3000000000002"/>
    <n v="1764.3000000000002"/>
    <n v="431.81000000000017"/>
    <n v="0.24474862551720236"/>
    <n v="0.24474862551720236"/>
  </r>
  <r>
    <x v="388"/>
    <d v="2024-05-13T00:00:00"/>
    <d v="2024-05-18T00:00:00"/>
    <n v="5"/>
    <s v="CUST-1457"/>
    <s v="Isha Nair"/>
    <x v="1"/>
    <x v="3"/>
    <s v="Gujarat"/>
    <s v="Ahmedabad"/>
    <x v="1"/>
    <x v="4"/>
    <s v="Elite Chairs 639"/>
    <x v="3"/>
    <n v="3"/>
    <n v="3128.59"/>
    <n v="0"/>
    <x v="388"/>
    <n v="6872.44"/>
    <x v="387"/>
    <x v="0"/>
    <x v="0"/>
    <m/>
    <s v="Valid"/>
    <s v="Valid"/>
    <s v="Pass"/>
    <s v="Pass"/>
    <s v="May"/>
    <s v="2024"/>
    <m/>
    <n v="9385.77"/>
    <n v="9385.77"/>
    <n v="2513.3300000000008"/>
    <n v="0.26778090662779941"/>
    <n v="0.26778090662779941"/>
  </r>
  <r>
    <x v="389"/>
    <d v="2024-04-05T00:00:00"/>
    <d v="2024-04-13T00:00:00"/>
    <n v="8"/>
    <s v="CUST-3930"/>
    <s v="Diya Patel"/>
    <x v="2"/>
    <x v="3"/>
    <s v="Gujarat"/>
    <s v="Ahmedabad"/>
    <x v="2"/>
    <x v="12"/>
    <s v="Elite Machines 563"/>
    <x v="0"/>
    <n v="5"/>
    <n v="1937.54"/>
    <n v="0.2"/>
    <x v="389"/>
    <n v="5434.3"/>
    <x v="388"/>
    <x v="2"/>
    <x v="1"/>
    <m/>
    <s v="Valid"/>
    <s v="Valid"/>
    <s v="Pass"/>
    <s v="Pass"/>
    <s v="April"/>
    <s v="2024"/>
    <m/>
    <n v="9687.7000000000007"/>
    <n v="7750.1600000000008"/>
    <n v="4253.4000000000005"/>
    <n v="0.43905158087058849"/>
    <n v="0.43905158087058849"/>
  </r>
  <r>
    <x v="390"/>
    <d v="2024-11-06T00:00:00"/>
    <d v="2024-11-11T00:00:00"/>
    <n v="5"/>
    <s v="CUST-7853"/>
    <s v="Isha Nair"/>
    <x v="0"/>
    <x v="3"/>
    <s v="Gujarat"/>
    <s v="Ahmedabad"/>
    <x v="1"/>
    <x v="3"/>
    <s v="Pro Furnishings 281"/>
    <x v="3"/>
    <n v="4"/>
    <n v="1917.26"/>
    <n v="0.2"/>
    <x v="390"/>
    <n v="3439.79"/>
    <x v="389"/>
    <x v="0"/>
    <x v="0"/>
    <m/>
    <s v="Valid"/>
    <s v="Valid"/>
    <s v="Pass"/>
    <s v="Pass"/>
    <s v="November"/>
    <s v="2024"/>
    <m/>
    <n v="7669.04"/>
    <n v="6135.232"/>
    <n v="4229.25"/>
    <n v="0.55147058823529416"/>
    <n v="0.55147058823529416"/>
  </r>
  <r>
    <x v="391"/>
    <d v="2025-02-14T00:00:00"/>
    <d v="2025-02-14T00:00:00"/>
    <n v="0"/>
    <s v="CUST-2267"/>
    <s v="Diya Patel"/>
    <x v="0"/>
    <x v="2"/>
    <s v="Karnataka"/>
    <s v="Bengaluru"/>
    <x v="0"/>
    <x v="8"/>
    <s v="Eco Storage 285"/>
    <x v="2"/>
    <n v="1"/>
    <n v="714.43"/>
    <n v="0"/>
    <x v="391"/>
    <n v="565.44000000000005"/>
    <x v="390"/>
    <x v="0"/>
    <x v="0"/>
    <m/>
    <s v="Valid"/>
    <s v="Valid"/>
    <s v="Pass"/>
    <s v="Pass"/>
    <s v="February"/>
    <s v="2025"/>
    <m/>
    <n v="714.43"/>
    <n v="714.43"/>
    <n v="148.9899999999999"/>
    <n v="0.20854387413742412"/>
    <n v="0.20854387413742412"/>
  </r>
  <r>
    <x v="392"/>
    <d v="2024-02-19T00:00:00"/>
    <d v="2024-02-22T00:00:00"/>
    <n v="3"/>
    <s v="CUST-6866"/>
    <s v="Aditi Sen"/>
    <x v="1"/>
    <x v="2"/>
    <s v="Kerala"/>
    <s v="Kochi"/>
    <x v="1"/>
    <x v="3"/>
    <s v="Classic Furnishings 746"/>
    <x v="1"/>
    <n v="9"/>
    <n v="4053.01"/>
    <n v="0"/>
    <x v="392"/>
    <n v="24525.48"/>
    <x v="391"/>
    <x v="0"/>
    <x v="0"/>
    <m/>
    <s v="Valid"/>
    <s v="Valid"/>
    <s v="Pass"/>
    <s v="Pass"/>
    <s v="February"/>
    <s v="2024"/>
    <m/>
    <n v="36477.090000000004"/>
    <n v="36477.090000000004"/>
    <n v="11951.610000000004"/>
    <n v="0.32764702447481425"/>
    <n v="0.32764702447481425"/>
  </r>
  <r>
    <x v="393"/>
    <d v="2024-08-23T00:00:00"/>
    <d v="2024-08-29T00:00:00"/>
    <n v="6"/>
    <s v="CUST-3160"/>
    <s v="Mira Das"/>
    <x v="2"/>
    <x v="0"/>
    <s v="Uttar Pradesh"/>
    <s v="Noida"/>
    <x v="0"/>
    <x v="7"/>
    <s v="Eco Labels 815"/>
    <x v="1"/>
    <n v="2"/>
    <n v="1936.91"/>
    <n v="0.05"/>
    <x v="393"/>
    <n v="2967.46"/>
    <x v="392"/>
    <x v="0"/>
    <x v="0"/>
    <m/>
    <s v="Valid"/>
    <s v="Valid"/>
    <s v="Pass"/>
    <s v="Pass"/>
    <s v="August"/>
    <s v="2024"/>
    <m/>
    <n v="3873.82"/>
    <n v="3680.1289999999999"/>
    <n v="906.36000000000013"/>
    <n v="0.23397060266093936"/>
    <n v="0.23397060266093936"/>
  </r>
  <r>
    <x v="394"/>
    <d v="2024-04-03T00:00:00"/>
    <d v="2024-04-04T00:00:00"/>
    <n v="1"/>
    <s v="CUST-8444"/>
    <s v="Kabir Singh"/>
    <x v="0"/>
    <x v="3"/>
    <s v="Maharashtra"/>
    <s v="Mumbai"/>
    <x v="1"/>
    <x v="3"/>
    <s v="Prime Furnishings 879"/>
    <x v="2"/>
    <n v="7"/>
    <n v="3945.21"/>
    <n v="0"/>
    <x v="394"/>
    <n v="21225.26"/>
    <x v="393"/>
    <x v="0"/>
    <x v="0"/>
    <m/>
    <s v="Valid"/>
    <s v="Valid"/>
    <s v="Pass"/>
    <s v="Pass"/>
    <s v="April"/>
    <s v="2024"/>
    <m/>
    <n v="27616.47"/>
    <n v="27616.47"/>
    <n v="6391.2100000000028"/>
    <n v="0.23142747787823725"/>
    <n v="0.23142747787823725"/>
  </r>
  <r>
    <x v="395"/>
    <d v="2024-06-06T00:00:00"/>
    <d v="2024-07-06T00:00:00"/>
    <n v="30"/>
    <s v="CUST-4765"/>
    <s v="Rahul Verma"/>
    <x v="3"/>
    <x v="2"/>
    <s v="Tamil Nadu"/>
    <s v="Chennai"/>
    <x v="1"/>
    <x v="1"/>
    <s v="Pro Tables 142"/>
    <x v="1"/>
    <n v="7"/>
    <n v="861.91"/>
    <n v="0.05"/>
    <x v="395"/>
    <n v="4115.5600000000004"/>
    <x v="394"/>
    <x v="0"/>
    <x v="0"/>
    <m/>
    <s v="Valid"/>
    <s v="Valid"/>
    <s v="Pass"/>
    <s v="Pass"/>
    <s v="June"/>
    <s v="2024"/>
    <m/>
    <n v="6033.37"/>
    <n v="5731.7014999999992"/>
    <n v="1917.8099999999995"/>
    <n v="0.31786712898429892"/>
    <n v="0.31786712898429892"/>
  </r>
  <r>
    <x v="396"/>
    <d v="2025-04-14T00:00:00"/>
    <d v="2025-04-22T00:00:00"/>
    <n v="8"/>
    <s v="CUST-2280"/>
    <s v="Aditi Sen"/>
    <x v="1"/>
    <x v="2"/>
    <s v="Karnataka"/>
    <s v="Bengaluru"/>
    <x v="2"/>
    <x v="12"/>
    <s v="Prime Machines 267"/>
    <x v="3"/>
    <n v="2"/>
    <n v="638.73"/>
    <n v="0.05"/>
    <x v="396"/>
    <n v="956.22"/>
    <x v="395"/>
    <x v="0"/>
    <x v="0"/>
    <m/>
    <s v="Valid"/>
    <s v="Valid"/>
    <s v="Pass"/>
    <s v="Pass"/>
    <s v="April"/>
    <s v="2025"/>
    <m/>
    <n v="1277.46"/>
    <n v="1213.587"/>
    <n v="321.24"/>
    <n v="0.25146775632896529"/>
    <n v="0.25146775632896529"/>
  </r>
  <r>
    <x v="397"/>
    <d v="2025-06-09T00:00:00"/>
    <d v="2025-10-06T00:00:00"/>
    <n v="119"/>
    <s v="CUST-3177"/>
    <s v="Sneha Kapoor"/>
    <x v="1"/>
    <x v="0"/>
    <s v="Uttar Pradesh"/>
    <s v="Noida"/>
    <x v="1"/>
    <x v="1"/>
    <s v="Eco Tables 378"/>
    <x v="0"/>
    <n v="2"/>
    <n v="1731.88"/>
    <n v="0"/>
    <x v="397"/>
    <n v="2143.7399999999998"/>
    <x v="396"/>
    <x v="0"/>
    <x v="0"/>
    <m/>
    <s v="Valid"/>
    <s v="Valid"/>
    <s v="Pass"/>
    <s v="Pass"/>
    <s v="June"/>
    <s v="2025"/>
    <m/>
    <n v="3463.76"/>
    <n v="3463.76"/>
    <n v="1320.0200000000004"/>
    <n v="0.38109453310852959"/>
    <n v="0.38109453310852959"/>
  </r>
  <r>
    <x v="398"/>
    <d v="2024-07-19T00:00:00"/>
    <d v="2024-07-26T00:00:00"/>
    <n v="7"/>
    <s v="CUST-4718"/>
    <s v="Vikram Iyer"/>
    <x v="2"/>
    <x v="0"/>
    <s v="Punjab"/>
    <s v="Ludhiana"/>
    <x v="2"/>
    <x v="12"/>
    <s v="Elite Machines 523"/>
    <x v="1"/>
    <n v="2"/>
    <n v="1263.6500000000001"/>
    <n v="0.2"/>
    <x v="398"/>
    <n v="1355.22"/>
    <x v="397"/>
    <x v="0"/>
    <x v="0"/>
    <m/>
    <s v="Valid"/>
    <s v="Valid"/>
    <s v="Pass"/>
    <s v="Pass"/>
    <s v="July"/>
    <s v="2024"/>
    <m/>
    <n v="2527.3000000000002"/>
    <n v="2021.8400000000001"/>
    <n v="1172.0800000000002"/>
    <n v="0.46376765718355561"/>
    <n v="0.46376765718355561"/>
  </r>
  <r>
    <x v="399"/>
    <d v="2025-04-24T00:00:00"/>
    <d v="2025-04-29T00:00:00"/>
    <n v="5"/>
    <s v="CUST-5647"/>
    <s v="Diya Patel"/>
    <x v="1"/>
    <x v="2"/>
    <s v="Andhra Pradesh"/>
    <s v="Vijayawada"/>
    <x v="0"/>
    <x v="0"/>
    <s v="Elite Paper 308"/>
    <x v="1"/>
    <n v="1"/>
    <n v="4358.5"/>
    <n v="0.25"/>
    <x v="399"/>
    <n v="1993.74"/>
    <x v="398"/>
    <x v="0"/>
    <x v="0"/>
    <m/>
    <s v="Valid"/>
    <s v="Valid"/>
    <s v="Pass"/>
    <s v="Pass"/>
    <s v="April"/>
    <s v="2025"/>
    <m/>
    <n v="4358.5"/>
    <n v="3268.875"/>
    <n v="2364.7600000000002"/>
    <n v="0.54256280830560977"/>
    <n v="0.54256280830560977"/>
  </r>
  <r>
    <x v="400"/>
    <d v="2025-06-06T00:00:00"/>
    <d v="2025-11-06T00:00:00"/>
    <n v="153"/>
    <s v="CUST-7150"/>
    <s v="Sneha Kapoor"/>
    <x v="1"/>
    <x v="0"/>
    <s v="Uttar Pradesh"/>
    <s v="Noida"/>
    <x v="0"/>
    <x v="0"/>
    <s v="Prime Paper 851"/>
    <x v="1"/>
    <n v="7"/>
    <n v="878.09"/>
    <n v="-0.1"/>
    <x v="400"/>
    <n v="4877.38"/>
    <x v="399"/>
    <x v="0"/>
    <x v="0"/>
    <m/>
    <s v="Valid"/>
    <s v="Invalid-Discount"/>
    <s v="Pass"/>
    <s v="Pass"/>
    <s v="June"/>
    <s v="2025"/>
    <m/>
    <n v="6146.63"/>
    <n v="6761.2930000000006"/>
    <n v="1269.25"/>
    <n v="0.20649526651189351"/>
    <n v="0.20649526651189351"/>
  </r>
  <r>
    <x v="401"/>
    <d v="2025-03-09T00:00:00"/>
    <d v="2025-03-16T00:00:00"/>
    <n v="7"/>
    <s v="CUST-6694"/>
    <s v="Arjun Bose"/>
    <x v="1"/>
    <x v="1"/>
    <s v="Jharkhand"/>
    <s v="Ranchi"/>
    <x v="1"/>
    <x v="1"/>
    <s v="Classic Tables 151"/>
    <x v="1"/>
    <n v="3"/>
    <n v="2625.85"/>
    <n v="0"/>
    <x v="401"/>
    <n v="5562.77"/>
    <x v="400"/>
    <x v="0"/>
    <x v="0"/>
    <m/>
    <s v="Valid"/>
    <s v="Valid"/>
    <s v="Pass"/>
    <s v="Pass"/>
    <s v="March"/>
    <s v="2025"/>
    <m/>
    <n v="7877.5499999999993"/>
    <n v="7877.5499999999993"/>
    <n v="2314.7799999999988"/>
    <n v="0.29384516759652418"/>
    <n v="0.29384516759652418"/>
  </r>
  <r>
    <x v="402"/>
    <d v="2024-03-22T00:00:00"/>
    <d v="2024-03-22T00:00:00"/>
    <n v="0"/>
    <s v="CUST-7680"/>
    <s v="Priya Menon"/>
    <x v="1"/>
    <x v="2"/>
    <s v="Karnataka"/>
    <s v="Bengaluru"/>
    <x v="1"/>
    <x v="1"/>
    <s v="Smart Tables 829"/>
    <x v="4"/>
    <n v="3"/>
    <n v="1365.26"/>
    <n v="0"/>
    <x v="402"/>
    <n v="2807.77"/>
    <x v="401"/>
    <x v="0"/>
    <x v="0"/>
    <m/>
    <s v="Valid"/>
    <s v="Valid"/>
    <s v="Flagged"/>
    <s v="Pass"/>
    <s v="March"/>
    <s v="2024"/>
    <m/>
    <n v="4095.7799999999997"/>
    <n v="4095.7799999999997"/>
    <n v="1288.0099999999998"/>
    <n v="0.31447245701673426"/>
    <n v="0.31447245701673426"/>
  </r>
  <r>
    <x v="403"/>
    <d v="2024-09-30T00:00:00"/>
    <d v="2024-10-04T00:00:00"/>
    <n v="4"/>
    <s v="CUST-2700"/>
    <s v="Arjun Bose"/>
    <x v="1"/>
    <x v="2"/>
    <s v="Kerala"/>
    <s v="Kochi"/>
    <x v="0"/>
    <x v="0"/>
    <s v="Classic Paper 237"/>
    <x v="1"/>
    <n v="5"/>
    <n v="3512.25"/>
    <n v="0.05"/>
    <x v="403"/>
    <n v="10301.16"/>
    <x v="402"/>
    <x v="0"/>
    <x v="2"/>
    <m/>
    <s v="Valid"/>
    <s v="Valid"/>
    <s v="Pass"/>
    <s v="Pass"/>
    <s v="September"/>
    <s v="2024"/>
    <m/>
    <n v="17561.25"/>
    <n v="16683.1875"/>
    <n v="7260.09"/>
    <n v="0.41341533205210335"/>
    <n v="0.41341533205210335"/>
  </r>
  <r>
    <x v="404"/>
    <d v="2024-01-27T00:00:00"/>
    <d v="2024-03-02T00:00:00"/>
    <n v="35"/>
    <s v="CUST-2904"/>
    <s v="Aditi Sen"/>
    <x v="2"/>
    <x v="3"/>
    <s v="Rajasthan"/>
    <s v="Udaipur"/>
    <x v="1"/>
    <x v="4"/>
    <s v="Prime Chairs 891"/>
    <x v="1"/>
    <n v="3"/>
    <n v="359.61"/>
    <n v="0"/>
    <x v="404"/>
    <n v="926.35"/>
    <x v="403"/>
    <x v="0"/>
    <x v="0"/>
    <m/>
    <s v="Valid"/>
    <s v="Valid"/>
    <s v="Pass"/>
    <s v="Pass"/>
    <s v="January"/>
    <s v="2024"/>
    <m/>
    <n v="1078.83"/>
    <n v="1078.83"/>
    <n v="152.4799999999999"/>
    <n v="0.14133830167867034"/>
    <n v="0.14133830167867034"/>
  </r>
  <r>
    <x v="405"/>
    <d v="2024-09-23T00:00:00"/>
    <d v="2024-09-24T00:00:00"/>
    <n v="1"/>
    <s v="CUST-9961"/>
    <s v="Aditi Sen"/>
    <x v="3"/>
    <x v="3"/>
    <s v="Gujarat"/>
    <s v="Ahmedabad"/>
    <x v="1"/>
    <x v="10"/>
    <s v="Max Bookcases 812"/>
    <x v="4"/>
    <n v="7"/>
    <n v="3878.01"/>
    <n v="0.1"/>
    <x v="405"/>
    <n v="18202.36"/>
    <x v="404"/>
    <x v="0"/>
    <x v="0"/>
    <m/>
    <s v="Valid"/>
    <s v="Valid"/>
    <s v="Flagged"/>
    <s v="Pass"/>
    <s v="September"/>
    <s v="2024"/>
    <m/>
    <n v="27146.07"/>
    <n v="24431.463"/>
    <n v="8943.7099999999991"/>
    <n v="0.32946610688029609"/>
    <n v="0.32946610688029609"/>
  </r>
  <r>
    <x v="406"/>
    <d v="2025-02-25T00:00:00"/>
    <d v="2025-02-25T00:00:00"/>
    <n v="0"/>
    <s v="CUST-9909"/>
    <s v="Kabir Singh"/>
    <x v="1"/>
    <x v="3"/>
    <s v="Goa"/>
    <s v="Panaji"/>
    <x v="1"/>
    <x v="3"/>
    <s v="Basic Furnishings 164"/>
    <x v="3"/>
    <n v="2"/>
    <n v="3924.2"/>
    <n v="0.25"/>
    <x v="406"/>
    <n v="3621.76"/>
    <x v="405"/>
    <x v="2"/>
    <x v="2"/>
    <m/>
    <s v="Valid"/>
    <s v="Valid"/>
    <s v="Pass"/>
    <s v="Pass"/>
    <s v="February"/>
    <s v="2025"/>
    <m/>
    <n v="7848.4"/>
    <n v="5886.2999999999993"/>
    <n v="4226.6399999999994"/>
    <n v="0.53853524285204624"/>
    <n v="0.53853524285204624"/>
  </r>
  <r>
    <x v="407"/>
    <d v="2024-05-12T00:00:00"/>
    <d v="2024-05-13T00:00:00"/>
    <n v="1"/>
    <s v="CUST-8520"/>
    <s v="Rahul Verma"/>
    <x v="2"/>
    <x v="3"/>
    <s v="Goa"/>
    <s v="Panaji"/>
    <x v="0"/>
    <x v="7"/>
    <s v="Smart Labels 261"/>
    <x v="0"/>
    <n v="3"/>
    <n v="2644.55"/>
    <n v="0"/>
    <x v="407"/>
    <n v="5698.42"/>
    <x v="406"/>
    <x v="0"/>
    <x v="0"/>
    <m/>
    <s v="Valid"/>
    <s v="Valid"/>
    <s v="Pass"/>
    <s v="Pass"/>
    <s v="May"/>
    <s v="2024"/>
    <m/>
    <n v="7933.6500000000005"/>
    <n v="7933.6500000000005"/>
    <n v="2235.2300000000005"/>
    <n v="0.2817404347305465"/>
    <n v="0.2817404347305465"/>
  </r>
  <r>
    <x v="408"/>
    <d v="2025-01-08T00:00:00"/>
    <d v="2025-03-08T00:00:00"/>
    <n v="59"/>
    <s v="CUST-5036"/>
    <s v="Sneha Kapoor"/>
    <x v="0"/>
    <x v="3"/>
    <s v="Maharashtra"/>
    <s v="Mumbai"/>
    <x v="1"/>
    <x v="4"/>
    <s v="Max Chairs 765"/>
    <x v="2"/>
    <n v="4"/>
    <n v="1773.46"/>
    <n v="0"/>
    <x v="408"/>
    <n v="4587.49"/>
    <x v="407"/>
    <x v="3"/>
    <x v="2"/>
    <m/>
    <s v="Valid"/>
    <s v="Valid"/>
    <s v="Pass"/>
    <s v="Pass"/>
    <s v="January"/>
    <s v="2025"/>
    <m/>
    <n v="7093.84"/>
    <n v="7093.84"/>
    <n v="2506.3500000000004"/>
    <n v="0.35331357910525191"/>
    <n v="0.35331357910525191"/>
  </r>
  <r>
    <x v="409"/>
    <d v="2025-02-13T00:00:00"/>
    <d v="2025-02-15T00:00:00"/>
    <n v="2"/>
    <s v="CUST-7721"/>
    <s v="Karan Malhotra"/>
    <x v="0"/>
    <x v="1"/>
    <s v="Assam"/>
    <s v="Guwahati"/>
    <x v="2"/>
    <x v="5"/>
    <s v="Pro Accessories 686"/>
    <x v="1"/>
    <n v="1"/>
    <n v="3025.46"/>
    <n v="0.25"/>
    <x v="409"/>
    <n v="1593.59"/>
    <x v="408"/>
    <x v="1"/>
    <x v="2"/>
    <m/>
    <s v="Valid"/>
    <s v="Valid"/>
    <s v="Pass"/>
    <s v="Pass"/>
    <s v="February"/>
    <s v="2025"/>
    <m/>
    <n v="3025.46"/>
    <n v="2269.0950000000003"/>
    <n v="1431.8700000000001"/>
    <n v="0.47327348568482153"/>
    <n v="0.47327348568482153"/>
  </r>
  <r>
    <x v="410"/>
    <d v="2024-04-12T00:00:00"/>
    <d v="2024-04-20T00:00:00"/>
    <n v="8"/>
    <s v="CUST-9495"/>
    <s v="Diya Patel"/>
    <x v="0"/>
    <x v="3"/>
    <s v="Goa"/>
    <s v="Panaji"/>
    <x v="1"/>
    <x v="1"/>
    <s v="Smart Tables 100"/>
    <x v="2"/>
    <n v="9"/>
    <n v="1302.6099999999999"/>
    <n v="0.2"/>
    <x v="410"/>
    <n v="6774.48"/>
    <x v="409"/>
    <x v="0"/>
    <x v="0"/>
    <m/>
    <s v="Valid"/>
    <s v="Valid"/>
    <s v="Pass"/>
    <s v="Pass"/>
    <s v="April"/>
    <s v="2024"/>
    <m/>
    <n v="11723.49"/>
    <n v="9378.7919999999995"/>
    <n v="4949.01"/>
    <n v="0.42214477088307323"/>
    <n v="0.42214477088307323"/>
  </r>
  <r>
    <x v="411"/>
    <d v="2025-08-23T00:00:00"/>
    <d v="2025-08-28T00:00:00"/>
    <n v="5"/>
    <s v="CUST-2855"/>
    <s v="Arjun Bose"/>
    <x v="3"/>
    <x v="3"/>
    <s v="Rajasthan"/>
    <s v="Udaipur"/>
    <x v="1"/>
    <x v="1"/>
    <s v="Basic Tables 615"/>
    <x v="2"/>
    <n v="1"/>
    <n v="4167.8100000000004"/>
    <n v="0.2"/>
    <x v="411"/>
    <n v="2768.77"/>
    <x v="410"/>
    <x v="3"/>
    <x v="2"/>
    <m/>
    <s v="Valid"/>
    <s v="Valid"/>
    <s v="Pass"/>
    <s v="Pass"/>
    <s v="August"/>
    <s v="2025"/>
    <m/>
    <n v="4167.8100000000004"/>
    <n v="3334.2480000000005"/>
    <n v="1399.0400000000004"/>
    <n v="0.33567749009671755"/>
    <n v="0.33567749009671755"/>
  </r>
  <r>
    <x v="412"/>
    <d v="2024-01-22T00:00:00"/>
    <d v="2024-01-30T00:00:00"/>
    <n v="8"/>
    <s v="CUST-4329"/>
    <s v="Isha Nair"/>
    <x v="2"/>
    <x v="2"/>
    <s v="Karnataka"/>
    <s v="Bengaluru"/>
    <x v="1"/>
    <x v="4"/>
    <s v="Basic Chairs 790"/>
    <x v="1"/>
    <n v="1"/>
    <n v="2111.39"/>
    <n v="0.25"/>
    <x v="412"/>
    <n v="1014.19"/>
    <x v="411"/>
    <x v="0"/>
    <x v="0"/>
    <m/>
    <s v="Valid"/>
    <s v="Valid"/>
    <s v="Pass"/>
    <s v="Pass"/>
    <s v="January"/>
    <s v="2024"/>
    <m/>
    <n v="2111.39"/>
    <n v="1583.5425"/>
    <n v="1097.1999999999998"/>
    <n v="0.51965766627671817"/>
    <n v="0.51965766627671817"/>
  </r>
  <r>
    <x v="413"/>
    <d v="2025-08-13T00:00:00"/>
    <d v="2025-08-17T00:00:00"/>
    <n v="4"/>
    <s v="CUST-5094"/>
    <s v="Neha Gupta"/>
    <x v="3"/>
    <x v="3"/>
    <s v="Madhya Pradesh"/>
    <s v="Indore"/>
    <x v="2"/>
    <x v="5"/>
    <s v="Smart Accessories 226"/>
    <x v="0"/>
    <n v="8"/>
    <n v="1918.23"/>
    <n v="0"/>
    <x v="413"/>
    <n v="10735.33"/>
    <x v="412"/>
    <x v="2"/>
    <x v="1"/>
    <m/>
    <s v="Valid"/>
    <s v="Valid"/>
    <s v="Pass"/>
    <s v="Pass"/>
    <s v="August"/>
    <s v="2025"/>
    <m/>
    <n v="15345.84"/>
    <n v="15345.84"/>
    <n v="4610.51"/>
    <n v="0.30044037993358463"/>
    <n v="0.30044037993358463"/>
  </r>
  <r>
    <x v="414"/>
    <d v="2024-08-29T00:00:00"/>
    <d v="2024-08-30T00:00:00"/>
    <n v="1"/>
    <s v="CUST-4194"/>
    <s v="Arjun Bose"/>
    <x v="3"/>
    <x v="1"/>
    <s v="Assam"/>
    <s v="Guwahati"/>
    <x v="0"/>
    <x v="8"/>
    <s v="Max Storage 692"/>
    <x v="2"/>
    <n v="4"/>
    <n v="2484.08"/>
    <n v="0.05"/>
    <x v="414"/>
    <n v="5519.39"/>
    <x v="413"/>
    <x v="0"/>
    <x v="0"/>
    <m/>
    <s v="Valid"/>
    <s v="Valid"/>
    <s v="Pass"/>
    <s v="Pass"/>
    <s v="August"/>
    <s v="2024"/>
    <m/>
    <n v="9936.32"/>
    <n v="9439.503999999999"/>
    <n v="4416.9299999999994"/>
    <n v="0.4445237270941354"/>
    <n v="0.4445237270941354"/>
  </r>
  <r>
    <x v="415"/>
    <d v="2024-01-25T00:00:00"/>
    <d v="2024-01-27T00:00:00"/>
    <n v="2"/>
    <s v="CUST-7087"/>
    <s v="Aarav Sharma"/>
    <x v="2"/>
    <x v="2"/>
    <s v="Karnataka"/>
    <s v="Bengaluru"/>
    <x v="0"/>
    <x v="8"/>
    <s v="Basic Storage 684"/>
    <x v="1"/>
    <n v="7"/>
    <n v="1727.26"/>
    <n v="0.15"/>
    <x v="415"/>
    <n v="7906.5"/>
    <x v="414"/>
    <x v="0"/>
    <x v="2"/>
    <m/>
    <s v="Valid"/>
    <s v="Valid"/>
    <s v="Pass"/>
    <s v="Pass"/>
    <s v="January"/>
    <s v="2024"/>
    <m/>
    <n v="12090.82"/>
    <n v="10277.197"/>
    <n v="4184.32"/>
    <n v="0.34607412896726608"/>
    <n v="0.34607412896726608"/>
  </r>
  <r>
    <x v="416"/>
    <d v="2025-01-08T00:00:00"/>
    <d v="2025-01-16T00:00:00"/>
    <n v="8"/>
    <s v="CUST-7608"/>
    <s v="Neha Gupta"/>
    <x v="0"/>
    <x v="2"/>
    <s v="Telangana"/>
    <s v="Hyderabad"/>
    <x v="1"/>
    <x v="3"/>
    <s v="Smart Furnishings 152"/>
    <x v="2"/>
    <n v="8"/>
    <n v="638.95000000000005"/>
    <n v="0.25"/>
    <x v="416"/>
    <n v="2886.35"/>
    <x v="415"/>
    <x v="0"/>
    <x v="0"/>
    <m/>
    <s v="Valid"/>
    <s v="Valid"/>
    <s v="Pass"/>
    <s v="Pass"/>
    <s v="January"/>
    <s v="2025"/>
    <m/>
    <n v="5111.6000000000004"/>
    <n v="3833.7000000000003"/>
    <n v="2225.2500000000005"/>
    <n v="0.43533335941779489"/>
    <n v="0.43533335941779489"/>
  </r>
  <r>
    <x v="417"/>
    <d v="2025-01-29T00:00:00"/>
    <d v="2025-05-02T00:00:00"/>
    <n v="93"/>
    <s v="CUST-5269"/>
    <s v="Mira Das"/>
    <x v="0"/>
    <x v="3"/>
    <s v="Gujarat"/>
    <s v="Ahmedabad"/>
    <x v="0"/>
    <x v="2"/>
    <s v="Max Art 736"/>
    <x v="2"/>
    <n v="6"/>
    <n v="3863"/>
    <n v="0.2"/>
    <x v="417"/>
    <n v="11193.75"/>
    <x v="416"/>
    <x v="0"/>
    <x v="0"/>
    <m/>
    <s v="Valid"/>
    <s v="Valid"/>
    <s v="Pass"/>
    <s v="Pass"/>
    <s v="January"/>
    <s v="2025"/>
    <m/>
    <n v="23178"/>
    <n v="18542.400000000001"/>
    <n v="11984.25"/>
    <n v="0.51705280869790315"/>
    <n v="0.51705280869790315"/>
  </r>
  <r>
    <x v="418"/>
    <d v="2024-09-11T00:00:00"/>
    <d v="2024-11-17T00:00:00"/>
    <n v="67"/>
    <s v="CUST-7925"/>
    <s v="Sneha Kapoor"/>
    <x v="2"/>
    <x v="1"/>
    <s v="Odisha"/>
    <s v="Bhubaneswar"/>
    <x v="2"/>
    <x v="6"/>
    <s v="Elite Copiers 971"/>
    <x v="3"/>
    <n v="6"/>
    <n v="3660.4"/>
    <n v="0"/>
    <x v="418"/>
    <n v="15331.99"/>
    <x v="417"/>
    <x v="3"/>
    <x v="1"/>
    <m/>
    <s v="Valid"/>
    <s v="Valid"/>
    <s v="Pass"/>
    <s v="Pass"/>
    <s v="September"/>
    <s v="2024"/>
    <m/>
    <n v="21962.400000000001"/>
    <n v="21962.400000000001"/>
    <n v="6630.4100000000017"/>
    <n v="0.3018982442720286"/>
    <n v="0.3018982442720286"/>
  </r>
  <r>
    <x v="419"/>
    <d v="2025-09-26T00:00:00"/>
    <d v="2025-09-30T00:00:00"/>
    <n v="4"/>
    <s v="CUST-6552"/>
    <s v="Sneha Kapoor"/>
    <x v="3"/>
    <x v="0"/>
    <s v="Haryana"/>
    <s v="Gurugram"/>
    <x v="2"/>
    <x v="11"/>
    <s v="Classic Phones 940"/>
    <x v="1"/>
    <n v="2"/>
    <n v="688.83"/>
    <n v="0.05"/>
    <x v="419"/>
    <n v="843"/>
    <x v="418"/>
    <x v="0"/>
    <x v="0"/>
    <m/>
    <s v="Valid"/>
    <s v="Valid"/>
    <s v="Pass"/>
    <s v="Pass"/>
    <s v="September"/>
    <s v="2025"/>
    <m/>
    <n v="1377.66"/>
    <n v="1308.777"/>
    <n v="534.66000000000008"/>
    <n v="0.38809285309873265"/>
    <n v="0.38809285309873265"/>
  </r>
  <r>
    <x v="420"/>
    <d v="2025-03-18T00:00:00"/>
    <d v="2025-03-19T00:00:00"/>
    <n v="1"/>
    <s v="CUST-7131"/>
    <s v="Isha Nair"/>
    <x v="2"/>
    <x v="2"/>
    <s v="Tamil Nadu"/>
    <s v="Chennai"/>
    <x v="2"/>
    <x v="12"/>
    <s v="Pro Machines 579"/>
    <x v="3"/>
    <n v="2"/>
    <n v="1209.99"/>
    <n v="0.25"/>
    <x v="420"/>
    <n v="1120.06"/>
    <x v="419"/>
    <x v="2"/>
    <x v="1"/>
    <m/>
    <s v="Valid"/>
    <s v="Valid"/>
    <s v="Pass"/>
    <s v="Pass"/>
    <s v="March"/>
    <s v="2025"/>
    <m/>
    <n v="2419.98"/>
    <n v="1814.9850000000001"/>
    <n v="1299.92"/>
    <n v="0.53716146414433175"/>
    <n v="0.53716146414433175"/>
  </r>
  <r>
    <x v="421"/>
    <d v="2025-06-14T00:00:00"/>
    <d v="2025-06-19T00:00:00"/>
    <n v="5"/>
    <s v="CUST-2779"/>
    <s v="Rohan Mehta"/>
    <x v="1"/>
    <x v="0"/>
    <s v="Delhi"/>
    <s v="New Delhi"/>
    <x v="0"/>
    <x v="9"/>
    <s v="Elite Binders 943"/>
    <x v="1"/>
    <n v="3"/>
    <n v="1037.45"/>
    <n v="0.2"/>
    <x v="421"/>
    <n v="1707.52"/>
    <x v="420"/>
    <x v="2"/>
    <x v="2"/>
    <m/>
    <s v="Valid"/>
    <s v="Valid"/>
    <s v="Pass"/>
    <s v="Pass"/>
    <s v="June"/>
    <s v="2025"/>
    <m/>
    <n v="3112.3500000000004"/>
    <n v="2489.8800000000006"/>
    <n v="1404.8300000000004"/>
    <n v="0.45137275692001227"/>
    <n v="0.45137275692001227"/>
  </r>
  <r>
    <x v="422"/>
    <d v="2025-03-09T00:00:00"/>
    <d v="2025-06-09T00:00:00"/>
    <n v="92"/>
    <s v="CUST-6077"/>
    <s v="Kabir Singh"/>
    <x v="0"/>
    <x v="3"/>
    <s v="Madhya Pradesh"/>
    <s v="Indore"/>
    <x v="2"/>
    <x v="6"/>
    <s v="Elite Copiers 474"/>
    <x v="1"/>
    <n v="7"/>
    <n v="688.85"/>
    <n v="0.15"/>
    <x v="422"/>
    <n v="2678.06"/>
    <x v="421"/>
    <x v="0"/>
    <x v="0"/>
    <m/>
    <s v="Valid"/>
    <s v="Valid"/>
    <s v="Pass"/>
    <s v="Pass"/>
    <s v="March"/>
    <s v="2025"/>
    <m/>
    <n v="4821.95"/>
    <n v="4098.6574999999993"/>
    <n v="2143.89"/>
    <n v="0.44461058285548377"/>
    <n v="0.44461058285548377"/>
  </r>
  <r>
    <x v="423"/>
    <d v="2024-02-20T00:00:00"/>
    <d v="2024-02-27T00:00:00"/>
    <n v="7"/>
    <s v="CUST-6169"/>
    <s v="Diya Patel"/>
    <x v="0"/>
    <x v="2"/>
    <s v="Kerala"/>
    <s v="Kochi"/>
    <x v="2"/>
    <x v="5"/>
    <s v="Prime Accessories 236"/>
    <x v="2"/>
    <n v="9"/>
    <n v="3779.31"/>
    <n v="0.2"/>
    <x v="423"/>
    <n v="17940.43"/>
    <x v="422"/>
    <x v="0"/>
    <x v="0"/>
    <m/>
    <s v="Valid"/>
    <s v="Valid"/>
    <s v="Pass"/>
    <s v="Pass"/>
    <s v="February"/>
    <s v="2024"/>
    <m/>
    <n v="34013.79"/>
    <n v="27211.032000000003"/>
    <n v="16073.36"/>
    <n v="0.47255421992080271"/>
    <n v="0.47255421992080271"/>
  </r>
  <r>
    <x v="424"/>
    <d v="2024-06-26T00:00:00"/>
    <d v="2024-06-29T00:00:00"/>
    <n v="3"/>
    <s v="CUST-8904"/>
    <s v="Neha Gupta"/>
    <x v="2"/>
    <x v="0"/>
    <s v="Punjab"/>
    <s v="Ludhiana"/>
    <x v="2"/>
    <x v="11"/>
    <s v="Prime Phones 881"/>
    <x v="3"/>
    <n v="8"/>
    <n v="804.52"/>
    <n v="0"/>
    <x v="424"/>
    <n v="4263.83"/>
    <x v="423"/>
    <x v="0"/>
    <x v="0"/>
    <m/>
    <s v="Valid"/>
    <s v="Valid"/>
    <s v="Pass"/>
    <s v="Pass"/>
    <s v="June"/>
    <s v="2024"/>
    <m/>
    <n v="6436.16"/>
    <n v="6436.16"/>
    <n v="2172.33"/>
    <n v="0.33751957689056827"/>
    <n v="0.33751957689056827"/>
  </r>
  <r>
    <x v="425"/>
    <d v="2024-09-26T00:00:00"/>
    <d v="2024-09-27T00:00:00"/>
    <n v="1"/>
    <s v="CUST-9586"/>
    <s v="Isha Nair"/>
    <x v="3"/>
    <x v="0"/>
    <s v="Delhi"/>
    <s v="New Delhi"/>
    <x v="0"/>
    <x v="7"/>
    <s v="Pro Labels 903"/>
    <x v="2"/>
    <n v="2"/>
    <n v="1065.69"/>
    <n v="0.1"/>
    <x v="425"/>
    <n v="1373.52"/>
    <x v="424"/>
    <x v="1"/>
    <x v="1"/>
    <m/>
    <s v="Valid"/>
    <s v="Valid"/>
    <s v="Pass"/>
    <s v="Pass"/>
    <s v="September"/>
    <s v="2024"/>
    <m/>
    <n v="2131.38"/>
    <n v="1918.2420000000002"/>
    <n v="757.86000000000013"/>
    <n v="0.35557244602088794"/>
    <n v="0.35557244602088794"/>
  </r>
  <r>
    <x v="426"/>
    <d v="2024-06-30T00:00:00"/>
    <d v="2024-07-01T00:00:00"/>
    <n v="1"/>
    <s v="CUST-5431"/>
    <s v="Aditi Sen"/>
    <x v="0"/>
    <x v="0"/>
    <s v="Haryana"/>
    <s v="Gurugram"/>
    <x v="2"/>
    <x v="6"/>
    <s v="Max Copiers 402"/>
    <x v="1"/>
    <n v="8"/>
    <n v="3756.66"/>
    <n v="0.1"/>
    <x v="426"/>
    <n v="18431.330000000002"/>
    <x v="425"/>
    <x v="0"/>
    <x v="0"/>
    <m/>
    <s v="Valid"/>
    <s v="Valid"/>
    <s v="Pass"/>
    <s v="Pass"/>
    <s v="June"/>
    <s v="2024"/>
    <m/>
    <n v="30053.279999999999"/>
    <n v="27047.952000000001"/>
    <n v="11621.949999999997"/>
    <n v="0.38671153364957161"/>
    <n v="0.38671153364957161"/>
  </r>
  <r>
    <x v="427"/>
    <d v="2025-04-22T00:00:00"/>
    <d v="2025-04-24T00:00:00"/>
    <n v="2"/>
    <s v="CUST-8843"/>
    <s v="Isha Nair"/>
    <x v="2"/>
    <x v="4"/>
    <s v="Jharkhand"/>
    <s v="Ranchi"/>
    <x v="2"/>
    <x v="5"/>
    <s v="Prime Accessories 419"/>
    <x v="3"/>
    <n v="9"/>
    <n v="2939.44"/>
    <n v="0"/>
    <x v="427"/>
    <n v="17630.25"/>
    <x v="426"/>
    <x v="0"/>
    <x v="0"/>
    <m/>
    <s v="Valid"/>
    <s v="Valid"/>
    <s v="Pass"/>
    <s v="Flagged"/>
    <s v="April"/>
    <s v="2025"/>
    <m/>
    <n v="26454.959999999999"/>
    <n v="26454.959999999999"/>
    <n v="8824.7099999999991"/>
    <n v="0.33357487594008833"/>
    <n v="0.33357487594008833"/>
  </r>
  <r>
    <x v="428"/>
    <d v="2025-03-15T00:00:00"/>
    <d v="2025-03-22T00:00:00"/>
    <n v="7"/>
    <s v="CUST-7626"/>
    <s v="Karan Malhotra"/>
    <x v="1"/>
    <x v="1"/>
    <s v="West Bengal"/>
    <s v="Kolkata"/>
    <x v="2"/>
    <x v="11"/>
    <s v="Elite Phones 488"/>
    <x v="1"/>
    <n v="2"/>
    <n v="1235.93"/>
    <n v="0.25"/>
    <x v="428"/>
    <n v="1101.23"/>
    <x v="427"/>
    <x v="2"/>
    <x v="1"/>
    <m/>
    <s v="Valid"/>
    <s v="Valid"/>
    <s v="Pass"/>
    <s v="Pass"/>
    <s v="March"/>
    <s v="2025"/>
    <m/>
    <n v="2471.86"/>
    <n v="1853.895"/>
    <n v="1370.63"/>
    <n v="0.55449337745665206"/>
    <n v="0.55449337745665206"/>
  </r>
  <r>
    <x v="429"/>
    <d v="2025-03-01T00:00:00"/>
    <d v="2025-03-08T00:00:00"/>
    <n v="7"/>
    <s v="CUST-8562"/>
    <s v="Neha Gupta"/>
    <x v="3"/>
    <x v="0"/>
    <s v="Rajasthan"/>
    <s v="Jaipur"/>
    <x v="2"/>
    <x v="6"/>
    <s v="Prime Copiers 109"/>
    <x v="1"/>
    <n v="8"/>
    <n v="2943.1"/>
    <n v="0.25"/>
    <x v="429"/>
    <n v="13842.48"/>
    <x v="428"/>
    <x v="0"/>
    <x v="0"/>
    <m/>
    <s v="Valid"/>
    <s v="Valid"/>
    <s v="Pass"/>
    <s v="Pass"/>
    <s v="March"/>
    <s v="2025"/>
    <m/>
    <n v="23544.799999999999"/>
    <n v="17658.599999999999"/>
    <n v="9702.32"/>
    <n v="0.41207910026842443"/>
    <n v="0.41207910026842443"/>
  </r>
  <r>
    <x v="430"/>
    <d v="2024-08-30T00:00:00"/>
    <d v="2024-09-02T00:00:00"/>
    <n v="3"/>
    <s v="CUST-2732"/>
    <s v="Neha Gupta"/>
    <x v="1"/>
    <x v="0"/>
    <s v="Haryana"/>
    <s v="Gurugram"/>
    <x v="0"/>
    <x v="0"/>
    <s v="Max Paper 576"/>
    <x v="0"/>
    <n v="1"/>
    <n v="4320.84"/>
    <n v="0.15"/>
    <x v="430"/>
    <n v="2714.23"/>
    <x v="429"/>
    <x v="0"/>
    <x v="0"/>
    <m/>
    <s v="Valid"/>
    <s v="Valid"/>
    <s v="Pass"/>
    <s v="Pass"/>
    <s v="August"/>
    <s v="2024"/>
    <m/>
    <n v="4320.84"/>
    <n v="3672.7139999999999"/>
    <n v="1606.6100000000001"/>
    <n v="0.37182816304237143"/>
    <n v="0.37182816304237143"/>
  </r>
  <r>
    <x v="431"/>
    <d v="2024-02-10T00:00:00"/>
    <d v="2024-02-13T00:00:00"/>
    <n v="3"/>
    <s v="CUST-3989"/>
    <s v="Karan Malhotra"/>
    <x v="3"/>
    <x v="3"/>
    <s v="Goa"/>
    <s v="Panaji"/>
    <x v="2"/>
    <x v="12"/>
    <s v="Max Machines 412"/>
    <x v="1"/>
    <n v="2"/>
    <n v="4118.45"/>
    <n v="0.25"/>
    <x v="431"/>
    <n v="4520.75"/>
    <x v="430"/>
    <x v="0"/>
    <x v="0"/>
    <m/>
    <s v="Valid"/>
    <s v="Valid"/>
    <s v="Pass"/>
    <s v="Pass"/>
    <s v="February"/>
    <s v="2024"/>
    <m/>
    <n v="8236.9"/>
    <n v="6177.6749999999993"/>
    <n v="3716.1499999999996"/>
    <n v="0.45115880974638517"/>
    <n v="0.45115880974638517"/>
  </r>
  <r>
    <x v="432"/>
    <d v="2024-08-29T00:00:00"/>
    <d v="2024-09-02T00:00:00"/>
    <n v="4"/>
    <s v="CUST-3522"/>
    <s v="Priya Menon"/>
    <x v="1"/>
    <x v="3"/>
    <s v="Maharashtra"/>
    <s v="Mumbai"/>
    <x v="1"/>
    <x v="10"/>
    <s v="Classic Bookcases 291"/>
    <x v="3"/>
    <n v="6"/>
    <n v="172.82"/>
    <n v="0.05"/>
    <x v="432"/>
    <n v="844.48"/>
    <x v="431"/>
    <x v="0"/>
    <x v="0"/>
    <m/>
    <s v="Valid"/>
    <s v="Valid"/>
    <s v="Pass"/>
    <s v="Pass"/>
    <s v="August"/>
    <s v="2024"/>
    <m/>
    <n v="1036.92"/>
    <n v="985.07400000000007"/>
    <n v="192.44000000000005"/>
    <n v="0.18558808779848016"/>
    <n v="0.18558808779848016"/>
  </r>
  <r>
    <x v="433"/>
    <d v="2024-04-19T00:00:00"/>
    <d v="2024-04-20T00:00:00"/>
    <n v="1"/>
    <s v="CUST-7066"/>
    <s v="Priya Menon"/>
    <x v="2"/>
    <x v="2"/>
    <s v="Kerala"/>
    <s v="Kochi"/>
    <x v="0"/>
    <x v="2"/>
    <s v="Elite Art 946"/>
    <x v="0"/>
    <n v="4"/>
    <n v="1540.22"/>
    <n v="0"/>
    <x v="433"/>
    <n v="4938.7"/>
    <x v="432"/>
    <x v="1"/>
    <x v="2"/>
    <m/>
    <s v="Valid"/>
    <s v="Valid"/>
    <s v="Pass"/>
    <s v="Pass"/>
    <s v="April"/>
    <s v="2024"/>
    <m/>
    <n v="6160.88"/>
    <n v="6160.88"/>
    <n v="1222.1800000000003"/>
    <n v="0.19837750451234243"/>
    <n v="0.19837750451234243"/>
  </r>
  <r>
    <x v="434"/>
    <d v="2025-11-04T00:00:00"/>
    <d v="2025-04-15T00:00:00"/>
    <n v="-203"/>
    <s v="CUST-2351"/>
    <s v="Mira Das"/>
    <x v="3"/>
    <x v="0"/>
    <s v="Uttar Pradesh"/>
    <s v="Noida"/>
    <x v="2"/>
    <x v="5"/>
    <s v="Eco Accessories 705"/>
    <x v="0"/>
    <n v="5"/>
    <n v="652.78"/>
    <n v="0"/>
    <x v="434"/>
    <n v="2068.44"/>
    <x v="433"/>
    <x v="0"/>
    <x v="0"/>
    <m/>
    <s v="Invalid-Date"/>
    <s v="Valid"/>
    <s v="Pass"/>
    <s v="Pass"/>
    <s v="November"/>
    <s v="2025"/>
    <m/>
    <n v="3263.8999999999996"/>
    <n v="3263.8999999999996"/>
    <n v="1195.4599999999996"/>
    <n v="0.3662673488771101"/>
    <n v="0.3662673488771101"/>
  </r>
  <r>
    <x v="435"/>
    <d v="2025-04-12T00:00:00"/>
    <d v="2025-04-20T00:00:00"/>
    <n v="8"/>
    <s v="CUST-7291"/>
    <s v="Kabir Singh"/>
    <x v="3"/>
    <x v="0"/>
    <s v="Delhi"/>
    <s v="New Delhi"/>
    <x v="2"/>
    <x v="12"/>
    <s v="Max Machines 151"/>
    <x v="3"/>
    <n v="1"/>
    <n v="2737.71"/>
    <n v="0.15"/>
    <x v="435"/>
    <n v="1919.42"/>
    <x v="434"/>
    <x v="0"/>
    <x v="1"/>
    <m/>
    <s v="Valid"/>
    <s v="Valid"/>
    <s v="Pass"/>
    <s v="Pass"/>
    <s v="April"/>
    <s v="2025"/>
    <m/>
    <n v="2737.71"/>
    <n v="2327.0535"/>
    <n v="818.29"/>
    <n v="0.2988957924688882"/>
    <n v="0.2988957924688882"/>
  </r>
  <r>
    <x v="436"/>
    <d v="2024-06-16T00:00:00"/>
    <d v="2024-06-21T00:00:00"/>
    <n v="5"/>
    <s v="CUST-4492"/>
    <s v="Neha Gupta"/>
    <x v="0"/>
    <x v="2"/>
    <s v="Kerala"/>
    <s v="Kochi"/>
    <x v="1"/>
    <x v="3"/>
    <s v="Max Furnishings 803"/>
    <x v="1"/>
    <n v="6"/>
    <n v="1156.78"/>
    <n v="0.05"/>
    <x v="436"/>
    <n v="4359.3900000000003"/>
    <x v="435"/>
    <x v="0"/>
    <x v="2"/>
    <m/>
    <s v="Valid"/>
    <s v="Valid"/>
    <s v="Pass"/>
    <s v="Pass"/>
    <s v="June"/>
    <s v="2024"/>
    <m/>
    <n v="6940.68"/>
    <n v="6593.6459999999997"/>
    <n v="2581.29"/>
    <n v="0.37190736354362969"/>
    <n v="0.37190736354362969"/>
  </r>
  <r>
    <x v="437"/>
    <d v="2024-02-15T00:00:00"/>
    <d v="2024-02-18T00:00:00"/>
    <n v="3"/>
    <s v="CUST-5029"/>
    <s v="Aditi Sen"/>
    <x v="1"/>
    <x v="2"/>
    <s v="Kerala"/>
    <s v="Kochi"/>
    <x v="2"/>
    <x v="5"/>
    <s v="Max Accessories 423"/>
    <x v="1"/>
    <n v="8"/>
    <n v="379.82"/>
    <n v="0.05"/>
    <x v="437"/>
    <n v="1588.23"/>
    <x v="436"/>
    <x v="3"/>
    <x v="2"/>
    <m/>
    <s v="Valid"/>
    <s v="Valid"/>
    <s v="Pass"/>
    <s v="Pass"/>
    <s v="February"/>
    <s v="2024"/>
    <m/>
    <n v="3038.56"/>
    <n v="2886.6319999999996"/>
    <n v="1450.33"/>
    <n v="0.47730833026170288"/>
    <n v="0.47730833026170288"/>
  </r>
  <r>
    <x v="438"/>
    <d v="2025-05-07T00:00:00"/>
    <d v="2025-05-05T00:00:00"/>
    <n v="-2"/>
    <s v="CUST-7252"/>
    <s v="Neha Gupta"/>
    <x v="2"/>
    <x v="1"/>
    <s v="Jharkhand"/>
    <s v="Ranchi"/>
    <x v="2"/>
    <x v="11"/>
    <s v="Elite Phones 276"/>
    <x v="3"/>
    <n v="1"/>
    <n v="2266.4699999999998"/>
    <n v="0.2"/>
    <x v="438"/>
    <n v="1363.64"/>
    <x v="437"/>
    <x v="0"/>
    <x v="0"/>
    <m/>
    <s v="Invalid-Date"/>
    <s v="Valid"/>
    <s v="Pass"/>
    <s v="Pass"/>
    <s v="May"/>
    <s v="2025"/>
    <m/>
    <n v="2266.4699999999998"/>
    <n v="1813.1759999999999"/>
    <n v="902.8299999999997"/>
    <n v="0.39834191496026849"/>
    <n v="0.39834191496026849"/>
  </r>
  <r>
    <x v="439"/>
    <d v="2025-06-30T00:00:00"/>
    <d v="2025-03-07T00:00:00"/>
    <n v="-115"/>
    <s v="CUST-7346"/>
    <s v="Aarav Sharma"/>
    <x v="3"/>
    <x v="3"/>
    <s v="Goa"/>
    <s v="Panaji"/>
    <x v="0"/>
    <x v="8"/>
    <s v="Smart Storage 287"/>
    <x v="1"/>
    <n v="5"/>
    <n v="665.25"/>
    <n v="0"/>
    <x v="439"/>
    <n v="2689.36"/>
    <x v="438"/>
    <x v="1"/>
    <x v="2"/>
    <m/>
    <s v="Invalid-Date"/>
    <s v="Valid"/>
    <s v="Pass"/>
    <s v="Pass"/>
    <s v="June"/>
    <s v="2025"/>
    <m/>
    <n v="3326.25"/>
    <n v="3326.25"/>
    <n v="636.88999999999987"/>
    <n v="0.19147388199924836"/>
    <n v="0.19147388199924836"/>
  </r>
  <r>
    <x v="440"/>
    <d v="2024-02-04T00:00:00"/>
    <d v="2024-08-04T00:00:00"/>
    <n v="182"/>
    <s v="CUST-9039"/>
    <s v="Vikram Iyer"/>
    <x v="2"/>
    <x v="1"/>
    <s v="Odisha"/>
    <s v="Bhubaneswar"/>
    <x v="2"/>
    <x v="12"/>
    <s v="Basic Machines 610"/>
    <x v="0"/>
    <n v="6"/>
    <n v="3722.84"/>
    <n v="0.2"/>
    <x v="440"/>
    <n v="12163.8"/>
    <x v="439"/>
    <x v="0"/>
    <x v="0"/>
    <m/>
    <s v="Valid"/>
    <s v="Valid"/>
    <s v="Pass"/>
    <s v="Pass"/>
    <s v="February"/>
    <s v="2024"/>
    <m/>
    <n v="22337.040000000001"/>
    <n v="17869.632000000001"/>
    <n v="10173.240000000002"/>
    <n v="0.45544261907575945"/>
    <n v="0.45544261907575945"/>
  </r>
  <r>
    <x v="441"/>
    <d v="2024-10-03T00:00:00"/>
    <d v="2024-03-10T00:00:00"/>
    <n v="-207"/>
    <s v="CUST-3975"/>
    <s v="Karan Malhotra"/>
    <x v="0"/>
    <x v="1"/>
    <s v="Bihar"/>
    <s v="Patna"/>
    <x v="1"/>
    <x v="10"/>
    <s v="Elite Bookcases 393"/>
    <x v="3"/>
    <n v="6"/>
    <n v="4217.49"/>
    <n v="0"/>
    <x v="441"/>
    <n v="20771.95"/>
    <x v="440"/>
    <x v="0"/>
    <x v="1"/>
    <m/>
    <s v="Invalid-Date"/>
    <s v="Valid"/>
    <s v="Pass"/>
    <s v="Pass"/>
    <s v="October"/>
    <s v="2024"/>
    <m/>
    <n v="25304.94"/>
    <n v="25304.94"/>
    <n v="4532.989999999998"/>
    <n v="0.17913458795002077"/>
    <n v="0.17913458795002077"/>
  </r>
  <r>
    <x v="442"/>
    <d v="2025-01-12T00:00:00"/>
    <d v="2025-01-19T00:00:00"/>
    <n v="7"/>
    <s v="CUST-6588"/>
    <s v="Aarav Sharma"/>
    <x v="0"/>
    <x v="1"/>
    <s v="Jharkhand"/>
    <s v="Ranchi"/>
    <x v="1"/>
    <x v="1"/>
    <s v="Prime Tables 242"/>
    <x v="2"/>
    <n v="1"/>
    <n v="1842.31"/>
    <n v="0"/>
    <x v="442"/>
    <n v="1019.17"/>
    <x v="441"/>
    <x v="0"/>
    <x v="0"/>
    <m/>
    <s v="Valid"/>
    <s v="Valid"/>
    <s v="Pass"/>
    <s v="Pass"/>
    <s v="January"/>
    <s v="2025"/>
    <m/>
    <n v="1842.31"/>
    <n v="1842.31"/>
    <n v="823.14"/>
    <n v="0.44679777019068451"/>
    <n v="0.44679777019068451"/>
  </r>
  <r>
    <x v="443"/>
    <d v="2024-04-04T00:00:00"/>
    <d v="2024-07-04T00:00:00"/>
    <n v="91"/>
    <s v="CUST-2207"/>
    <s v="Rohan Mehta"/>
    <x v="3"/>
    <x v="1"/>
    <s v="Odisha"/>
    <s v="Bhubaneswar"/>
    <x v="1"/>
    <x v="3"/>
    <s v="Basic Furnishings 563"/>
    <x v="2"/>
    <n v="1"/>
    <n v="3683.75"/>
    <n v="0.1"/>
    <x v="443"/>
    <n v="2347.6799999999998"/>
    <x v="442"/>
    <x v="0"/>
    <x v="0"/>
    <m/>
    <s v="Valid"/>
    <s v="Valid"/>
    <s v="Pass"/>
    <s v="Pass"/>
    <s v="April"/>
    <s v="2024"/>
    <m/>
    <n v="3683.75"/>
    <n v="3315.375"/>
    <n v="1336.0700000000002"/>
    <n v="0.36269290804207671"/>
    <n v="0.36269290804207671"/>
  </r>
  <r>
    <x v="444"/>
    <d v="2025-08-12T00:00:00"/>
    <d v="2025-08-16T00:00:00"/>
    <n v="4"/>
    <s v="CUST-4475"/>
    <s v="Ananya Rao"/>
    <x v="0"/>
    <x v="1"/>
    <s v="Assam"/>
    <s v="Guwahati"/>
    <x v="2"/>
    <x v="5"/>
    <s v="Prime Accessories 482"/>
    <x v="1"/>
    <n v="9"/>
    <n v="2379.2399999999998"/>
    <n v="0.05"/>
    <x v="444"/>
    <n v="12407.51"/>
    <x v="443"/>
    <x v="0"/>
    <x v="0"/>
    <m/>
    <s v="Valid"/>
    <s v="Valid"/>
    <s v="Pass"/>
    <s v="Pass"/>
    <s v="August"/>
    <s v="2025"/>
    <m/>
    <n v="21413.159999999996"/>
    <n v="20342.501999999997"/>
    <n v="9005.649999999996"/>
    <n v="0.42056613783299607"/>
    <n v="0.42056613783299607"/>
  </r>
  <r>
    <x v="445"/>
    <d v="2024-09-05T00:00:00"/>
    <d v="2024-05-05T00:00:00"/>
    <n v="-123"/>
    <s v="CUST-1351"/>
    <s v="Arjun Bose"/>
    <x v="0"/>
    <x v="1"/>
    <s v="Assam"/>
    <s v="Guwahati"/>
    <x v="1"/>
    <x v="10"/>
    <s v="Eco Bookcases 215"/>
    <x v="1"/>
    <n v="2"/>
    <n v="2111.23"/>
    <n v="0.2"/>
    <x v="445"/>
    <n v="2496.29"/>
    <x v="444"/>
    <x v="0"/>
    <x v="0"/>
    <m/>
    <s v="Invalid-Date"/>
    <s v="Valid"/>
    <s v="Pass"/>
    <s v="Pass"/>
    <s v="September"/>
    <s v="2024"/>
    <m/>
    <n v="4222.46"/>
    <n v="3377.9680000000003"/>
    <n v="1726.17"/>
    <n v="0.40880671456923218"/>
    <n v="0.40880671456923218"/>
  </r>
  <r>
    <x v="446"/>
    <d v="2025-09-18T00:00:00"/>
    <d v="2025-09-19T00:00:00"/>
    <n v="1"/>
    <s v="CUST-9295"/>
    <s v="Sneha Kapoor"/>
    <x v="3"/>
    <x v="2"/>
    <s v="Andhra Pradesh"/>
    <s v="Vijayawada"/>
    <x v="0"/>
    <x v="8"/>
    <s v="Eco Storage 793"/>
    <x v="1"/>
    <n v="8"/>
    <n v="4242.51"/>
    <n v="0"/>
    <x v="446"/>
    <n v="23754.19"/>
    <x v="445"/>
    <x v="0"/>
    <x v="0"/>
    <m/>
    <s v="Valid"/>
    <s v="Valid"/>
    <s v="Pass"/>
    <s v="Pass"/>
    <s v="September"/>
    <s v="2025"/>
    <m/>
    <n v="33940.080000000002"/>
    <n v="33940.080000000002"/>
    <n v="10185.890000000003"/>
    <n v="0.30011390662603044"/>
    <n v="0.30011390662603044"/>
  </r>
  <r>
    <x v="447"/>
    <d v="2025-08-10T00:00:00"/>
    <d v="2025-10-08T00:00:00"/>
    <n v="59"/>
    <s v="CUST-3614"/>
    <s v="Rohan Mehta"/>
    <x v="3"/>
    <x v="2"/>
    <s v="Telangana"/>
    <s v="Hyderabad"/>
    <x v="1"/>
    <x v="10"/>
    <s v="Basic Bookcases 182"/>
    <x v="3"/>
    <n v="6"/>
    <n v="4288.7"/>
    <n v="0.15"/>
    <x v="447"/>
    <n v="13829.5"/>
    <x v="446"/>
    <x v="2"/>
    <x v="2"/>
    <m/>
    <s v="Valid"/>
    <s v="Valid"/>
    <s v="Pass"/>
    <s v="Pass"/>
    <s v="August"/>
    <s v="2025"/>
    <m/>
    <n v="25732.199999999997"/>
    <n v="21872.369999999995"/>
    <n v="11902.699999999997"/>
    <n v="0.462560527277108"/>
    <n v="0.462560527277108"/>
  </r>
  <r>
    <x v="448"/>
    <d v="2024-01-15T00:00:00"/>
    <d v="2024-01-18T00:00:00"/>
    <n v="3"/>
    <s v="CUST-1932"/>
    <s v="Mira Das"/>
    <x v="1"/>
    <x v="2"/>
    <s v="Andhra Pradesh"/>
    <s v="Vijayawada"/>
    <x v="1"/>
    <x v="4"/>
    <s v="Prime Chairs 631"/>
    <x v="2"/>
    <n v="2"/>
    <n v="201.21"/>
    <n v="0.15"/>
    <x v="448"/>
    <n v="244.57"/>
    <x v="447"/>
    <x v="0"/>
    <x v="0"/>
    <m/>
    <s v="Valid"/>
    <s v="Valid"/>
    <s v="Pass"/>
    <s v="Pass"/>
    <s v="January"/>
    <s v="2024"/>
    <m/>
    <n v="402.42"/>
    <n v="342.05700000000002"/>
    <n v="157.85000000000002"/>
    <n v="0.3922518761492968"/>
    <n v="0.3922518761492968"/>
  </r>
  <r>
    <x v="449"/>
    <d v="2024-06-06T00:00:00"/>
    <d v="2024-06-13T00:00:00"/>
    <n v="7"/>
    <s v="CUST-5094"/>
    <s v="Aditi Sen"/>
    <x v="2"/>
    <x v="1"/>
    <s v="Assam"/>
    <s v="Guwahati"/>
    <x v="2"/>
    <x v="12"/>
    <s v="Basic Machines 808"/>
    <x v="0"/>
    <n v="6"/>
    <n v="3270.36"/>
    <n v="0"/>
    <x v="449"/>
    <n v="14271.27"/>
    <x v="448"/>
    <x v="0"/>
    <x v="0"/>
    <m/>
    <s v="Valid"/>
    <s v="Valid"/>
    <s v="Pass"/>
    <s v="Pass"/>
    <s v="June"/>
    <s v="2024"/>
    <m/>
    <n v="19622.16"/>
    <n v="19622.16"/>
    <n v="5350.8899999999994"/>
    <n v="0.27269627808559299"/>
    <n v="0.27269627808559299"/>
  </r>
  <r>
    <x v="450"/>
    <d v="2025-12-06T00:00:00"/>
    <d v="2025-06-19T00:00:00"/>
    <n v="-170"/>
    <s v="CUST-8672"/>
    <s v="Ananya Rao"/>
    <x v="2"/>
    <x v="0"/>
    <s v="Delhi"/>
    <s v="New Delhi"/>
    <x v="1"/>
    <x v="4"/>
    <s v="Pro Chairs 302"/>
    <x v="3"/>
    <n v="9"/>
    <n v="2278.5700000000002"/>
    <n v="0.25"/>
    <x v="450"/>
    <n v="9907.3700000000008"/>
    <x v="449"/>
    <x v="0"/>
    <x v="0"/>
    <m/>
    <s v="Invalid-Date"/>
    <s v="Valid"/>
    <s v="Pass"/>
    <s v="Pass"/>
    <s v="December"/>
    <s v="2025"/>
    <m/>
    <n v="20507.13"/>
    <n v="15380.3475"/>
    <n v="10599.76"/>
    <n v="0.51688168944167223"/>
    <n v="0.51688168944167223"/>
  </r>
  <r>
    <x v="451"/>
    <d v="2024-03-24T00:00:00"/>
    <d v="2024-03-26T00:00:00"/>
    <n v="2"/>
    <s v="CUST-3907"/>
    <s v="Rohan Mehta"/>
    <x v="1"/>
    <x v="0"/>
    <s v="Haryana"/>
    <s v="Gurugram"/>
    <x v="0"/>
    <x v="0"/>
    <s v="Classic Paper 272"/>
    <x v="0"/>
    <n v="8"/>
    <n v="1917.64"/>
    <n v="0.15"/>
    <x v="451"/>
    <n v="11127.82"/>
    <x v="450"/>
    <x v="0"/>
    <x v="1"/>
    <m/>
    <s v="Valid"/>
    <s v="Valid"/>
    <s v="Pass"/>
    <s v="Pass"/>
    <s v="March"/>
    <s v="2024"/>
    <m/>
    <n v="15341.12"/>
    <n v="13039.952000000001"/>
    <n v="4213.3000000000011"/>
    <n v="0.27464096493606732"/>
    <n v="0.27464096493606732"/>
  </r>
  <r>
    <x v="452"/>
    <d v="2024-05-10T00:00:00"/>
    <d v="2024-05-16T00:00:00"/>
    <n v="6"/>
    <s v="CUST-8796"/>
    <s v="Diya Patel"/>
    <x v="3"/>
    <x v="1"/>
    <s v="Jharkhand"/>
    <s v="Ranchi"/>
    <x v="2"/>
    <x v="5"/>
    <s v="Smart Accessories 149"/>
    <x v="0"/>
    <n v="6"/>
    <n v="2013.33"/>
    <n v="0.2"/>
    <x v="452"/>
    <n v="5628.93"/>
    <x v="451"/>
    <x v="0"/>
    <x v="0"/>
    <m/>
    <s v="Valid"/>
    <s v="Valid"/>
    <s v="Pass"/>
    <s v="Pass"/>
    <s v="May"/>
    <s v="2024"/>
    <m/>
    <n v="12079.98"/>
    <n v="9663.9840000000004"/>
    <n v="6451.0499999999993"/>
    <n v="0.53402820203344703"/>
    <n v="0.53402820203344703"/>
  </r>
  <r>
    <x v="453"/>
    <d v="2025-03-05T00:00:00"/>
    <d v="2025-11-05T00:00:00"/>
    <n v="245"/>
    <s v="CUST-2317"/>
    <s v="Rohan Mehta"/>
    <x v="1"/>
    <x v="3"/>
    <s v="Madhya Pradesh"/>
    <s v="Indore"/>
    <x v="0"/>
    <x v="7"/>
    <s v="Elite Labels 322"/>
    <x v="1"/>
    <n v="5"/>
    <n v="1483.52"/>
    <n v="0"/>
    <x v="453"/>
    <n v="4955.8599999999997"/>
    <x v="452"/>
    <x v="0"/>
    <x v="0"/>
    <m/>
    <s v="Valid"/>
    <s v="Valid"/>
    <s v="Pass"/>
    <s v="Pass"/>
    <s v="March"/>
    <s v="2025"/>
    <m/>
    <n v="7417.6"/>
    <n v="7417.6"/>
    <n v="2461.7400000000007"/>
    <n v="0.3318782355478862"/>
    <n v="0.3318782355478862"/>
  </r>
  <r>
    <x v="454"/>
    <d v="2025-03-23T00:00:00"/>
    <d v="2025-03-28T00:00:00"/>
    <n v="5"/>
    <s v="CUST-8643"/>
    <s v="Vikram Iyer"/>
    <x v="1"/>
    <x v="0"/>
    <s v="Rajasthan"/>
    <s v="Jaipur"/>
    <x v="1"/>
    <x v="3"/>
    <s v="Max Furnishings 821"/>
    <x v="3"/>
    <n v="9"/>
    <n v="3298"/>
    <n v="0.15"/>
    <x v="454"/>
    <n v="20170.43"/>
    <x v="453"/>
    <x v="0"/>
    <x v="0"/>
    <m/>
    <s v="Valid"/>
    <s v="Valid"/>
    <s v="Pass"/>
    <s v="Pass"/>
    <s v="March"/>
    <s v="2025"/>
    <m/>
    <n v="29682"/>
    <n v="25229.7"/>
    <n v="9511.57"/>
    <n v="0.32044909372683783"/>
    <n v="0.32044909372683783"/>
  </r>
  <r>
    <x v="455"/>
    <d v="2024-07-18T00:00:00"/>
    <d v="2024-07-22T00:00:00"/>
    <n v="4"/>
    <s v="CUST-1800"/>
    <s v="Neha Gupta"/>
    <x v="1"/>
    <x v="2"/>
    <s v="Telangana"/>
    <s v="Hyderabad"/>
    <x v="0"/>
    <x v="2"/>
    <s v="Basic Art 556"/>
    <x v="3"/>
    <n v="4"/>
    <n v="808.77"/>
    <n v="0"/>
    <x v="455"/>
    <n v="1848.6"/>
    <x v="454"/>
    <x v="0"/>
    <x v="0"/>
    <m/>
    <s v="Valid"/>
    <s v="Valid"/>
    <s v="Pass"/>
    <s v="Pass"/>
    <s v="July"/>
    <s v="2024"/>
    <m/>
    <n v="3235.08"/>
    <n v="3235.08"/>
    <n v="1386.48"/>
    <n v="0.42857672762342819"/>
    <n v="0.42857672762342819"/>
  </r>
  <r>
    <x v="456"/>
    <d v="2024-02-20T00:00:00"/>
    <d v="2024-02-20T00:00:00"/>
    <n v="0"/>
    <s v="CUST-7688"/>
    <s v="Neha Gupta"/>
    <x v="2"/>
    <x v="0"/>
    <s v="Uttar Pradesh"/>
    <s v="Noida"/>
    <x v="2"/>
    <x v="5"/>
    <s v="Smart Accessories 265"/>
    <x v="1"/>
    <n v="5"/>
    <n v="2604.91"/>
    <n v="0.15"/>
    <x v="456"/>
    <n v="6623.61"/>
    <x v="455"/>
    <x v="0"/>
    <x v="2"/>
    <m/>
    <s v="Valid"/>
    <s v="Valid"/>
    <s v="Pass"/>
    <s v="Pass"/>
    <s v="February"/>
    <s v="2024"/>
    <m/>
    <n v="13024.55"/>
    <n v="11070.867499999998"/>
    <n v="6400.94"/>
    <n v="0.49145191196624838"/>
    <n v="0.49145191196624838"/>
  </r>
  <r>
    <x v="457"/>
    <d v="2024-04-05T00:00:00"/>
    <d v="2024-04-05T00:00:00"/>
    <n v="0"/>
    <s v="CUST-4957"/>
    <s v="Mira Das"/>
    <x v="1"/>
    <x v="3"/>
    <s v="Goa"/>
    <s v="Panaji"/>
    <x v="1"/>
    <x v="1"/>
    <s v="Elite Tables 418"/>
    <x v="3"/>
    <n v="7"/>
    <n v="2851.51"/>
    <n v="0"/>
    <x v="457"/>
    <n v="16603.599999999999"/>
    <x v="456"/>
    <x v="0"/>
    <x v="0"/>
    <m/>
    <s v="Valid"/>
    <s v="Valid"/>
    <s v="Pass"/>
    <s v="Pass"/>
    <s v="April"/>
    <s v="2024"/>
    <m/>
    <n v="19960.57"/>
    <n v="19960.57"/>
    <n v="3356.9700000000012"/>
    <n v="0.1681800670020947"/>
    <n v="0.1681800670020947"/>
  </r>
  <r>
    <x v="458"/>
    <d v="2024-02-10T00:00:00"/>
    <d v="2024-11-02T00:00:00"/>
    <n v="266"/>
    <s v="CUST-1263"/>
    <s v="Karan Malhotra"/>
    <x v="2"/>
    <x v="0"/>
    <s v="Rajasthan"/>
    <s v="Jaipur"/>
    <x v="2"/>
    <x v="11"/>
    <s v="Pro Phones 907"/>
    <x v="0"/>
    <n v="3"/>
    <n v="3183.72"/>
    <n v="0.1"/>
    <x v="458"/>
    <n v="5378.16"/>
    <x v="457"/>
    <x v="0"/>
    <x v="0"/>
    <m/>
    <s v="Valid"/>
    <s v="Valid"/>
    <s v="Pass"/>
    <s v="Pass"/>
    <s v="February"/>
    <s v="2024"/>
    <m/>
    <n v="9551.16"/>
    <n v="8596.0439999999999"/>
    <n v="4173"/>
    <n v="0.43691028105486662"/>
    <n v="0.43691028105486662"/>
  </r>
  <r>
    <x v="459"/>
    <d v="2024-03-28T00:00:00"/>
    <d v="2024-04-04T00:00:00"/>
    <n v="7"/>
    <s v="CUST-4745"/>
    <s v="Ananya Rao"/>
    <x v="3"/>
    <x v="3"/>
    <s v="Goa"/>
    <s v="Panaji"/>
    <x v="0"/>
    <x v="0"/>
    <s v="Basic Paper 233"/>
    <x v="2"/>
    <n v="3"/>
    <n v="1150.92"/>
    <n v="0"/>
    <x v="459"/>
    <n v="2077.96"/>
    <x v="458"/>
    <x v="0"/>
    <x v="0"/>
    <m/>
    <s v="Valid"/>
    <s v="Valid"/>
    <s v="Pass"/>
    <s v="Pass"/>
    <s v="March"/>
    <s v="2024"/>
    <m/>
    <n v="3452.76"/>
    <n v="3452.76"/>
    <n v="1374.8000000000002"/>
    <n v="0.39817421425178701"/>
    <n v="0.39817421425178701"/>
  </r>
  <r>
    <x v="460"/>
    <d v="2025-09-30T00:00:00"/>
    <d v="2025-06-10T00:00:00"/>
    <n v="-112"/>
    <s v="CUST-5551"/>
    <s v="Aarav Sharma"/>
    <x v="2"/>
    <x v="4"/>
    <s v="Rajasthan"/>
    <s v="Jaipur"/>
    <x v="2"/>
    <x v="6"/>
    <s v="Eco Copiers 603"/>
    <x v="0"/>
    <n v="9"/>
    <n v="1359.88"/>
    <n v="0.05"/>
    <x v="460"/>
    <n v="7394.07"/>
    <x v="459"/>
    <x v="0"/>
    <x v="0"/>
    <m/>
    <s v="Invalid-Date"/>
    <s v="Valid"/>
    <s v="Pass"/>
    <s v="Flagged"/>
    <s v="September"/>
    <s v="2025"/>
    <m/>
    <n v="12238.920000000002"/>
    <n v="11626.974000000002"/>
    <n v="4844.8500000000022"/>
    <n v="0.39585600690256995"/>
    <n v="0.39585600690256995"/>
  </r>
  <r>
    <x v="461"/>
    <d v="2025-05-25T00:00:00"/>
    <d v="2025-05-26T00:00:00"/>
    <n v="1"/>
    <s v="CUST-3659"/>
    <s v="Neha Gupta"/>
    <x v="2"/>
    <x v="2"/>
    <s v="Andhra Pradesh"/>
    <s v="Vijayawada"/>
    <x v="0"/>
    <x v="0"/>
    <s v="Max Paper 700"/>
    <x v="3"/>
    <n v="3"/>
    <n v="3378.15"/>
    <n v="0.15"/>
    <x v="461"/>
    <n v="7052.08"/>
    <x v="460"/>
    <x v="0"/>
    <x v="0"/>
    <m/>
    <s v="Valid"/>
    <s v="Valid"/>
    <s v="Pass"/>
    <s v="Pass"/>
    <s v="May"/>
    <s v="2025"/>
    <m/>
    <n v="10134.450000000001"/>
    <n v="8614.2825000000012"/>
    <n v="3082.3700000000008"/>
    <n v="0.30414773372013287"/>
    <n v="0.30414773372013287"/>
  </r>
  <r>
    <x v="462"/>
    <d v="2024-09-23T00:00:00"/>
    <d v="2024-09-25T00:00:00"/>
    <n v="2"/>
    <s v="CUST-6594"/>
    <s v="Aarav Sharma"/>
    <x v="3"/>
    <x v="0"/>
    <s v="Delhi"/>
    <s v="New Delhi"/>
    <x v="0"/>
    <x v="9"/>
    <s v="Pro Binders 404"/>
    <x v="2"/>
    <n v="2"/>
    <n v="1275.1400000000001"/>
    <n v="0.2"/>
    <x v="462"/>
    <n v="1395.71"/>
    <x v="461"/>
    <x v="0"/>
    <x v="0"/>
    <m/>
    <s v="Valid"/>
    <s v="Valid"/>
    <s v="Pass"/>
    <s v="Pass"/>
    <s v="September"/>
    <s v="2024"/>
    <m/>
    <n v="2550.2800000000002"/>
    <n v="2040.2240000000002"/>
    <n v="1154.5700000000002"/>
    <n v="0.45272283827658144"/>
    <n v="0.45272283827658144"/>
  </r>
  <r>
    <x v="463"/>
    <d v="2025-02-07T00:00:00"/>
    <d v="2025-08-02T00:00:00"/>
    <n v="176"/>
    <s v="CUST-2626"/>
    <s v="Arjun Bose"/>
    <x v="2"/>
    <x v="3"/>
    <s v="Madhya Pradesh"/>
    <s v="Indore"/>
    <x v="2"/>
    <x v="11"/>
    <s v="Eco Phones 208"/>
    <x v="3"/>
    <n v="4"/>
    <n v="889.5"/>
    <n v="0.2"/>
    <x v="463"/>
    <n v="2132.37"/>
    <x v="462"/>
    <x v="0"/>
    <x v="0"/>
    <m/>
    <s v="Valid"/>
    <s v="Valid"/>
    <s v="Pass"/>
    <s v="Pass"/>
    <s v="February"/>
    <s v="2025"/>
    <m/>
    <n v="3558"/>
    <n v="2846.4"/>
    <n v="1425.63"/>
    <n v="0.40068296795952785"/>
    <n v="0.40068296795952785"/>
  </r>
  <r>
    <x v="464"/>
    <d v="2025-03-11T00:00:00"/>
    <d v="2025-03-15T00:00:00"/>
    <n v="4"/>
    <s v="CUST-7362"/>
    <s v="Arjun Bose"/>
    <x v="2"/>
    <x v="1"/>
    <s v="Bihar"/>
    <s v="Patna"/>
    <x v="0"/>
    <x v="0"/>
    <s v="Elite Paper 106"/>
    <x v="1"/>
    <n v="3"/>
    <n v="3625.08"/>
    <n v="0.05"/>
    <x v="464"/>
    <n v="7131.91"/>
    <x v="463"/>
    <x v="2"/>
    <x v="1"/>
    <m/>
    <s v="Valid"/>
    <s v="Valid"/>
    <s v="Pass"/>
    <s v="Pass"/>
    <s v="March"/>
    <s v="2025"/>
    <m/>
    <n v="10875.24"/>
    <n v="10331.477999999999"/>
    <n v="3743.33"/>
    <n v="0.34420665658872818"/>
    <n v="0.34420665658872818"/>
  </r>
  <r>
    <x v="465"/>
    <d v="2024-01-29T00:00:00"/>
    <d v="2024-06-02T00:00:00"/>
    <n v="125"/>
    <s v="CUST-1748"/>
    <s v="Aarav Sharma"/>
    <x v="1"/>
    <x v="3"/>
    <s v="Madhya Pradesh"/>
    <s v="Indore"/>
    <x v="0"/>
    <x v="7"/>
    <s v="Eco Labels 914"/>
    <x v="3"/>
    <n v="2"/>
    <n v="1258.9000000000001"/>
    <n v="0"/>
    <x v="465"/>
    <n v="1478.54"/>
    <x v="464"/>
    <x v="0"/>
    <x v="0"/>
    <m/>
    <s v="Valid"/>
    <s v="Valid"/>
    <s v="Pass"/>
    <s v="Pass"/>
    <s v="January"/>
    <s v="2024"/>
    <m/>
    <n v="2517.8000000000002"/>
    <n v="2517.8000000000002"/>
    <n v="1039.2600000000002"/>
    <n v="0.41276511239971408"/>
    <n v="0.41276511239971408"/>
  </r>
  <r>
    <x v="466"/>
    <d v="2024-01-04T00:00:00"/>
    <d v="2024-08-01T00:00:00"/>
    <n v="210"/>
    <s v="CUST-2725"/>
    <s v="Mira Das"/>
    <x v="1"/>
    <x v="1"/>
    <s v="Bihar"/>
    <s v="Patna"/>
    <x v="2"/>
    <x v="5"/>
    <s v="Max Accessories 486"/>
    <x v="1"/>
    <n v="9"/>
    <n v="1591.96"/>
    <n v="0.2"/>
    <x v="466"/>
    <n v="7105.48"/>
    <x v="465"/>
    <x v="0"/>
    <x v="0"/>
    <m/>
    <s v="Valid"/>
    <s v="Valid"/>
    <s v="Pass"/>
    <s v="Pass"/>
    <s v="January"/>
    <s v="2024"/>
    <m/>
    <n v="14327.64"/>
    <n v="11462.112000000001"/>
    <n v="7222.16"/>
    <n v="0.50407184993481136"/>
    <n v="0.50407184993481136"/>
  </r>
  <r>
    <x v="467"/>
    <d v="2024-08-20T00:00:00"/>
    <d v="2024-08-21T00:00:00"/>
    <n v="1"/>
    <s v="CUST-9470"/>
    <s v="Aditi Sen"/>
    <x v="2"/>
    <x v="1"/>
    <s v="Odisha"/>
    <s v="Bhubaneswar"/>
    <x v="2"/>
    <x v="6"/>
    <s v="Max Copiers 867"/>
    <x v="2"/>
    <n v="5"/>
    <n v="4288.33"/>
    <n v="0.1"/>
    <x v="467"/>
    <n v="15451.66"/>
    <x v="466"/>
    <x v="1"/>
    <x v="1"/>
    <m/>
    <s v="Valid"/>
    <s v="Valid"/>
    <s v="Pass"/>
    <s v="Pass"/>
    <s v="August"/>
    <s v="2024"/>
    <m/>
    <n v="21441.65"/>
    <n v="19297.485000000001"/>
    <n v="5989.9900000000016"/>
    <n v="0.27936236250475133"/>
    <n v="0.27936236250475133"/>
  </r>
  <r>
    <x v="468"/>
    <d v="2025-01-09T00:00:00"/>
    <d v="2025-07-01T00:00:00"/>
    <n v="173"/>
    <s v="CUST-4176"/>
    <s v="Aarav Sharma"/>
    <x v="3"/>
    <x v="1"/>
    <s v="West Bengal"/>
    <s v="Kolkata"/>
    <x v="0"/>
    <x v="9"/>
    <s v="Pro Binders 555"/>
    <x v="0"/>
    <n v="3"/>
    <n v="2188.33"/>
    <n v="0"/>
    <x v="468"/>
    <n v="5407.24"/>
    <x v="467"/>
    <x v="0"/>
    <x v="0"/>
    <m/>
    <s v="Valid"/>
    <s v="Valid"/>
    <s v="Pass"/>
    <s v="Pass"/>
    <s v="January"/>
    <s v="2025"/>
    <m/>
    <n v="6564.99"/>
    <n v="6564.99"/>
    <n v="1157.75"/>
    <n v="0.17635213458055535"/>
    <n v="0.17635213458055535"/>
  </r>
  <r>
    <x v="469"/>
    <d v="2024-01-19T00:00:00"/>
    <d v="2024-01-25T00:00:00"/>
    <n v="6"/>
    <s v="CUST-3448"/>
    <s v="Aditi Sen"/>
    <x v="2"/>
    <x v="3"/>
    <s v="Goa"/>
    <s v="Panaji"/>
    <x v="2"/>
    <x v="6"/>
    <s v="Pro Copiers 971"/>
    <x v="2"/>
    <n v="3"/>
    <n v="1041.6600000000001"/>
    <n v="0.1"/>
    <x v="469"/>
    <n v="2282.12"/>
    <x v="468"/>
    <x v="0"/>
    <x v="0"/>
    <m/>
    <s v="Valid"/>
    <s v="Valid"/>
    <s v="Pass"/>
    <s v="Pass"/>
    <s v="January"/>
    <s v="2024"/>
    <m/>
    <n v="3124.9800000000005"/>
    <n v="2812.4820000000004"/>
    <n v="842.86000000000058"/>
    <n v="0.26971692618832777"/>
    <n v="0.26971692618832777"/>
  </r>
  <r>
    <x v="470"/>
    <d v="2024-07-28T00:00:00"/>
    <d v="2024-07-31T00:00:00"/>
    <n v="3"/>
    <s v="CUST-4970"/>
    <s v="Aditi Sen"/>
    <x v="0"/>
    <x v="0"/>
    <s v="Rajasthan"/>
    <s v="Jaipur"/>
    <x v="1"/>
    <x v="1"/>
    <s v="Pro Tables 833"/>
    <x v="1"/>
    <n v="2"/>
    <n v="4424.78"/>
    <n v="0.2"/>
    <x v="470"/>
    <n v="4465.91"/>
    <x v="469"/>
    <x v="0"/>
    <x v="0"/>
    <m/>
    <s v="Valid"/>
    <s v="Valid"/>
    <s v="Pass"/>
    <s v="Pass"/>
    <s v="July"/>
    <s v="2024"/>
    <m/>
    <n v="8849.56"/>
    <n v="7079.6480000000001"/>
    <n v="4383.6499999999996"/>
    <n v="0.49535231130135282"/>
    <n v="0.49535231130135282"/>
  </r>
  <r>
    <x v="471"/>
    <d v="2024-02-11T00:00:00"/>
    <d v="2024-02-15T00:00:00"/>
    <n v="4"/>
    <s v="CUST-6147"/>
    <s v="Kabir Singh"/>
    <x v="0"/>
    <x v="2"/>
    <s v="Telangana"/>
    <s v="Hyderabad"/>
    <x v="0"/>
    <x v="9"/>
    <s v="Prime Binders 497"/>
    <x v="3"/>
    <n v="3"/>
    <n v="3019.14"/>
    <n v="0.25"/>
    <x v="471"/>
    <n v="4985.22"/>
    <x v="470"/>
    <x v="0"/>
    <x v="0"/>
    <m/>
    <s v="Valid"/>
    <s v="Valid"/>
    <s v="Pass"/>
    <s v="Pass"/>
    <s v="February"/>
    <s v="2024"/>
    <m/>
    <n v="9057.42"/>
    <n v="6793.0650000000005"/>
    <n v="4072.2"/>
    <n v="0.44959822995952486"/>
    <n v="0.44959822995952486"/>
  </r>
  <r>
    <x v="472"/>
    <d v="2024-03-02T00:00:00"/>
    <d v="2024-07-03T00:00:00"/>
    <n v="123"/>
    <s v="CUST-7208"/>
    <s v="Rohan Mehta"/>
    <x v="2"/>
    <x v="1"/>
    <s v="Odisha"/>
    <s v="Bhubaneswar"/>
    <x v="0"/>
    <x v="8"/>
    <s v="Pro Storage 756"/>
    <x v="3"/>
    <n v="7"/>
    <n v="263.45999999999998"/>
    <n v="0"/>
    <x v="472"/>
    <n v="1094.21"/>
    <x v="471"/>
    <x v="0"/>
    <x v="0"/>
    <m/>
    <s v="Valid"/>
    <s v="Valid"/>
    <s v="Pass"/>
    <s v="Pass"/>
    <s v="March"/>
    <s v="2024"/>
    <m/>
    <n v="1844.2199999999998"/>
    <n v="1844.2199999999998"/>
    <n v="750.00999999999976"/>
    <n v="0.40668141544934977"/>
    <n v="0.40668141544934977"/>
  </r>
  <r>
    <x v="473"/>
    <d v="2024-11-13T00:00:00"/>
    <d v="2024-11-13T00:00:00"/>
    <n v="0"/>
    <s v="CUST-2794"/>
    <s v="Priya Menon"/>
    <x v="0"/>
    <x v="3"/>
    <s v="Goa"/>
    <s v="Panaji"/>
    <x v="2"/>
    <x v="6"/>
    <s v="Max Copiers 829"/>
    <x v="3"/>
    <n v="6"/>
    <n v="191.45"/>
    <n v="0.2"/>
    <x v="473"/>
    <n v="554.17999999999995"/>
    <x v="472"/>
    <x v="0"/>
    <x v="0"/>
    <m/>
    <s v="Valid"/>
    <s v="Valid"/>
    <s v="Pass"/>
    <s v="Pass"/>
    <s v="November"/>
    <s v="2024"/>
    <m/>
    <n v="1148.6999999999998"/>
    <n v="918.95999999999992"/>
    <n v="594.51999999999987"/>
    <n v="0.51755897971620091"/>
    <n v="0.51755897971620091"/>
  </r>
  <r>
    <x v="474"/>
    <d v="2024-06-03T00:00:00"/>
    <d v="2024-10-06T00:00:00"/>
    <n v="125"/>
    <s v="CUST-6249"/>
    <s v="Diya Patel"/>
    <x v="2"/>
    <x v="0"/>
    <s v="Punjab"/>
    <s v="Ludhiana"/>
    <x v="1"/>
    <x v="3"/>
    <s v="Prime Furnishings 827"/>
    <x v="3"/>
    <n v="3"/>
    <n v="1633.57"/>
    <n v="0"/>
    <x v="474"/>
    <n v="2713.9"/>
    <x v="473"/>
    <x v="0"/>
    <x v="0"/>
    <m/>
    <s v="Valid"/>
    <s v="Valid"/>
    <s v="Pass"/>
    <s v="Pass"/>
    <s v="June"/>
    <s v="2024"/>
    <m/>
    <n v="4900.71"/>
    <n v="4900.71"/>
    <n v="2186.81"/>
    <n v="0.44622309828575857"/>
    <n v="0.44622309828575857"/>
  </r>
  <r>
    <x v="475"/>
    <d v="2025-01-03T00:00:00"/>
    <d v="2025-08-03T00:00:00"/>
    <n v="212"/>
    <s v="CUST-5712"/>
    <s v="Vikram Iyer"/>
    <x v="0"/>
    <x v="1"/>
    <s v="West Bengal"/>
    <s v="Kolkata"/>
    <x v="1"/>
    <x v="4"/>
    <s v="Eco Chairs 365"/>
    <x v="1"/>
    <n v="8"/>
    <n v="3378.82"/>
    <n v="0.25"/>
    <x v="475"/>
    <n v="15873.38"/>
    <x v="474"/>
    <x v="2"/>
    <x v="2"/>
    <m/>
    <s v="Valid"/>
    <s v="Valid"/>
    <s v="Pass"/>
    <s v="Pass"/>
    <s v="January"/>
    <s v="2025"/>
    <m/>
    <n v="27030.560000000001"/>
    <n v="20272.920000000002"/>
    <n v="11157.180000000002"/>
    <n v="0.41276170379008059"/>
    <n v="0.41276170379008059"/>
  </r>
  <r>
    <x v="476"/>
    <d v="2024-07-05T00:00:00"/>
    <d v="2024-05-14T00:00:00"/>
    <n v="-52"/>
    <s v="CUST-3004"/>
    <s v="Sneha Kapoor"/>
    <x v="1"/>
    <x v="0"/>
    <s v="Rajasthan"/>
    <s v="Jaipur"/>
    <x v="0"/>
    <x v="8"/>
    <s v="Classic Storage 545"/>
    <x v="2"/>
    <n v="3"/>
    <n v="383.58"/>
    <n v="0.1"/>
    <x v="476"/>
    <n v="595.41999999999996"/>
    <x v="475"/>
    <x v="0"/>
    <x v="0"/>
    <m/>
    <s v="Invalid-Date"/>
    <s v="Valid"/>
    <s v="Pass"/>
    <s v="Pass"/>
    <s v="July"/>
    <s v="2024"/>
    <m/>
    <n v="1150.74"/>
    <n v="1035.6659999999999"/>
    <n v="555.32000000000005"/>
    <n v="0.48257642908041787"/>
    <n v="0.48257642908041787"/>
  </r>
  <r>
    <x v="477"/>
    <d v="2025-08-23T00:00:00"/>
    <d v="2025-08-28T00:00:00"/>
    <n v="5"/>
    <s v="CUST-6920"/>
    <s v="Vikram Iyer"/>
    <x v="2"/>
    <x v="3"/>
    <s v="Gujarat"/>
    <s v="Ahmedabad"/>
    <x v="1"/>
    <x v="4"/>
    <s v="Pro Chairs 186"/>
    <x v="3"/>
    <n v="6"/>
    <n v="2193.23"/>
    <n v="0.1"/>
    <x v="477"/>
    <n v="9356.8799999999992"/>
    <x v="476"/>
    <x v="0"/>
    <x v="1"/>
    <m/>
    <s v="Valid"/>
    <s v="Valid"/>
    <s v="Pass"/>
    <s v="Pass"/>
    <s v="August"/>
    <s v="2025"/>
    <m/>
    <n v="13159.380000000001"/>
    <n v="11843.442000000001"/>
    <n v="3802.5000000000018"/>
    <n v="0.28895738249066455"/>
    <n v="0.28895738249066455"/>
  </r>
  <r>
    <x v="478"/>
    <d v="2024-09-06T00:00:00"/>
    <d v="2024-06-13T00:00:00"/>
    <n v="-85"/>
    <s v="CUST-4838"/>
    <s v="Mira Das"/>
    <x v="3"/>
    <x v="4"/>
    <s v="Uttar Pradesh"/>
    <s v="Noida"/>
    <x v="2"/>
    <x v="12"/>
    <s v="Classic Machines 561"/>
    <x v="1"/>
    <n v="7"/>
    <n v="4079.71"/>
    <n v="0.1"/>
    <x v="478"/>
    <n v="14571.48"/>
    <x v="477"/>
    <x v="1"/>
    <x v="2"/>
    <m/>
    <s v="Invalid-Date"/>
    <s v="Valid"/>
    <s v="Pass"/>
    <s v="Flagged"/>
    <s v="September"/>
    <s v="2024"/>
    <m/>
    <n v="28557.97"/>
    <n v="25702.173000000003"/>
    <n v="13986.490000000002"/>
    <n v="0.48975785043544767"/>
    <n v="0.48975785043544767"/>
  </r>
  <r>
    <x v="479"/>
    <d v="2024-02-23T00:00:00"/>
    <d v="2024-02-20T00:00:00"/>
    <n v="-3"/>
    <s v="CUST-7520"/>
    <s v="Arjun Bose"/>
    <x v="2"/>
    <x v="1"/>
    <s v="Odisha"/>
    <s v="Bhubaneswar"/>
    <x v="1"/>
    <x v="4"/>
    <s v="Max Chairs 594"/>
    <x v="0"/>
    <n v="1"/>
    <n v="2202.5500000000002"/>
    <n v="0"/>
    <x v="479"/>
    <n v="1034.57"/>
    <x v="478"/>
    <x v="0"/>
    <x v="0"/>
    <m/>
    <s v="Invalid-Date"/>
    <s v="Valid"/>
    <s v="Pass"/>
    <s v="Pass"/>
    <s v="February"/>
    <s v="2024"/>
    <m/>
    <n v="2202.5500000000002"/>
    <n v="2202.5500000000002"/>
    <n v="1167.9800000000002"/>
    <n v="0.53028535107035035"/>
    <n v="0.53028535107035035"/>
  </r>
  <r>
    <x v="480"/>
    <d v="2025-01-05T00:00:00"/>
    <d v="2025-09-01T00:00:00"/>
    <n v="239"/>
    <s v="CUST-9947"/>
    <s v="Neha Gupta"/>
    <x v="1"/>
    <x v="2"/>
    <s v="Tamil Nadu"/>
    <s v="Chennai"/>
    <x v="0"/>
    <x v="8"/>
    <s v="Eco Storage 923"/>
    <x v="4"/>
    <n v="5"/>
    <n v="905.16"/>
    <n v="0"/>
    <x v="480"/>
    <n v="2714.51"/>
    <x v="479"/>
    <x v="0"/>
    <x v="0"/>
    <m/>
    <s v="Valid"/>
    <s v="Valid"/>
    <s v="Flagged"/>
    <s v="Pass"/>
    <s v="January"/>
    <s v="2025"/>
    <m/>
    <n v="4525.8"/>
    <n v="4525.8"/>
    <n v="1811.29"/>
    <n v="0.40021432674886204"/>
    <n v="0.40021432674886204"/>
  </r>
  <r>
    <x v="481"/>
    <d v="2025-06-05T00:00:00"/>
    <d v="2025-06-13T00:00:00"/>
    <n v="8"/>
    <s v="CUST-4403"/>
    <s v="Isha Nair"/>
    <x v="0"/>
    <x v="0"/>
    <s v="Uttar Pradesh"/>
    <s v="Noida"/>
    <x v="2"/>
    <x v="12"/>
    <s v="Classic Machines 287"/>
    <x v="1"/>
    <n v="4"/>
    <n v="2793.88"/>
    <n v="0.85"/>
    <x v="481"/>
    <n v="6353.59"/>
    <x v="480"/>
    <x v="0"/>
    <x v="0"/>
    <m/>
    <s v="Valid"/>
    <s v="Invalid-Discount"/>
    <s v="Pass"/>
    <s v="Pass"/>
    <s v="June"/>
    <s v="2025"/>
    <m/>
    <n v="11175.52"/>
    <n v="1676.3280000000002"/>
    <n v="4821.93"/>
    <n v="0.43147253998024254"/>
    <n v="0.43147253998024254"/>
  </r>
  <r>
    <x v="482"/>
    <d v="2024-07-22T00:00:00"/>
    <d v="2024-07-22T00:00:00"/>
    <n v="0"/>
    <s v="CUST-3583"/>
    <s v="Priya Menon"/>
    <x v="0"/>
    <x v="2"/>
    <s v="Karnataka"/>
    <s v="Bengaluru"/>
    <x v="2"/>
    <x v="5"/>
    <s v="Basic Accessories 518"/>
    <x v="0"/>
    <n v="3"/>
    <n v="1286.22"/>
    <n v="0.25"/>
    <x v="482"/>
    <n v="1856.03"/>
    <x v="481"/>
    <x v="0"/>
    <x v="0"/>
    <m/>
    <s v="Valid"/>
    <s v="Valid"/>
    <s v="Pass"/>
    <s v="Pass"/>
    <s v="July"/>
    <s v="2024"/>
    <m/>
    <n v="3858.66"/>
    <n v="2893.9949999999999"/>
    <n v="2002.6299999999999"/>
    <n v="0.51899623185250843"/>
    <n v="0.51899623185250843"/>
  </r>
  <r>
    <x v="483"/>
    <d v="2024-12-25T00:00:00"/>
    <d v="2024-12-25T00:00:00"/>
    <n v="0"/>
    <s v="CUST-9432"/>
    <s v="Mira Das"/>
    <x v="2"/>
    <x v="1"/>
    <s v="Bihar"/>
    <s v="Patna"/>
    <x v="2"/>
    <x v="6"/>
    <s v="Pro Copiers 984"/>
    <x v="3"/>
    <n v="1"/>
    <n v="829.66"/>
    <n v="0.15"/>
    <x v="483"/>
    <n v="438.32"/>
    <x v="482"/>
    <x v="0"/>
    <x v="0"/>
    <m/>
    <s v="Valid"/>
    <s v="Valid"/>
    <s v="Pass"/>
    <s v="Pass"/>
    <s v="December"/>
    <s v="2024"/>
    <m/>
    <n v="829.66"/>
    <n v="705.2109999999999"/>
    <n v="391.34"/>
    <n v="0.47168719716510377"/>
    <n v="0.47168719716510377"/>
  </r>
  <r>
    <x v="484"/>
    <d v="2024-12-28T00:00:00"/>
    <d v="2024-12-31T00:00:00"/>
    <n v="3"/>
    <s v="CUST-1801"/>
    <s v="Mira Das"/>
    <x v="1"/>
    <x v="2"/>
    <s v="Andhra Pradesh"/>
    <s v="Vijayawada"/>
    <x v="1"/>
    <x v="3"/>
    <s v="Max Furnishings 297"/>
    <x v="2"/>
    <n v="6"/>
    <n v="3641.22"/>
    <n v="0.25"/>
    <x v="484"/>
    <n v="13679.24"/>
    <x v="483"/>
    <x v="0"/>
    <x v="0"/>
    <m/>
    <s v="Valid"/>
    <s v="Valid"/>
    <s v="Pass"/>
    <s v="Pass"/>
    <s v="December"/>
    <s v="2024"/>
    <m/>
    <n v="21847.32"/>
    <n v="16385.489999999998"/>
    <n v="8168.08"/>
    <n v="0.37387102857467186"/>
    <n v="0.37387102857467186"/>
  </r>
  <r>
    <x v="485"/>
    <d v="2025-01-22T00:00:00"/>
    <d v="2025-01-23T00:00:00"/>
    <n v="1"/>
    <s v="CUST-1594"/>
    <s v="Rahul Verma"/>
    <x v="2"/>
    <x v="3"/>
    <s v="Goa"/>
    <s v="Panaji"/>
    <x v="1"/>
    <x v="10"/>
    <s v="Elite Bookcases 802"/>
    <x v="3"/>
    <n v="4"/>
    <n v="2555.19"/>
    <n v="0.25"/>
    <x v="485"/>
    <n v="5595.6"/>
    <x v="484"/>
    <x v="0"/>
    <x v="0"/>
    <m/>
    <s v="Valid"/>
    <s v="Valid"/>
    <s v="Pass"/>
    <s v="Pass"/>
    <s v="January"/>
    <s v="2025"/>
    <m/>
    <n v="10220.76"/>
    <n v="7665.57"/>
    <n v="4625.16"/>
    <n v="0.45252603524591123"/>
    <n v="0.45252603524591123"/>
  </r>
  <r>
    <x v="486"/>
    <d v="2025-06-22T00:00:00"/>
    <d v="2025-06-26T00:00:00"/>
    <n v="4"/>
    <s v="CUST-8132"/>
    <s v="Rahul Verma"/>
    <x v="2"/>
    <x v="3"/>
    <s v="Goa"/>
    <s v="Panaji"/>
    <x v="1"/>
    <x v="1"/>
    <s v="Pro Tables 257"/>
    <x v="3"/>
    <n v="3"/>
    <n v="1946.18"/>
    <n v="0.2"/>
    <x v="486"/>
    <n v="3166.49"/>
    <x v="485"/>
    <x v="0"/>
    <x v="0"/>
    <m/>
    <s v="Valid"/>
    <s v="Valid"/>
    <s v="Pass"/>
    <s v="Pass"/>
    <s v="June"/>
    <s v="2025"/>
    <m/>
    <n v="5838.54"/>
    <n v="4670.8320000000003"/>
    <n v="2672.05"/>
    <n v="0.45765722252480934"/>
    <n v="0.45765722252480934"/>
  </r>
  <r>
    <x v="487"/>
    <d v="2025-06-10T00:00:00"/>
    <d v="2025-06-17T00:00:00"/>
    <n v="7"/>
    <s v="CUST-7685"/>
    <s v="Rahul Verma"/>
    <x v="2"/>
    <x v="2"/>
    <s v="Telangana"/>
    <s v="Hyderabad"/>
    <x v="1"/>
    <x v="3"/>
    <s v="Prime Furnishings 299"/>
    <x v="3"/>
    <n v="5"/>
    <n v="1231.0999999999999"/>
    <n v="0"/>
    <x v="487"/>
    <n v="4282.09"/>
    <x v="486"/>
    <x v="1"/>
    <x v="2"/>
    <m/>
    <s v="Valid"/>
    <s v="Valid"/>
    <s v="Pass"/>
    <s v="Pass"/>
    <s v="June"/>
    <s v="2025"/>
    <m/>
    <n v="6155.5"/>
    <n v="6155.5"/>
    <n v="1873.4099999999999"/>
    <n v="0.3043473316546178"/>
    <n v="0.3043473316546178"/>
  </r>
  <r>
    <x v="488"/>
    <d v="2024-10-14T00:00:00"/>
    <d v="2024-10-20T00:00:00"/>
    <n v="6"/>
    <s v="CUST-2183"/>
    <s v="Aditi Sen"/>
    <x v="1"/>
    <x v="0"/>
    <s v="Rajasthan"/>
    <s v="Jaipur"/>
    <x v="1"/>
    <x v="1"/>
    <s v="Eco Tables 487"/>
    <x v="1"/>
    <n v="7"/>
    <n v="1547.6"/>
    <n v="0.2"/>
    <x v="488"/>
    <n v="5967.44"/>
    <x v="487"/>
    <x v="0"/>
    <x v="0"/>
    <m/>
    <s v="Valid"/>
    <s v="Valid"/>
    <s v="Pass"/>
    <s v="Pass"/>
    <s v="October"/>
    <s v="2024"/>
    <m/>
    <n v="10833.199999999999"/>
    <n v="8666.56"/>
    <n v="4865.7599999999993"/>
    <n v="0.44915260495513787"/>
    <n v="0.44915260495513787"/>
  </r>
  <r>
    <x v="489"/>
    <d v="2024-02-07T00:00:00"/>
    <d v="2024-12-02T00:00:00"/>
    <n v="299"/>
    <s v="CUST-1636"/>
    <s v="Arjun Bose"/>
    <x v="3"/>
    <x v="1"/>
    <s v="West Bengal"/>
    <s v="Kolkata"/>
    <x v="2"/>
    <x v="5"/>
    <s v="Prime Accessories 960"/>
    <x v="0"/>
    <n v="1"/>
    <n v="452.19"/>
    <n v="0.2"/>
    <x v="489"/>
    <n v="262.52999999999997"/>
    <x v="488"/>
    <x v="0"/>
    <x v="0"/>
    <m/>
    <s v="Valid"/>
    <s v="Valid"/>
    <s v="Pass"/>
    <s v="Pass"/>
    <s v="February"/>
    <s v="2024"/>
    <m/>
    <n v="452.19"/>
    <n v="361.75200000000001"/>
    <n v="189.66000000000003"/>
    <n v="0.41942546274796"/>
    <n v="0.41942546274796"/>
  </r>
  <r>
    <x v="490"/>
    <d v="2024-09-16T00:00:00"/>
    <d v="2024-09-19T00:00:00"/>
    <n v="3"/>
    <s v="CUST-1350"/>
    <s v="Aditi Sen"/>
    <x v="0"/>
    <x v="3"/>
    <s v="Rajasthan"/>
    <s v="Udaipur"/>
    <x v="0"/>
    <x v="9"/>
    <s v="Smart Binders 191"/>
    <x v="2"/>
    <n v="7"/>
    <n v="406.42"/>
    <n v="0.15"/>
    <x v="490"/>
    <n v="1613.82"/>
    <x v="489"/>
    <x v="0"/>
    <x v="0"/>
    <m/>
    <s v="Valid"/>
    <s v="Valid"/>
    <s v="Pass"/>
    <s v="Pass"/>
    <s v="September"/>
    <s v="2024"/>
    <m/>
    <n v="2844.94"/>
    <n v="2418.1990000000001"/>
    <n v="1231.1200000000001"/>
    <n v="0.43274023353743846"/>
    <n v="0.43274023353743846"/>
  </r>
  <r>
    <x v="491"/>
    <d v="2025-04-29T00:00:00"/>
    <d v="2025-04-30T00:00:00"/>
    <n v="1"/>
    <s v="CUST-4101"/>
    <s v="Mira Das"/>
    <x v="2"/>
    <x v="2"/>
    <s v="Kerala"/>
    <s v="Kochi"/>
    <x v="2"/>
    <x v="5"/>
    <s v="Prime Accessories 118"/>
    <x v="3"/>
    <n v="4"/>
    <n v="606.58000000000004"/>
    <n v="0.2"/>
    <x v="491"/>
    <n v="1207.42"/>
    <x v="490"/>
    <x v="0"/>
    <x v="0"/>
    <m/>
    <s v="Valid"/>
    <s v="Valid"/>
    <s v="Pass"/>
    <s v="Pass"/>
    <s v="April"/>
    <s v="2025"/>
    <m/>
    <n v="2426.3200000000002"/>
    <n v="1941.0560000000003"/>
    <n v="1218.9000000000001"/>
    <n v="0.50236572257575263"/>
    <n v="0.50236572257575263"/>
  </r>
  <r>
    <x v="492"/>
    <d v="2025-06-28T00:00:00"/>
    <d v="2025-02-07T00:00:00"/>
    <n v="-141"/>
    <s v="CUST-4679"/>
    <s v="Ananya Rao"/>
    <x v="2"/>
    <x v="2"/>
    <s v="Andhra Pradesh"/>
    <s v="Vijayawada"/>
    <x v="0"/>
    <x v="8"/>
    <s v="Elite Storage 331"/>
    <x v="0"/>
    <n v="2"/>
    <n v="2725.44"/>
    <n v="0.25"/>
    <x v="492"/>
    <n v="3205.68"/>
    <x v="491"/>
    <x v="0"/>
    <x v="0"/>
    <m/>
    <s v="Invalid-Date"/>
    <s v="Valid"/>
    <s v="Pass"/>
    <s v="Pass"/>
    <s v="June"/>
    <s v="2025"/>
    <m/>
    <n v="5450.88"/>
    <n v="4088.16"/>
    <n v="2245.2000000000003"/>
    <n v="0.41189679464600215"/>
    <n v="0.41189679464600215"/>
  </r>
  <r>
    <x v="493"/>
    <d v="2025-02-13T00:00:00"/>
    <d v="2025-02-13T00:00:00"/>
    <n v="0"/>
    <s v="CUST-3765"/>
    <s v="Kabir Singh"/>
    <x v="2"/>
    <x v="1"/>
    <s v="Odisha"/>
    <s v="Bhubaneswar"/>
    <x v="0"/>
    <x v="0"/>
    <s v="Prime Paper 996"/>
    <x v="0"/>
    <n v="7"/>
    <n v="2296.6999999999998"/>
    <n v="0.05"/>
    <x v="493"/>
    <n v="11088.76"/>
    <x v="492"/>
    <x v="0"/>
    <x v="0"/>
    <m/>
    <s v="Valid"/>
    <s v="Valid"/>
    <s v="Pass"/>
    <s v="Pass"/>
    <s v="February"/>
    <s v="2025"/>
    <m/>
    <n v="16076.899999999998"/>
    <n v="15273.054999999997"/>
    <n v="4988.1399999999976"/>
    <n v="0.31026752669979896"/>
    <n v="0.31026752669979896"/>
  </r>
  <r>
    <x v="494"/>
    <d v="2024-11-14T00:00:00"/>
    <d v="2024-11-22T00:00:00"/>
    <n v="8"/>
    <s v="CUST-9056"/>
    <s v="Isha Nair"/>
    <x v="0"/>
    <x v="3"/>
    <s v="Madhya Pradesh"/>
    <s v="Indore"/>
    <x v="2"/>
    <x v="11"/>
    <s v="Smart Phones 125"/>
    <x v="3"/>
    <n v="3"/>
    <n v="671.68"/>
    <n v="-0.13"/>
    <x v="494"/>
    <n v="1569.38"/>
    <x v="493"/>
    <x v="3"/>
    <x v="1"/>
    <m/>
    <s v="Valid"/>
    <s v="Invalid-Discount"/>
    <s v="Pass"/>
    <s v="Pass"/>
    <s v="November"/>
    <s v="2024"/>
    <m/>
    <n v="2015.04"/>
    <n v="2276.9951999999998"/>
    <n v="445.65999999999985"/>
    <n v="0.22116682547244712"/>
    <n v="0.22116682547244712"/>
  </r>
  <r>
    <x v="495"/>
    <d v="2024-09-05T00:00:00"/>
    <d v="2024-05-15T00:00:00"/>
    <n v="-113"/>
    <s v="CUST-9801"/>
    <s v="Mira Das"/>
    <x v="1"/>
    <x v="1"/>
    <s v="Assam"/>
    <s v="Guwahati"/>
    <x v="2"/>
    <x v="11"/>
    <s v="Eco Phones 220"/>
    <x v="0"/>
    <n v="4"/>
    <n v="995.98"/>
    <n v="0.05"/>
    <x v="495"/>
    <n v="2419.2399999999998"/>
    <x v="494"/>
    <x v="1"/>
    <x v="2"/>
    <m/>
    <s v="Invalid-Date"/>
    <s v="Valid"/>
    <s v="Pass"/>
    <s v="Pass"/>
    <s v="September"/>
    <s v="2024"/>
    <m/>
    <n v="3983.92"/>
    <n v="3784.7239999999997"/>
    <n v="1564.6800000000003"/>
    <n v="0.3927488503785217"/>
    <n v="0.3927488503785217"/>
  </r>
  <r>
    <x v="496"/>
    <d v="2025-07-04T00:00:00"/>
    <d v="2025-06-07T00:00:00"/>
    <n v="-27"/>
    <s v="CUST-2038"/>
    <s v="Kabir Singh"/>
    <x v="1"/>
    <x v="1"/>
    <s v="Jharkhand"/>
    <s v="Ranchi"/>
    <x v="1"/>
    <x v="4"/>
    <s v="Eco Chairs 795"/>
    <x v="0"/>
    <n v="2"/>
    <n v="3686.42"/>
    <n v="0.1"/>
    <x v="496"/>
    <n v="3652.91"/>
    <x v="495"/>
    <x v="0"/>
    <x v="0"/>
    <m/>
    <s v="Invalid-Date"/>
    <s v="Valid"/>
    <s v="Pass"/>
    <s v="Pass"/>
    <s v="July"/>
    <s v="2025"/>
    <m/>
    <n v="7372.84"/>
    <n v="6635.5560000000005"/>
    <n v="3719.9300000000003"/>
    <n v="0.50454505997688814"/>
    <n v="0.50454505997688814"/>
  </r>
  <r>
    <x v="497"/>
    <d v="2024-08-29T00:00:00"/>
    <d v="2024-08-29T00:00:00"/>
    <n v="0"/>
    <s v="CUST-1567"/>
    <s v="Sneha Kapoor"/>
    <x v="1"/>
    <x v="0"/>
    <s v="Uttar Pradesh"/>
    <s v="Noida"/>
    <x v="2"/>
    <x v="5"/>
    <s v="Smart Accessories 896"/>
    <x v="0"/>
    <n v="1"/>
    <n v="3106.88"/>
    <n v="0.2"/>
    <x v="497"/>
    <n v="2028.43"/>
    <x v="496"/>
    <x v="0"/>
    <x v="1"/>
    <m/>
    <s v="Valid"/>
    <s v="Valid"/>
    <s v="Pass"/>
    <s v="Pass"/>
    <s v="August"/>
    <s v="2024"/>
    <m/>
    <n v="3106.88"/>
    <n v="2485.5040000000004"/>
    <n v="1078.45"/>
    <n v="0.34711672159851686"/>
    <n v="0.34711672159851686"/>
  </r>
  <r>
    <x v="498"/>
    <d v="2025-09-07T00:00:00"/>
    <d v="2025-10-09T00:00:00"/>
    <n v="32"/>
    <s v="CUST-1190"/>
    <s v="Karan Malhotra"/>
    <x v="0"/>
    <x v="0"/>
    <s v="Punjab"/>
    <s v="Ludhiana"/>
    <x v="1"/>
    <x v="4"/>
    <s v="Basic Chairs 255"/>
    <x v="1"/>
    <n v="2"/>
    <n v="447.55"/>
    <n v="0.05"/>
    <x v="498"/>
    <n v="600.98"/>
    <x v="497"/>
    <x v="1"/>
    <x v="1"/>
    <m/>
    <s v="Valid"/>
    <s v="Valid"/>
    <s v="Pass"/>
    <s v="Pass"/>
    <s v="September"/>
    <s v="2025"/>
    <m/>
    <n v="895.1"/>
    <n v="850.34500000000003"/>
    <n v="294.12"/>
    <n v="0.32858898447100882"/>
    <n v="0.32858898447100882"/>
  </r>
  <r>
    <x v="499"/>
    <d v="2024-12-22T00:00:00"/>
    <d v="2024-12-26T00:00:00"/>
    <n v="4"/>
    <s v="CUST-5604"/>
    <s v="Rahul Verma"/>
    <x v="3"/>
    <x v="0"/>
    <s v="Uttar Pradesh"/>
    <s v="Noida"/>
    <x v="1"/>
    <x v="4"/>
    <s v="Eco Chairs 210"/>
    <x v="3"/>
    <n v="9"/>
    <n v="1110.8699999999999"/>
    <n v="0"/>
    <x v="499"/>
    <n v="6059.07"/>
    <x v="498"/>
    <x v="0"/>
    <x v="1"/>
    <m/>
    <s v="Valid"/>
    <s v="Valid"/>
    <s v="Pass"/>
    <s v="Pass"/>
    <s v="December"/>
    <s v="2024"/>
    <m/>
    <n v="9997.8299999999981"/>
    <n v="9997.8299999999981"/>
    <n v="3938.7599999999984"/>
    <n v="0.3939614896432525"/>
    <n v="0.3939614896432525"/>
  </r>
  <r>
    <x v="500"/>
    <d v="2024-05-17T00:00:00"/>
    <d v="2024-05-22T00:00:00"/>
    <n v="5"/>
    <s v="CUST-7661"/>
    <s v="Sneha Kapoor"/>
    <x v="0"/>
    <x v="2"/>
    <s v="Kerala"/>
    <s v="Kochi"/>
    <x v="2"/>
    <x v="11"/>
    <s v="Prime Phones 533"/>
    <x v="1"/>
    <n v="9"/>
    <n v="3795.99"/>
    <n v="0.85"/>
    <x v="500"/>
    <n v="28577.15"/>
    <x v="499"/>
    <x v="0"/>
    <x v="0"/>
    <m/>
    <s v="Valid"/>
    <s v="Invalid-Discount"/>
    <s v="Pass"/>
    <s v="Pass"/>
    <s v="May"/>
    <s v="2024"/>
    <m/>
    <n v="34163.909999999996"/>
    <n v="5124.5865000000003"/>
    <n v="5586.7599999999948"/>
    <n v="0.1635281207566697"/>
    <n v="0.1635281207566697"/>
  </r>
  <r>
    <x v="501"/>
    <d v="2024-08-11T00:00:00"/>
    <d v="2024-08-17T00:00:00"/>
    <n v="6"/>
    <s v="CUST-3710"/>
    <s v="Neha Gupta"/>
    <x v="0"/>
    <x v="1"/>
    <s v="Jharkhand"/>
    <s v="Ranchi"/>
    <x v="0"/>
    <x v="2"/>
    <s v="Elite Art 325"/>
    <x v="0"/>
    <n v="6"/>
    <n v="3497.54"/>
    <n v="0.15"/>
    <x v="501"/>
    <n v="13627.02"/>
    <x v="500"/>
    <x v="0"/>
    <x v="0"/>
    <m/>
    <s v="Valid"/>
    <s v="Valid"/>
    <s v="Pass"/>
    <s v="Pass"/>
    <s v="August"/>
    <s v="2024"/>
    <m/>
    <n v="20985.239999999998"/>
    <n v="17837.453999999998"/>
    <n v="7358.2199999999975"/>
    <n v="0.35063787690776937"/>
    <n v="0.35063787690776937"/>
  </r>
  <r>
    <x v="502"/>
    <d v="2024-01-04T00:00:00"/>
    <d v="2024-09-04T00:00:00"/>
    <n v="244"/>
    <s v="CUST-1534"/>
    <s v="Priya Menon"/>
    <x v="1"/>
    <x v="1"/>
    <s v="Odisha"/>
    <s v="Bhubaneswar"/>
    <x v="2"/>
    <x v="6"/>
    <s v="Prime Copiers 557"/>
    <x v="0"/>
    <n v="6"/>
    <n v="826.93"/>
    <n v="0.1"/>
    <x v="502"/>
    <n v="3377.1"/>
    <x v="501"/>
    <x v="0"/>
    <x v="0"/>
    <m/>
    <s v="Valid"/>
    <s v="Valid"/>
    <s v="Pass"/>
    <s v="Pass"/>
    <s v="January"/>
    <s v="2024"/>
    <m/>
    <n v="4961.58"/>
    <n v="4465.4220000000005"/>
    <n v="1584.48"/>
    <n v="0.31934988451259477"/>
    <n v="0.31934988451259477"/>
  </r>
  <r>
    <x v="503"/>
    <d v="2024-09-28T00:00:00"/>
    <d v="2024-05-10T00:00:00"/>
    <n v="-141"/>
    <s v="CUST-7422"/>
    <s v="Aarav Sharma"/>
    <x v="0"/>
    <x v="2"/>
    <s v="Tamil Nadu"/>
    <s v="Chennai"/>
    <x v="2"/>
    <x v="11"/>
    <s v="Smart Phones 674"/>
    <x v="3"/>
    <n v="7"/>
    <n v="1681.6"/>
    <n v="0.1"/>
    <x v="503"/>
    <n v="7160.31"/>
    <x v="502"/>
    <x v="0"/>
    <x v="0"/>
    <m/>
    <s v="Invalid-Date"/>
    <s v="Valid"/>
    <s v="Pass"/>
    <s v="Pass"/>
    <s v="September"/>
    <s v="2024"/>
    <m/>
    <n v="11771.199999999999"/>
    <n v="10594.08"/>
    <n v="4610.8899999999985"/>
    <n v="0.39170942639662898"/>
    <n v="0.39170942639662898"/>
  </r>
  <r>
    <x v="504"/>
    <d v="2025-02-12T00:00:00"/>
    <d v="2025-02-17T00:00:00"/>
    <n v="5"/>
    <s v="CUST-9693"/>
    <s v="Arjun Bose"/>
    <x v="2"/>
    <x v="3"/>
    <s v="Gujarat"/>
    <s v="Ahmedabad"/>
    <x v="0"/>
    <x v="2"/>
    <s v="Elite Art 553"/>
    <x v="3"/>
    <n v="4"/>
    <n v="4328.12"/>
    <n v="0"/>
    <x v="504"/>
    <n v="14424.22"/>
    <x v="503"/>
    <x v="0"/>
    <x v="0"/>
    <m/>
    <s v="Valid"/>
    <s v="Valid"/>
    <s v="Pass"/>
    <s v="Pass"/>
    <s v="February"/>
    <s v="2025"/>
    <m/>
    <n v="17312.48"/>
    <n v="17312.48"/>
    <n v="2888.26"/>
    <n v="0.16683109525613893"/>
    <n v="0.16683109525613893"/>
  </r>
  <r>
    <x v="505"/>
    <d v="2024-11-09T00:00:00"/>
    <d v="2024-11-14T00:00:00"/>
    <n v="5"/>
    <s v="CUST-5458"/>
    <s v="Neha Gupta"/>
    <x v="2"/>
    <x v="3"/>
    <s v="Madhya Pradesh"/>
    <s v="Indore"/>
    <x v="0"/>
    <x v="2"/>
    <s v="Classic Art 339"/>
    <x v="2"/>
    <n v="9"/>
    <n v="2438.29"/>
    <n v="0.2"/>
    <x v="505"/>
    <n v="13293.2"/>
    <x v="504"/>
    <x v="0"/>
    <x v="1"/>
    <m/>
    <s v="Valid"/>
    <s v="Valid"/>
    <s v="Pass"/>
    <s v="Pass"/>
    <s v="November"/>
    <s v="2024"/>
    <m/>
    <n v="21944.61"/>
    <n v="17555.688000000002"/>
    <n v="8651.41"/>
    <n v="0.39423849409946221"/>
    <n v="0.39423849409946221"/>
  </r>
  <r>
    <x v="506"/>
    <d v="2024-12-15T00:00:00"/>
    <d v="2024-12-15T00:00:00"/>
    <n v="0"/>
    <s v="CUST-3011"/>
    <s v="Aarav Sharma"/>
    <x v="1"/>
    <x v="0"/>
    <s v="Punjab"/>
    <s v="Ludhiana"/>
    <x v="1"/>
    <x v="3"/>
    <s v="Smart Furnishings 352"/>
    <x v="2"/>
    <n v="2"/>
    <n v="669.8"/>
    <n v="0.1"/>
    <x v="506"/>
    <n v="842.07"/>
    <x v="505"/>
    <x v="1"/>
    <x v="2"/>
    <m/>
    <s v="Valid"/>
    <s v="Valid"/>
    <s v="Pass"/>
    <s v="Pass"/>
    <s v="December"/>
    <s v="2024"/>
    <m/>
    <n v="1339.6"/>
    <n v="1205.6399999999999"/>
    <n v="497.52999999999986"/>
    <n v="0.37140191101821429"/>
    <n v="0.37140191101821429"/>
  </r>
  <r>
    <x v="507"/>
    <d v="2025-04-15T00:00:00"/>
    <d v="2025-04-22T00:00:00"/>
    <n v="7"/>
    <s v="CUST-1826"/>
    <s v="Isha Nair"/>
    <x v="1"/>
    <x v="0"/>
    <s v="Haryana"/>
    <s v="Gurugram"/>
    <x v="0"/>
    <x v="9"/>
    <s v="Classic Binders 602"/>
    <x v="1"/>
    <n v="4"/>
    <n v="2990.42"/>
    <n v="0.25"/>
    <x v="507"/>
    <n v="6814.35"/>
    <x v="506"/>
    <x v="0"/>
    <x v="0"/>
    <m/>
    <s v="Valid"/>
    <s v="Valid"/>
    <s v="Pass"/>
    <s v="Pass"/>
    <s v="April"/>
    <s v="2025"/>
    <m/>
    <n v="11961.68"/>
    <n v="8971.26"/>
    <n v="5147.33"/>
    <n v="0.43031831649066016"/>
    <n v="0.43031831649066016"/>
  </r>
  <r>
    <x v="508"/>
    <d v="2024-03-31T00:00:00"/>
    <d v="2024-04-07T00:00:00"/>
    <n v="7"/>
    <s v="CUST-3333"/>
    <s v="Isha Nair"/>
    <x v="1"/>
    <x v="0"/>
    <s v="Haryana"/>
    <s v="Gurugram"/>
    <x v="2"/>
    <x v="12"/>
    <s v="Smart Machines 853"/>
    <x v="0"/>
    <n v="4"/>
    <n v="1831"/>
    <n v="0"/>
    <x v="508"/>
    <n v="4179.63"/>
    <x v="507"/>
    <x v="0"/>
    <x v="0"/>
    <m/>
    <s v="Valid"/>
    <s v="Valid"/>
    <s v="Pass"/>
    <s v="Pass"/>
    <s v="March"/>
    <s v="2024"/>
    <m/>
    <n v="7324"/>
    <n v="7324"/>
    <n v="3144.37"/>
    <n v="0.42932413981430911"/>
    <n v="0.42932413981430911"/>
  </r>
  <r>
    <x v="509"/>
    <d v="2025-05-12T00:00:00"/>
    <d v="2025-05-14T00:00:00"/>
    <n v="2"/>
    <s v="CUST-7901"/>
    <s v="Neha Gupta"/>
    <x v="0"/>
    <x v="3"/>
    <s v="Gujarat"/>
    <s v="Ahmedabad"/>
    <x v="2"/>
    <x v="12"/>
    <s v="Classic Machines 599"/>
    <x v="1"/>
    <n v="8"/>
    <n v="3631.44"/>
    <n v="0.2"/>
    <x v="509"/>
    <n v="17220.900000000001"/>
    <x v="508"/>
    <x v="0"/>
    <x v="0"/>
    <m/>
    <s v="Valid"/>
    <s v="Valid"/>
    <s v="Pass"/>
    <s v="Pass"/>
    <s v="May"/>
    <s v="2025"/>
    <m/>
    <n v="29051.52"/>
    <n v="23241.216"/>
    <n v="11830.619999999999"/>
    <n v="0.40722895049897556"/>
    <n v="0.40722895049897556"/>
  </r>
  <r>
    <x v="510"/>
    <d v="2024-10-18T00:00:00"/>
    <d v="2024-10-21T00:00:00"/>
    <n v="3"/>
    <s v="CUST-9759"/>
    <s v="Aarav Sharma"/>
    <x v="0"/>
    <x v="2"/>
    <s v="Karnataka"/>
    <s v="Bengaluru"/>
    <x v="0"/>
    <x v="8"/>
    <s v="Pro Storage 373"/>
    <x v="0"/>
    <n v="2"/>
    <n v="4238.51"/>
    <n v="0"/>
    <x v="510"/>
    <n v="6884.96"/>
    <x v="509"/>
    <x v="0"/>
    <x v="0"/>
    <m/>
    <s v="Valid"/>
    <s v="Valid"/>
    <s v="Pass"/>
    <s v="Pass"/>
    <s v="October"/>
    <s v="2024"/>
    <m/>
    <n v="8477.02"/>
    <n v="8477.02"/>
    <n v="1592.0600000000004"/>
    <n v="0.18780892341884298"/>
    <n v="0.18780892341884298"/>
  </r>
  <r>
    <x v="511"/>
    <d v="2024-10-23T00:00:00"/>
    <d v="2024-10-26T00:00:00"/>
    <n v="3"/>
    <s v="CUST-7232"/>
    <s v="Sneha Kapoor"/>
    <x v="0"/>
    <x v="3"/>
    <s v="Madhya Pradesh"/>
    <s v="Indore"/>
    <x v="1"/>
    <x v="10"/>
    <s v="Smart Bookcases 920"/>
    <x v="3"/>
    <n v="9"/>
    <n v="544.27"/>
    <n v="0.25"/>
    <x v="511"/>
    <n v="2088.15"/>
    <x v="510"/>
    <x v="0"/>
    <x v="0"/>
    <m/>
    <s v="Valid"/>
    <s v="Valid"/>
    <s v="Pass"/>
    <s v="Pass"/>
    <s v="October"/>
    <s v="2024"/>
    <m/>
    <n v="4898.43"/>
    <n v="3673.8225000000002"/>
    <n v="2810.28"/>
    <n v="0.57371035209240517"/>
    <n v="0.57371035209240517"/>
  </r>
  <r>
    <x v="512"/>
    <d v="2025-02-03T00:00:00"/>
    <d v="2025-03-03T00:00:00"/>
    <n v="28"/>
    <s v="CUST-9943"/>
    <s v="Isha Nair"/>
    <x v="2"/>
    <x v="2"/>
    <s v="Kerala"/>
    <s v="Kochi"/>
    <x v="0"/>
    <x v="7"/>
    <s v="Pro Labels 849"/>
    <x v="0"/>
    <n v="2"/>
    <n v="4031.45"/>
    <n v="0.25"/>
    <x v="512"/>
    <n v="3368.79"/>
    <x v="511"/>
    <x v="0"/>
    <x v="0"/>
    <m/>
    <s v="Valid"/>
    <s v="Valid"/>
    <s v="Pass"/>
    <s v="Pass"/>
    <s v="February"/>
    <s v="2025"/>
    <m/>
    <n v="8062.9"/>
    <n v="6047.1749999999993"/>
    <n v="4694.1099999999997"/>
    <n v="0.58218631013655131"/>
    <n v="0.58218631013655131"/>
  </r>
  <r>
    <x v="513"/>
    <d v="2025-06-27T00:00:00"/>
    <d v="2025-02-07T00:00:00"/>
    <n v="-140"/>
    <s v="CUST-8993"/>
    <s v="Aarav Sharma"/>
    <x v="2"/>
    <x v="2"/>
    <s v="Kerala"/>
    <s v="Kochi"/>
    <x v="2"/>
    <x v="5"/>
    <s v="Prime Accessories 849"/>
    <x v="2"/>
    <n v="6"/>
    <n v="1099.49"/>
    <n v="0.1"/>
    <x v="513"/>
    <n v="4088.46"/>
    <x v="512"/>
    <x v="0"/>
    <x v="0"/>
    <m/>
    <s v="Invalid-Date"/>
    <s v="Valid"/>
    <s v="Pass"/>
    <s v="Pass"/>
    <s v="June"/>
    <s v="2025"/>
    <m/>
    <n v="6596.9400000000005"/>
    <n v="5937.246000000001"/>
    <n v="2508.4800000000005"/>
    <n v="0.3802490245477449"/>
    <n v="0.3802490245477449"/>
  </r>
  <r>
    <x v="514"/>
    <d v="2024-11-18T00:00:00"/>
    <d v="2024-11-22T00:00:00"/>
    <n v="4"/>
    <s v="CUST-7729"/>
    <s v="Karan Malhotra"/>
    <x v="3"/>
    <x v="2"/>
    <s v="Kerala"/>
    <s v="Kochi"/>
    <x v="2"/>
    <x v="5"/>
    <s v="Smart Accessories 388"/>
    <x v="3"/>
    <n v="6"/>
    <n v="3872.94"/>
    <n v="0.1"/>
    <x v="514"/>
    <n v="11684.68"/>
    <x v="513"/>
    <x v="0"/>
    <x v="0"/>
    <m/>
    <s v="Valid"/>
    <s v="Valid"/>
    <s v="Pass"/>
    <s v="Pass"/>
    <s v="November"/>
    <s v="2024"/>
    <m/>
    <n v="23237.64"/>
    <n v="20913.876"/>
    <n v="11552.96"/>
    <n v="0.49716580513339564"/>
    <n v="0.49716580513339564"/>
  </r>
  <r>
    <x v="515"/>
    <d v="2025-11-04T00:00:00"/>
    <d v="2025-11-04T00:00:00"/>
    <n v="0"/>
    <s v="CUST-9986"/>
    <s v="Rahul Verma"/>
    <x v="2"/>
    <x v="0"/>
    <s v="Delhi"/>
    <s v="New Delhi"/>
    <x v="0"/>
    <x v="0"/>
    <s v="Classic Paper 752"/>
    <x v="3"/>
    <n v="1"/>
    <n v="4458.49"/>
    <n v="-7.0000000000000007E-2"/>
    <x v="515"/>
    <n v="2083.41"/>
    <x v="514"/>
    <x v="0"/>
    <x v="0"/>
    <m/>
    <s v="Valid"/>
    <s v="Invalid-Discount"/>
    <s v="Pass"/>
    <s v="Pass"/>
    <s v="November"/>
    <s v="2025"/>
    <m/>
    <n v="4458.49"/>
    <n v="4770.5843000000004"/>
    <n v="2375.08"/>
    <n v="0.53270950478749535"/>
    <n v="0.53270950478749535"/>
  </r>
  <r>
    <x v="516"/>
    <d v="2024-09-28T00:00:00"/>
    <d v="2024-04-10T00:00:00"/>
    <n v="-171"/>
    <s v="CUST-2731"/>
    <s v="Kabir Singh"/>
    <x v="3"/>
    <x v="0"/>
    <s v="Delhi"/>
    <s v="New Delhi"/>
    <x v="2"/>
    <x v="6"/>
    <s v="Classic Copiers 143"/>
    <x v="3"/>
    <n v="1"/>
    <n v="2233.1799999999998"/>
    <n v="0"/>
    <x v="516"/>
    <n v="1585.82"/>
    <x v="515"/>
    <x v="3"/>
    <x v="2"/>
    <m/>
    <s v="Invalid-Date"/>
    <s v="Valid"/>
    <s v="Pass"/>
    <s v="Pass"/>
    <s v="September"/>
    <s v="2024"/>
    <m/>
    <n v="2233.1799999999998"/>
    <n v="2233.1799999999998"/>
    <n v="647.3599999999999"/>
    <n v="0.28988258895386843"/>
    <n v="0.28988258895386843"/>
  </r>
  <r>
    <x v="517"/>
    <d v="2025-05-25T00:00:00"/>
    <d v="2025-05-27T00:00:00"/>
    <n v="2"/>
    <s v="CUST-4235"/>
    <s v="Rahul Verma"/>
    <x v="0"/>
    <x v="1"/>
    <s v="Odisha"/>
    <s v="Bhubaneswar"/>
    <x v="1"/>
    <x v="3"/>
    <s v="Basic Furnishings 386"/>
    <x v="0"/>
    <n v="7"/>
    <n v="2123.2800000000002"/>
    <n v="0.2"/>
    <x v="517"/>
    <n v="9234.5300000000007"/>
    <x v="516"/>
    <x v="1"/>
    <x v="2"/>
    <m/>
    <s v="Valid"/>
    <s v="Valid"/>
    <s v="Pass"/>
    <s v="Pass"/>
    <s v="May"/>
    <s v="2025"/>
    <m/>
    <n v="14862.960000000001"/>
    <n v="11890.368000000002"/>
    <n v="5628.43"/>
    <n v="0.37868836355611535"/>
    <n v="0.37868836355611535"/>
  </r>
  <r>
    <x v="518"/>
    <d v="2025-04-30T00:00:00"/>
    <d v="2025-04-26T00:00:00"/>
    <n v="-4"/>
    <s v="CUST-3377"/>
    <s v="Diya Patel"/>
    <x v="2"/>
    <x v="1"/>
    <s v="Odisha"/>
    <s v="Bhubaneswar"/>
    <x v="1"/>
    <x v="1"/>
    <s v="Classic Tables 592"/>
    <x v="2"/>
    <n v="7"/>
    <n v="1604.13"/>
    <n v="0.25"/>
    <x v="518"/>
    <n v="6534.47"/>
    <x v="517"/>
    <x v="0"/>
    <x v="1"/>
    <m/>
    <s v="Invalid-Date"/>
    <s v="Valid"/>
    <s v="Pass"/>
    <s v="Pass"/>
    <s v="April"/>
    <s v="2025"/>
    <m/>
    <n v="11228.91"/>
    <n v="8421.682499999999"/>
    <n v="4694.4399999999996"/>
    <n v="0.41806729237299078"/>
    <n v="0.41806729237299078"/>
  </r>
  <r>
    <x v="519"/>
    <d v="2025-07-03T00:00:00"/>
    <d v="2025-07-07T00:00:00"/>
    <n v="4"/>
    <s v="CUST-3258"/>
    <s v="Priya Menon"/>
    <x v="0"/>
    <x v="0"/>
    <s v="Uttar Pradesh"/>
    <s v="Noida"/>
    <x v="1"/>
    <x v="1"/>
    <s v="Pro Tables 412"/>
    <x v="3"/>
    <n v="4"/>
    <n v="4365.21"/>
    <n v="0.2"/>
    <x v="519"/>
    <n v="8857.58"/>
    <x v="518"/>
    <x v="2"/>
    <x v="1"/>
    <m/>
    <s v="Valid"/>
    <s v="Valid"/>
    <s v="Pass"/>
    <s v="Pass"/>
    <s v="July"/>
    <s v="2025"/>
    <m/>
    <n v="17460.84"/>
    <n v="13968.672"/>
    <n v="8603.26"/>
    <n v="0.49271741794781926"/>
    <n v="0.49271741794781926"/>
  </r>
  <r>
    <x v="520"/>
    <d v="2024-07-16T00:00:00"/>
    <d v="2024-07-23T00:00:00"/>
    <n v="7"/>
    <s v="CUST-2155"/>
    <s v="Aarav Sharma"/>
    <x v="3"/>
    <x v="2"/>
    <s v="Karnataka"/>
    <s v="Bengaluru"/>
    <x v="2"/>
    <x v="12"/>
    <s v="Prime Machines 393"/>
    <x v="1"/>
    <n v="1"/>
    <n v="1695.91"/>
    <n v="0.05"/>
    <x v="520"/>
    <n v="895.15"/>
    <x v="519"/>
    <x v="0"/>
    <x v="0"/>
    <m/>
    <s v="Valid"/>
    <s v="Valid"/>
    <s v="Pass"/>
    <s v="Pass"/>
    <s v="July"/>
    <s v="2024"/>
    <m/>
    <n v="1695.91"/>
    <n v="1611.1144999999999"/>
    <n v="800.7600000000001"/>
    <n v="0.47217128267419856"/>
    <n v="0.47217128267419856"/>
  </r>
  <r>
    <x v="521"/>
    <d v="2025-03-25T00:00:00"/>
    <d v="2025-01-04T00:00:00"/>
    <n v="-80"/>
    <s v="CUST-8012"/>
    <s v="Diya Patel"/>
    <x v="0"/>
    <x v="0"/>
    <s v="Punjab"/>
    <s v="Ludhiana"/>
    <x v="0"/>
    <x v="7"/>
    <s v="Classic Labels 776"/>
    <x v="0"/>
    <n v="6"/>
    <n v="2192.11"/>
    <n v="0.05"/>
    <x v="521"/>
    <n v="9184.52"/>
    <x v="520"/>
    <x v="0"/>
    <x v="0"/>
    <m/>
    <s v="Invalid-Date"/>
    <s v="Valid"/>
    <s v="Pass"/>
    <s v="Pass"/>
    <s v="March"/>
    <s v="2025"/>
    <m/>
    <n v="13152.66"/>
    <n v="12495.027"/>
    <n v="3968.1399999999994"/>
    <n v="0.3016986677979967"/>
    <n v="0.3016986677979967"/>
  </r>
  <r>
    <x v="522"/>
    <d v="2025-02-28T00:00:00"/>
    <d v="2025-08-03T00:00:00"/>
    <n v="156"/>
    <s v="CUST-2917"/>
    <s v="Neha Gupta"/>
    <x v="1"/>
    <x v="1"/>
    <s v="Jharkhand"/>
    <s v="Ranchi"/>
    <x v="2"/>
    <x v="11"/>
    <s v="Max Phones 612"/>
    <x v="2"/>
    <n v="9"/>
    <n v="3670.54"/>
    <n v="0"/>
    <x v="522"/>
    <n v="24539.83"/>
    <x v="521"/>
    <x v="0"/>
    <x v="0"/>
    <m/>
    <s v="Valid"/>
    <s v="Valid"/>
    <s v="Pass"/>
    <s v="Pass"/>
    <s v="February"/>
    <s v="2025"/>
    <m/>
    <n v="33034.86"/>
    <n v="33034.86"/>
    <n v="8495.0299999999988"/>
    <n v="0.25715350390466307"/>
    <n v="0.25715350390466307"/>
  </r>
  <r>
    <x v="523"/>
    <d v="2024-04-02T00:00:00"/>
    <d v="2024-03-04T00:00:00"/>
    <n v="-29"/>
    <s v="CUST-4653"/>
    <s v="Kabir Singh"/>
    <x v="3"/>
    <x v="3"/>
    <s v="Goa"/>
    <s v="Panaji"/>
    <x v="0"/>
    <x v="0"/>
    <s v="Basic Paper 315"/>
    <x v="0"/>
    <n v="2"/>
    <n v="2902.63"/>
    <n v="0"/>
    <x v="523"/>
    <n v="4654.3599999999997"/>
    <x v="522"/>
    <x v="0"/>
    <x v="2"/>
    <m/>
    <s v="Invalid-Date"/>
    <s v="Valid"/>
    <s v="Pass"/>
    <s v="Pass"/>
    <s v="April"/>
    <s v="2024"/>
    <m/>
    <n v="5805.26"/>
    <n v="5805.26"/>
    <n v="1150.9000000000005"/>
    <n v="0.19825124111581574"/>
    <n v="0.19825124111581574"/>
  </r>
  <r>
    <x v="524"/>
    <d v="2024-11-30T00:00:00"/>
    <d v="2024-01-12T00:00:00"/>
    <n v="-323"/>
    <s v="CUST-3311"/>
    <s v="Ananya Rao"/>
    <x v="2"/>
    <x v="3"/>
    <s v="Gujarat"/>
    <s v="Ahmedabad"/>
    <x v="1"/>
    <x v="4"/>
    <s v="Basic Chairs 333"/>
    <x v="2"/>
    <n v="9"/>
    <n v="4207.3599999999997"/>
    <n v="0.1"/>
    <x v="524"/>
    <n v="21871.39"/>
    <x v="523"/>
    <x v="0"/>
    <x v="0"/>
    <m/>
    <s v="Invalid-Date"/>
    <s v="Valid"/>
    <s v="Pass"/>
    <s v="Pass"/>
    <s v="November"/>
    <s v="2024"/>
    <m/>
    <n v="37866.239999999998"/>
    <n v="34079.616000000002"/>
    <n v="15994.849999999999"/>
    <n v="0.42240396722779971"/>
    <n v="0.42240396722779971"/>
  </r>
  <r>
    <x v="525"/>
    <d v="2024-10-17T00:00:00"/>
    <d v="2024-10-17T00:00:00"/>
    <n v="0"/>
    <s v="CUST-2924"/>
    <s v="Priya Menon"/>
    <x v="3"/>
    <x v="1"/>
    <s v="West Bengal"/>
    <s v="Kolkata"/>
    <x v="1"/>
    <x v="4"/>
    <s v="Prime Chairs 215"/>
    <x v="3"/>
    <n v="5"/>
    <n v="2524.4"/>
    <n v="0.1"/>
    <x v="525"/>
    <n v="7062.44"/>
    <x v="524"/>
    <x v="0"/>
    <x v="0"/>
    <m/>
    <s v="Valid"/>
    <s v="Valid"/>
    <s v="Pass"/>
    <s v="Pass"/>
    <s v="October"/>
    <s v="2024"/>
    <m/>
    <n v="12622"/>
    <n v="11359.800000000001"/>
    <n v="5559.56"/>
    <n v="0.44046585327206467"/>
    <n v="0.44046585327206467"/>
  </r>
  <r>
    <x v="526"/>
    <d v="2025-07-18T00:00:00"/>
    <d v="2025-07-21T00:00:00"/>
    <n v="3"/>
    <s v="CUST-7198"/>
    <s v="Priya Menon"/>
    <x v="0"/>
    <x v="1"/>
    <s v="Odisha"/>
    <s v="Bhubaneswar"/>
    <x v="1"/>
    <x v="1"/>
    <s v="Elite Tables 815"/>
    <x v="0"/>
    <n v="4"/>
    <n v="284.04000000000002"/>
    <n v="0"/>
    <x v="526"/>
    <n v="572.08000000000004"/>
    <x v="525"/>
    <x v="0"/>
    <x v="0"/>
    <m/>
    <s v="Valid"/>
    <s v="Valid"/>
    <s v="Pass"/>
    <s v="Pass"/>
    <s v="July"/>
    <s v="2025"/>
    <m/>
    <n v="1136.1600000000001"/>
    <n v="1136.1600000000001"/>
    <n v="564.08000000000004"/>
    <n v="0.49647936910294327"/>
    <n v="0.49647936910294327"/>
  </r>
  <r>
    <x v="527"/>
    <d v="2025-10-01T00:00:00"/>
    <d v="2025-05-10T00:00:00"/>
    <n v="-144"/>
    <s v="CUST-3419"/>
    <s v="Aditi Sen"/>
    <x v="3"/>
    <x v="0"/>
    <s v="Haryana"/>
    <s v="Gurugram"/>
    <x v="0"/>
    <x v="0"/>
    <s v="Basic Paper 388"/>
    <x v="2"/>
    <n v="5"/>
    <n v="3247.56"/>
    <n v="0.15"/>
    <x v="527"/>
    <n v="10075.93"/>
    <x v="526"/>
    <x v="0"/>
    <x v="0"/>
    <m/>
    <s v="Invalid-Date"/>
    <s v="Valid"/>
    <s v="Pass"/>
    <s v="Pass"/>
    <s v="October"/>
    <s v="2025"/>
    <m/>
    <n v="16237.8"/>
    <n v="13802.13"/>
    <n v="6161.869999999999"/>
    <n v="0.37947689957999231"/>
    <n v="0.37947689957999231"/>
  </r>
  <r>
    <x v="528"/>
    <d v="2024-10-07T00:00:00"/>
    <d v="2024-10-09T00:00:00"/>
    <n v="2"/>
    <s v="CUST-2390"/>
    <s v="Diya Patel"/>
    <x v="0"/>
    <x v="2"/>
    <s v="Tamil Nadu"/>
    <s v="Chennai"/>
    <x v="0"/>
    <x v="9"/>
    <s v="Eco Binders 855"/>
    <x v="3"/>
    <n v="9"/>
    <n v="3457.09"/>
    <n v="0.05"/>
    <x v="528"/>
    <n v="21302.13"/>
    <x v="527"/>
    <x v="2"/>
    <x v="2"/>
    <m/>
    <s v="Valid"/>
    <s v="Valid"/>
    <s v="Pass"/>
    <s v="Pass"/>
    <s v="October"/>
    <s v="2024"/>
    <m/>
    <n v="31113.81"/>
    <n v="29558.119500000001"/>
    <n v="9811.68"/>
    <n v="0.31534807212617161"/>
    <n v="0.31534807212617161"/>
  </r>
  <r>
    <x v="529"/>
    <d v="2024-02-06T00:00:00"/>
    <d v="2024-08-02T00:00:00"/>
    <n v="178"/>
    <s v="CUST-3362"/>
    <s v="Karan Malhotra"/>
    <x v="0"/>
    <x v="1"/>
    <s v="Jharkhand"/>
    <s v="Ranchi"/>
    <x v="1"/>
    <x v="10"/>
    <s v="Classic Bookcases 947"/>
    <x v="0"/>
    <n v="9"/>
    <n v="1822.25"/>
    <n v="0"/>
    <x v="529"/>
    <n v="12146.96"/>
    <x v="528"/>
    <x v="0"/>
    <x v="0"/>
    <m/>
    <s v="Valid"/>
    <s v="Valid"/>
    <s v="Pass"/>
    <s v="Pass"/>
    <s v="February"/>
    <s v="2024"/>
    <m/>
    <n v="16400.25"/>
    <n v="16400.25"/>
    <n v="4253.2900000000009"/>
    <n v="0.25934299782015524"/>
    <n v="0.25934299782015524"/>
  </r>
  <r>
    <x v="530"/>
    <d v="2025-05-30T00:00:00"/>
    <d v="2025-01-06T00:00:00"/>
    <n v="-144"/>
    <s v="CUST-8177"/>
    <s v="Rahul Verma"/>
    <x v="3"/>
    <x v="2"/>
    <s v="Tamil Nadu"/>
    <s v="Chennai"/>
    <x v="0"/>
    <x v="9"/>
    <s v="Eco Binders 352"/>
    <x v="3"/>
    <n v="9"/>
    <n v="1994.51"/>
    <n v="0.05"/>
    <x v="530"/>
    <n v="10742.38"/>
    <x v="529"/>
    <x v="0"/>
    <x v="0"/>
    <m/>
    <s v="Invalid-Date"/>
    <s v="Valid"/>
    <s v="Pass"/>
    <s v="Pass"/>
    <s v="May"/>
    <s v="2025"/>
    <m/>
    <n v="17950.59"/>
    <n v="17053.0605"/>
    <n v="7208.2100000000009"/>
    <n v="0.4015583888886104"/>
    <n v="0.4015583888886104"/>
  </r>
  <r>
    <x v="531"/>
    <d v="2024-08-01T00:00:00"/>
    <d v="2024-08-08T00:00:00"/>
    <n v="7"/>
    <s v="CUST-6357"/>
    <s v="Diya Patel"/>
    <x v="1"/>
    <x v="3"/>
    <s v="Maharashtra"/>
    <s v="Mumbai"/>
    <x v="0"/>
    <x v="8"/>
    <s v="Pro Storage 364"/>
    <x v="4"/>
    <n v="1"/>
    <n v="442.97"/>
    <n v="0.1"/>
    <x v="531"/>
    <n v="311.66000000000003"/>
    <x v="530"/>
    <x v="0"/>
    <x v="0"/>
    <m/>
    <s v="Valid"/>
    <s v="Valid"/>
    <s v="Flagged"/>
    <s v="Pass"/>
    <s v="August"/>
    <s v="2024"/>
    <m/>
    <n v="442.97"/>
    <n v="398.67300000000006"/>
    <n v="131.31"/>
    <n v="0.29643090954240692"/>
    <n v="0.29643090954240692"/>
  </r>
  <r>
    <x v="532"/>
    <d v="2025-10-05T00:00:00"/>
    <d v="2025-10-10T00:00:00"/>
    <n v="5"/>
    <s v="CUST-7690"/>
    <s v="Priya Menon"/>
    <x v="2"/>
    <x v="1"/>
    <s v="Assam"/>
    <s v="Guwahati"/>
    <x v="1"/>
    <x v="1"/>
    <s v="Classic Tables 213"/>
    <x v="0"/>
    <n v="9"/>
    <n v="2089.14"/>
    <n v="0.05"/>
    <x v="532"/>
    <n v="9892.2099999999991"/>
    <x v="531"/>
    <x v="3"/>
    <x v="1"/>
    <m/>
    <s v="Valid"/>
    <s v="Valid"/>
    <s v="Pass"/>
    <s v="Pass"/>
    <s v="October"/>
    <s v="2025"/>
    <m/>
    <n v="18802.259999999998"/>
    <n v="17862.146999999997"/>
    <n v="8910.0499999999993"/>
    <n v="0.47388186313772918"/>
    <n v="0.47388186313772918"/>
  </r>
  <r>
    <x v="533"/>
    <d v="2024-08-25T00:00:00"/>
    <d v="2024-01-09T00:00:00"/>
    <n v="-229"/>
    <s v="CUST-4487"/>
    <s v="Isha Nair"/>
    <x v="3"/>
    <x v="0"/>
    <s v="Rajasthan"/>
    <s v="Jaipur"/>
    <x v="1"/>
    <x v="1"/>
    <s v="Smart Tables 659"/>
    <x v="1"/>
    <n v="6"/>
    <n v="481.3"/>
    <n v="0.25"/>
    <x v="533"/>
    <n v="2124.48"/>
    <x v="532"/>
    <x v="0"/>
    <x v="0"/>
    <m/>
    <s v="Invalid-Date"/>
    <s v="Valid"/>
    <s v="Pass"/>
    <s v="Pass"/>
    <s v="August"/>
    <s v="2024"/>
    <m/>
    <n v="2887.8"/>
    <n v="2165.8500000000004"/>
    <n v="763.32000000000016"/>
    <n v="0.2643257843340952"/>
    <n v="0.2643257843340952"/>
  </r>
  <r>
    <x v="534"/>
    <d v="2025-04-27T00:00:00"/>
    <d v="2025-05-05T00:00:00"/>
    <n v="8"/>
    <s v="CUST-8204"/>
    <s v="Rohan Mehta"/>
    <x v="3"/>
    <x v="1"/>
    <s v="Bihar"/>
    <s v="Patna"/>
    <x v="2"/>
    <x v="5"/>
    <s v="Classic Accessories 325"/>
    <x v="0"/>
    <n v="4"/>
    <n v="3963.39"/>
    <n v="0.1"/>
    <x v="534"/>
    <n v="11705.3"/>
    <x v="533"/>
    <x v="2"/>
    <x v="2"/>
    <m/>
    <s v="Valid"/>
    <s v="Valid"/>
    <s v="Pass"/>
    <s v="Pass"/>
    <s v="April"/>
    <s v="2025"/>
    <m/>
    <n v="15853.56"/>
    <n v="14268.204"/>
    <n v="4148.26"/>
    <n v="0.26166110324747249"/>
    <n v="0.26166110324747249"/>
  </r>
  <r>
    <x v="535"/>
    <d v="2024-05-19T00:00:00"/>
    <d v="2024-05-21T00:00:00"/>
    <n v="2"/>
    <s v="CUST-1729"/>
    <s v="Diya Patel"/>
    <x v="1"/>
    <x v="3"/>
    <s v="Maharashtra"/>
    <s v="Mumbai"/>
    <x v="2"/>
    <x v="6"/>
    <s v="Eco Copiers 243"/>
    <x v="2"/>
    <n v="3"/>
    <n v="4000.98"/>
    <n v="0.2"/>
    <x v="535"/>
    <n v="7387.57"/>
    <x v="534"/>
    <x v="0"/>
    <x v="0"/>
    <m/>
    <s v="Valid"/>
    <s v="Valid"/>
    <s v="Pass"/>
    <s v="Pass"/>
    <s v="May"/>
    <s v="2024"/>
    <m/>
    <n v="12002.94"/>
    <n v="9602.3520000000008"/>
    <n v="4615.3700000000008"/>
    <n v="0.38451995927664395"/>
    <n v="0.38451995927664395"/>
  </r>
  <r>
    <x v="536"/>
    <d v="2025-04-10T00:00:00"/>
    <d v="2025-04-17T00:00:00"/>
    <n v="7"/>
    <s v="CUST-4269"/>
    <s v="Ananya Rao"/>
    <x v="1"/>
    <x v="3"/>
    <s v="Rajasthan"/>
    <s v="Udaipur"/>
    <x v="1"/>
    <x v="4"/>
    <s v="Elite Chairs 777"/>
    <x v="2"/>
    <n v="7"/>
    <n v="3788.9"/>
    <n v="0.25"/>
    <x v="536"/>
    <n v="12295.76"/>
    <x v="535"/>
    <x v="3"/>
    <x v="1"/>
    <m/>
    <s v="Valid"/>
    <s v="Valid"/>
    <s v="Pass"/>
    <s v="Pass"/>
    <s v="April"/>
    <s v="2025"/>
    <m/>
    <n v="26522.3"/>
    <n v="19891.724999999999"/>
    <n v="14226.539999999999"/>
    <n v="0.53639918106649875"/>
    <n v="0.53639918106649875"/>
  </r>
  <r>
    <x v="537"/>
    <d v="2024-01-22T00:00:00"/>
    <d v="2024-01-30T00:00:00"/>
    <n v="8"/>
    <s v="CUST-1370"/>
    <s v="Ananya Rao"/>
    <x v="1"/>
    <x v="0"/>
    <s v="Haryana"/>
    <s v="Gurugram"/>
    <x v="0"/>
    <x v="2"/>
    <s v="Classic Art 772"/>
    <x v="1"/>
    <n v="3"/>
    <n v="676.37"/>
    <n v="0.05"/>
    <x v="537"/>
    <n v="1460.6"/>
    <x v="536"/>
    <x v="3"/>
    <x v="1"/>
    <m/>
    <s v="Valid"/>
    <s v="Valid"/>
    <s v="Pass"/>
    <s v="Pass"/>
    <s v="January"/>
    <s v="2024"/>
    <m/>
    <n v="2029.1100000000001"/>
    <n v="1927.6545000000001"/>
    <n v="568.51000000000022"/>
    <n v="0.28017702342406287"/>
    <n v="0.28017702342406287"/>
  </r>
  <r>
    <x v="538"/>
    <d v="2024-09-25T00:00:00"/>
    <d v="2024-10-01T00:00:00"/>
    <n v="6"/>
    <s v="CUST-5381"/>
    <s v="Diya Patel"/>
    <x v="1"/>
    <x v="1"/>
    <s v="Jharkhand"/>
    <s v="Ranchi"/>
    <x v="1"/>
    <x v="1"/>
    <s v="Elite Tables 888"/>
    <x v="0"/>
    <n v="9"/>
    <n v="3908.6"/>
    <n v="0.15"/>
    <x v="538"/>
    <n v="24650.67"/>
    <x v="537"/>
    <x v="0"/>
    <x v="0"/>
    <m/>
    <s v="Valid"/>
    <s v="Valid"/>
    <s v="Pass"/>
    <s v="Pass"/>
    <s v="September"/>
    <s v="2024"/>
    <m/>
    <n v="35177.4"/>
    <n v="29900.79"/>
    <n v="10526.730000000003"/>
    <n v="0.2992469596957138"/>
    <n v="0.2992469596957138"/>
  </r>
  <r>
    <x v="539"/>
    <d v="2025-04-07T00:00:00"/>
    <d v="2025-04-07T00:00:00"/>
    <n v="0"/>
    <s v="CUST-3694"/>
    <s v="Mira Das"/>
    <x v="1"/>
    <x v="2"/>
    <s v="Tamil Nadu"/>
    <s v="Chennai"/>
    <x v="1"/>
    <x v="4"/>
    <s v="Classic Chairs 666"/>
    <x v="3"/>
    <n v="3"/>
    <n v="705.35"/>
    <n v="0.1"/>
    <x v="539"/>
    <n v="1316.54"/>
    <x v="538"/>
    <x v="0"/>
    <x v="1"/>
    <m/>
    <s v="Valid"/>
    <s v="Valid"/>
    <s v="Pass"/>
    <s v="Pass"/>
    <s v="April"/>
    <s v="2025"/>
    <m/>
    <n v="2116.0500000000002"/>
    <n v="1904.4450000000002"/>
    <n v="799.51000000000022"/>
    <n v="0.37783133668864166"/>
    <n v="0.37783133668864166"/>
  </r>
  <r>
    <x v="540"/>
    <d v="2024-02-26T00:00:00"/>
    <d v="2024-02-23T00:00:00"/>
    <n v="-3"/>
    <s v="CUST-7563"/>
    <s v="Kabir Singh"/>
    <x v="0"/>
    <x v="3"/>
    <s v="Gujarat"/>
    <s v="Ahmedabad"/>
    <x v="1"/>
    <x v="3"/>
    <s v="Basic Furnishings 350"/>
    <x v="3"/>
    <n v="7"/>
    <n v="3852.07"/>
    <n v="0.2"/>
    <x v="540"/>
    <n v="17118.07"/>
    <x v="539"/>
    <x v="0"/>
    <x v="0"/>
    <m/>
    <s v="Invalid-Date"/>
    <s v="Valid"/>
    <s v="Pass"/>
    <s v="Pass"/>
    <s v="February"/>
    <s v="2024"/>
    <m/>
    <n v="26964.49"/>
    <n v="21571.592000000004"/>
    <n v="9846.4200000000019"/>
    <n v="0.36516247850413641"/>
    <n v="0.36516247850413641"/>
  </r>
  <r>
    <x v="541"/>
    <d v="2025-07-08T00:00:00"/>
    <d v="2025-09-07T00:00:00"/>
    <n v="61"/>
    <s v="CUST-4188"/>
    <s v="Sneha Kapoor"/>
    <x v="0"/>
    <x v="3"/>
    <s v="Maharashtra"/>
    <s v="Mumbai"/>
    <x v="2"/>
    <x v="6"/>
    <s v="Elite Copiers 831"/>
    <x v="1"/>
    <n v="3"/>
    <n v="2880.56"/>
    <n v="0"/>
    <x v="541"/>
    <n v="5747.09"/>
    <x v="540"/>
    <x v="0"/>
    <x v="2"/>
    <m/>
    <s v="Valid"/>
    <s v="Valid"/>
    <s v="Pass"/>
    <s v="Pass"/>
    <s v="July"/>
    <s v="2025"/>
    <m/>
    <n v="8641.68"/>
    <n v="8641.68"/>
    <n v="2894.59"/>
    <n v="0.33495686024013849"/>
    <n v="0.33495686024013849"/>
  </r>
  <r>
    <x v="542"/>
    <d v="2024-09-17T00:00:00"/>
    <d v="2024-09-23T00:00:00"/>
    <n v="6"/>
    <s v="CUST-9376"/>
    <s v="Rahul Verma"/>
    <x v="3"/>
    <x v="2"/>
    <s v="Kerala"/>
    <s v="Kochi"/>
    <x v="1"/>
    <x v="10"/>
    <s v="Eco Bookcases 759"/>
    <x v="0"/>
    <n v="3"/>
    <n v="4067.62"/>
    <n v="0.2"/>
    <x v="542"/>
    <n v="8368.24"/>
    <x v="541"/>
    <x v="0"/>
    <x v="1"/>
    <m/>
    <s v="Valid"/>
    <s v="Valid"/>
    <s v="Pass"/>
    <s v="Pass"/>
    <s v="September"/>
    <s v="2024"/>
    <m/>
    <n v="12202.86"/>
    <n v="9762.2880000000005"/>
    <n v="3834.6200000000008"/>
    <n v="0.31423944878495702"/>
    <n v="0.31423944878495702"/>
  </r>
  <r>
    <x v="543"/>
    <d v="2024-07-14T00:00:00"/>
    <d v="2024-07-20T00:00:00"/>
    <n v="6"/>
    <s v="CUST-9094"/>
    <s v="Mira Das"/>
    <x v="0"/>
    <x v="1"/>
    <s v="Bihar"/>
    <s v="Patna"/>
    <x v="2"/>
    <x v="6"/>
    <s v="Max Copiers 440"/>
    <x v="1"/>
    <n v="1"/>
    <n v="492.67"/>
    <n v="0.15"/>
    <x v="543"/>
    <n v="313.72000000000003"/>
    <x v="542"/>
    <x v="0"/>
    <x v="0"/>
    <m/>
    <s v="Valid"/>
    <s v="Valid"/>
    <s v="Pass"/>
    <s v="Pass"/>
    <s v="July"/>
    <s v="2024"/>
    <m/>
    <n v="492.67"/>
    <n v="418.76949999999999"/>
    <n v="178.95"/>
    <n v="0.36322487669230924"/>
    <n v="0.36322487669230924"/>
  </r>
  <r>
    <x v="544"/>
    <d v="2025-01-29T00:00:00"/>
    <d v="2025-05-02T00:00:00"/>
    <n v="93"/>
    <s v="CUST-2366"/>
    <s v="Ananya Rao"/>
    <x v="0"/>
    <x v="2"/>
    <s v="Kerala"/>
    <s v="Kochi"/>
    <x v="0"/>
    <x v="2"/>
    <s v="Smart Art 201"/>
    <x v="1"/>
    <n v="8"/>
    <n v="3643.62"/>
    <n v="0.25"/>
    <x v="544"/>
    <n v="18464.34"/>
    <x v="543"/>
    <x v="0"/>
    <x v="1"/>
    <m/>
    <s v="Valid"/>
    <s v="Valid"/>
    <s v="Pass"/>
    <s v="Pass"/>
    <s v="January"/>
    <s v="2025"/>
    <m/>
    <n v="29148.959999999999"/>
    <n v="21861.72"/>
    <n v="10684.619999999999"/>
    <n v="0.36655235727106555"/>
    <n v="0.36655235727106555"/>
  </r>
  <r>
    <x v="545"/>
    <d v="2024-05-27T00:00:00"/>
    <d v="2024-05-30T00:00:00"/>
    <n v="3"/>
    <s v="CUST-7168"/>
    <s v="Kabir Singh"/>
    <x v="1"/>
    <x v="1"/>
    <s v="Jharkhand"/>
    <s v="Ranchi"/>
    <x v="0"/>
    <x v="8"/>
    <s v="Classic Storage 755"/>
    <x v="1"/>
    <n v="7"/>
    <n v="2900.86"/>
    <n v="0.15"/>
    <x v="545"/>
    <n v="13513.51"/>
    <x v="544"/>
    <x v="0"/>
    <x v="0"/>
    <m/>
    <s v="Valid"/>
    <s v="Valid"/>
    <s v="Pass"/>
    <s v="Pass"/>
    <s v="May"/>
    <s v="2024"/>
    <m/>
    <n v="20306.02"/>
    <n v="17260.116999999998"/>
    <n v="6792.51"/>
    <n v="0.33450720525243255"/>
    <n v="0.33450720525243255"/>
  </r>
  <r>
    <x v="546"/>
    <d v="2025-08-14T00:00:00"/>
    <d v="2025-08-22T00:00:00"/>
    <n v="8"/>
    <s v="CUST-8157"/>
    <s v="Arjun Bose"/>
    <x v="2"/>
    <x v="3"/>
    <s v="Gujarat"/>
    <s v="Ahmedabad"/>
    <x v="0"/>
    <x v="0"/>
    <s v="Prime Paper 143"/>
    <x v="2"/>
    <n v="5"/>
    <n v="2567.37"/>
    <n v="0.15"/>
    <x v="546"/>
    <n v="6966.44"/>
    <x v="545"/>
    <x v="0"/>
    <x v="0"/>
    <m/>
    <s v="Valid"/>
    <s v="Valid"/>
    <s v="Pass"/>
    <s v="Pass"/>
    <s v="August"/>
    <s v="2025"/>
    <m/>
    <n v="12836.849999999999"/>
    <n v="10911.322499999998"/>
    <n v="5870.4099999999989"/>
    <n v="0.45730923084713149"/>
    <n v="0.45730923084713149"/>
  </r>
  <r>
    <x v="547"/>
    <d v="2024-05-16T00:00:00"/>
    <d v="2024-05-23T00:00:00"/>
    <n v="7"/>
    <s v="CUST-9146"/>
    <s v="Neha Gupta"/>
    <x v="1"/>
    <x v="0"/>
    <s v="Uttar Pradesh"/>
    <s v="Noida"/>
    <x v="2"/>
    <x v="6"/>
    <s v="Max Copiers 607"/>
    <x v="3"/>
    <n v="9"/>
    <n v="3722.09"/>
    <n v="0.1"/>
    <x v="547"/>
    <n v="25155.07"/>
    <x v="546"/>
    <x v="0"/>
    <x v="0"/>
    <m/>
    <s v="Valid"/>
    <s v="Valid"/>
    <s v="Pass"/>
    <s v="Pass"/>
    <s v="May"/>
    <s v="2024"/>
    <m/>
    <n v="33498.81"/>
    <n v="30148.929"/>
    <n v="8343.739999999998"/>
    <n v="0.24907571343579066"/>
    <n v="0.24907571343579066"/>
  </r>
  <r>
    <x v="548"/>
    <d v="2024-05-29T00:00:00"/>
    <d v="2024-05-29T00:00:00"/>
    <n v="0"/>
    <s v="CUST-5129"/>
    <s v="Rohan Mehta"/>
    <x v="2"/>
    <x v="1"/>
    <s v="Bihar"/>
    <s v="Patna"/>
    <x v="1"/>
    <x v="10"/>
    <s v="Prime Bookcases 402"/>
    <x v="1"/>
    <n v="1"/>
    <n v="1072.01"/>
    <n v="0"/>
    <x v="548"/>
    <n v="852.62"/>
    <x v="547"/>
    <x v="2"/>
    <x v="1"/>
    <m/>
    <s v="Valid"/>
    <s v="Valid"/>
    <s v="Pass"/>
    <s v="Pass"/>
    <s v="May"/>
    <s v="2024"/>
    <m/>
    <n v="1072.01"/>
    <n v="1072.01"/>
    <n v="219.39"/>
    <n v="0.20465294167032022"/>
    <n v="0.20465294167032022"/>
  </r>
  <r>
    <x v="549"/>
    <d v="2025-11-10T00:00:00"/>
    <d v="2025-10-13T00:00:00"/>
    <n v="-28"/>
    <s v="CUST-6028"/>
    <s v="Mira Das"/>
    <x v="2"/>
    <x v="2"/>
    <s v="Telangana"/>
    <s v="Hyderabad"/>
    <x v="0"/>
    <x v="2"/>
    <s v="Pro Art 287"/>
    <x v="0"/>
    <n v="3"/>
    <n v="3804.27"/>
    <n v="0.1"/>
    <x v="549"/>
    <n v="8272.24"/>
    <x v="548"/>
    <x v="0"/>
    <x v="0"/>
    <m/>
    <s v="Invalid-Date"/>
    <s v="Valid"/>
    <s v="Pass"/>
    <s v="Pass"/>
    <s v="November"/>
    <s v="2025"/>
    <m/>
    <n v="11412.81"/>
    <n v="10271.529"/>
    <n v="3140.5699999999997"/>
    <n v="0.2751793817648765"/>
    <n v="0.2751793817648765"/>
  </r>
  <r>
    <x v="550"/>
    <d v="2024-08-02T00:00:00"/>
    <d v="2024-10-08T00:00:00"/>
    <n v="67"/>
    <s v="CUST-8687"/>
    <s v="Mira Das"/>
    <x v="3"/>
    <x v="1"/>
    <s v="Odisha"/>
    <s v="Bhubaneswar"/>
    <x v="2"/>
    <x v="5"/>
    <s v="Max Accessories 591"/>
    <x v="3"/>
    <n v="6"/>
    <n v="2126.44"/>
    <n v="0.2"/>
    <x v="550"/>
    <n v="6764.53"/>
    <x v="549"/>
    <x v="0"/>
    <x v="0"/>
    <m/>
    <s v="Valid"/>
    <s v="Valid"/>
    <s v="Pass"/>
    <s v="Pass"/>
    <s v="August"/>
    <s v="2024"/>
    <m/>
    <n v="12758.64"/>
    <n v="10206.912"/>
    <n v="5994.11"/>
    <n v="0.46980791056100024"/>
    <n v="0.46980791056100024"/>
  </r>
  <r>
    <x v="551"/>
    <d v="2024-02-27T00:00:00"/>
    <d v="2024-02-27T00:00:00"/>
    <n v="0"/>
    <s v="CUST-8172"/>
    <s v="Sneha Kapoor"/>
    <x v="0"/>
    <x v="1"/>
    <s v="Jharkhand"/>
    <s v="Ranchi"/>
    <x v="1"/>
    <x v="4"/>
    <s v="Elite Chairs 314"/>
    <x v="0"/>
    <n v="3"/>
    <n v="3148.09"/>
    <n v="0.15"/>
    <x v="551"/>
    <n v="5496.09"/>
    <x v="550"/>
    <x v="0"/>
    <x v="0"/>
    <m/>
    <s v="Valid"/>
    <s v="Valid"/>
    <s v="Pass"/>
    <s v="Pass"/>
    <s v="February"/>
    <s v="2024"/>
    <m/>
    <n v="9444.27"/>
    <n v="8027.6295"/>
    <n v="3948.1800000000003"/>
    <n v="0.4180503098704294"/>
    <n v="0.4180503098704294"/>
  </r>
  <r>
    <x v="552"/>
    <d v="2025-01-24T00:00:00"/>
    <d v="2025-01-30T00:00:00"/>
    <n v="6"/>
    <s v="CUST-8861"/>
    <s v="Ananya Rao"/>
    <x v="2"/>
    <x v="1"/>
    <s v="West Bengal"/>
    <s v="Kolkata"/>
    <x v="2"/>
    <x v="6"/>
    <s v="Pro Copiers 246"/>
    <x v="3"/>
    <n v="8"/>
    <n v="312.52999999999997"/>
    <n v="0.7"/>
    <x v="552"/>
    <n v="1579.17"/>
    <x v="551"/>
    <x v="0"/>
    <x v="0"/>
    <m/>
    <s v="Valid"/>
    <s v="Invalid-Discount"/>
    <s v="Pass"/>
    <s v="Pass"/>
    <s v="January"/>
    <s v="2025"/>
    <m/>
    <n v="2500.2399999999998"/>
    <n v="750.072"/>
    <n v="921.06999999999971"/>
    <n v="0.36839263430710645"/>
    <n v="0.36839263430710645"/>
  </r>
  <r>
    <x v="553"/>
    <d v="2025-04-25T00:00:00"/>
    <d v="2025-04-28T00:00:00"/>
    <n v="3"/>
    <s v="CUST-9241"/>
    <s v="Aarav Sharma"/>
    <x v="1"/>
    <x v="3"/>
    <s v="Gujarat"/>
    <s v="Ahmedabad"/>
    <x v="0"/>
    <x v="8"/>
    <s v="Pro Storage 128"/>
    <x v="2"/>
    <n v="9"/>
    <n v="1294.1099999999999"/>
    <n v="0.25"/>
    <x v="553"/>
    <n v="6620.07"/>
    <x v="552"/>
    <x v="0"/>
    <x v="0"/>
    <m/>
    <s v="Valid"/>
    <s v="Valid"/>
    <s v="Pass"/>
    <s v="Pass"/>
    <s v="April"/>
    <s v="2025"/>
    <m/>
    <n v="11646.99"/>
    <n v="8735.2425000000003"/>
    <n v="5026.92"/>
    <n v="0.43160679282801823"/>
    <n v="0.43160679282801823"/>
  </r>
  <r>
    <x v="554"/>
    <d v="2024-10-12T00:00:00"/>
    <d v="2024-10-17T00:00:00"/>
    <n v="5"/>
    <s v="CUST-2126"/>
    <s v="Arjun Bose"/>
    <x v="0"/>
    <x v="4"/>
    <s v="Jharkhand"/>
    <s v="Ranchi"/>
    <x v="1"/>
    <x v="3"/>
    <s v="Prime Furnishings 892"/>
    <x v="3"/>
    <n v="4"/>
    <n v="1071.22"/>
    <n v="0.05"/>
    <x v="554"/>
    <n v="2831.62"/>
    <x v="553"/>
    <x v="0"/>
    <x v="0"/>
    <m/>
    <s v="Valid"/>
    <s v="Valid"/>
    <s v="Pass"/>
    <s v="Flagged"/>
    <s v="October"/>
    <s v="2024"/>
    <m/>
    <n v="4284.88"/>
    <n v="4070.636"/>
    <n v="1453.2600000000002"/>
    <n v="0.3391600231511735"/>
    <n v="0.3391600231511735"/>
  </r>
  <r>
    <x v="555"/>
    <d v="2025-02-04T00:00:00"/>
    <d v="2025-10-02T00:00:00"/>
    <n v="240"/>
    <s v="CUST-7513"/>
    <s v="Ananya Rao"/>
    <x v="1"/>
    <x v="2"/>
    <s v="Telangana"/>
    <s v="Hyderabad"/>
    <x v="0"/>
    <x v="8"/>
    <s v="Prime Storage 689"/>
    <x v="3"/>
    <n v="6"/>
    <n v="1042.8"/>
    <n v="0.05"/>
    <x v="555"/>
    <n v="3604.14"/>
    <x v="554"/>
    <x v="0"/>
    <x v="0"/>
    <m/>
    <s v="Valid"/>
    <s v="Valid"/>
    <s v="Pass"/>
    <s v="Pass"/>
    <s v="February"/>
    <s v="2025"/>
    <m/>
    <n v="6256.7999999999993"/>
    <n v="5943.9599999999991"/>
    <n v="2652.6599999999994"/>
    <n v="0.42396432681242802"/>
    <n v="0.42396432681242802"/>
  </r>
  <r>
    <x v="556"/>
    <d v="2024-06-23T00:00:00"/>
    <d v="2024-06-29T00:00:00"/>
    <n v="6"/>
    <s v="CUST-1992"/>
    <s v="Neha Gupta"/>
    <x v="0"/>
    <x v="0"/>
    <s v="Haryana"/>
    <s v="Gurugram"/>
    <x v="1"/>
    <x v="1"/>
    <s v="Classic Tables 769"/>
    <x v="2"/>
    <n v="1"/>
    <n v="4426.66"/>
    <n v="0"/>
    <x v="556"/>
    <n v="3035.2"/>
    <x v="555"/>
    <x v="0"/>
    <x v="2"/>
    <m/>
    <s v="Valid"/>
    <s v="Valid"/>
    <s v="Pass"/>
    <s v="Pass"/>
    <s v="June"/>
    <s v="2024"/>
    <m/>
    <n v="4426.66"/>
    <n v="4426.66"/>
    <n v="1391.46"/>
    <n v="0.31433631677156143"/>
    <n v="0.31433631677156143"/>
  </r>
  <r>
    <x v="557"/>
    <d v="2024-05-08T00:00:00"/>
    <d v="2024-05-14T00:00:00"/>
    <n v="6"/>
    <s v="CUST-8848"/>
    <s v="Vikram Iyer"/>
    <x v="3"/>
    <x v="0"/>
    <s v="Haryana"/>
    <s v="Gurugram"/>
    <x v="2"/>
    <x v="11"/>
    <s v="Prime Phones 503"/>
    <x v="2"/>
    <n v="9"/>
    <n v="3769.46"/>
    <n v="0.05"/>
    <x v="557"/>
    <n v="24971.360000000001"/>
    <x v="556"/>
    <x v="0"/>
    <x v="1"/>
    <m/>
    <s v="Valid"/>
    <s v="Valid"/>
    <s v="Pass"/>
    <s v="Pass"/>
    <s v="May"/>
    <s v="2024"/>
    <m/>
    <n v="33925.14"/>
    <n v="32228.882999999998"/>
    <n v="8953.7799999999988"/>
    <n v="0.26392757701220981"/>
    <n v="0.26392757701220981"/>
  </r>
  <r>
    <x v="558"/>
    <d v="2025-09-04T00:00:00"/>
    <d v="2025-04-09T00:00:00"/>
    <n v="-148"/>
    <s v="CUST-9368"/>
    <s v="Aditi Sen"/>
    <x v="2"/>
    <x v="0"/>
    <s v="Punjab"/>
    <s v="Ludhiana"/>
    <x v="2"/>
    <x v="12"/>
    <s v="Basic Machines 136"/>
    <x v="2"/>
    <n v="8"/>
    <n v="3079.95"/>
    <n v="0.2"/>
    <x v="558"/>
    <n v="14461.8"/>
    <x v="557"/>
    <x v="0"/>
    <x v="0"/>
    <m/>
    <s v="Invalid-Date"/>
    <s v="Valid"/>
    <s v="Pass"/>
    <s v="Pass"/>
    <s v="September"/>
    <s v="2025"/>
    <m/>
    <n v="24639.599999999999"/>
    <n v="19711.68"/>
    <n v="10177.799999999999"/>
    <n v="0.41306677056445723"/>
    <n v="0.41306677056445723"/>
  </r>
  <r>
    <x v="559"/>
    <d v="2025-09-30T00:00:00"/>
    <d v="2025-07-10T00:00:00"/>
    <n v="-82"/>
    <s v="CUST-6797"/>
    <s v="Diya Patel"/>
    <x v="2"/>
    <x v="1"/>
    <s v="Bihar"/>
    <s v="Patna"/>
    <x v="2"/>
    <x v="6"/>
    <s v="Basic Copiers 512"/>
    <x v="0"/>
    <n v="5"/>
    <n v="3277.82"/>
    <n v="0.1"/>
    <x v="559"/>
    <n v="9482.58"/>
    <x v="558"/>
    <x v="0"/>
    <x v="2"/>
    <m/>
    <s v="Invalid-Date"/>
    <s v="Valid"/>
    <s v="Pass"/>
    <s v="Pass"/>
    <s v="September"/>
    <s v="2025"/>
    <m/>
    <n v="16389.100000000002"/>
    <n v="14750.190000000002"/>
    <n v="6906.5200000000023"/>
    <n v="0.42140935133716928"/>
    <n v="0.42140935133716928"/>
  </r>
  <r>
    <x v="560"/>
    <d v="2024-01-16T00:00:00"/>
    <d v="2024-01-22T00:00:00"/>
    <n v="6"/>
    <s v="CUST-9333"/>
    <s v="Arjun Bose"/>
    <x v="0"/>
    <x v="3"/>
    <s v="Goa"/>
    <s v="Panaji"/>
    <x v="0"/>
    <x v="8"/>
    <s v="Smart Storage 767"/>
    <x v="3"/>
    <n v="4"/>
    <n v="282.52999999999997"/>
    <n v="0"/>
    <x v="560"/>
    <n v="848.62"/>
    <x v="559"/>
    <x v="0"/>
    <x v="1"/>
    <m/>
    <s v="Valid"/>
    <s v="Valid"/>
    <s v="Pass"/>
    <s v="Pass"/>
    <s v="January"/>
    <s v="2024"/>
    <m/>
    <n v="1130.1199999999999"/>
    <n v="1130.1199999999999"/>
    <n v="281.49999999999989"/>
    <n v="0.249088592361873"/>
    <n v="0.249088592361873"/>
  </r>
  <r>
    <x v="561"/>
    <d v="2025-07-14T00:00:00"/>
    <d v="2025-07-18T00:00:00"/>
    <n v="4"/>
    <s v="CUST-6654"/>
    <s v="Aditi Sen"/>
    <x v="0"/>
    <x v="0"/>
    <s v="Punjab"/>
    <s v="Ludhiana"/>
    <x v="2"/>
    <x v="6"/>
    <s v="Eco Copiers 954"/>
    <x v="2"/>
    <n v="4"/>
    <n v="725.22"/>
    <n v="0"/>
    <x v="561"/>
    <n v="2391.85"/>
    <x v="560"/>
    <x v="2"/>
    <x v="2"/>
    <m/>
    <s v="Valid"/>
    <s v="Valid"/>
    <s v="Pass"/>
    <s v="Pass"/>
    <s v="July"/>
    <s v="2025"/>
    <m/>
    <n v="2900.88"/>
    <n v="2900.88"/>
    <n v="509.0300000000002"/>
    <n v="0.17547433882132324"/>
    <n v="0.17547433882132324"/>
  </r>
  <r>
    <x v="562"/>
    <d v="2024-05-10T00:00:00"/>
    <d v="2024-05-16T00:00:00"/>
    <n v="6"/>
    <s v="CUST-8622"/>
    <s v="Karan Malhotra"/>
    <x v="0"/>
    <x v="0"/>
    <s v="Punjab"/>
    <s v="Ludhiana"/>
    <x v="0"/>
    <x v="9"/>
    <s v="Elite Binders 143"/>
    <x v="1"/>
    <n v="7"/>
    <n v="121.54"/>
    <n v="0.2"/>
    <x v="562"/>
    <n v="463.49"/>
    <x v="561"/>
    <x v="3"/>
    <x v="2"/>
    <m/>
    <s v="Valid"/>
    <s v="Valid"/>
    <s v="Pass"/>
    <s v="Pass"/>
    <s v="May"/>
    <s v="2024"/>
    <m/>
    <n v="850.78000000000009"/>
    <n v="680.62400000000014"/>
    <n v="387.29000000000008"/>
    <n v="0.45521756505794686"/>
    <n v="0.45521756505794686"/>
  </r>
  <r>
    <x v="563"/>
    <d v="2024-06-05T00:00:00"/>
    <d v="2024-05-12T00:00:00"/>
    <n v="-24"/>
    <s v="CUST-8776"/>
    <s v="Arjun Bose"/>
    <x v="2"/>
    <x v="3"/>
    <s v="Goa"/>
    <s v="Panaji"/>
    <x v="1"/>
    <x v="1"/>
    <s v="Classic Tables 560"/>
    <x v="3"/>
    <n v="9"/>
    <n v="790.97"/>
    <n v="0.2"/>
    <x v="563"/>
    <n v="4618.33"/>
    <x v="562"/>
    <x v="2"/>
    <x v="1"/>
    <m/>
    <s v="Invalid-Date"/>
    <s v="Valid"/>
    <s v="Pass"/>
    <s v="Pass"/>
    <s v="June"/>
    <s v="2024"/>
    <m/>
    <n v="7118.7300000000005"/>
    <n v="5694.9840000000004"/>
    <n v="2500.4000000000005"/>
    <n v="0.35124242666880195"/>
    <n v="0.35124242666880195"/>
  </r>
  <r>
    <x v="564"/>
    <d v="2024-10-11T00:00:00"/>
    <d v="2024-11-14T00:00:00"/>
    <n v="34"/>
    <s v="CUST-9100"/>
    <s v="Sneha Kapoor"/>
    <x v="2"/>
    <x v="2"/>
    <s v="Andhra Pradesh"/>
    <s v="Vijayawada"/>
    <x v="1"/>
    <x v="1"/>
    <s v="Basic Tables 759"/>
    <x v="2"/>
    <n v="2"/>
    <n v="921.34"/>
    <n v="0.2"/>
    <x v="564"/>
    <n v="968.46"/>
    <x v="563"/>
    <x v="0"/>
    <x v="0"/>
    <m/>
    <s v="Valid"/>
    <s v="Valid"/>
    <s v="Pass"/>
    <s v="Pass"/>
    <s v="October"/>
    <s v="2024"/>
    <m/>
    <n v="1842.68"/>
    <n v="1474.1440000000002"/>
    <n v="874.22"/>
    <n v="0.47442854972105847"/>
    <n v="0.47442854972105847"/>
  </r>
  <r>
    <x v="565"/>
    <d v="2025-08-07T00:00:00"/>
    <d v="2025-08-13T00:00:00"/>
    <n v="6"/>
    <s v="CUST-5601"/>
    <s v="Mira Das"/>
    <x v="2"/>
    <x v="0"/>
    <s v="Delhi"/>
    <s v="New Delhi"/>
    <x v="2"/>
    <x v="11"/>
    <s v="Prime Phones 564"/>
    <x v="3"/>
    <n v="6"/>
    <n v="1921.86"/>
    <n v="0.2"/>
    <x v="565"/>
    <n v="7005.2"/>
    <x v="564"/>
    <x v="1"/>
    <x v="1"/>
    <m/>
    <s v="Valid"/>
    <s v="Valid"/>
    <s v="Pass"/>
    <s v="Pass"/>
    <s v="August"/>
    <s v="2025"/>
    <m/>
    <n v="11531.16"/>
    <n v="9224.9279999999999"/>
    <n v="4525.96"/>
    <n v="0.39249823955265561"/>
    <n v="0.39249823955265561"/>
  </r>
  <r>
    <x v="566"/>
    <d v="2024-08-11T00:00:00"/>
    <d v="2024-08-19T00:00:00"/>
    <n v="8"/>
    <s v="CUST-5246"/>
    <s v="Sneha Kapoor"/>
    <x v="1"/>
    <x v="3"/>
    <s v="Maharashtra"/>
    <s v="Mumbai"/>
    <x v="0"/>
    <x v="0"/>
    <s v="Smart Paper 807"/>
    <x v="1"/>
    <n v="2"/>
    <n v="2617.89"/>
    <n v="0.1"/>
    <x v="566"/>
    <n v="3851.91"/>
    <x v="565"/>
    <x v="3"/>
    <x v="2"/>
    <m/>
    <s v="Valid"/>
    <s v="Valid"/>
    <s v="Pass"/>
    <s v="Pass"/>
    <s v="August"/>
    <s v="2024"/>
    <m/>
    <n v="5235.78"/>
    <n v="4712.2020000000002"/>
    <n v="1383.87"/>
    <n v="0.26431018873978662"/>
    <n v="0.26431018873978662"/>
  </r>
  <r>
    <x v="567"/>
    <d v="2024-02-06T00:00:00"/>
    <d v="2024-02-10T00:00:00"/>
    <n v="4"/>
    <s v="CUST-3128"/>
    <s v="Arjun Bose"/>
    <x v="3"/>
    <x v="0"/>
    <s v="Uttar Pradesh"/>
    <s v="Noida"/>
    <x v="1"/>
    <x v="3"/>
    <s v="Pro Furnishings 108"/>
    <x v="1"/>
    <n v="1"/>
    <n v="1374.06"/>
    <n v="0.05"/>
    <x v="567"/>
    <n v="731.89"/>
    <x v="566"/>
    <x v="0"/>
    <x v="0"/>
    <m/>
    <s v="Valid"/>
    <s v="Valid"/>
    <s v="Pass"/>
    <s v="Pass"/>
    <s v="February"/>
    <s v="2024"/>
    <m/>
    <n v="1374.06"/>
    <n v="1305.357"/>
    <n v="642.16999999999996"/>
    <n v="0.46735222624921763"/>
    <n v="0.46735222624921763"/>
  </r>
  <r>
    <x v="568"/>
    <d v="2024-01-21T00:00:00"/>
    <d v="2024-01-24T00:00:00"/>
    <n v="3"/>
    <s v="CUST-4604"/>
    <s v="Kabir Singh"/>
    <x v="2"/>
    <x v="0"/>
    <s v="Punjab"/>
    <s v="Ludhiana"/>
    <x v="2"/>
    <x v="12"/>
    <s v="Classic Machines 522"/>
    <x v="1"/>
    <n v="1"/>
    <n v="3806.3"/>
    <n v="0.25"/>
    <x v="568"/>
    <n v="1968.12"/>
    <x v="567"/>
    <x v="0"/>
    <x v="0"/>
    <m/>
    <s v="Valid"/>
    <s v="Valid"/>
    <s v="Pass"/>
    <s v="Pass"/>
    <s v="January"/>
    <s v="2024"/>
    <m/>
    <n v="3806.3"/>
    <n v="2854.7250000000004"/>
    <n v="1838.1800000000003"/>
    <n v="0.48293093029976625"/>
    <n v="0.48293093029976625"/>
  </r>
  <r>
    <x v="569"/>
    <d v="2025-08-09T00:00:00"/>
    <d v="2025-10-09T00:00:00"/>
    <n v="61"/>
    <s v="CUST-2586"/>
    <s v="Rahul Verma"/>
    <x v="3"/>
    <x v="3"/>
    <s v="Maharashtra"/>
    <s v="Mumbai"/>
    <x v="1"/>
    <x v="3"/>
    <s v="Elite Furnishings 822"/>
    <x v="3"/>
    <n v="6"/>
    <n v="3251.17"/>
    <n v="0.25"/>
    <x v="569"/>
    <n v="11906.36"/>
    <x v="568"/>
    <x v="1"/>
    <x v="2"/>
    <m/>
    <s v="Valid"/>
    <s v="Valid"/>
    <s v="Pass"/>
    <s v="Pass"/>
    <s v="August"/>
    <s v="2025"/>
    <m/>
    <n v="19507.02"/>
    <n v="14630.264999999999"/>
    <n v="7600.66"/>
    <n v="0.38963716651748959"/>
    <n v="0.38963716651748959"/>
  </r>
  <r>
    <x v="570"/>
    <d v="2025-08-18T00:00:00"/>
    <d v="2025-08-22T00:00:00"/>
    <n v="4"/>
    <s v="CUST-6585"/>
    <s v="Arjun Bose"/>
    <x v="0"/>
    <x v="1"/>
    <s v="Jharkhand"/>
    <s v="Ranchi"/>
    <x v="1"/>
    <x v="3"/>
    <s v="Max Furnishings 647"/>
    <x v="0"/>
    <n v="3"/>
    <n v="3946.44"/>
    <n v="0.25"/>
    <x v="570"/>
    <n v="6344.57"/>
    <x v="569"/>
    <x v="3"/>
    <x v="2"/>
    <m/>
    <s v="Valid"/>
    <s v="Valid"/>
    <s v="Pass"/>
    <s v="Pass"/>
    <s v="August"/>
    <s v="2025"/>
    <m/>
    <n v="11839.32"/>
    <n v="8879.49"/>
    <n v="5494.75"/>
    <n v="0.46411026984657905"/>
    <n v="0.46411026984657905"/>
  </r>
  <r>
    <x v="571"/>
    <d v="2025-02-10T00:00:00"/>
    <d v="2025-02-14T00:00:00"/>
    <n v="4"/>
    <s v="CUST-3425"/>
    <s v="Priya Menon"/>
    <x v="1"/>
    <x v="0"/>
    <s v="Uttar Pradesh"/>
    <s v="Noida"/>
    <x v="2"/>
    <x v="11"/>
    <s v="Prime Phones 895"/>
    <x v="4"/>
    <n v="5"/>
    <n v="4276.29"/>
    <n v="0"/>
    <x v="571"/>
    <n v="13240.21"/>
    <x v="570"/>
    <x v="3"/>
    <x v="2"/>
    <m/>
    <s v="Valid"/>
    <s v="Valid"/>
    <s v="Flagged"/>
    <s v="Pass"/>
    <s v="February"/>
    <s v="2025"/>
    <m/>
    <n v="21381.45"/>
    <n v="21381.45"/>
    <n v="8141.2400000000016"/>
    <n v="0.38076182859441249"/>
    <n v="0.38076182859441249"/>
  </r>
  <r>
    <x v="572"/>
    <d v="2024-02-01T00:00:00"/>
    <d v="2024-01-09T00:00:00"/>
    <n v="-23"/>
    <s v="CUST-8633"/>
    <s v="Diya Patel"/>
    <x v="2"/>
    <x v="0"/>
    <s v="Delhi"/>
    <s v="New Delhi"/>
    <x v="2"/>
    <x v="11"/>
    <s v="Eco Phones 368"/>
    <x v="3"/>
    <n v="3"/>
    <n v="739.56"/>
    <n v="0.2"/>
    <x v="572"/>
    <n v="1007.4"/>
    <x v="571"/>
    <x v="0"/>
    <x v="0"/>
    <m/>
    <s v="Invalid-Date"/>
    <s v="Valid"/>
    <s v="Pass"/>
    <s v="Pass"/>
    <s v="February"/>
    <s v="2024"/>
    <m/>
    <n v="2218.6799999999998"/>
    <n v="1774.944"/>
    <n v="1211.2799999999997"/>
    <n v="0.54594623830385625"/>
    <n v="0.54594623830385625"/>
  </r>
  <r>
    <x v="573"/>
    <d v="2025-09-22T00:00:00"/>
    <d v="2025-09-26T00:00:00"/>
    <n v="4"/>
    <s v="CUST-8243"/>
    <s v="Isha Nair"/>
    <x v="0"/>
    <x v="2"/>
    <s v="Andhra Pradesh"/>
    <s v="Vijayawada"/>
    <x v="2"/>
    <x v="11"/>
    <s v="Pro Phones 644"/>
    <x v="3"/>
    <n v="1"/>
    <n v="573.65"/>
    <n v="0"/>
    <x v="573"/>
    <n v="322.67"/>
    <x v="572"/>
    <x v="0"/>
    <x v="0"/>
    <m/>
    <s v="Valid"/>
    <s v="Valid"/>
    <s v="Pass"/>
    <s v="Pass"/>
    <s v="September"/>
    <s v="2025"/>
    <m/>
    <n v="573.65"/>
    <n v="573.65"/>
    <n v="250.97999999999996"/>
    <n v="0.43751416368866031"/>
    <n v="0.43751416368866031"/>
  </r>
  <r>
    <x v="574"/>
    <d v="2024-02-20T00:00:00"/>
    <d v="2024-02-25T00:00:00"/>
    <n v="5"/>
    <s v="CUST-9139"/>
    <s v="Diya Patel"/>
    <x v="3"/>
    <x v="0"/>
    <s v="Punjab"/>
    <s v="Ludhiana"/>
    <x v="2"/>
    <x v="12"/>
    <s v="Smart Machines 566"/>
    <x v="3"/>
    <n v="4"/>
    <n v="1355.8"/>
    <n v="0"/>
    <x v="574"/>
    <n v="4072.44"/>
    <x v="573"/>
    <x v="0"/>
    <x v="0"/>
    <m/>
    <s v="Valid"/>
    <s v="Valid"/>
    <s v="Pass"/>
    <s v="Pass"/>
    <s v="February"/>
    <s v="2024"/>
    <m/>
    <n v="5423.2"/>
    <n v="5423.2"/>
    <n v="1350.7599999999998"/>
    <n v="0.24907065938929043"/>
    <n v="0.24907065938929043"/>
  </r>
  <r>
    <x v="575"/>
    <d v="2025-03-11T00:00:00"/>
    <d v="2025-03-14T00:00:00"/>
    <n v="3"/>
    <s v="CUST-5496"/>
    <s v="Sneha Kapoor"/>
    <x v="3"/>
    <x v="2"/>
    <s v="Kerala"/>
    <s v="Kochi"/>
    <x v="1"/>
    <x v="3"/>
    <s v="Elite Furnishings 173"/>
    <x v="1"/>
    <n v="4"/>
    <n v="1244.82"/>
    <n v="0.2"/>
    <x v="575"/>
    <n v="3174.91"/>
    <x v="574"/>
    <x v="3"/>
    <x v="2"/>
    <m/>
    <s v="Valid"/>
    <s v="Valid"/>
    <s v="Pass"/>
    <s v="Pass"/>
    <s v="March"/>
    <s v="2025"/>
    <m/>
    <n v="4979.28"/>
    <n v="3983.424"/>
    <n v="1804.37"/>
    <n v="0.36237568483796856"/>
    <n v="0.36237568483796856"/>
  </r>
  <r>
    <x v="576"/>
    <d v="2024-02-17T00:00:00"/>
    <d v="2024-02-23T00:00:00"/>
    <n v="6"/>
    <s v="CUST-2228"/>
    <s v="Rohan Mehta"/>
    <x v="3"/>
    <x v="4"/>
    <s v="Bihar"/>
    <s v="Patna"/>
    <x v="0"/>
    <x v="9"/>
    <s v="Smart Binders 417"/>
    <x v="3"/>
    <n v="9"/>
    <n v="2614.46"/>
    <n v="0"/>
    <x v="576"/>
    <n v="19537.79"/>
    <x v="575"/>
    <x v="1"/>
    <x v="2"/>
    <m/>
    <s v="Valid"/>
    <s v="Valid"/>
    <s v="Pass"/>
    <s v="Flagged"/>
    <s v="February"/>
    <s v="2024"/>
    <m/>
    <n v="23530.14"/>
    <n v="23530.14"/>
    <n v="3992.3499999999985"/>
    <n v="0.16966962372514566"/>
    <n v="0.16966962372514566"/>
  </r>
  <r>
    <x v="577"/>
    <d v="2025-08-28T00:00:00"/>
    <d v="2025-03-09T00:00:00"/>
    <n v="-172"/>
    <s v="CUST-4151"/>
    <s v="Priya Menon"/>
    <x v="2"/>
    <x v="3"/>
    <s v="Madhya Pradesh"/>
    <s v="Indore"/>
    <x v="1"/>
    <x v="3"/>
    <s v="Smart Furnishings 714"/>
    <x v="3"/>
    <n v="7"/>
    <n v="268.45"/>
    <n v="0"/>
    <x v="577"/>
    <n v="1134.9000000000001"/>
    <x v="576"/>
    <x v="0"/>
    <x v="0"/>
    <m/>
    <s v="Invalid-Date"/>
    <s v="Valid"/>
    <s v="Pass"/>
    <s v="Pass"/>
    <s v="August"/>
    <s v="2025"/>
    <m/>
    <n v="1879.1499999999999"/>
    <n v="1879.1499999999999"/>
    <n v="744.24999999999977"/>
    <n v="0.39605672777585599"/>
    <n v="0.39605672777585599"/>
  </r>
  <r>
    <x v="578"/>
    <d v="2024-02-21T00:00:00"/>
    <d v="2024-02-23T00:00:00"/>
    <n v="2"/>
    <s v="CUST-4900"/>
    <s v="Neha Gupta"/>
    <x v="1"/>
    <x v="3"/>
    <s v="Gujarat"/>
    <s v="Ahmedabad"/>
    <x v="2"/>
    <x v="6"/>
    <s v="Elite Copiers 682"/>
    <x v="2"/>
    <n v="6"/>
    <n v="2633.65"/>
    <n v="0.05"/>
    <x v="578"/>
    <n v="9660.36"/>
    <x v="577"/>
    <x v="0"/>
    <x v="0"/>
    <m/>
    <s v="Valid"/>
    <s v="Valid"/>
    <s v="Pass"/>
    <s v="Pass"/>
    <s v="February"/>
    <s v="2024"/>
    <m/>
    <n v="15801.900000000001"/>
    <n v="15011.805"/>
    <n v="6141.5400000000009"/>
    <n v="0.3886583258975187"/>
    <n v="0.3886583258975187"/>
  </r>
  <r>
    <x v="579"/>
    <d v="2024-06-19T00:00:00"/>
    <d v="2024-06-24T00:00:00"/>
    <n v="5"/>
    <s v="CUST-9617"/>
    <s v="Aarav Sharma"/>
    <x v="1"/>
    <x v="2"/>
    <s v="Tamil Nadu"/>
    <s v="Chennai"/>
    <x v="0"/>
    <x v="8"/>
    <s v="Pro Storage 482"/>
    <x v="1"/>
    <n v="1"/>
    <n v="3202.41"/>
    <n v="0"/>
    <x v="579"/>
    <n v="2608.44"/>
    <x v="578"/>
    <x v="0"/>
    <x v="0"/>
    <m/>
    <s v="Valid"/>
    <s v="Valid"/>
    <s v="Pass"/>
    <s v="Pass"/>
    <s v="June"/>
    <s v="2024"/>
    <m/>
    <n v="3202.41"/>
    <n v="3202.41"/>
    <n v="593.9699999999998"/>
    <n v="0.18547593843386695"/>
    <n v="0.18547593843386695"/>
  </r>
  <r>
    <x v="580"/>
    <d v="2025-03-06T00:00:00"/>
    <d v="2025-03-13T00:00:00"/>
    <n v="7"/>
    <s v="CUST-7958"/>
    <s v="Kabir Singh"/>
    <x v="0"/>
    <x v="2"/>
    <s v="Kerala"/>
    <s v="Kochi"/>
    <x v="1"/>
    <x v="4"/>
    <s v="Pro Chairs 888"/>
    <x v="3"/>
    <n v="3"/>
    <n v="163.72"/>
    <n v="0.15"/>
    <x v="580"/>
    <n v="261.67"/>
    <x v="579"/>
    <x v="3"/>
    <x v="2"/>
    <m/>
    <s v="Valid"/>
    <s v="Valid"/>
    <s v="Pass"/>
    <s v="Pass"/>
    <s v="March"/>
    <s v="2025"/>
    <m/>
    <n v="491.15999999999997"/>
    <n v="417.48599999999999"/>
    <n v="229.48999999999995"/>
    <n v="0.46724081765616088"/>
    <n v="0.46724081765616088"/>
  </r>
  <r>
    <x v="581"/>
    <d v="2025-08-09T00:00:00"/>
    <d v="2025-10-08T00:00:00"/>
    <n v="60"/>
    <s v="CUST-9931"/>
    <s v="Neha Gupta"/>
    <x v="0"/>
    <x v="0"/>
    <s v="Delhi"/>
    <s v="New Delhi"/>
    <x v="0"/>
    <x v="2"/>
    <s v="Classic Art 611"/>
    <x v="0"/>
    <n v="4"/>
    <n v="4080.95"/>
    <n v="0"/>
    <x v="581"/>
    <n v="9965.7900000000009"/>
    <x v="580"/>
    <x v="1"/>
    <x v="2"/>
    <m/>
    <s v="Valid"/>
    <s v="Valid"/>
    <s v="Pass"/>
    <s v="Pass"/>
    <s v="August"/>
    <s v="2025"/>
    <m/>
    <n v="16323.8"/>
    <n v="16323.8"/>
    <n v="6358.0099999999984"/>
    <n v="0.38949325524693995"/>
    <n v="0.38949325524693995"/>
  </r>
  <r>
    <x v="582"/>
    <d v="2024-10-15T00:00:00"/>
    <d v="2024-10-20T00:00:00"/>
    <n v="5"/>
    <s v="CUST-2088"/>
    <s v="Ananya Rao"/>
    <x v="0"/>
    <x v="1"/>
    <s v="Odisha"/>
    <s v="Bhubaneswar"/>
    <x v="0"/>
    <x v="2"/>
    <s v="Basic Art 174"/>
    <x v="2"/>
    <n v="5"/>
    <n v="671.24"/>
    <n v="0"/>
    <x v="582"/>
    <n v="2205.7199999999998"/>
    <x v="581"/>
    <x v="2"/>
    <x v="2"/>
    <m/>
    <s v="Valid"/>
    <s v="Valid"/>
    <s v="Pass"/>
    <s v="Pass"/>
    <s v="October"/>
    <s v="2024"/>
    <m/>
    <n v="3356.2"/>
    <n v="3356.2"/>
    <n v="1150.48"/>
    <n v="0.34279244383528995"/>
    <n v="0.34279244383528995"/>
  </r>
  <r>
    <x v="583"/>
    <d v="2024-02-28T00:00:00"/>
    <d v="2024-02-28T00:00:00"/>
    <n v="0"/>
    <s v="CUST-1686"/>
    <s v="Rohan Mehta"/>
    <x v="1"/>
    <x v="1"/>
    <s v="West Bengal"/>
    <s v="Kolkata"/>
    <x v="0"/>
    <x v="8"/>
    <s v="Classic Storage 451"/>
    <x v="2"/>
    <n v="1"/>
    <n v="2626.84"/>
    <n v="0.2"/>
    <x v="583"/>
    <n v="1217.83"/>
    <x v="582"/>
    <x v="3"/>
    <x v="2"/>
    <m/>
    <s v="Valid"/>
    <s v="Valid"/>
    <s v="Pass"/>
    <s v="Pass"/>
    <s v="February"/>
    <s v="2024"/>
    <m/>
    <n v="2626.84"/>
    <n v="2101.4720000000002"/>
    <n v="1409.0100000000002"/>
    <n v="0.53638973062691297"/>
    <n v="0.53638973062691297"/>
  </r>
  <r>
    <x v="584"/>
    <d v="2024-04-08T00:00:00"/>
    <d v="2024-08-10T00:00:00"/>
    <n v="124"/>
    <s v="CUST-4894"/>
    <s v="Vikram Iyer"/>
    <x v="0"/>
    <x v="1"/>
    <s v="Bihar"/>
    <s v="Patna"/>
    <x v="0"/>
    <x v="2"/>
    <s v="Pro Art 172"/>
    <x v="1"/>
    <n v="1"/>
    <n v="984.93"/>
    <n v="0.15"/>
    <x v="584"/>
    <n v="583.79"/>
    <x v="583"/>
    <x v="2"/>
    <x v="2"/>
    <m/>
    <s v="Valid"/>
    <s v="Valid"/>
    <s v="Pass"/>
    <s v="Pass"/>
    <s v="April"/>
    <s v="2024"/>
    <m/>
    <n v="984.93"/>
    <n v="837.19049999999993"/>
    <n v="401.14"/>
    <n v="0.40727767455555219"/>
    <n v="0.40727767455555219"/>
  </r>
  <r>
    <x v="585"/>
    <d v="2025-06-22T00:00:00"/>
    <d v="2025-06-25T00:00:00"/>
    <n v="3"/>
    <s v="CUST-5201"/>
    <s v="Diya Patel"/>
    <x v="1"/>
    <x v="3"/>
    <s v="Maharashtra"/>
    <s v="Mumbai"/>
    <x v="2"/>
    <x v="11"/>
    <s v="Prime Phones 744"/>
    <x v="2"/>
    <n v="8"/>
    <n v="3453.66"/>
    <n v="0"/>
    <x v="585"/>
    <n v="22026.48"/>
    <x v="584"/>
    <x v="0"/>
    <x v="0"/>
    <m/>
    <s v="Valid"/>
    <s v="Valid"/>
    <s v="Pass"/>
    <s v="Pass"/>
    <s v="June"/>
    <s v="2025"/>
    <m/>
    <n v="27629.279999999999"/>
    <n v="27629.279999999999"/>
    <n v="5602.7999999999993"/>
    <n v="0.20278487170132553"/>
    <n v="0.20278487170132553"/>
  </r>
  <r>
    <x v="586"/>
    <d v="2025-04-12T00:00:00"/>
    <d v="2025-12-04T00:00:00"/>
    <n v="236"/>
    <s v="CUST-8626"/>
    <s v="Mira Das"/>
    <x v="3"/>
    <x v="0"/>
    <s v="Punjab"/>
    <s v="Ludhiana"/>
    <x v="0"/>
    <x v="9"/>
    <s v="Prime Binders 249"/>
    <x v="0"/>
    <n v="7"/>
    <n v="1334.2"/>
    <n v="0.2"/>
    <x v="586"/>
    <n v="6184.32"/>
    <x v="585"/>
    <x v="0"/>
    <x v="0"/>
    <m/>
    <s v="Valid"/>
    <s v="Valid"/>
    <s v="Pass"/>
    <s v="Pass"/>
    <s v="April"/>
    <s v="2025"/>
    <m/>
    <n v="9339.4"/>
    <n v="7471.52"/>
    <n v="3155.08"/>
    <n v="0.33782469965950707"/>
    <n v="0.33782469965950707"/>
  </r>
  <r>
    <x v="587"/>
    <d v="2025-07-23T00:00:00"/>
    <d v="2025-07-31T00:00:00"/>
    <n v="8"/>
    <s v="CUST-1013"/>
    <s v="Kabir Singh"/>
    <x v="3"/>
    <x v="3"/>
    <s v="Madhya Pradesh"/>
    <s v="Indore"/>
    <x v="2"/>
    <x v="5"/>
    <s v="Eco Accessories 948"/>
    <x v="2"/>
    <n v="1"/>
    <n v="4253.84"/>
    <n v="0.15"/>
    <x v="587"/>
    <n v="2951.52"/>
    <x v="586"/>
    <x v="1"/>
    <x v="1"/>
    <m/>
    <s v="Valid"/>
    <s v="Valid"/>
    <s v="Pass"/>
    <s v="Pass"/>
    <s v="July"/>
    <s v="2025"/>
    <m/>
    <n v="4253.84"/>
    <n v="3615.7640000000001"/>
    <n v="1302.3200000000002"/>
    <n v="0.30615161830252197"/>
    <n v="0.30615161830252197"/>
  </r>
  <r>
    <x v="588"/>
    <d v="2025-03-11T00:00:00"/>
    <d v="2025-03-15T00:00:00"/>
    <n v="4"/>
    <s v="CUST-3601"/>
    <s v="Aarav Sharma"/>
    <x v="3"/>
    <x v="2"/>
    <s v="Karnataka"/>
    <s v="Bengaluru"/>
    <x v="2"/>
    <x v="5"/>
    <s v="Classic Accessories 458"/>
    <x v="0"/>
    <n v="8"/>
    <n v="4446.3599999999997"/>
    <n v="0.1"/>
    <x v="588"/>
    <n v="20896.88"/>
    <x v="587"/>
    <x v="1"/>
    <x v="1"/>
    <m/>
    <s v="Valid"/>
    <s v="Valid"/>
    <s v="Pass"/>
    <s v="Pass"/>
    <s v="March"/>
    <s v="2025"/>
    <m/>
    <n v="35570.879999999997"/>
    <n v="32013.791999999998"/>
    <n v="14673.999999999996"/>
    <n v="0.41252845023794738"/>
    <n v="0.41252845023794738"/>
  </r>
  <r>
    <x v="589"/>
    <d v="2024-12-06T00:00:00"/>
    <d v="2024-12-12T00:00:00"/>
    <n v="6"/>
    <s v="CUST-7846"/>
    <s v="Rohan Mehta"/>
    <x v="2"/>
    <x v="0"/>
    <s v="Uttar Pradesh"/>
    <s v="Noida"/>
    <x v="2"/>
    <x v="11"/>
    <s v="Max Phones 318"/>
    <x v="2"/>
    <n v="3"/>
    <n v="524.75"/>
    <n v="0"/>
    <x v="589"/>
    <n v="1326.12"/>
    <x v="588"/>
    <x v="0"/>
    <x v="0"/>
    <m/>
    <s v="Valid"/>
    <s v="Valid"/>
    <s v="Pass"/>
    <s v="Pass"/>
    <s v="December"/>
    <s v="2024"/>
    <m/>
    <n v="1574.25"/>
    <n v="1574.25"/>
    <n v="248.13000000000011"/>
    <n v="0.15761791329204389"/>
    <n v="0.15761791329204389"/>
  </r>
  <r>
    <x v="590"/>
    <d v="2024-05-29T00:00:00"/>
    <d v="2024-05-29T00:00:00"/>
    <n v="0"/>
    <s v="CUST-3433"/>
    <s v="Aarav Sharma"/>
    <x v="3"/>
    <x v="0"/>
    <s v="Delhi"/>
    <s v="New Delhi"/>
    <x v="1"/>
    <x v="4"/>
    <s v="Elite Chairs 372"/>
    <x v="1"/>
    <n v="6"/>
    <n v="3430.35"/>
    <n v="0"/>
    <x v="590"/>
    <n v="15897.65"/>
    <x v="589"/>
    <x v="2"/>
    <x v="1"/>
    <m/>
    <s v="Valid"/>
    <s v="Valid"/>
    <s v="Pass"/>
    <s v="Pass"/>
    <s v="May"/>
    <s v="2024"/>
    <m/>
    <n v="20582.099999999999"/>
    <n v="20582.099999999999"/>
    <n v="4684.4499999999989"/>
    <n v="0.22759825285077806"/>
    <n v="0.22759825285077806"/>
  </r>
  <r>
    <x v="591"/>
    <d v="2024-02-22T00:00:00"/>
    <d v="2024-02-24T00:00:00"/>
    <n v="2"/>
    <s v="CUST-2423"/>
    <s v="Sneha Kapoor"/>
    <x v="0"/>
    <x v="2"/>
    <s v="Karnataka"/>
    <s v="Bengaluru"/>
    <x v="2"/>
    <x v="6"/>
    <s v="Eco Copiers 324"/>
    <x v="2"/>
    <n v="3"/>
    <n v="3545.08"/>
    <n v="0"/>
    <x v="591"/>
    <n v="6031.88"/>
    <x v="590"/>
    <x v="3"/>
    <x v="2"/>
    <m/>
    <s v="Valid"/>
    <s v="Valid"/>
    <s v="Pass"/>
    <s v="Pass"/>
    <s v="February"/>
    <s v="2024"/>
    <m/>
    <n v="10635.24"/>
    <n v="10635.24"/>
    <n v="4603.3599999999997"/>
    <n v="0.43284025560307055"/>
    <n v="0.43284025560307055"/>
  </r>
  <r>
    <x v="592"/>
    <d v="2024-03-04T00:00:00"/>
    <d v="2024-09-03T00:00:00"/>
    <n v="183"/>
    <s v="CUST-3559"/>
    <s v="Mira Das"/>
    <x v="0"/>
    <x v="1"/>
    <s v="West Bengal"/>
    <s v="Kolkata"/>
    <x v="2"/>
    <x v="5"/>
    <s v="Classic Accessories 131"/>
    <x v="1"/>
    <n v="8"/>
    <n v="4401.41"/>
    <n v="0.15"/>
    <x v="592"/>
    <n v="22436.03"/>
    <x v="591"/>
    <x v="0"/>
    <x v="0"/>
    <m/>
    <s v="Valid"/>
    <s v="Valid"/>
    <s v="Pass"/>
    <s v="Pass"/>
    <s v="March"/>
    <s v="2024"/>
    <m/>
    <n v="35211.279999999999"/>
    <n v="29929.588"/>
    <n v="12775.25"/>
    <n v="0.36281697228842574"/>
    <n v="0.36281697228842574"/>
  </r>
  <r>
    <x v="593"/>
    <d v="2025-09-27T00:00:00"/>
    <d v="2025-09-29T00:00:00"/>
    <n v="2"/>
    <s v="CUST-2917"/>
    <s v="Arjun Bose"/>
    <x v="3"/>
    <x v="0"/>
    <s v="Uttar Pradesh"/>
    <s v="Noida"/>
    <x v="1"/>
    <x v="1"/>
    <s v="Eco Tables 550"/>
    <x v="0"/>
    <n v="9"/>
    <n v="4100.1099999999997"/>
    <n v="0.25"/>
    <x v="593"/>
    <n v="15571.08"/>
    <x v="592"/>
    <x v="0"/>
    <x v="0"/>
    <m/>
    <s v="Valid"/>
    <s v="Valid"/>
    <s v="Pass"/>
    <s v="Pass"/>
    <s v="September"/>
    <s v="2025"/>
    <m/>
    <n v="36900.99"/>
    <n v="27675.7425"/>
    <n v="21329.909999999996"/>
    <n v="0.57803083331910599"/>
    <n v="0.57803083331910599"/>
  </r>
  <r>
    <x v="594"/>
    <d v="2024-09-19T00:00:00"/>
    <d v="2024-09-21T00:00:00"/>
    <n v="2"/>
    <s v="CUST-6850"/>
    <s v="Karan Malhotra"/>
    <x v="1"/>
    <x v="1"/>
    <s v="West Bengal"/>
    <s v="Kolkata"/>
    <x v="1"/>
    <x v="4"/>
    <s v="Basic Chairs 932"/>
    <x v="2"/>
    <n v="3"/>
    <n v="3981.76"/>
    <n v="0"/>
    <x v="594"/>
    <n v="9700.31"/>
    <x v="593"/>
    <x v="0"/>
    <x v="0"/>
    <m/>
    <s v="Valid"/>
    <s v="Valid"/>
    <s v="Pass"/>
    <s v="Pass"/>
    <s v="September"/>
    <s v="2024"/>
    <m/>
    <n v="11945.28"/>
    <n v="11945.28"/>
    <n v="2244.9700000000012"/>
    <n v="0.18793782983739193"/>
    <n v="0.18793782983739193"/>
  </r>
  <r>
    <x v="595"/>
    <d v="2025-11-02T00:00:00"/>
    <d v="2025-02-16T00:00:00"/>
    <n v="-259"/>
    <s v="CUST-5566"/>
    <s v="Mira Das"/>
    <x v="2"/>
    <x v="0"/>
    <s v="Uttar Pradesh"/>
    <s v="Noida"/>
    <x v="2"/>
    <x v="11"/>
    <s v="Classic Phones 294"/>
    <x v="2"/>
    <n v="8"/>
    <n v="1825.56"/>
    <n v="0.1"/>
    <x v="595"/>
    <n v="9764"/>
    <x v="594"/>
    <x v="0"/>
    <x v="0"/>
    <m/>
    <s v="Invalid-Date"/>
    <s v="Valid"/>
    <s v="Pass"/>
    <s v="Pass"/>
    <s v="November"/>
    <s v="2025"/>
    <m/>
    <n v="14604.48"/>
    <n v="13144.031999999999"/>
    <n v="4840.4799999999996"/>
    <n v="0.33143802449659282"/>
    <n v="0.33143802449659282"/>
  </r>
  <r>
    <x v="596"/>
    <d v="2024-04-10T00:00:00"/>
    <d v="2024-04-16T00:00:00"/>
    <n v="6"/>
    <s v="CUST-2593"/>
    <s v="Aditi Sen"/>
    <x v="0"/>
    <x v="2"/>
    <s v="Kerala"/>
    <s v="Kochi"/>
    <x v="1"/>
    <x v="4"/>
    <s v="Elite Chairs 700"/>
    <x v="0"/>
    <n v="9"/>
    <n v="2723.26"/>
    <n v="0.25"/>
    <x v="596"/>
    <n v="13108.2"/>
    <x v="595"/>
    <x v="0"/>
    <x v="0"/>
    <m/>
    <s v="Valid"/>
    <s v="Valid"/>
    <s v="Pass"/>
    <s v="Pass"/>
    <s v="April"/>
    <s v="2024"/>
    <m/>
    <n v="24509.340000000004"/>
    <n v="18382.005000000005"/>
    <n v="11401.140000000003"/>
    <n v="0.46517531683839719"/>
    <n v="0.46517531683839719"/>
  </r>
  <r>
    <x v="597"/>
    <d v="2025-07-08T00:00:00"/>
    <d v="2025-08-07T00:00:00"/>
    <n v="30"/>
    <s v="CUST-6957"/>
    <s v="Aditi Sen"/>
    <x v="0"/>
    <x v="2"/>
    <s v="Telangana"/>
    <s v="Hyderabad"/>
    <x v="2"/>
    <x v="6"/>
    <s v="Prime Copiers 969"/>
    <x v="1"/>
    <n v="9"/>
    <n v="274.88"/>
    <n v="0.25"/>
    <x v="597"/>
    <n v="1262.74"/>
    <x v="596"/>
    <x v="0"/>
    <x v="0"/>
    <m/>
    <s v="Valid"/>
    <s v="Valid"/>
    <s v="Pass"/>
    <s v="Pass"/>
    <s v="July"/>
    <s v="2025"/>
    <m/>
    <n v="2473.92"/>
    <n v="1855.44"/>
    <n v="1211.18"/>
    <n v="0.48957929116543786"/>
    <n v="0.48957929116543786"/>
  </r>
  <r>
    <x v="598"/>
    <d v="2024-08-17T00:00:00"/>
    <d v="2024-08-24T00:00:00"/>
    <n v="7"/>
    <s v="CUST-8498"/>
    <s v="Ananya Rao"/>
    <x v="2"/>
    <x v="1"/>
    <s v="West Bengal"/>
    <s v="Kolkata"/>
    <x v="2"/>
    <x v="6"/>
    <s v="Eco Copiers 268"/>
    <x v="1"/>
    <n v="3"/>
    <n v="1490.69"/>
    <n v="0.25"/>
    <x v="598"/>
    <n v="2672.67"/>
    <x v="597"/>
    <x v="0"/>
    <x v="0"/>
    <m/>
    <s v="Valid"/>
    <s v="Valid"/>
    <s v="Pass"/>
    <s v="Pass"/>
    <s v="August"/>
    <s v="2024"/>
    <m/>
    <n v="4472.07"/>
    <n v="3354.0524999999998"/>
    <n v="1799.3999999999996"/>
    <n v="0.40236400593013966"/>
    <n v="0.40236400593013966"/>
  </r>
  <r>
    <x v="599"/>
    <d v="2024-08-19T00:00:00"/>
    <d v="2024-08-21T00:00:00"/>
    <n v="2"/>
    <s v="CUST-2612"/>
    <s v="Arjun Bose"/>
    <x v="0"/>
    <x v="0"/>
    <s v="Punjab"/>
    <s v="Ludhiana"/>
    <x v="2"/>
    <x v="11"/>
    <s v="Pro Phones 588"/>
    <x v="2"/>
    <n v="3"/>
    <n v="1103.54"/>
    <n v="0.25"/>
    <x v="599"/>
    <n v="1621.72"/>
    <x v="598"/>
    <x v="0"/>
    <x v="0"/>
    <m/>
    <s v="Valid"/>
    <s v="Valid"/>
    <s v="Pass"/>
    <s v="Pass"/>
    <s v="August"/>
    <s v="2024"/>
    <m/>
    <n v="3310.62"/>
    <n v="2482.9650000000001"/>
    <n v="1688.8999999999999"/>
    <n v="0.51014613576913082"/>
    <n v="0.51014613576913082"/>
  </r>
  <r>
    <x v="600"/>
    <d v="2025-03-05T00:00:00"/>
    <d v="2025-12-03T00:00:00"/>
    <n v="273"/>
    <s v="CUST-6013"/>
    <s v="Ananya Rao"/>
    <x v="2"/>
    <x v="3"/>
    <s v="Madhya Pradesh"/>
    <s v="Indore"/>
    <x v="0"/>
    <x v="8"/>
    <s v="Prime Storage 432"/>
    <x v="1"/>
    <n v="3"/>
    <n v="3682.75"/>
    <n v="0"/>
    <x v="600"/>
    <n v="9062.7199999999993"/>
    <x v="599"/>
    <x v="0"/>
    <x v="0"/>
    <m/>
    <s v="Valid"/>
    <s v="Valid"/>
    <s v="Pass"/>
    <s v="Pass"/>
    <s v="March"/>
    <s v="2025"/>
    <m/>
    <n v="11048.25"/>
    <n v="11048.25"/>
    <n v="1985.5300000000007"/>
    <n v="0.17971443441268986"/>
    <n v="0.17971443441268986"/>
  </r>
  <r>
    <x v="601"/>
    <d v="2024-01-26T00:00:00"/>
    <d v="2024-01-31T00:00:00"/>
    <n v="5"/>
    <s v="CUST-8289"/>
    <s v="Ananya Rao"/>
    <x v="3"/>
    <x v="1"/>
    <s v="West Bengal"/>
    <s v="Kolkata"/>
    <x v="0"/>
    <x v="0"/>
    <s v="Basic Paper 452"/>
    <x v="0"/>
    <n v="5"/>
    <n v="1615.03"/>
    <n v="0.2"/>
    <x v="601"/>
    <n v="3604.03"/>
    <x v="600"/>
    <x v="0"/>
    <x v="0"/>
    <m/>
    <s v="Valid"/>
    <s v="Valid"/>
    <s v="Pass"/>
    <s v="Pass"/>
    <s v="January"/>
    <s v="2024"/>
    <m/>
    <n v="8075.15"/>
    <n v="6460.12"/>
    <n v="4471.119999999999"/>
    <n v="0.55368878596682403"/>
    <n v="0.55368878596682403"/>
  </r>
  <r>
    <x v="602"/>
    <d v="2024-10-23T00:00:00"/>
    <d v="2024-10-30T00:00:00"/>
    <n v="7"/>
    <s v="CUST-5668"/>
    <s v="Aarav Sharma"/>
    <x v="0"/>
    <x v="1"/>
    <s v="Jharkhand"/>
    <s v="Ranchi"/>
    <x v="2"/>
    <x v="6"/>
    <s v="Max Copiers 477"/>
    <x v="0"/>
    <n v="9"/>
    <n v="3423.82"/>
    <n v="0.15"/>
    <x v="602"/>
    <n v="20795.55"/>
    <x v="601"/>
    <x v="0"/>
    <x v="0"/>
    <m/>
    <s v="Valid"/>
    <s v="Valid"/>
    <s v="Pass"/>
    <s v="Pass"/>
    <s v="October"/>
    <s v="2024"/>
    <m/>
    <n v="30814.38"/>
    <n v="26192.223000000002"/>
    <n v="10018.830000000002"/>
    <n v="0.3251348883216213"/>
    <n v="0.3251348883216213"/>
  </r>
  <r>
    <x v="603"/>
    <d v="2025-03-01T00:00:00"/>
    <d v="2025-01-11T00:00:00"/>
    <n v="-49"/>
    <s v="CUST-5808"/>
    <s v="Vikram Iyer"/>
    <x v="2"/>
    <x v="1"/>
    <s v="Bihar"/>
    <s v="Patna"/>
    <x v="2"/>
    <x v="5"/>
    <s v="Prime Accessories 300"/>
    <x v="2"/>
    <n v="8"/>
    <n v="2574.29"/>
    <n v="0.05"/>
    <x v="603"/>
    <n v="11154.59"/>
    <x v="602"/>
    <x v="2"/>
    <x v="1"/>
    <m/>
    <s v="Invalid-Date"/>
    <s v="Valid"/>
    <s v="Pass"/>
    <s v="Pass"/>
    <s v="March"/>
    <s v="2025"/>
    <m/>
    <n v="20594.32"/>
    <n v="19564.603999999999"/>
    <n v="9439.73"/>
    <n v="0.45836570471858257"/>
    <n v="0.45836570471858257"/>
  </r>
  <r>
    <x v="604"/>
    <d v="2025-02-05T00:00:00"/>
    <d v="2025-06-02T00:00:00"/>
    <n v="117"/>
    <s v="CUST-4526"/>
    <s v="Ananya Rao"/>
    <x v="0"/>
    <x v="3"/>
    <s v="Madhya Pradesh"/>
    <s v="Indore"/>
    <x v="0"/>
    <x v="9"/>
    <s v="Max Binders 547"/>
    <x v="1"/>
    <n v="3"/>
    <n v="1076.3"/>
    <n v="0"/>
    <x v="604"/>
    <n v="1853.23"/>
    <x v="281"/>
    <x v="0"/>
    <x v="0"/>
    <m/>
    <s v="Valid"/>
    <s v="Valid"/>
    <s v="Pass"/>
    <s v="Pass"/>
    <s v="February"/>
    <s v="2025"/>
    <m/>
    <n v="3228.8999999999996"/>
    <n v="3228.8999999999996"/>
    <n v="1375.6699999999996"/>
    <n v="0.42604911889497965"/>
    <n v="0.42604911889497965"/>
  </r>
  <r>
    <x v="605"/>
    <d v="2025-07-09T00:00:00"/>
    <d v="2025-07-13T00:00:00"/>
    <n v="4"/>
    <s v="CUST-4447"/>
    <s v="Kabir Singh"/>
    <x v="2"/>
    <x v="3"/>
    <s v="Goa"/>
    <s v="Panaji"/>
    <x v="1"/>
    <x v="3"/>
    <s v="Pro Furnishings 267"/>
    <x v="0"/>
    <n v="5"/>
    <n v="1680.01"/>
    <n v="0.85"/>
    <x v="605"/>
    <n v="6448.05"/>
    <x v="603"/>
    <x v="0"/>
    <x v="1"/>
    <m/>
    <s v="Valid"/>
    <s v="Invalid-Discount"/>
    <s v="Pass"/>
    <s v="Pass"/>
    <s v="July"/>
    <s v="2025"/>
    <m/>
    <n v="8400.0499999999993"/>
    <n v="1260.0075000000002"/>
    <n v="1951.9999999999991"/>
    <n v="0.23237956916923105"/>
    <n v="0.23237956916923105"/>
  </r>
  <r>
    <x v="606"/>
    <d v="2025-02-22T00:00:00"/>
    <d v="2025-02-28T00:00:00"/>
    <n v="6"/>
    <s v="CUST-2698"/>
    <s v="Rahul Verma"/>
    <x v="3"/>
    <x v="3"/>
    <s v="Madhya Pradesh"/>
    <s v="Indore"/>
    <x v="2"/>
    <x v="6"/>
    <s v="Max Copiers 520"/>
    <x v="1"/>
    <n v="3"/>
    <n v="3890.81"/>
    <n v="0.25"/>
    <x v="606"/>
    <n v="6238.9"/>
    <x v="604"/>
    <x v="0"/>
    <x v="0"/>
    <m/>
    <s v="Valid"/>
    <s v="Valid"/>
    <s v="Pass"/>
    <s v="Pass"/>
    <s v="February"/>
    <s v="2025"/>
    <m/>
    <n v="11672.43"/>
    <n v="8754.3225000000002"/>
    <n v="5433.5300000000007"/>
    <n v="0.46550118527161871"/>
    <n v="0.46550118527161871"/>
  </r>
  <r>
    <x v="607"/>
    <d v="2025-02-16T00:00:00"/>
    <d v="2025-02-22T00:00:00"/>
    <n v="6"/>
    <s v="CUST-6297"/>
    <s v="Sneha Kapoor"/>
    <x v="3"/>
    <x v="1"/>
    <s v="Bihar"/>
    <s v="Patna"/>
    <x v="0"/>
    <x v="8"/>
    <s v="Max Storage 424"/>
    <x v="1"/>
    <n v="5"/>
    <n v="954.67"/>
    <n v="0.15"/>
    <x v="607"/>
    <n v="2862.03"/>
    <x v="605"/>
    <x v="0"/>
    <x v="0"/>
    <m/>
    <s v="Valid"/>
    <s v="Valid"/>
    <s v="Pass"/>
    <s v="Pass"/>
    <s v="February"/>
    <s v="2025"/>
    <m/>
    <n v="4773.3499999999995"/>
    <n v="4057.3474999999994"/>
    <n v="1911.3199999999993"/>
    <n v="0.40041480302093907"/>
    <n v="0.40041480302093907"/>
  </r>
  <r>
    <x v="608"/>
    <d v="2024-06-21T00:00:00"/>
    <d v="2024-06-23T00:00:00"/>
    <n v="2"/>
    <s v="CUST-7690"/>
    <s v="Karan Malhotra"/>
    <x v="3"/>
    <x v="3"/>
    <s v="Goa"/>
    <s v="Panaji"/>
    <x v="1"/>
    <x v="3"/>
    <s v="Elite Furnishings 706"/>
    <x v="0"/>
    <n v="9"/>
    <n v="2153.75"/>
    <n v="0"/>
    <x v="608"/>
    <n v="11667.43"/>
    <x v="606"/>
    <x v="0"/>
    <x v="0"/>
    <m/>
    <s v="Valid"/>
    <s v="Valid"/>
    <s v="Pass"/>
    <s v="Pass"/>
    <s v="June"/>
    <s v="2024"/>
    <m/>
    <n v="19383.75"/>
    <n v="19383.75"/>
    <n v="7716.32"/>
    <n v="0.39808189849745274"/>
    <n v="0.39808189849745274"/>
  </r>
  <r>
    <x v="609"/>
    <d v="2025-01-08T00:00:00"/>
    <d v="2025-01-12T00:00:00"/>
    <n v="4"/>
    <s v="CUST-4380"/>
    <s v="Sneha Kapoor"/>
    <x v="3"/>
    <x v="2"/>
    <s v="Karnataka"/>
    <s v="Bengaluru"/>
    <x v="1"/>
    <x v="4"/>
    <s v="Pro Chairs 908"/>
    <x v="3"/>
    <n v="7"/>
    <n v="4337.4799999999996"/>
    <n v="0"/>
    <x v="609"/>
    <n v="25065.4"/>
    <x v="607"/>
    <x v="0"/>
    <x v="0"/>
    <m/>
    <s v="Valid"/>
    <s v="Valid"/>
    <s v="Pass"/>
    <s v="Pass"/>
    <s v="January"/>
    <s v="2025"/>
    <m/>
    <n v="30362.359999999997"/>
    <n v="30362.359999999997"/>
    <n v="5296.9599999999955"/>
    <n v="0.17445811195177174"/>
    <n v="0.17445811195177174"/>
  </r>
  <r>
    <x v="610"/>
    <d v="2024-05-20T00:00:00"/>
    <d v="2024-05-20T00:00:00"/>
    <n v="0"/>
    <s v="CUST-2779"/>
    <s v="Karan Malhotra"/>
    <x v="3"/>
    <x v="3"/>
    <s v="Madhya Pradesh"/>
    <s v="Indore"/>
    <x v="1"/>
    <x v="4"/>
    <s v="Pro Chairs 712"/>
    <x v="3"/>
    <n v="1"/>
    <n v="3032.95"/>
    <n v="0.1"/>
    <x v="610"/>
    <n v="1715.36"/>
    <x v="608"/>
    <x v="0"/>
    <x v="0"/>
    <m/>
    <s v="Valid"/>
    <s v="Valid"/>
    <s v="Pass"/>
    <s v="Pass"/>
    <s v="May"/>
    <s v="2024"/>
    <m/>
    <n v="3032.95"/>
    <n v="2729.6549999999997"/>
    <n v="1317.59"/>
    <n v="0.4344252295619776"/>
    <n v="0.4344252295619776"/>
  </r>
  <r>
    <x v="611"/>
    <d v="2025-07-08T00:00:00"/>
    <d v="2025-07-15T00:00:00"/>
    <n v="7"/>
    <s v="CUST-6108"/>
    <s v="Ananya Rao"/>
    <x v="1"/>
    <x v="0"/>
    <s v="Rajasthan"/>
    <s v="Jaipur"/>
    <x v="0"/>
    <x v="9"/>
    <s v="Max Binders 785"/>
    <x v="1"/>
    <n v="8"/>
    <n v="655.28"/>
    <n v="0.1"/>
    <x v="611"/>
    <n v="3908.23"/>
    <x v="609"/>
    <x v="0"/>
    <x v="0"/>
    <m/>
    <s v="Valid"/>
    <s v="Valid"/>
    <s v="Pass"/>
    <s v="Pass"/>
    <s v="July"/>
    <s v="2025"/>
    <m/>
    <n v="5242.24"/>
    <n v="4718.0159999999996"/>
    <n v="1334.0099999999998"/>
    <n v="0.25447327859846169"/>
    <n v="0.25447327859846169"/>
  </r>
  <r>
    <x v="612"/>
    <d v="2025-04-06T00:00:00"/>
    <d v="2025-04-13T00:00:00"/>
    <n v="7"/>
    <s v="CUST-5663"/>
    <s v="Aditi Sen"/>
    <x v="0"/>
    <x v="4"/>
    <s v="Odisha"/>
    <s v="Bhubaneswar"/>
    <x v="2"/>
    <x v="11"/>
    <s v="Elite Phones 239"/>
    <x v="3"/>
    <n v="1"/>
    <n v="3844.01"/>
    <n v="0"/>
    <x v="612"/>
    <n v="2195.79"/>
    <x v="610"/>
    <x v="0"/>
    <x v="0"/>
    <m/>
    <s v="Valid"/>
    <s v="Valid"/>
    <s v="Pass"/>
    <s v="Flagged"/>
    <s v="April"/>
    <s v="2025"/>
    <m/>
    <n v="3844.01"/>
    <n v="3844.01"/>
    <n v="1648.2200000000003"/>
    <n v="0.42877619985379856"/>
    <n v="0.42877619985379856"/>
  </r>
  <r>
    <x v="613"/>
    <d v="2024-10-05T00:00:00"/>
    <d v="2024-10-10T00:00:00"/>
    <n v="5"/>
    <s v="CUST-9311"/>
    <s v="Diya Patel"/>
    <x v="3"/>
    <x v="3"/>
    <s v="Gujarat"/>
    <s v="Ahmedabad"/>
    <x v="2"/>
    <x v="12"/>
    <s v="Basic Machines 413"/>
    <x v="1"/>
    <n v="9"/>
    <n v="3361.3"/>
    <n v="0.25"/>
    <x v="613"/>
    <n v="14672.41"/>
    <x v="611"/>
    <x v="0"/>
    <x v="0"/>
    <m/>
    <s v="Valid"/>
    <s v="Valid"/>
    <s v="Pass"/>
    <s v="Pass"/>
    <s v="October"/>
    <s v="2024"/>
    <m/>
    <n v="30251.7"/>
    <n v="22688.775000000001"/>
    <n v="15579.29"/>
    <n v="0.51498890971416489"/>
    <n v="0.51498890971416489"/>
  </r>
  <r>
    <x v="614"/>
    <d v="2024-02-11T00:00:00"/>
    <d v="2024-02-19T00:00:00"/>
    <n v="8"/>
    <s v="CUST-8154"/>
    <s v="Ananya Rao"/>
    <x v="3"/>
    <x v="2"/>
    <s v="Telangana"/>
    <s v="Hyderabad"/>
    <x v="1"/>
    <x v="4"/>
    <s v="Elite Chairs 140"/>
    <x v="3"/>
    <n v="8"/>
    <n v="3398.32"/>
    <n v="0.25"/>
    <x v="614"/>
    <n v="16661.080000000002"/>
    <x v="612"/>
    <x v="1"/>
    <x v="1"/>
    <m/>
    <s v="Valid"/>
    <s v="Valid"/>
    <s v="Pass"/>
    <s v="Pass"/>
    <s v="February"/>
    <s v="2024"/>
    <m/>
    <n v="27186.560000000001"/>
    <n v="20389.920000000002"/>
    <n v="10525.48"/>
    <n v="0.38715747781256615"/>
    <n v="0.38715747781256615"/>
  </r>
  <r>
    <x v="615"/>
    <d v="2024-10-04T00:00:00"/>
    <d v="2024-07-10T00:00:00"/>
    <n v="-86"/>
    <s v="CUST-4462"/>
    <s v="Rahul Verma"/>
    <x v="2"/>
    <x v="2"/>
    <s v="Kerala"/>
    <s v="Kochi"/>
    <x v="0"/>
    <x v="2"/>
    <s v="Basic Art 771"/>
    <x v="0"/>
    <n v="2"/>
    <n v="3144.38"/>
    <n v="0.1"/>
    <x v="615"/>
    <n v="4337.79"/>
    <x v="613"/>
    <x v="0"/>
    <x v="0"/>
    <m/>
    <s v="Invalid-Date"/>
    <s v="Valid"/>
    <s v="Pass"/>
    <s v="Pass"/>
    <s v="October"/>
    <s v="2024"/>
    <m/>
    <n v="6288.76"/>
    <n v="5659.884"/>
    <n v="1950.9700000000003"/>
    <n v="0.31023126975747212"/>
    <n v="0.31023126975747212"/>
  </r>
  <r>
    <x v="616"/>
    <d v="2024-08-16T00:00:00"/>
    <d v="2024-08-19T00:00:00"/>
    <n v="3"/>
    <s v="CUST-4660"/>
    <s v="Kabir Singh"/>
    <x v="0"/>
    <x v="2"/>
    <s v="Telangana"/>
    <s v="Hyderabad"/>
    <x v="0"/>
    <x v="0"/>
    <s v="Prime Paper 664"/>
    <x v="3"/>
    <n v="6"/>
    <n v="3925.55"/>
    <n v="0.2"/>
    <x v="616"/>
    <n v="11840.58"/>
    <x v="614"/>
    <x v="0"/>
    <x v="0"/>
    <m/>
    <s v="Valid"/>
    <s v="Valid"/>
    <s v="Pass"/>
    <s v="Pass"/>
    <s v="August"/>
    <s v="2024"/>
    <m/>
    <n v="23553.300000000003"/>
    <n v="18842.640000000003"/>
    <n v="11712.720000000003"/>
    <n v="0.49728573066194554"/>
    <n v="0.49728573066194554"/>
  </r>
  <r>
    <x v="617"/>
    <d v="2024-09-29T00:00:00"/>
    <d v="2024-09-30T00:00:00"/>
    <n v="1"/>
    <s v="CUST-9002"/>
    <s v="Mira Das"/>
    <x v="3"/>
    <x v="2"/>
    <s v="Telangana"/>
    <s v="Hyderabad"/>
    <x v="2"/>
    <x v="11"/>
    <s v="Pro Phones 226"/>
    <x v="3"/>
    <n v="9"/>
    <n v="2741.91"/>
    <n v="0"/>
    <x v="617"/>
    <n v="20350.849999999999"/>
    <x v="615"/>
    <x v="0"/>
    <x v="0"/>
    <m/>
    <s v="Valid"/>
    <s v="Valid"/>
    <s v="Pass"/>
    <s v="Pass"/>
    <s v="September"/>
    <s v="2024"/>
    <m/>
    <n v="24677.19"/>
    <n v="24677.19"/>
    <n v="4326.34"/>
    <n v="0.17531736798233513"/>
    <n v="0.17531736798233513"/>
  </r>
  <r>
    <x v="618"/>
    <d v="2024-07-23T00:00:00"/>
    <d v="2024-07-30T00:00:00"/>
    <n v="7"/>
    <s v="CUST-1057"/>
    <s v="Kabir Singh"/>
    <x v="2"/>
    <x v="0"/>
    <s v="Rajasthan"/>
    <s v="Jaipur"/>
    <x v="1"/>
    <x v="1"/>
    <s v="Basic Tables 684"/>
    <x v="1"/>
    <n v="9"/>
    <n v="1870.11"/>
    <n v="0.25"/>
    <x v="618"/>
    <n v="10540.8"/>
    <x v="616"/>
    <x v="3"/>
    <x v="1"/>
    <m/>
    <s v="Valid"/>
    <s v="Valid"/>
    <s v="Pass"/>
    <s v="Pass"/>
    <s v="July"/>
    <s v="2024"/>
    <m/>
    <n v="16830.989999999998"/>
    <n v="12623.242499999998"/>
    <n v="6290.1899999999987"/>
    <n v="0.37372667917929958"/>
    <n v="0.37372667917929958"/>
  </r>
  <r>
    <x v="619"/>
    <d v="2024-11-22T00:00:00"/>
    <d v="2024-11-27T00:00:00"/>
    <n v="5"/>
    <s v="CUST-9596"/>
    <s v="Priya Menon"/>
    <x v="2"/>
    <x v="2"/>
    <s v="Tamil Nadu"/>
    <s v="Chennai"/>
    <x v="0"/>
    <x v="9"/>
    <s v="Prime Binders 938"/>
    <x v="2"/>
    <n v="1"/>
    <n v="4251.26"/>
    <n v="0.2"/>
    <x v="619"/>
    <n v="2917.54"/>
    <x v="617"/>
    <x v="1"/>
    <x v="2"/>
    <m/>
    <s v="Valid"/>
    <s v="Valid"/>
    <s v="Pass"/>
    <s v="Pass"/>
    <s v="November"/>
    <s v="2024"/>
    <m/>
    <n v="4251.26"/>
    <n v="3401.0080000000003"/>
    <n v="1333.7200000000003"/>
    <n v="0.313723460809266"/>
    <n v="0.313723460809266"/>
  </r>
  <r>
    <x v="620"/>
    <d v="2024-08-18T00:00:00"/>
    <d v="2024-08-21T00:00:00"/>
    <n v="3"/>
    <s v="CUST-6947"/>
    <s v="Vikram Iyer"/>
    <x v="0"/>
    <x v="0"/>
    <s v="Uttar Pradesh"/>
    <s v="Noida"/>
    <x v="2"/>
    <x v="12"/>
    <s v="Classic Machines 337"/>
    <x v="3"/>
    <n v="9"/>
    <n v="734.34"/>
    <n v="0"/>
    <x v="620"/>
    <n v="4946.78"/>
    <x v="362"/>
    <x v="0"/>
    <x v="0"/>
    <m/>
    <s v="Valid"/>
    <s v="Valid"/>
    <s v="Pass"/>
    <s v="Pass"/>
    <s v="August"/>
    <s v="2024"/>
    <m/>
    <n v="6609.06"/>
    <n v="6609.06"/>
    <n v="1662.2800000000007"/>
    <n v="0.25151534408826681"/>
    <n v="0.25151534408826681"/>
  </r>
  <r>
    <x v="621"/>
    <d v="2024-11-28T00:00:00"/>
    <d v="2024-12-06T00:00:00"/>
    <n v="8"/>
    <s v="CUST-7236"/>
    <s v="Aditi Sen"/>
    <x v="0"/>
    <x v="3"/>
    <s v="Maharashtra"/>
    <s v="Mumbai"/>
    <x v="1"/>
    <x v="4"/>
    <s v="Max Chairs 748"/>
    <x v="1"/>
    <n v="5"/>
    <n v="1092.8399999999999"/>
    <n v="0"/>
    <x v="621"/>
    <n v="3318.09"/>
    <x v="618"/>
    <x v="0"/>
    <x v="0"/>
    <m/>
    <s v="Valid"/>
    <s v="Valid"/>
    <s v="Pass"/>
    <s v="Pass"/>
    <s v="November"/>
    <s v="2024"/>
    <m/>
    <n v="5464.2"/>
    <n v="5464.2"/>
    <n v="2146.1099999999997"/>
    <n v="0.39275831777753373"/>
    <n v="0.39275831777753373"/>
  </r>
  <r>
    <x v="622"/>
    <d v="2025-01-29T00:00:00"/>
    <d v="2025-06-02T00:00:00"/>
    <n v="124"/>
    <s v="CUST-1127"/>
    <s v="Vikram Iyer"/>
    <x v="0"/>
    <x v="1"/>
    <s v="Bihar"/>
    <s v="Patna"/>
    <x v="0"/>
    <x v="8"/>
    <s v="Basic Storage 934"/>
    <x v="3"/>
    <n v="4"/>
    <n v="2759.01"/>
    <n v="0.05"/>
    <x v="622"/>
    <n v="6680.15"/>
    <x v="619"/>
    <x v="0"/>
    <x v="0"/>
    <m/>
    <s v="Valid"/>
    <s v="Valid"/>
    <s v="Pass"/>
    <s v="Pass"/>
    <s v="January"/>
    <s v="2025"/>
    <m/>
    <n v="11036.04"/>
    <n v="10484.238000000001"/>
    <n v="4355.8900000000012"/>
    <n v="0.39469682965991432"/>
    <n v="0.39469682965991432"/>
  </r>
  <r>
    <x v="623"/>
    <d v="2024-08-08T00:00:00"/>
    <d v="2024-08-14T00:00:00"/>
    <n v="6"/>
    <s v="CUST-6262"/>
    <s v="Vikram Iyer"/>
    <x v="3"/>
    <x v="0"/>
    <s v="Punjab"/>
    <s v="Ludhiana"/>
    <x v="0"/>
    <x v="8"/>
    <s v="Pro Storage 509"/>
    <x v="0"/>
    <n v="8"/>
    <n v="1359.19"/>
    <n v="0.05"/>
    <x v="623"/>
    <n v="7512.22"/>
    <x v="620"/>
    <x v="0"/>
    <x v="0"/>
    <m/>
    <s v="Valid"/>
    <s v="Valid"/>
    <s v="Pass"/>
    <s v="Pass"/>
    <s v="August"/>
    <s v="2024"/>
    <m/>
    <n v="10873.52"/>
    <n v="10329.843999999999"/>
    <n v="3361.3"/>
    <n v="0.30912712718604463"/>
    <n v="0.30912712718604463"/>
  </r>
  <r>
    <x v="624"/>
    <d v="2024-01-30T00:00:00"/>
    <d v="2024-01-02T00:00:00"/>
    <n v="-28"/>
    <s v="CUST-5070"/>
    <s v="Neha Gupta"/>
    <x v="3"/>
    <x v="1"/>
    <s v="Assam"/>
    <s v="Guwahati"/>
    <x v="1"/>
    <x v="4"/>
    <s v="Prime Chairs 765"/>
    <x v="2"/>
    <n v="2"/>
    <n v="4451.03"/>
    <n v="0.05"/>
    <x v="624"/>
    <n v="5462.85"/>
    <x v="621"/>
    <x v="0"/>
    <x v="0"/>
    <m/>
    <s v="Invalid-Date"/>
    <s v="Valid"/>
    <s v="Pass"/>
    <s v="Pass"/>
    <s v="January"/>
    <s v="2024"/>
    <m/>
    <n v="8902.06"/>
    <n v="8456.9569999999985"/>
    <n v="3439.2099999999991"/>
    <n v="0.3863386676791663"/>
    <n v="0.3863386676791663"/>
  </r>
  <r>
    <x v="625"/>
    <d v="2024-12-15T00:00:00"/>
    <d v="2024-12-21T00:00:00"/>
    <n v="6"/>
    <s v="CUST-7946"/>
    <s v="Diya Patel"/>
    <x v="2"/>
    <x v="3"/>
    <s v="Rajasthan"/>
    <s v="Udaipur"/>
    <x v="1"/>
    <x v="4"/>
    <s v="Elite Chairs 358"/>
    <x v="1"/>
    <n v="3"/>
    <n v="527.66999999999996"/>
    <n v="0.2"/>
    <x v="625"/>
    <n v="983.92"/>
    <x v="622"/>
    <x v="0"/>
    <x v="0"/>
    <m/>
    <s v="Valid"/>
    <s v="Valid"/>
    <s v="Pass"/>
    <s v="Pass"/>
    <s v="December"/>
    <s v="2024"/>
    <m/>
    <n v="1583.0099999999998"/>
    <n v="1266.4079999999999"/>
    <n v="599.0899999999998"/>
    <n v="0.3784499150352808"/>
    <n v="0.3784499150352808"/>
  </r>
  <r>
    <x v="626"/>
    <d v="2025-06-04T00:00:00"/>
    <d v="2025-07-06T00:00:00"/>
    <n v="32"/>
    <s v="CUST-1793"/>
    <s v="Sneha Kapoor"/>
    <x v="3"/>
    <x v="1"/>
    <s v="Assam"/>
    <s v="Guwahati"/>
    <x v="2"/>
    <x v="12"/>
    <s v="Elite Machines 971"/>
    <x v="3"/>
    <n v="8"/>
    <n v="1434.13"/>
    <n v="0"/>
    <x v="626"/>
    <n v="8931.33"/>
    <x v="623"/>
    <x v="2"/>
    <x v="2"/>
    <m/>
    <s v="Valid"/>
    <s v="Valid"/>
    <s v="Pass"/>
    <s v="Pass"/>
    <s v="June"/>
    <s v="2025"/>
    <m/>
    <n v="11473.04"/>
    <n v="11473.04"/>
    <n v="2541.7100000000009"/>
    <n v="0.22153762211236086"/>
    <n v="0.22153762211236086"/>
  </r>
  <r>
    <x v="627"/>
    <d v="2025-02-13T00:00:00"/>
    <d v="2025-02-21T00:00:00"/>
    <n v="8"/>
    <s v="CUST-8839"/>
    <s v="Karan Malhotra"/>
    <x v="1"/>
    <x v="2"/>
    <s v="Kerala"/>
    <s v="Kochi"/>
    <x v="2"/>
    <x v="11"/>
    <s v="Max Phones 825"/>
    <x v="0"/>
    <n v="2"/>
    <n v="2360.02"/>
    <n v="0.15"/>
    <x v="627"/>
    <n v="3142.92"/>
    <x v="624"/>
    <x v="2"/>
    <x v="1"/>
    <m/>
    <s v="Valid"/>
    <s v="Valid"/>
    <s v="Pass"/>
    <s v="Pass"/>
    <s v="February"/>
    <s v="2025"/>
    <m/>
    <n v="4720.04"/>
    <n v="4012.0339999999997"/>
    <n v="1577.12"/>
    <n v="0.33413276158676619"/>
    <n v="0.33413276158676619"/>
  </r>
  <r>
    <x v="628"/>
    <d v="2025-10-05T00:00:00"/>
    <d v="2025-12-10T00:00:00"/>
    <n v="66"/>
    <s v="CUST-6725"/>
    <s v="Ananya Rao"/>
    <x v="3"/>
    <x v="1"/>
    <s v="Jharkhand"/>
    <s v="Ranchi"/>
    <x v="2"/>
    <x v="5"/>
    <s v="Eco Accessories 933"/>
    <x v="1"/>
    <n v="7"/>
    <n v="806.67"/>
    <n v="0.05"/>
    <x v="628"/>
    <n v="4391.29"/>
    <x v="625"/>
    <x v="0"/>
    <x v="0"/>
    <m/>
    <s v="Valid"/>
    <s v="Valid"/>
    <s v="Pass"/>
    <s v="Pass"/>
    <s v="October"/>
    <s v="2025"/>
    <m/>
    <n v="5646.69"/>
    <n v="5364.3554999999997"/>
    <n v="1255.3999999999996"/>
    <n v="0.22232493726413169"/>
    <n v="0.22232493726413169"/>
  </r>
  <r>
    <x v="629"/>
    <d v="2025-10-09T00:00:00"/>
    <d v="2025-09-14T00:00:00"/>
    <n v="-25"/>
    <s v="CUST-3793"/>
    <s v="Arjun Bose"/>
    <x v="3"/>
    <x v="3"/>
    <s v="Gujarat"/>
    <s v="Ahmedabad"/>
    <x v="1"/>
    <x v="1"/>
    <s v="Max Tables 908"/>
    <x v="1"/>
    <n v="3"/>
    <n v="4198.46"/>
    <n v="0.15"/>
    <x v="629"/>
    <n v="5927.1"/>
    <x v="626"/>
    <x v="0"/>
    <x v="0"/>
    <m/>
    <s v="Invalid-Date"/>
    <s v="Valid"/>
    <s v="Pass"/>
    <s v="Pass"/>
    <s v="October"/>
    <s v="2025"/>
    <m/>
    <n v="12595.380000000001"/>
    <n v="10706.073"/>
    <n v="6668.2800000000007"/>
    <n v="0.52942269308270173"/>
    <n v="0.52942269308270173"/>
  </r>
  <r>
    <x v="630"/>
    <d v="2024-04-09T00:00:00"/>
    <d v="2024-10-04T00:00:00"/>
    <n v="178"/>
    <s v="CUST-6075"/>
    <s v="Priya Menon"/>
    <x v="2"/>
    <x v="1"/>
    <s v="Assam"/>
    <s v="Guwahati"/>
    <x v="0"/>
    <x v="0"/>
    <s v="Elite Paper 239"/>
    <x v="3"/>
    <n v="4"/>
    <n v="3047.05"/>
    <n v="0.1"/>
    <x v="630"/>
    <n v="9254.4599999999991"/>
    <x v="627"/>
    <x v="0"/>
    <x v="0"/>
    <m/>
    <s v="Valid"/>
    <s v="Valid"/>
    <s v="Pass"/>
    <s v="Pass"/>
    <s v="April"/>
    <s v="2024"/>
    <m/>
    <n v="12188.2"/>
    <n v="10969.380000000001"/>
    <n v="2933.7400000000016"/>
    <n v="0.24070330319489353"/>
    <n v="0.24070330319489353"/>
  </r>
  <r>
    <x v="631"/>
    <d v="2024-04-10T00:00:00"/>
    <d v="2024-04-15T00:00:00"/>
    <n v="5"/>
    <s v="CUST-6381"/>
    <s v="Aarav Sharma"/>
    <x v="3"/>
    <x v="3"/>
    <s v="Rajasthan"/>
    <s v="Udaipur"/>
    <x v="1"/>
    <x v="4"/>
    <s v="Eco Chairs 452"/>
    <x v="3"/>
    <n v="8"/>
    <n v="4362.4799999999996"/>
    <n v="0.1"/>
    <x v="631"/>
    <n v="22523.54"/>
    <x v="628"/>
    <x v="0"/>
    <x v="0"/>
    <m/>
    <s v="Valid"/>
    <s v="Valid"/>
    <s v="Pass"/>
    <s v="Pass"/>
    <s v="April"/>
    <s v="2024"/>
    <m/>
    <n v="34899.839999999997"/>
    <n v="31409.855999999996"/>
    <n v="12376.299999999996"/>
    <n v="0.35462340228493877"/>
    <n v="0.35462340228493877"/>
  </r>
  <r>
    <x v="632"/>
    <d v="2025-04-15T00:00:00"/>
    <d v="2025-04-16T00:00:00"/>
    <n v="1"/>
    <s v="CUST-4593"/>
    <s v="Sneha Kapoor"/>
    <x v="1"/>
    <x v="2"/>
    <s v="Karnataka"/>
    <s v="Bengaluru"/>
    <x v="1"/>
    <x v="3"/>
    <s v="Smart Furnishings 721"/>
    <x v="2"/>
    <n v="5"/>
    <n v="2850.53"/>
    <n v="0"/>
    <x v="632"/>
    <n v="11558.31"/>
    <x v="629"/>
    <x v="0"/>
    <x v="0"/>
    <m/>
    <s v="Valid"/>
    <s v="Valid"/>
    <s v="Pass"/>
    <s v="Pass"/>
    <s v="April"/>
    <s v="2025"/>
    <m/>
    <n v="14252.650000000001"/>
    <n v="14252.650000000001"/>
    <n v="2694.340000000002"/>
    <n v="0.18904133617257154"/>
    <n v="0.18904133617257154"/>
  </r>
  <r>
    <x v="633"/>
    <d v="2025-04-18T00:00:00"/>
    <d v="2025-04-20T00:00:00"/>
    <n v="2"/>
    <s v="CUST-5043"/>
    <s v="Aarav Sharma"/>
    <x v="1"/>
    <x v="2"/>
    <s v="Tamil Nadu"/>
    <s v="Chennai"/>
    <x v="2"/>
    <x v="5"/>
    <s v="Basic Accessories 729"/>
    <x v="0"/>
    <n v="1"/>
    <n v="1626.08"/>
    <n v="0.15"/>
    <x v="633"/>
    <n v="810.03"/>
    <x v="630"/>
    <x v="0"/>
    <x v="0"/>
    <m/>
    <s v="Valid"/>
    <s v="Valid"/>
    <s v="Pass"/>
    <s v="Pass"/>
    <s v="April"/>
    <s v="2025"/>
    <m/>
    <n v="1626.08"/>
    <n v="1382.1679999999999"/>
    <n v="816.05"/>
    <n v="0.50185107743776447"/>
    <n v="0.50185107743776447"/>
  </r>
  <r>
    <x v="634"/>
    <d v="2025-11-01T00:00:00"/>
    <d v="2025-12-01T00:00:00"/>
    <n v="30"/>
    <s v="CUST-4722"/>
    <s v="Aditi Sen"/>
    <x v="0"/>
    <x v="2"/>
    <s v="Telangana"/>
    <s v="Hyderabad"/>
    <x v="1"/>
    <x v="4"/>
    <s v="Classic Chairs 220"/>
    <x v="0"/>
    <n v="4"/>
    <n v="2427.15"/>
    <n v="0.05"/>
    <x v="634"/>
    <n v="5103.7"/>
    <x v="631"/>
    <x v="0"/>
    <x v="0"/>
    <m/>
    <s v="Valid"/>
    <s v="Valid"/>
    <s v="Pass"/>
    <s v="Pass"/>
    <s v="November"/>
    <s v="2025"/>
    <m/>
    <n v="9708.6"/>
    <n v="9223.17"/>
    <n v="4604.9000000000005"/>
    <n v="0.47431143522238017"/>
    <n v="0.47431143522238017"/>
  </r>
  <r>
    <x v="635"/>
    <d v="2024-05-20T00:00:00"/>
    <d v="2024-05-25T00:00:00"/>
    <n v="5"/>
    <s v="CUST-7931"/>
    <s v="Mira Das"/>
    <x v="2"/>
    <x v="2"/>
    <s v="Andhra Pradesh"/>
    <s v="Vijayawada"/>
    <x v="1"/>
    <x v="4"/>
    <s v="Max Chairs 305"/>
    <x v="1"/>
    <n v="7"/>
    <n v="3122.85"/>
    <n v="0.25"/>
    <x v="635"/>
    <n v="10404.17"/>
    <x v="632"/>
    <x v="0"/>
    <x v="0"/>
    <m/>
    <s v="Valid"/>
    <s v="Valid"/>
    <s v="Pass"/>
    <s v="Pass"/>
    <s v="May"/>
    <s v="2024"/>
    <m/>
    <n v="21859.95"/>
    <n v="16394.962500000001"/>
    <n v="11455.78"/>
    <n v="0.52405334870390829"/>
    <n v="0.52405334870390829"/>
  </r>
  <r>
    <x v="636"/>
    <d v="2024-10-02T00:00:00"/>
    <d v="2024-09-10T00:00:00"/>
    <n v="-22"/>
    <s v="CUST-7221"/>
    <s v="Ananya Rao"/>
    <x v="0"/>
    <x v="2"/>
    <s v="Tamil Nadu"/>
    <s v="Chennai"/>
    <x v="0"/>
    <x v="0"/>
    <s v="Smart Paper 872"/>
    <x v="3"/>
    <n v="8"/>
    <n v="1910.31"/>
    <n v="0.15"/>
    <x v="636"/>
    <n v="10200.799999999999"/>
    <x v="633"/>
    <x v="0"/>
    <x v="0"/>
    <m/>
    <s v="Invalid-Date"/>
    <s v="Valid"/>
    <s v="Pass"/>
    <s v="Pass"/>
    <s v="October"/>
    <s v="2024"/>
    <m/>
    <n v="15282.48"/>
    <n v="12990.108"/>
    <n v="5081.68"/>
    <n v="0.33251671194727561"/>
    <n v="0.33251671194727561"/>
  </r>
  <r>
    <x v="637"/>
    <d v="2024-05-26T00:00:00"/>
    <d v="2024-05-26T00:00:00"/>
    <n v="0"/>
    <s v="CUST-2594"/>
    <s v="Rahul Verma"/>
    <x v="1"/>
    <x v="3"/>
    <s v="Goa"/>
    <s v="Panaji"/>
    <x v="2"/>
    <x v="6"/>
    <s v="Max Copiers 994"/>
    <x v="2"/>
    <n v="2"/>
    <n v="3192.47"/>
    <n v="0.2"/>
    <x v="637"/>
    <n v="3133.08"/>
    <x v="634"/>
    <x v="0"/>
    <x v="0"/>
    <m/>
    <s v="Valid"/>
    <s v="Valid"/>
    <s v="Pass"/>
    <s v="Pass"/>
    <s v="May"/>
    <s v="2024"/>
    <m/>
    <n v="6384.94"/>
    <n v="5107.9520000000002"/>
    <n v="3251.8599999999997"/>
    <n v="0.50930157526930553"/>
    <n v="0.50930157526930553"/>
  </r>
  <r>
    <x v="638"/>
    <d v="2024-01-26T00:00:00"/>
    <d v="2024-01-31T00:00:00"/>
    <n v="5"/>
    <s v="CUST-2111"/>
    <s v="Karan Malhotra"/>
    <x v="2"/>
    <x v="2"/>
    <s v="Kerala"/>
    <s v="Kochi"/>
    <x v="0"/>
    <x v="8"/>
    <s v="Pro Storage 744"/>
    <x v="0"/>
    <n v="3"/>
    <n v="3224.32"/>
    <n v="0.2"/>
    <x v="638"/>
    <n v="4626.8500000000004"/>
    <x v="635"/>
    <x v="3"/>
    <x v="2"/>
    <m/>
    <s v="Valid"/>
    <s v="Valid"/>
    <s v="Pass"/>
    <s v="Pass"/>
    <s v="January"/>
    <s v="2024"/>
    <m/>
    <n v="9672.9600000000009"/>
    <n v="7738.3680000000013"/>
    <n v="5046.1100000000006"/>
    <n v="0.52167175301045388"/>
    <n v="0.52167175301045388"/>
  </r>
  <r>
    <x v="639"/>
    <d v="2024-12-27T00:00:00"/>
    <d v="2024-12-31T00:00:00"/>
    <n v="4"/>
    <s v="CUST-6829"/>
    <s v="Isha Nair"/>
    <x v="1"/>
    <x v="1"/>
    <s v="Odisha"/>
    <s v="Bhubaneswar"/>
    <x v="1"/>
    <x v="4"/>
    <s v="Elite Chairs 744"/>
    <x v="0"/>
    <n v="1"/>
    <n v="1594.7"/>
    <n v="0.05"/>
    <x v="639"/>
    <n v="1046.17"/>
    <x v="636"/>
    <x v="0"/>
    <x v="0"/>
    <m/>
    <s v="Valid"/>
    <s v="Valid"/>
    <s v="Pass"/>
    <s v="Pass"/>
    <s v="December"/>
    <s v="2024"/>
    <m/>
    <n v="1594.7"/>
    <n v="1514.9649999999999"/>
    <n v="548.53"/>
    <n v="0.34397065278735811"/>
    <n v="0.34397065278735811"/>
  </r>
  <r>
    <x v="640"/>
    <d v="2025-01-14T00:00:00"/>
    <d v="2025-01-17T00:00:00"/>
    <n v="3"/>
    <s v="CUST-5061"/>
    <s v="Vikram Iyer"/>
    <x v="0"/>
    <x v="3"/>
    <s v="Goa"/>
    <s v="Panaji"/>
    <x v="0"/>
    <x v="8"/>
    <s v="Basic Storage 973"/>
    <x v="2"/>
    <n v="1"/>
    <n v="1584.12"/>
    <n v="0.2"/>
    <x v="640"/>
    <n v="923.53"/>
    <x v="637"/>
    <x v="0"/>
    <x v="0"/>
    <m/>
    <s v="Valid"/>
    <s v="Valid"/>
    <s v="Pass"/>
    <s v="Pass"/>
    <s v="January"/>
    <s v="2025"/>
    <m/>
    <n v="1584.12"/>
    <n v="1267.296"/>
    <n v="660.58999999999992"/>
    <n v="0.41700754993308586"/>
    <n v="0.41700754993308586"/>
  </r>
  <r>
    <x v="641"/>
    <d v="2025-04-09T00:00:00"/>
    <d v="2025-04-14T00:00:00"/>
    <n v="5"/>
    <s v="CUST-7915"/>
    <s v="Karan Malhotra"/>
    <x v="0"/>
    <x v="0"/>
    <s v="Delhi"/>
    <s v="New Delhi"/>
    <x v="1"/>
    <x v="3"/>
    <s v="Smart Furnishings 783"/>
    <x v="1"/>
    <n v="2"/>
    <n v="3202.87"/>
    <n v="0"/>
    <x v="641"/>
    <n v="3561.87"/>
    <x v="638"/>
    <x v="0"/>
    <x v="0"/>
    <m/>
    <s v="Valid"/>
    <s v="Valid"/>
    <s v="Pass"/>
    <s v="Pass"/>
    <s v="April"/>
    <s v="2025"/>
    <m/>
    <n v="6405.74"/>
    <n v="6405.74"/>
    <n v="2843.87"/>
    <n v="0.44395651400150488"/>
    <n v="0.44395651400150488"/>
  </r>
  <r>
    <x v="642"/>
    <d v="2024-08-29T00:00:00"/>
    <d v="2024-08-31T00:00:00"/>
    <n v="2"/>
    <s v="CUST-1940"/>
    <s v="Isha Nair"/>
    <x v="3"/>
    <x v="1"/>
    <s v="Assam"/>
    <s v="Guwahati"/>
    <x v="0"/>
    <x v="9"/>
    <s v="Prime Binders 287"/>
    <x v="0"/>
    <n v="9"/>
    <n v="1275.21"/>
    <n v="0.25"/>
    <x v="642"/>
    <n v="5337.64"/>
    <x v="639"/>
    <x v="3"/>
    <x v="2"/>
    <m/>
    <s v="Valid"/>
    <s v="Valid"/>
    <s v="Pass"/>
    <s v="Pass"/>
    <s v="August"/>
    <s v="2024"/>
    <m/>
    <n v="11476.89"/>
    <n v="8607.6674999999996"/>
    <n v="6139.2499999999991"/>
    <n v="0.53492278831634699"/>
    <n v="0.53492278831634699"/>
  </r>
  <r>
    <x v="643"/>
    <d v="2024-02-05T00:00:00"/>
    <d v="2024-02-13T00:00:00"/>
    <n v="8"/>
    <s v="CUST-1986"/>
    <s v="Aarav Sharma"/>
    <x v="3"/>
    <x v="0"/>
    <s v="Uttar Pradesh"/>
    <s v="Noida"/>
    <x v="0"/>
    <x v="7"/>
    <s v="Elite Labels 654"/>
    <x v="3"/>
    <n v="8"/>
    <n v="3871.18"/>
    <n v="0.15"/>
    <x v="643"/>
    <n v="16277.96"/>
    <x v="640"/>
    <x v="3"/>
    <x v="2"/>
    <m/>
    <s v="Valid"/>
    <s v="Valid"/>
    <s v="Pass"/>
    <s v="Pass"/>
    <s v="February"/>
    <s v="2024"/>
    <m/>
    <n v="30969.439999999999"/>
    <n v="26324.023999999998"/>
    <n v="14691.48"/>
    <n v="0.47438636281443902"/>
    <n v="0.47438636281443902"/>
  </r>
  <r>
    <x v="644"/>
    <d v="2025-04-10T00:00:00"/>
    <d v="2025-04-17T00:00:00"/>
    <n v="7"/>
    <s v="CUST-5549"/>
    <s v="Vikram Iyer"/>
    <x v="0"/>
    <x v="1"/>
    <s v="West Bengal"/>
    <s v="Kolkata"/>
    <x v="1"/>
    <x v="4"/>
    <s v="Pro Chairs 812"/>
    <x v="3"/>
    <n v="4"/>
    <n v="3750.02"/>
    <n v="0.05"/>
    <x v="644"/>
    <n v="10914.92"/>
    <x v="641"/>
    <x v="0"/>
    <x v="0"/>
    <m/>
    <s v="Valid"/>
    <s v="Valid"/>
    <s v="Pass"/>
    <s v="Pass"/>
    <s v="April"/>
    <s v="2025"/>
    <m/>
    <n v="15000.08"/>
    <n v="14250.075999999999"/>
    <n v="4085.16"/>
    <n v="0.27234254750641329"/>
    <n v="0.27234254750641329"/>
  </r>
  <r>
    <x v="645"/>
    <d v="2024-01-04T00:00:00"/>
    <d v="2024-01-09T00:00:00"/>
    <n v="5"/>
    <s v="CUST-2314"/>
    <s v="Kabir Singh"/>
    <x v="0"/>
    <x v="1"/>
    <s v="Bihar"/>
    <s v="Patna"/>
    <x v="1"/>
    <x v="4"/>
    <s v="Basic Chairs 480"/>
    <x v="0"/>
    <n v="6"/>
    <n v="2423.61"/>
    <n v="0.1"/>
    <x v="645"/>
    <n v="7608.89"/>
    <x v="642"/>
    <x v="0"/>
    <x v="0"/>
    <m/>
    <s v="Valid"/>
    <s v="Valid"/>
    <s v="Pass"/>
    <s v="Pass"/>
    <s v="January"/>
    <s v="2024"/>
    <m/>
    <n v="14541.66"/>
    <n v="13087.494000000001"/>
    <n v="6932.7699999999995"/>
    <n v="0.47675231025893877"/>
    <n v="0.47675231025893877"/>
  </r>
  <r>
    <x v="646"/>
    <d v="2024-09-18T00:00:00"/>
    <d v="2024-09-24T00:00:00"/>
    <n v="6"/>
    <s v="CUST-6360"/>
    <s v="Vikram Iyer"/>
    <x v="1"/>
    <x v="1"/>
    <s v="Jharkhand"/>
    <s v="Ranchi"/>
    <x v="2"/>
    <x v="12"/>
    <s v="Elite Machines 955"/>
    <x v="2"/>
    <n v="3"/>
    <n v="729.14"/>
    <n v="0.25"/>
    <x v="646"/>
    <n v="1136.98"/>
    <x v="643"/>
    <x v="0"/>
    <x v="0"/>
    <m/>
    <s v="Valid"/>
    <s v="Valid"/>
    <s v="Pass"/>
    <s v="Pass"/>
    <s v="September"/>
    <s v="2024"/>
    <m/>
    <n v="2187.42"/>
    <n v="1640.5650000000001"/>
    <n v="1050.44"/>
    <n v="0.48021870514121662"/>
    <n v="0.48021870514121662"/>
  </r>
  <r>
    <x v="647"/>
    <d v="2025-01-01T00:00:00"/>
    <d v="2025-01-09T00:00:00"/>
    <n v="8"/>
    <s v="CUST-9942"/>
    <s v="Rohan Mehta"/>
    <x v="1"/>
    <x v="0"/>
    <s v="Punjab"/>
    <s v="Ludhiana"/>
    <x v="0"/>
    <x v="2"/>
    <s v="Prime Art 461"/>
    <x v="2"/>
    <n v="8"/>
    <n v="2123.81"/>
    <n v="0.15"/>
    <x v="647"/>
    <n v="10872.89"/>
    <x v="644"/>
    <x v="0"/>
    <x v="0"/>
    <m/>
    <s v="Valid"/>
    <s v="Valid"/>
    <s v="Pass"/>
    <s v="Pass"/>
    <s v="January"/>
    <s v="2025"/>
    <m/>
    <n v="16990.48"/>
    <n v="14441.907999999999"/>
    <n v="6117.59"/>
    <n v="0.36005986882065721"/>
    <n v="0.36005986882065721"/>
  </r>
  <r>
    <x v="648"/>
    <d v="2024-04-21T00:00:00"/>
    <d v="2024-04-24T00:00:00"/>
    <n v="3"/>
    <s v="CUST-1808"/>
    <s v="Neha Gupta"/>
    <x v="1"/>
    <x v="2"/>
    <s v="Andhra Pradesh"/>
    <s v="Vijayawada"/>
    <x v="0"/>
    <x v="2"/>
    <s v="Prime Art 301"/>
    <x v="1"/>
    <n v="9"/>
    <n v="703.59"/>
    <n v="0.2"/>
    <x v="648"/>
    <n v="3517.23"/>
    <x v="645"/>
    <x v="3"/>
    <x v="2"/>
    <m/>
    <s v="Valid"/>
    <s v="Valid"/>
    <s v="Pass"/>
    <s v="Pass"/>
    <s v="April"/>
    <s v="2024"/>
    <m/>
    <n v="6332.31"/>
    <n v="5065.8480000000009"/>
    <n v="2815.0800000000004"/>
    <n v="0.44455814702691437"/>
    <n v="0.44455814702691437"/>
  </r>
  <r>
    <x v="649"/>
    <d v="2025-08-11T00:00:00"/>
    <d v="2025-08-19T00:00:00"/>
    <n v="8"/>
    <s v="CUST-7277"/>
    <s v="Kabir Singh"/>
    <x v="1"/>
    <x v="2"/>
    <s v="Kerala"/>
    <s v="Kochi"/>
    <x v="2"/>
    <x v="5"/>
    <s v="Classic Accessories 354"/>
    <x v="3"/>
    <n v="4"/>
    <n v="2258.96"/>
    <n v="0.25"/>
    <x v="649"/>
    <n v="3836.24"/>
    <x v="646"/>
    <x v="0"/>
    <x v="0"/>
    <m/>
    <s v="Valid"/>
    <s v="Valid"/>
    <s v="Pass"/>
    <s v="Pass"/>
    <s v="August"/>
    <s v="2025"/>
    <m/>
    <n v="9035.84"/>
    <n v="6776.88"/>
    <n v="5199.6000000000004"/>
    <n v="0.5754417962248114"/>
    <n v="0.5754417962248114"/>
  </r>
  <r>
    <x v="650"/>
    <d v="2024-04-13T00:00:00"/>
    <d v="2024-04-21T00:00:00"/>
    <n v="8"/>
    <s v="CUST-7744"/>
    <s v="Aarav Sharma"/>
    <x v="3"/>
    <x v="1"/>
    <s v="Bihar"/>
    <s v="Patna"/>
    <x v="2"/>
    <x v="5"/>
    <s v="Basic Accessories 210"/>
    <x v="1"/>
    <n v="7"/>
    <n v="2648.76"/>
    <n v="0.15"/>
    <x v="650"/>
    <n v="9931.5300000000007"/>
    <x v="647"/>
    <x v="3"/>
    <x v="2"/>
    <m/>
    <s v="Valid"/>
    <s v="Valid"/>
    <s v="Pass"/>
    <s v="Pass"/>
    <s v="April"/>
    <s v="2024"/>
    <m/>
    <n v="18541.32"/>
    <n v="15760.121999999999"/>
    <n v="8609.7899999999991"/>
    <n v="0.46435690662800705"/>
    <n v="0.46435690662800705"/>
  </r>
  <r>
    <x v="651"/>
    <d v="2025-08-06T00:00:00"/>
    <d v="2025-08-09T00:00:00"/>
    <n v="3"/>
    <s v="CUST-2660"/>
    <s v="Mira Das"/>
    <x v="1"/>
    <x v="2"/>
    <s v="Andhra Pradesh"/>
    <s v="Vijayawada"/>
    <x v="0"/>
    <x v="0"/>
    <s v="Smart Paper 364"/>
    <x v="0"/>
    <n v="3"/>
    <n v="598.54999999999995"/>
    <n v="0"/>
    <x v="651"/>
    <n v="996.72"/>
    <x v="648"/>
    <x v="0"/>
    <x v="0"/>
    <m/>
    <s v="Valid"/>
    <s v="Valid"/>
    <s v="Pass"/>
    <s v="Pass"/>
    <s v="August"/>
    <s v="2025"/>
    <m/>
    <n v="1795.6499999999999"/>
    <n v="1795.6499999999999"/>
    <n v="798.92999999999984"/>
    <n v="0.44492523598696843"/>
    <n v="0.44492523598696843"/>
  </r>
  <r>
    <x v="652"/>
    <d v="2025-03-17T00:00:00"/>
    <d v="2025-03-21T00:00:00"/>
    <n v="4"/>
    <s v="CUST-8177"/>
    <s v="Sneha Kapoor"/>
    <x v="0"/>
    <x v="0"/>
    <s v="Uttar Pradesh"/>
    <s v="Noida"/>
    <x v="0"/>
    <x v="9"/>
    <s v="Smart Binders 999"/>
    <x v="3"/>
    <n v="5"/>
    <n v="4320.59"/>
    <n v="0.15"/>
    <x v="652"/>
    <n v="11133.97"/>
    <x v="649"/>
    <x v="0"/>
    <x v="0"/>
    <m/>
    <s v="Valid"/>
    <s v="Valid"/>
    <s v="Pass"/>
    <s v="Pass"/>
    <s v="March"/>
    <s v="2025"/>
    <m/>
    <n v="21602.95"/>
    <n v="18362.5075"/>
    <n v="10468.980000000001"/>
    <n v="0.48460881499980329"/>
    <n v="0.48460881499980329"/>
  </r>
  <r>
    <x v="653"/>
    <d v="2025-04-04T00:00:00"/>
    <d v="2025-07-04T00:00:00"/>
    <n v="91"/>
    <s v="CUST-3970"/>
    <s v="Priya Menon"/>
    <x v="1"/>
    <x v="2"/>
    <s v="Tamil Nadu"/>
    <s v="Chennai"/>
    <x v="2"/>
    <x v="6"/>
    <s v="Max Copiers 356"/>
    <x v="0"/>
    <n v="7"/>
    <n v="4457.93"/>
    <n v="0.15"/>
    <x v="653"/>
    <n v="20574.3"/>
    <x v="650"/>
    <x v="0"/>
    <x v="0"/>
    <m/>
    <s v="Valid"/>
    <s v="Valid"/>
    <s v="Pass"/>
    <s v="Pass"/>
    <s v="April"/>
    <s v="2025"/>
    <m/>
    <n v="31205.510000000002"/>
    <n v="26524.683500000003"/>
    <n v="10631.210000000003"/>
    <n v="0.34068374463355999"/>
    <n v="0.34068374463355999"/>
  </r>
  <r>
    <x v="654"/>
    <d v="2025-12-10T00:00:00"/>
    <d v="2025-10-16T00:00:00"/>
    <n v="-55"/>
    <s v="CUST-8249"/>
    <s v="Diya Patel"/>
    <x v="2"/>
    <x v="1"/>
    <s v="Bihar"/>
    <s v="Patna"/>
    <x v="2"/>
    <x v="12"/>
    <s v="Classic Machines 639"/>
    <x v="1"/>
    <n v="1"/>
    <n v="2570.06"/>
    <n v="0.2"/>
    <x v="654"/>
    <n v="1662.39"/>
    <x v="651"/>
    <x v="0"/>
    <x v="0"/>
    <m/>
    <s v="Invalid-Date"/>
    <s v="Valid"/>
    <s v="Pass"/>
    <s v="Pass"/>
    <s v="December"/>
    <s v="2025"/>
    <m/>
    <n v="2570.06"/>
    <n v="2056.0480000000002"/>
    <n v="907.66999999999985"/>
    <n v="0.3531707430954919"/>
    <n v="0.3531707430954919"/>
  </r>
  <r>
    <x v="655"/>
    <d v="2025-08-26T00:00:00"/>
    <d v="2025-08-26T00:00:00"/>
    <n v="0"/>
    <s v="CUST-8039"/>
    <s v="Neha Gupta"/>
    <x v="3"/>
    <x v="1"/>
    <s v="West Bengal"/>
    <s v="Kolkata"/>
    <x v="1"/>
    <x v="3"/>
    <s v="Smart Furnishings 748"/>
    <x v="3"/>
    <n v="4"/>
    <n v="2151.8200000000002"/>
    <n v="0"/>
    <x v="655"/>
    <n v="5124.01"/>
    <x v="652"/>
    <x v="0"/>
    <x v="0"/>
    <m/>
    <s v="Valid"/>
    <s v="Valid"/>
    <s v="Pass"/>
    <s v="Pass"/>
    <s v="August"/>
    <s v="2025"/>
    <m/>
    <n v="8607.2800000000007"/>
    <n v="8607.2800000000007"/>
    <n v="3483.2700000000004"/>
    <n v="0.40468882155570635"/>
    <n v="0.40468882155570635"/>
  </r>
  <r>
    <x v="656"/>
    <d v="2024-05-07T00:00:00"/>
    <d v="2024-05-14T00:00:00"/>
    <n v="7"/>
    <s v="CUST-4446"/>
    <s v="Neha Gupta"/>
    <x v="1"/>
    <x v="0"/>
    <s v="Haryana"/>
    <s v="Gurugram"/>
    <x v="2"/>
    <x v="12"/>
    <s v="Pro Machines 589"/>
    <x v="1"/>
    <n v="4"/>
    <n v="2751.1"/>
    <n v="-0.05"/>
    <x v="656"/>
    <n v="7696.28"/>
    <x v="653"/>
    <x v="0"/>
    <x v="0"/>
    <m/>
    <s v="Valid"/>
    <s v="Invalid-Discount"/>
    <s v="Pass"/>
    <s v="Pass"/>
    <s v="May"/>
    <s v="2024"/>
    <m/>
    <n v="11004.4"/>
    <n v="11554.62"/>
    <n v="3308.12"/>
    <n v="0.30061793464432407"/>
    <n v="0.30061793464432407"/>
  </r>
  <r>
    <x v="657"/>
    <d v="2025-07-08T00:00:00"/>
    <d v="2025-10-08T00:00:00"/>
    <n v="92"/>
    <s v="CUST-7787"/>
    <s v="Aditi Sen"/>
    <x v="3"/>
    <x v="1"/>
    <s v="Bihar"/>
    <s v="Patna"/>
    <x v="0"/>
    <x v="8"/>
    <s v="Eco Storage 316"/>
    <x v="0"/>
    <n v="1"/>
    <n v="2541.25"/>
    <n v="0.2"/>
    <x v="657"/>
    <n v="1291.4100000000001"/>
    <x v="654"/>
    <x v="0"/>
    <x v="0"/>
    <m/>
    <s v="Valid"/>
    <s v="Valid"/>
    <s v="Pass"/>
    <s v="Pass"/>
    <s v="July"/>
    <s v="2025"/>
    <m/>
    <n v="2541.25"/>
    <n v="2033"/>
    <n v="1249.8399999999999"/>
    <n v="0.49182095425479583"/>
    <n v="0.49182095425479583"/>
  </r>
  <r>
    <x v="658"/>
    <d v="2025-06-09T00:00:00"/>
    <d v="2025-12-06T00:00:00"/>
    <n v="180"/>
    <s v="CUST-9074"/>
    <s v="Sneha Kapoor"/>
    <x v="0"/>
    <x v="4"/>
    <s v="Bihar"/>
    <s v="Patna"/>
    <x v="0"/>
    <x v="2"/>
    <s v="Eco Art 763"/>
    <x v="2"/>
    <n v="7"/>
    <n v="2852.42"/>
    <n v="0"/>
    <x v="658"/>
    <n v="12690.83"/>
    <x v="655"/>
    <x v="1"/>
    <x v="1"/>
    <m/>
    <s v="Valid"/>
    <s v="Valid"/>
    <s v="Pass"/>
    <s v="Flagged"/>
    <s v="June"/>
    <s v="2025"/>
    <m/>
    <n v="19966.940000000002"/>
    <n v="19966.940000000002"/>
    <n v="7276.1100000000024"/>
    <n v="0.36440786620283339"/>
    <n v="0.36440786620283339"/>
  </r>
  <r>
    <x v="659"/>
    <d v="2025-01-21T00:00:00"/>
    <d v="2025-01-22T00:00:00"/>
    <n v="1"/>
    <s v="CUST-8330"/>
    <s v="Diya Patel"/>
    <x v="2"/>
    <x v="2"/>
    <s v="Karnataka"/>
    <s v="Bengaluru"/>
    <x v="2"/>
    <x v="11"/>
    <s v="Pro Phones 356"/>
    <x v="0"/>
    <n v="2"/>
    <n v="444.31"/>
    <n v="0.2"/>
    <x v="659"/>
    <n v="513.88"/>
    <x v="656"/>
    <x v="1"/>
    <x v="1"/>
    <m/>
    <s v="Valid"/>
    <s v="Valid"/>
    <s v="Pass"/>
    <s v="Pass"/>
    <s v="January"/>
    <s v="2025"/>
    <m/>
    <n v="888.62"/>
    <n v="710.89600000000007"/>
    <n v="374.74"/>
    <n v="0.42171006729535687"/>
    <n v="0.42171006729535687"/>
  </r>
  <r>
    <x v="660"/>
    <d v="2025-07-15T00:00:00"/>
    <d v="2025-07-15T00:00:00"/>
    <n v="0"/>
    <s v="CUST-5638"/>
    <s v="Arjun Bose"/>
    <x v="1"/>
    <x v="1"/>
    <s v="Jharkhand"/>
    <s v="Ranchi"/>
    <x v="2"/>
    <x v="11"/>
    <s v="Basic Phones 865"/>
    <x v="1"/>
    <n v="4"/>
    <n v="4442.91"/>
    <n v="0.1"/>
    <x v="660"/>
    <n v="9224.2800000000007"/>
    <x v="657"/>
    <x v="0"/>
    <x v="0"/>
    <m/>
    <s v="Valid"/>
    <s v="Valid"/>
    <s v="Pass"/>
    <s v="Pass"/>
    <s v="July"/>
    <s v="2025"/>
    <m/>
    <n v="17771.64"/>
    <n v="15994.476000000001"/>
    <n v="8547.3599999999988"/>
    <n v="0.48095504973091957"/>
    <n v="0.48095504973091957"/>
  </r>
  <r>
    <x v="661"/>
    <d v="2024-05-17T00:00:00"/>
    <d v="2024-05-22T00:00:00"/>
    <n v="5"/>
    <s v="CUST-4537"/>
    <s v="Sneha Kapoor"/>
    <x v="0"/>
    <x v="2"/>
    <s v="Andhra Pradesh"/>
    <s v="Vijayawada"/>
    <x v="2"/>
    <x v="12"/>
    <s v="Max Machines 595"/>
    <x v="0"/>
    <n v="7"/>
    <n v="232.5"/>
    <n v="0"/>
    <x v="661"/>
    <n v="939.9"/>
    <x v="658"/>
    <x v="0"/>
    <x v="0"/>
    <m/>
    <s v="Valid"/>
    <s v="Valid"/>
    <s v="Pass"/>
    <s v="Pass"/>
    <s v="May"/>
    <s v="2024"/>
    <m/>
    <n v="1627.5"/>
    <n v="1627.5"/>
    <n v="687.6"/>
    <n v="0.4224884792626728"/>
    <n v="0.4224884792626728"/>
  </r>
  <r>
    <x v="662"/>
    <d v="2024-01-14T00:00:00"/>
    <d v="2024-01-18T00:00:00"/>
    <n v="4"/>
    <s v="CUST-3181"/>
    <s v="Mira Das"/>
    <x v="3"/>
    <x v="3"/>
    <s v="Rajasthan"/>
    <s v="Udaipur"/>
    <x v="2"/>
    <x v="12"/>
    <s v="Elite Machines 367"/>
    <x v="1"/>
    <n v="6"/>
    <n v="1784.8"/>
    <n v="0.1"/>
    <x v="662"/>
    <n v="7329.29"/>
    <x v="659"/>
    <x v="0"/>
    <x v="0"/>
    <m/>
    <s v="Valid"/>
    <s v="Valid"/>
    <s v="Pass"/>
    <s v="Pass"/>
    <s v="January"/>
    <s v="2024"/>
    <m/>
    <n v="10708.8"/>
    <n v="9637.92"/>
    <n v="3379.5099999999993"/>
    <n v="0.31558251157926187"/>
    <n v="0.31558251157926187"/>
  </r>
  <r>
    <x v="663"/>
    <d v="2024-02-05T00:00:00"/>
    <d v="2024-08-05T00:00:00"/>
    <n v="182"/>
    <s v="CUST-1015"/>
    <s v="Rahul Verma"/>
    <x v="3"/>
    <x v="1"/>
    <s v="Jharkhand"/>
    <s v="Ranchi"/>
    <x v="2"/>
    <x v="6"/>
    <s v="Basic Copiers 787"/>
    <x v="0"/>
    <n v="2"/>
    <n v="3185.01"/>
    <n v="-0.24"/>
    <x v="663"/>
    <n v="3152.98"/>
    <x v="660"/>
    <x v="0"/>
    <x v="0"/>
    <m/>
    <s v="Valid"/>
    <s v="Invalid-Discount"/>
    <s v="Pass"/>
    <s v="Pass"/>
    <s v="February"/>
    <s v="2024"/>
    <m/>
    <n v="6370.02"/>
    <n v="7898.8248000000003"/>
    <n v="3217.0400000000004"/>
    <n v="0.50502824166957094"/>
    <n v="0.50502824166957094"/>
  </r>
  <r>
    <x v="664"/>
    <d v="2024-12-07T00:00:00"/>
    <d v="2024-10-12T00:00:00"/>
    <n v="-56"/>
    <s v="CUST-2709"/>
    <s v="Mira Das"/>
    <x v="3"/>
    <x v="2"/>
    <s v="Telangana"/>
    <s v="Hyderabad"/>
    <x v="2"/>
    <x v="5"/>
    <s v="Max Accessories 903"/>
    <x v="3"/>
    <n v="1"/>
    <n v="1908.83"/>
    <n v="0.2"/>
    <x v="664"/>
    <n v="1055.8900000000001"/>
    <x v="661"/>
    <x v="0"/>
    <x v="0"/>
    <m/>
    <s v="Invalid-Date"/>
    <s v="Valid"/>
    <s v="Pass"/>
    <s v="Pass"/>
    <s v="December"/>
    <s v="2024"/>
    <m/>
    <n v="1908.83"/>
    <n v="1527.0640000000001"/>
    <n v="852.93999999999983"/>
    <n v="0.44683916325707362"/>
    <n v="0.44683916325707362"/>
  </r>
  <r>
    <x v="665"/>
    <d v="2025-01-13T00:00:00"/>
    <d v="2025-01-13T00:00:00"/>
    <n v="0"/>
    <s v="CUST-1197"/>
    <s v="Rahul Verma"/>
    <x v="3"/>
    <x v="3"/>
    <s v="Gujarat"/>
    <s v="Ahmedabad"/>
    <x v="0"/>
    <x v="2"/>
    <s v="Max Art 660"/>
    <x v="3"/>
    <n v="3"/>
    <n v="2110.52"/>
    <n v="0.1"/>
    <x v="665"/>
    <n v="3640.89"/>
    <x v="662"/>
    <x v="3"/>
    <x v="1"/>
    <m/>
    <s v="Valid"/>
    <s v="Valid"/>
    <s v="Pass"/>
    <s v="Pass"/>
    <s v="January"/>
    <s v="2025"/>
    <m/>
    <n v="6331.5599999999995"/>
    <n v="5698.4039999999995"/>
    <n v="2690.6699999999996"/>
    <n v="0.4249616208327805"/>
    <n v="0.4249616208327805"/>
  </r>
  <r>
    <x v="666"/>
    <d v="2024-06-21T00:00:00"/>
    <d v="2024-06-26T00:00:00"/>
    <n v="5"/>
    <s v="CUST-7758"/>
    <s v="Rohan Mehta"/>
    <x v="1"/>
    <x v="0"/>
    <s v="Punjab"/>
    <s v="Ludhiana"/>
    <x v="2"/>
    <x v="6"/>
    <s v="Classic Copiers 908"/>
    <x v="1"/>
    <n v="1"/>
    <n v="279.83"/>
    <n v="0.05"/>
    <x v="666"/>
    <n v="223.49"/>
    <x v="663"/>
    <x v="0"/>
    <x v="0"/>
    <m/>
    <s v="Valid"/>
    <s v="Valid"/>
    <s v="Pass"/>
    <s v="Pass"/>
    <s v="June"/>
    <s v="2024"/>
    <m/>
    <n v="279.83"/>
    <n v="265.83849999999995"/>
    <n v="56.339999999999975"/>
    <n v="0.20133652574777536"/>
    <n v="0.20133652574777536"/>
  </r>
  <r>
    <x v="667"/>
    <d v="2025-05-20T00:00:00"/>
    <d v="2025-05-27T00:00:00"/>
    <n v="7"/>
    <s v="CUST-3912"/>
    <s v="Diya Patel"/>
    <x v="1"/>
    <x v="1"/>
    <s v="Bihar"/>
    <s v="Patna"/>
    <x v="2"/>
    <x v="12"/>
    <s v="Pro Machines 706"/>
    <x v="3"/>
    <n v="1"/>
    <n v="3959.14"/>
    <n v="0"/>
    <x v="667"/>
    <n v="3239.53"/>
    <x v="664"/>
    <x v="2"/>
    <x v="2"/>
    <m/>
    <s v="Valid"/>
    <s v="Valid"/>
    <s v="Pass"/>
    <s v="Pass"/>
    <s v="May"/>
    <s v="2025"/>
    <m/>
    <n v="3959.14"/>
    <n v="3959.14"/>
    <n v="719.60999999999967"/>
    <n v="0.18175916992074029"/>
    <n v="0.18175916992074029"/>
  </r>
  <r>
    <x v="668"/>
    <d v="2024-11-21T00:00:00"/>
    <d v="2024-11-23T00:00:00"/>
    <n v="2"/>
    <s v="CUST-4190"/>
    <s v="Mira Das"/>
    <x v="2"/>
    <x v="3"/>
    <s v="Gujarat"/>
    <s v="Ahmedabad"/>
    <x v="0"/>
    <x v="0"/>
    <s v="Pro Paper 187"/>
    <x v="0"/>
    <n v="5"/>
    <n v="600.46"/>
    <n v="0.2"/>
    <x v="668"/>
    <n v="1873.11"/>
    <x v="665"/>
    <x v="0"/>
    <x v="0"/>
    <m/>
    <s v="Valid"/>
    <s v="Valid"/>
    <s v="Pass"/>
    <s v="Pass"/>
    <s v="November"/>
    <s v="2024"/>
    <m/>
    <n v="3002.3"/>
    <n v="2401.84"/>
    <n v="1129.1900000000003"/>
    <n v="0.3761083169569997"/>
    <n v="0.3761083169569997"/>
  </r>
  <r>
    <x v="669"/>
    <d v="2024-03-24T00:00:00"/>
    <d v="2024-01-04T00:00:00"/>
    <n v="-80"/>
    <s v="CUST-7568"/>
    <s v="Ananya Rao"/>
    <x v="3"/>
    <x v="3"/>
    <s v="Maharashtra"/>
    <s v="Mumbai"/>
    <x v="1"/>
    <x v="1"/>
    <s v="Classic Tables 606"/>
    <x v="0"/>
    <n v="4"/>
    <n v="1700.72"/>
    <n v="0.25"/>
    <x v="669"/>
    <n v="3226.45"/>
    <x v="666"/>
    <x v="0"/>
    <x v="0"/>
    <m/>
    <s v="Invalid-Date"/>
    <s v="Valid"/>
    <s v="Pass"/>
    <s v="Pass"/>
    <s v="March"/>
    <s v="2024"/>
    <m/>
    <n v="6802.88"/>
    <n v="5102.16"/>
    <n v="3576.4300000000003"/>
    <n v="0.52572292911237595"/>
    <n v="0.52572292911237595"/>
  </r>
  <r>
    <x v="670"/>
    <d v="2025-02-02T00:00:00"/>
    <d v="2025-06-02T00:00:00"/>
    <n v="120"/>
    <s v="CUST-5604"/>
    <s v="Sneha Kapoor"/>
    <x v="2"/>
    <x v="0"/>
    <s v="Uttar Pradesh"/>
    <s v="Noida"/>
    <x v="1"/>
    <x v="1"/>
    <s v="Smart Tables 835"/>
    <x v="3"/>
    <n v="8"/>
    <n v="857.86"/>
    <n v="0.1"/>
    <x v="670"/>
    <n v="3560.96"/>
    <x v="667"/>
    <x v="0"/>
    <x v="0"/>
    <m/>
    <s v="Valid"/>
    <s v="Valid"/>
    <s v="Pass"/>
    <s v="Pass"/>
    <s v="February"/>
    <s v="2025"/>
    <m/>
    <n v="6862.88"/>
    <n v="6176.5920000000006"/>
    <n v="3301.92"/>
    <n v="0.48112745669456553"/>
    <n v="0.48112745669456553"/>
  </r>
  <r>
    <x v="671"/>
    <d v="2024-03-22T00:00:00"/>
    <d v="2024-03-27T00:00:00"/>
    <n v="5"/>
    <s v="CUST-3293"/>
    <s v="Aditi Sen"/>
    <x v="3"/>
    <x v="3"/>
    <s v="Goa"/>
    <s v="Panaji"/>
    <x v="2"/>
    <x v="6"/>
    <s v="Classic Copiers 583"/>
    <x v="0"/>
    <n v="9"/>
    <n v="3649.51"/>
    <n v="0.05"/>
    <x v="671"/>
    <n v="17738.13"/>
    <x v="668"/>
    <x v="0"/>
    <x v="0"/>
    <m/>
    <s v="Valid"/>
    <s v="Valid"/>
    <s v="Pass"/>
    <s v="Pass"/>
    <s v="March"/>
    <s v="2024"/>
    <m/>
    <n v="32845.590000000004"/>
    <n v="31203.310500000003"/>
    <n v="15107.460000000003"/>
    <n v="0.45995398469018217"/>
    <n v="0.45995398469018217"/>
  </r>
  <r>
    <x v="672"/>
    <d v="2024-09-04T00:00:00"/>
    <d v="2024-05-09T00:00:00"/>
    <n v="-118"/>
    <s v="CUST-8180"/>
    <s v="Aditi Sen"/>
    <x v="2"/>
    <x v="3"/>
    <s v="Madhya Pradesh"/>
    <s v="Indore"/>
    <x v="1"/>
    <x v="4"/>
    <s v="Classic Chairs 460"/>
    <x v="3"/>
    <n v="5"/>
    <n v="2528.5300000000002"/>
    <n v="0.05"/>
    <x v="672"/>
    <n v="7864.61"/>
    <x v="669"/>
    <x v="0"/>
    <x v="2"/>
    <m/>
    <s v="Invalid-Date"/>
    <s v="Valid"/>
    <s v="Pass"/>
    <s v="Pass"/>
    <s v="September"/>
    <s v="2024"/>
    <m/>
    <n v="12642.650000000001"/>
    <n v="12010.5175"/>
    <n v="4778.0400000000018"/>
    <n v="0.37793025987431444"/>
    <n v="0.37793025987431444"/>
  </r>
  <r>
    <x v="673"/>
    <d v="2025-02-13T00:00:00"/>
    <d v="2025-02-16T00:00:00"/>
    <n v="3"/>
    <s v="CUST-2807"/>
    <s v="Arjun Bose"/>
    <x v="1"/>
    <x v="3"/>
    <s v="Rajasthan"/>
    <s v="Udaipur"/>
    <x v="1"/>
    <x v="10"/>
    <s v="Classic Bookcases 488"/>
    <x v="0"/>
    <n v="4"/>
    <n v="4072.9"/>
    <n v="0.15"/>
    <x v="673"/>
    <n v="8471.7800000000007"/>
    <x v="670"/>
    <x v="0"/>
    <x v="0"/>
    <m/>
    <s v="Valid"/>
    <s v="Valid"/>
    <s v="Pass"/>
    <s v="Pass"/>
    <s v="February"/>
    <s v="2025"/>
    <m/>
    <n v="16291.6"/>
    <n v="13847.86"/>
    <n v="7819.82"/>
    <n v="0.47999091556384882"/>
    <n v="0.47999091556384882"/>
  </r>
  <r>
    <x v="674"/>
    <d v="2024-05-18T00:00:00"/>
    <d v="2024-05-21T00:00:00"/>
    <n v="3"/>
    <s v="CUST-4081"/>
    <s v="Vikram Iyer"/>
    <x v="2"/>
    <x v="1"/>
    <s v="Jharkhand"/>
    <s v="Ranchi"/>
    <x v="2"/>
    <x v="5"/>
    <s v="Basic Accessories 944"/>
    <x v="0"/>
    <n v="1"/>
    <n v="1033.71"/>
    <n v="0"/>
    <x v="674"/>
    <n v="630.82000000000005"/>
    <x v="671"/>
    <x v="2"/>
    <x v="2"/>
    <m/>
    <s v="Valid"/>
    <s v="Valid"/>
    <s v="Pass"/>
    <s v="Pass"/>
    <s v="May"/>
    <s v="2024"/>
    <m/>
    <n v="1033.71"/>
    <n v="1033.71"/>
    <n v="402.89"/>
    <n v="0.38975147768716562"/>
    <n v="0.38975147768716562"/>
  </r>
  <r>
    <x v="675"/>
    <d v="2025-06-07T00:00:00"/>
    <d v="2025-10-06T00:00:00"/>
    <n v="121"/>
    <s v="CUST-5061"/>
    <s v="Aarav Sharma"/>
    <x v="0"/>
    <x v="0"/>
    <s v="Rajasthan"/>
    <s v="Jaipur"/>
    <x v="1"/>
    <x v="3"/>
    <s v="Eco Furnishings 217"/>
    <x v="1"/>
    <n v="3"/>
    <n v="963.26"/>
    <n v="0"/>
    <x v="675"/>
    <n v="1811.23"/>
    <x v="672"/>
    <x v="0"/>
    <x v="0"/>
    <m/>
    <s v="Valid"/>
    <s v="Valid"/>
    <s v="Pass"/>
    <s v="Pass"/>
    <s v="June"/>
    <s v="2025"/>
    <m/>
    <n v="2889.7799999999997"/>
    <n v="2889.7799999999997"/>
    <n v="1078.5499999999997"/>
    <n v="0.37322910394562903"/>
    <n v="0.37322910394562903"/>
  </r>
  <r>
    <x v="676"/>
    <d v="2025-11-09T00:00:00"/>
    <d v="2025-09-18T00:00:00"/>
    <n v="-52"/>
    <s v="CUST-9212"/>
    <s v="Rahul Verma"/>
    <x v="1"/>
    <x v="0"/>
    <s v="Delhi"/>
    <s v="New Delhi"/>
    <x v="2"/>
    <x v="11"/>
    <s v="Smart Phones 967"/>
    <x v="1"/>
    <n v="7"/>
    <n v="3411.21"/>
    <n v="0.15"/>
    <x v="676"/>
    <n v="14920.87"/>
    <x v="673"/>
    <x v="0"/>
    <x v="0"/>
    <m/>
    <s v="Invalid-Date"/>
    <s v="Valid"/>
    <s v="Pass"/>
    <s v="Pass"/>
    <s v="November"/>
    <s v="2025"/>
    <m/>
    <n v="23878.47"/>
    <n v="20296.699499999999"/>
    <n v="8957.6"/>
    <n v="0.3751329126196109"/>
    <n v="0.3751329126196109"/>
  </r>
  <r>
    <x v="677"/>
    <d v="2024-06-22T00:00:00"/>
    <d v="2024-06-27T00:00:00"/>
    <n v="5"/>
    <s v="CUST-4655"/>
    <s v="Isha Nair"/>
    <x v="3"/>
    <x v="2"/>
    <s v="Karnataka"/>
    <s v="Bengaluru"/>
    <x v="1"/>
    <x v="4"/>
    <s v="Smart Chairs 610"/>
    <x v="1"/>
    <n v="7"/>
    <n v="2623.48"/>
    <n v="0"/>
    <x v="677"/>
    <n v="15445.81"/>
    <x v="674"/>
    <x v="0"/>
    <x v="0"/>
    <m/>
    <s v="Valid"/>
    <s v="Valid"/>
    <s v="Pass"/>
    <s v="Pass"/>
    <s v="June"/>
    <s v="2024"/>
    <m/>
    <n v="18364.36"/>
    <n v="18364.36"/>
    <n v="2918.5500000000011"/>
    <n v="0.15892467801763857"/>
    <n v="0.15892467801763857"/>
  </r>
  <r>
    <x v="678"/>
    <d v="2024-11-24T00:00:00"/>
    <d v="2024-01-12T00:00:00"/>
    <n v="-317"/>
    <s v="CUST-1674"/>
    <s v="Kabir Singh"/>
    <x v="2"/>
    <x v="2"/>
    <s v="Karnataka"/>
    <s v="Bengaluru"/>
    <x v="1"/>
    <x v="1"/>
    <s v="Prime Tables 123"/>
    <x v="0"/>
    <n v="9"/>
    <n v="2763.61"/>
    <n v="0.15"/>
    <x v="678"/>
    <n v="11676.33"/>
    <x v="675"/>
    <x v="0"/>
    <x v="0"/>
    <m/>
    <s v="Invalid-Date"/>
    <s v="Valid"/>
    <s v="Pass"/>
    <s v="Pass"/>
    <s v="November"/>
    <s v="2024"/>
    <m/>
    <n v="24872.49"/>
    <n v="21141.6165"/>
    <n v="13196.160000000002"/>
    <n v="0.530552429611993"/>
    <n v="0.530552429611993"/>
  </r>
  <r>
    <x v="679"/>
    <d v="2025-08-16T00:00:00"/>
    <d v="2025-08-23T00:00:00"/>
    <n v="7"/>
    <s v="CUST-2897"/>
    <s v="Rohan Mehta"/>
    <x v="2"/>
    <x v="0"/>
    <s v="Punjab"/>
    <s v="Ludhiana"/>
    <x v="2"/>
    <x v="6"/>
    <s v="Smart Copiers 579"/>
    <x v="1"/>
    <n v="4"/>
    <n v="1410.57"/>
    <n v="0.7"/>
    <x v="679"/>
    <n v="3881.51"/>
    <x v="676"/>
    <x v="1"/>
    <x v="1"/>
    <m/>
    <s v="Valid"/>
    <s v="Invalid-Discount"/>
    <s v="Pass"/>
    <s v="Pass"/>
    <s v="August"/>
    <s v="2025"/>
    <m/>
    <n v="5642.28"/>
    <n v="1692.6840000000002"/>
    <n v="1760.7699999999995"/>
    <n v="0.31206710762315937"/>
    <n v="0.31206710762315937"/>
  </r>
  <r>
    <x v="680"/>
    <d v="2024-05-29T00:00:00"/>
    <d v="2024-05-06T00:00:00"/>
    <n v="-23"/>
    <s v="CUST-1136"/>
    <s v="Kabir Singh"/>
    <x v="2"/>
    <x v="2"/>
    <s v="Tamil Nadu"/>
    <s v="Chennai"/>
    <x v="2"/>
    <x v="5"/>
    <s v="Eco Accessories 658"/>
    <x v="2"/>
    <n v="4"/>
    <n v="3700.24"/>
    <n v="0"/>
    <x v="680"/>
    <n v="12048.39"/>
    <x v="677"/>
    <x v="0"/>
    <x v="0"/>
    <m/>
    <s v="Invalid-Date"/>
    <s v="Valid"/>
    <s v="Pass"/>
    <s v="Pass"/>
    <s v="May"/>
    <s v="2024"/>
    <m/>
    <n v="14800.96"/>
    <n v="14800.96"/>
    <n v="2752.5699999999997"/>
    <n v="0.18597239638509933"/>
    <n v="0.18597239638509933"/>
  </r>
  <r>
    <x v="681"/>
    <d v="2024-04-07T00:00:00"/>
    <d v="2024-10-07T00:00:00"/>
    <n v="183"/>
    <s v="CUST-1376"/>
    <s v="Vikram Iyer"/>
    <x v="2"/>
    <x v="0"/>
    <s v="Delhi"/>
    <s v="New Delhi"/>
    <x v="1"/>
    <x v="1"/>
    <s v="Smart Tables 777"/>
    <x v="0"/>
    <n v="5"/>
    <n v="1200.27"/>
    <n v="0"/>
    <x v="681"/>
    <n v="4182.99"/>
    <x v="678"/>
    <x v="0"/>
    <x v="1"/>
    <m/>
    <s v="Valid"/>
    <s v="Valid"/>
    <s v="Pass"/>
    <s v="Pass"/>
    <s v="April"/>
    <s v="2024"/>
    <m/>
    <n v="6001.35"/>
    <n v="6001.35"/>
    <n v="1818.3600000000006"/>
    <n v="0.30299182683896131"/>
    <n v="0.30299182683896131"/>
  </r>
  <r>
    <x v="682"/>
    <d v="2025-02-05T00:00:00"/>
    <d v="2025-02-05T00:00:00"/>
    <n v="0"/>
    <s v="CUST-1553"/>
    <s v="Ananya Rao"/>
    <x v="2"/>
    <x v="0"/>
    <s v="Haryana"/>
    <s v="Gurugram"/>
    <x v="0"/>
    <x v="8"/>
    <s v="Eco Storage 861"/>
    <x v="1"/>
    <n v="3"/>
    <n v="2590.7800000000002"/>
    <n v="0"/>
    <x v="682"/>
    <n v="4113.66"/>
    <x v="679"/>
    <x v="0"/>
    <x v="0"/>
    <m/>
    <s v="Valid"/>
    <s v="Valid"/>
    <s v="Pass"/>
    <s v="Pass"/>
    <s v="February"/>
    <s v="2025"/>
    <m/>
    <n v="7772.34"/>
    <n v="7772.34"/>
    <n v="3658.6800000000003"/>
    <n v="0.47073082237781677"/>
    <n v="0.47073082237781677"/>
  </r>
  <r>
    <x v="683"/>
    <d v="2025-07-20T00:00:00"/>
    <d v="2025-07-24T00:00:00"/>
    <n v="4"/>
    <s v="CUST-5704"/>
    <s v="Arjun Bose"/>
    <x v="1"/>
    <x v="2"/>
    <s v="Telangana"/>
    <s v="Hyderabad"/>
    <x v="1"/>
    <x v="3"/>
    <s v="Eco Furnishings 875"/>
    <x v="0"/>
    <n v="6"/>
    <n v="1646.45"/>
    <n v="0.2"/>
    <x v="683"/>
    <n v="5512.03"/>
    <x v="680"/>
    <x v="1"/>
    <x v="1"/>
    <m/>
    <s v="Valid"/>
    <s v="Valid"/>
    <s v="Pass"/>
    <s v="Pass"/>
    <s v="July"/>
    <s v="2025"/>
    <m/>
    <n v="9878.7000000000007"/>
    <n v="7902.9600000000009"/>
    <n v="4366.670000000001"/>
    <n v="0.44202880945873452"/>
    <n v="0.44202880945873452"/>
  </r>
  <r>
    <x v="684"/>
    <d v="2025-07-21T00:00:00"/>
    <d v="2025-07-21T00:00:00"/>
    <n v="0"/>
    <s v="CUST-6738"/>
    <s v="Isha Nair"/>
    <x v="3"/>
    <x v="2"/>
    <s v="Tamil Nadu"/>
    <s v="Chennai"/>
    <x v="1"/>
    <x v="10"/>
    <s v="Prime Bookcases 784"/>
    <x v="2"/>
    <n v="7"/>
    <n v="4396.6499999999996"/>
    <n v="0.2"/>
    <x v="684"/>
    <n v="17155.48"/>
    <x v="681"/>
    <x v="1"/>
    <x v="1"/>
    <m/>
    <s v="Valid"/>
    <s v="Valid"/>
    <s v="Pass"/>
    <s v="Pass"/>
    <s v="July"/>
    <s v="2025"/>
    <m/>
    <n v="30776.549999999996"/>
    <n v="24621.239999999998"/>
    <n v="13621.069999999996"/>
    <n v="0.44257949640229322"/>
    <n v="0.44257949640229322"/>
  </r>
  <r>
    <x v="685"/>
    <d v="2025-10-01T00:00:00"/>
    <d v="2025-03-10T00:00:00"/>
    <n v="-205"/>
    <s v="CUST-2586"/>
    <s v="Neha Gupta"/>
    <x v="2"/>
    <x v="3"/>
    <s v="Goa"/>
    <s v="Panaji"/>
    <x v="0"/>
    <x v="2"/>
    <s v="Classic Art 380"/>
    <x v="3"/>
    <n v="9"/>
    <n v="818.15"/>
    <n v="0.55000000000000004"/>
    <x v="685"/>
    <n v="5606.79"/>
    <x v="682"/>
    <x v="3"/>
    <x v="1"/>
    <m/>
    <s v="Invalid-Date"/>
    <s v="Invalid-Discount"/>
    <s v="Pass"/>
    <s v="Pass"/>
    <s v="October"/>
    <s v="2025"/>
    <m/>
    <n v="7363.3499999999995"/>
    <n v="3313.5074999999993"/>
    <n v="1756.5599999999995"/>
    <n v="0.2385544623031636"/>
    <n v="0.2385544623031636"/>
  </r>
  <r>
    <x v="686"/>
    <d v="2024-03-25T00:00:00"/>
    <d v="2024-02-04T00:00:00"/>
    <n v="-50"/>
    <s v="CUST-3127"/>
    <s v="Sneha Kapoor"/>
    <x v="3"/>
    <x v="2"/>
    <s v="Tamil Nadu"/>
    <s v="Chennai"/>
    <x v="2"/>
    <x v="6"/>
    <s v="Pro Copiers 502"/>
    <x v="3"/>
    <n v="2"/>
    <n v="2349.13"/>
    <n v="0"/>
    <x v="686"/>
    <n v="2654.92"/>
    <x v="683"/>
    <x v="0"/>
    <x v="0"/>
    <m/>
    <s v="Invalid-Date"/>
    <s v="Valid"/>
    <s v="Pass"/>
    <s v="Pass"/>
    <s v="March"/>
    <s v="2024"/>
    <m/>
    <n v="4698.26"/>
    <n v="4698.26"/>
    <n v="2043.3400000000001"/>
    <n v="0.43491420227914163"/>
    <n v="0.43491420227914163"/>
  </r>
  <r>
    <x v="687"/>
    <d v="2025-10-08T00:00:00"/>
    <d v="2025-10-13T00:00:00"/>
    <n v="5"/>
    <s v="CUST-9347"/>
    <s v="Mira Das"/>
    <x v="3"/>
    <x v="0"/>
    <s v="Punjab"/>
    <s v="Ludhiana"/>
    <x v="1"/>
    <x v="1"/>
    <s v="Prime Tables 604"/>
    <x v="2"/>
    <n v="4"/>
    <n v="172.05"/>
    <n v="0"/>
    <x v="687"/>
    <n v="497.68"/>
    <x v="684"/>
    <x v="3"/>
    <x v="1"/>
    <m/>
    <s v="Valid"/>
    <s v="Valid"/>
    <s v="Pass"/>
    <s v="Pass"/>
    <s v="October"/>
    <s v="2025"/>
    <m/>
    <n v="688.2"/>
    <n v="688.2"/>
    <n v="190.52000000000004"/>
    <n v="0.27683812845103173"/>
    <n v="0.27683812845103173"/>
  </r>
  <r>
    <x v="688"/>
    <d v="2025-02-26T00:00:00"/>
    <d v="2025-02-27T00:00:00"/>
    <n v="1"/>
    <s v="CUST-8575"/>
    <s v="Neha Gupta"/>
    <x v="3"/>
    <x v="0"/>
    <s v="Haryana"/>
    <s v="Gurugram"/>
    <x v="0"/>
    <x v="2"/>
    <s v="Basic Art 798"/>
    <x v="0"/>
    <n v="6"/>
    <n v="3037.66"/>
    <n v="0.15"/>
    <x v="688"/>
    <n v="12581.23"/>
    <x v="685"/>
    <x v="0"/>
    <x v="0"/>
    <m/>
    <s v="Valid"/>
    <s v="Valid"/>
    <s v="Pass"/>
    <s v="Pass"/>
    <s v="February"/>
    <s v="2025"/>
    <m/>
    <n v="18225.96"/>
    <n v="15492.065999999999"/>
    <n v="5644.73"/>
    <n v="0.30970824033411681"/>
    <n v="0.30970824033411681"/>
  </r>
  <r>
    <x v="689"/>
    <d v="2024-10-05T00:00:00"/>
    <d v="2024-06-10T00:00:00"/>
    <n v="-117"/>
    <s v="CUST-4382"/>
    <s v="Rohan Mehta"/>
    <x v="1"/>
    <x v="0"/>
    <s v="Punjab"/>
    <s v="Ludhiana"/>
    <x v="1"/>
    <x v="1"/>
    <s v="Elite Tables 717"/>
    <x v="3"/>
    <n v="9"/>
    <n v="489.58"/>
    <n v="0.15"/>
    <x v="689"/>
    <n v="2302.65"/>
    <x v="686"/>
    <x v="3"/>
    <x v="1"/>
    <m/>
    <s v="Invalid-Date"/>
    <s v="Valid"/>
    <s v="Pass"/>
    <s v="Pass"/>
    <s v="October"/>
    <s v="2024"/>
    <m/>
    <n v="4406.22"/>
    <n v="3745.2870000000003"/>
    <n v="2103.5700000000002"/>
    <n v="0.47740920789247926"/>
    <n v="0.47740920789247926"/>
  </r>
  <r>
    <x v="690"/>
    <d v="2024-11-09T00:00:00"/>
    <d v="2024-09-15T00:00:00"/>
    <n v="-55"/>
    <s v="CUST-6815"/>
    <s v="Sneha Kapoor"/>
    <x v="2"/>
    <x v="2"/>
    <s v="Tamil Nadu"/>
    <s v="Chennai"/>
    <x v="0"/>
    <x v="2"/>
    <s v="Max Art 725"/>
    <x v="3"/>
    <n v="4"/>
    <n v="865.63"/>
    <n v="0"/>
    <x v="690"/>
    <n v="2797.29"/>
    <x v="687"/>
    <x v="3"/>
    <x v="2"/>
    <m/>
    <s v="Invalid-Date"/>
    <s v="Valid"/>
    <s v="Pass"/>
    <s v="Pass"/>
    <s v="November"/>
    <s v="2024"/>
    <m/>
    <n v="3462.52"/>
    <n v="3462.52"/>
    <n v="665.23"/>
    <n v="0.19212307798944123"/>
    <n v="0.19212307798944123"/>
  </r>
  <r>
    <x v="691"/>
    <d v="2024-12-15T00:00:00"/>
    <d v="2024-12-16T00:00:00"/>
    <n v="1"/>
    <s v="CUST-7309"/>
    <s v="Rohan Mehta"/>
    <x v="0"/>
    <x v="1"/>
    <s v="Odisha"/>
    <s v="Bhubaneswar"/>
    <x v="2"/>
    <x v="6"/>
    <s v="Smart Copiers 456"/>
    <x v="0"/>
    <n v="6"/>
    <n v="1538.1"/>
    <n v="0.05"/>
    <x v="691"/>
    <n v="5098.2"/>
    <x v="688"/>
    <x v="0"/>
    <x v="0"/>
    <m/>
    <s v="Valid"/>
    <s v="Valid"/>
    <s v="Pass"/>
    <s v="Pass"/>
    <s v="December"/>
    <s v="2024"/>
    <m/>
    <n v="9228.5999999999985"/>
    <n v="8767.1699999999983"/>
    <n v="4130.3999999999987"/>
    <n v="0.4475651778167869"/>
    <n v="0.4475651778167869"/>
  </r>
  <r>
    <x v="692"/>
    <d v="2025-10-05T00:00:00"/>
    <d v="2025-10-10T00:00:00"/>
    <n v="5"/>
    <s v="CUST-9531"/>
    <s v="Isha Nair"/>
    <x v="2"/>
    <x v="2"/>
    <s v="Karnataka"/>
    <s v="Bengaluru"/>
    <x v="1"/>
    <x v="3"/>
    <s v="Prime Furnishings 883"/>
    <x v="0"/>
    <n v="4"/>
    <n v="2365.6799999999998"/>
    <n v="0.1"/>
    <x v="692"/>
    <n v="5903.81"/>
    <x v="689"/>
    <x v="0"/>
    <x v="0"/>
    <m/>
    <s v="Valid"/>
    <s v="Valid"/>
    <s v="Pass"/>
    <s v="Pass"/>
    <s v="October"/>
    <s v="2025"/>
    <m/>
    <n v="9462.7199999999993"/>
    <n v="8516.4480000000003"/>
    <n v="3558.9099999999989"/>
    <n v="0.37609799296608154"/>
    <n v="0.37609799296608154"/>
  </r>
  <r>
    <x v="693"/>
    <d v="2025-04-03T00:00:00"/>
    <d v="2025-11-04T00:00:00"/>
    <n v="215"/>
    <s v="CUST-6032"/>
    <s v="Arjun Bose"/>
    <x v="0"/>
    <x v="2"/>
    <s v="Tamil Nadu"/>
    <s v="Chennai"/>
    <x v="1"/>
    <x v="10"/>
    <s v="Smart Bookcases 828"/>
    <x v="0"/>
    <n v="3"/>
    <n v="4149.7700000000004"/>
    <n v="0.05"/>
    <x v="693"/>
    <n v="8035.96"/>
    <x v="690"/>
    <x v="0"/>
    <x v="0"/>
    <m/>
    <s v="Valid"/>
    <s v="Valid"/>
    <s v="Pass"/>
    <s v="Pass"/>
    <s v="April"/>
    <s v="2025"/>
    <m/>
    <n v="12449.310000000001"/>
    <n v="11826.844500000001"/>
    <n v="4413.3500000000013"/>
    <n v="0.35450559107291896"/>
    <n v="0.35450559107291896"/>
  </r>
  <r>
    <x v="694"/>
    <d v="2025-08-01T00:00:00"/>
    <d v="2025-08-09T00:00:00"/>
    <n v="8"/>
    <s v="CUST-8025"/>
    <s v="Isha Nair"/>
    <x v="0"/>
    <x v="2"/>
    <s v="Andhra Pradesh"/>
    <s v="Vijayawada"/>
    <x v="0"/>
    <x v="8"/>
    <s v="Classic Storage 291"/>
    <x v="2"/>
    <n v="5"/>
    <n v="2736.24"/>
    <n v="0.15"/>
    <x v="694"/>
    <n v="9627.2099999999991"/>
    <x v="691"/>
    <x v="0"/>
    <x v="0"/>
    <m/>
    <s v="Valid"/>
    <s v="Valid"/>
    <s v="Pass"/>
    <s v="Pass"/>
    <s v="August"/>
    <s v="2025"/>
    <m/>
    <n v="13681.199999999999"/>
    <n v="11629.019999999999"/>
    <n v="4053.99"/>
    <n v="0.29631830541180598"/>
    <n v="0.29631830541180598"/>
  </r>
  <r>
    <x v="695"/>
    <d v="2024-07-01T00:00:00"/>
    <d v="2024-07-01T00:00:00"/>
    <n v="0"/>
    <s v="CUST-6257"/>
    <s v="Aarav Sharma"/>
    <x v="0"/>
    <x v="3"/>
    <s v="Madhya Pradesh"/>
    <s v="Indore"/>
    <x v="2"/>
    <x v="12"/>
    <s v="Prime Machines 102"/>
    <x v="3"/>
    <n v="4"/>
    <n v="257.39"/>
    <n v="0"/>
    <x v="695"/>
    <n v="626.33000000000004"/>
    <x v="692"/>
    <x v="0"/>
    <x v="0"/>
    <m/>
    <s v="Valid"/>
    <s v="Valid"/>
    <s v="Pass"/>
    <s v="Pass"/>
    <s v="July"/>
    <s v="2024"/>
    <m/>
    <n v="1029.56"/>
    <n v="1029.56"/>
    <n v="403.2299999999999"/>
    <n v="0.39165274486188267"/>
    <n v="0.39165274486188267"/>
  </r>
  <r>
    <x v="696"/>
    <d v="2025-09-22T00:00:00"/>
    <d v="2025-09-25T00:00:00"/>
    <n v="3"/>
    <s v="CUST-7812"/>
    <s v="Isha Nair"/>
    <x v="1"/>
    <x v="2"/>
    <s v="Kerala"/>
    <s v="Kochi"/>
    <x v="2"/>
    <x v="11"/>
    <s v="Classic Phones 842"/>
    <x v="4"/>
    <n v="4"/>
    <n v="1178.8399999999999"/>
    <n v="0.25"/>
    <x v="696"/>
    <n v="2102.41"/>
    <x v="693"/>
    <x v="0"/>
    <x v="0"/>
    <m/>
    <s v="Valid"/>
    <s v="Valid"/>
    <s v="Flagged"/>
    <s v="Pass"/>
    <s v="September"/>
    <s v="2025"/>
    <m/>
    <n v="4715.3599999999997"/>
    <n v="3536.5199999999995"/>
    <n v="2612.9499999999998"/>
    <n v="0.55413584540734961"/>
    <n v="0.55413584540734961"/>
  </r>
  <r>
    <x v="697"/>
    <d v="2025-01-03T00:00:00"/>
    <d v="2025-03-07T00:00:00"/>
    <n v="63"/>
    <s v="CUST-6205"/>
    <s v="Arjun Bose"/>
    <x v="2"/>
    <x v="2"/>
    <s v="Andhra Pradesh"/>
    <s v="Vijayawada"/>
    <x v="0"/>
    <x v="7"/>
    <s v="Max Labels 970"/>
    <x v="2"/>
    <n v="7"/>
    <n v="567.15"/>
    <n v="0"/>
    <x v="697"/>
    <n v="1849.3"/>
    <x v="694"/>
    <x v="1"/>
    <x v="2"/>
    <m/>
    <s v="Valid"/>
    <s v="Valid"/>
    <s v="Pass"/>
    <s v="Pass"/>
    <s v="January"/>
    <s v="2025"/>
    <m/>
    <n v="3970.0499999999997"/>
    <n v="3970.0499999999997"/>
    <n v="2120.75"/>
    <n v="0.53418722686112274"/>
    <n v="0.53418722686112274"/>
  </r>
  <r>
    <x v="698"/>
    <d v="2024-09-14T00:00:00"/>
    <d v="2024-09-14T00:00:00"/>
    <n v="0"/>
    <s v="CUST-5357"/>
    <s v="Mira Das"/>
    <x v="2"/>
    <x v="0"/>
    <s v="Rajasthan"/>
    <s v="Jaipur"/>
    <x v="2"/>
    <x v="12"/>
    <s v="Classic Machines 648"/>
    <x v="3"/>
    <n v="8"/>
    <n v="4081.66"/>
    <n v="0.15"/>
    <x v="698"/>
    <n v="23751.91"/>
    <x v="695"/>
    <x v="0"/>
    <x v="2"/>
    <m/>
    <s v="Valid"/>
    <s v="Valid"/>
    <s v="Pass"/>
    <s v="Pass"/>
    <s v="September"/>
    <s v="2024"/>
    <m/>
    <n v="32653.279999999999"/>
    <n v="27755.287999999997"/>
    <n v="8901.369999999999"/>
    <n v="0.27260262981238026"/>
    <n v="0.27260262981238026"/>
  </r>
  <r>
    <x v="699"/>
    <d v="2024-06-11T00:00:00"/>
    <d v="2024-11-06T00:00:00"/>
    <n v="148"/>
    <s v="CUST-9802"/>
    <s v="Arjun Bose"/>
    <x v="1"/>
    <x v="2"/>
    <s v="Karnataka"/>
    <s v="Bengaluru"/>
    <x v="1"/>
    <x v="10"/>
    <s v="Max Bookcases 565"/>
    <x v="3"/>
    <n v="9"/>
    <n v="1400.11"/>
    <n v="0.25"/>
    <x v="699"/>
    <n v="7798.56"/>
    <x v="696"/>
    <x v="0"/>
    <x v="0"/>
    <m/>
    <s v="Valid"/>
    <s v="Valid"/>
    <s v="Pass"/>
    <s v="Pass"/>
    <s v="June"/>
    <s v="2024"/>
    <m/>
    <n v="12600.99"/>
    <n v="9450.7425000000003"/>
    <n v="4802.4299999999994"/>
    <n v="0.3811152933221913"/>
    <n v="0.3811152933221913"/>
  </r>
  <r>
    <x v="700"/>
    <d v="2024-09-18T00:00:00"/>
    <d v="2024-09-21T00:00:00"/>
    <n v="3"/>
    <s v="CUST-5646"/>
    <s v="Neha Gupta"/>
    <x v="2"/>
    <x v="1"/>
    <s v="West Bengal"/>
    <s v="Kolkata"/>
    <x v="2"/>
    <x v="12"/>
    <s v="Basic Machines 220"/>
    <x v="3"/>
    <n v="3"/>
    <n v="3055.9"/>
    <n v="0.15"/>
    <x v="700"/>
    <n v="4691.7299999999996"/>
    <x v="697"/>
    <x v="0"/>
    <x v="0"/>
    <m/>
    <s v="Valid"/>
    <s v="Valid"/>
    <s v="Pass"/>
    <s v="Pass"/>
    <s v="September"/>
    <s v="2024"/>
    <m/>
    <n v="9167.7000000000007"/>
    <n v="7792.5450000000001"/>
    <n v="4475.9700000000012"/>
    <n v="0.48823259923426821"/>
    <n v="0.48823259923426821"/>
  </r>
  <r>
    <x v="701"/>
    <d v="2024-04-30T00:00:00"/>
    <d v="2024-04-05T00:00:00"/>
    <n v="-25"/>
    <s v="CUST-7171"/>
    <s v="Rohan Mehta"/>
    <x v="1"/>
    <x v="3"/>
    <s v="Gujarat"/>
    <s v="Ahmedabad"/>
    <x v="0"/>
    <x v="2"/>
    <s v="Pro Art 151"/>
    <x v="1"/>
    <n v="7"/>
    <n v="1224.94"/>
    <n v="0"/>
    <x v="701"/>
    <n v="6685.81"/>
    <x v="698"/>
    <x v="0"/>
    <x v="2"/>
    <m/>
    <s v="Invalid-Date"/>
    <s v="Valid"/>
    <s v="Pass"/>
    <s v="Pass"/>
    <s v="April"/>
    <s v="2024"/>
    <m/>
    <n v="8574.58"/>
    <n v="8574.58"/>
    <n v="1888.7699999999995"/>
    <n v="0.22027551203674112"/>
    <n v="0.22027551203674112"/>
  </r>
  <r>
    <x v="702"/>
    <d v="2025-02-02T00:00:00"/>
    <d v="2025-06-02T00:00:00"/>
    <n v="120"/>
    <s v="CUST-5231"/>
    <s v="Karan Malhotra"/>
    <x v="1"/>
    <x v="3"/>
    <s v="Rajasthan"/>
    <s v="Udaipur"/>
    <x v="1"/>
    <x v="1"/>
    <s v="Pro Tables 980"/>
    <x v="0"/>
    <n v="3"/>
    <n v="997.34"/>
    <n v="0.1"/>
    <x v="702"/>
    <n v="1820.08"/>
    <x v="699"/>
    <x v="0"/>
    <x v="0"/>
    <m/>
    <s v="Valid"/>
    <s v="Valid"/>
    <s v="Pass"/>
    <s v="Pass"/>
    <s v="February"/>
    <s v="2025"/>
    <m/>
    <n v="2992.02"/>
    <n v="2692.8180000000002"/>
    <n v="1171.94"/>
    <n v="0.39168855823156262"/>
    <n v="0.39168855823156262"/>
  </r>
  <r>
    <x v="703"/>
    <d v="2024-10-19T00:00:00"/>
    <d v="2024-10-20T00:00:00"/>
    <n v="1"/>
    <s v="CUST-8734"/>
    <s v="Aditi Sen"/>
    <x v="2"/>
    <x v="0"/>
    <s v="Rajasthan"/>
    <s v="Jaipur"/>
    <x v="1"/>
    <x v="1"/>
    <s v="Classic Tables 997"/>
    <x v="2"/>
    <n v="1"/>
    <n v="1150.03"/>
    <n v="0.1"/>
    <x v="703"/>
    <n v="854.35"/>
    <x v="700"/>
    <x v="0"/>
    <x v="0"/>
    <m/>
    <s v="Valid"/>
    <s v="Valid"/>
    <s v="Pass"/>
    <s v="Pass"/>
    <s v="October"/>
    <s v="2024"/>
    <m/>
    <n v="1150.03"/>
    <n v="1035.027"/>
    <n v="295.67999999999995"/>
    <n v="0.25710633635644281"/>
    <n v="0.25710633635644281"/>
  </r>
  <r>
    <x v="704"/>
    <d v="2024-03-13T00:00:00"/>
    <d v="2024-03-20T00:00:00"/>
    <n v="7"/>
    <s v="CUST-4916"/>
    <s v="Priya Menon"/>
    <x v="3"/>
    <x v="2"/>
    <s v="Tamil Nadu"/>
    <s v="Chennai"/>
    <x v="1"/>
    <x v="10"/>
    <s v="Max Bookcases 738"/>
    <x v="4"/>
    <n v="1"/>
    <n v="2825.63"/>
    <n v="0.15"/>
    <x v="704"/>
    <n v="1820.34"/>
    <x v="701"/>
    <x v="0"/>
    <x v="0"/>
    <m/>
    <s v="Valid"/>
    <s v="Valid"/>
    <s v="Flagged"/>
    <s v="Pass"/>
    <s v="March"/>
    <s v="2024"/>
    <m/>
    <n v="2825.63"/>
    <n v="2401.7855"/>
    <n v="1005.2900000000002"/>
    <n v="0.35577552616584623"/>
    <n v="0.35577552616584623"/>
  </r>
  <r>
    <x v="705"/>
    <d v="2024-09-08T00:00:00"/>
    <d v="2024-09-14T00:00:00"/>
    <n v="6"/>
    <s v="CUST-3289"/>
    <s v="Rohan Mehta"/>
    <x v="0"/>
    <x v="0"/>
    <s v="Rajasthan"/>
    <s v="Jaipur"/>
    <x v="0"/>
    <x v="9"/>
    <s v="Max Binders 411"/>
    <x v="3"/>
    <n v="5"/>
    <n v="3371.75"/>
    <n v="0.05"/>
    <x v="705"/>
    <n v="11352.38"/>
    <x v="702"/>
    <x v="0"/>
    <x v="0"/>
    <m/>
    <s v="Valid"/>
    <s v="Valid"/>
    <s v="Pass"/>
    <s v="Pass"/>
    <s v="September"/>
    <s v="2024"/>
    <m/>
    <n v="16858.75"/>
    <n v="16015.8125"/>
    <n v="5506.3700000000008"/>
    <n v="0.32661792837547271"/>
    <n v="0.32661792837547271"/>
  </r>
  <r>
    <x v="706"/>
    <d v="2024-06-24T00:00:00"/>
    <d v="2024-06-28T00:00:00"/>
    <n v="4"/>
    <s v="CUST-4928"/>
    <s v="Isha Nair"/>
    <x v="1"/>
    <x v="1"/>
    <s v="Odisha"/>
    <s v="Bhubaneswar"/>
    <x v="0"/>
    <x v="0"/>
    <s v="Max Paper 343"/>
    <x v="1"/>
    <n v="1"/>
    <n v="2112.75"/>
    <n v="0.1"/>
    <x v="706"/>
    <n v="1354.28"/>
    <x v="703"/>
    <x v="0"/>
    <x v="0"/>
    <m/>
    <s v="Valid"/>
    <s v="Valid"/>
    <s v="Pass"/>
    <s v="Pass"/>
    <s v="June"/>
    <s v="2024"/>
    <m/>
    <n v="2112.75"/>
    <n v="1901.4750000000001"/>
    <n v="758.47"/>
    <n v="0.35899656845343747"/>
    <n v="0.35899656845343747"/>
  </r>
  <r>
    <x v="707"/>
    <d v="2025-06-24T00:00:00"/>
    <d v="2025-06-26T00:00:00"/>
    <n v="2"/>
    <s v="CUST-4902"/>
    <s v="Vikram Iyer"/>
    <x v="0"/>
    <x v="0"/>
    <s v="Rajasthan"/>
    <s v="Jaipur"/>
    <x v="2"/>
    <x v="5"/>
    <s v="Pro Accessories 485"/>
    <x v="1"/>
    <n v="5"/>
    <n v="3722.66"/>
    <n v="0.55000000000000004"/>
    <x v="707"/>
    <n v="11678.32"/>
    <x v="704"/>
    <x v="0"/>
    <x v="0"/>
    <m/>
    <s v="Valid"/>
    <s v="Invalid-Discount"/>
    <s v="Pass"/>
    <s v="Pass"/>
    <s v="June"/>
    <s v="2025"/>
    <m/>
    <n v="18613.3"/>
    <n v="8375.9849999999988"/>
    <n v="6934.98"/>
    <n v="0.37258197095625173"/>
    <n v="0.37258197095625173"/>
  </r>
  <r>
    <x v="708"/>
    <d v="2025-03-20T00:00:00"/>
    <d v="2025-03-26T00:00:00"/>
    <n v="6"/>
    <s v="CUST-6504"/>
    <s v="Sneha Kapoor"/>
    <x v="0"/>
    <x v="1"/>
    <s v="Assam"/>
    <s v="Guwahati"/>
    <x v="1"/>
    <x v="10"/>
    <s v="Elite Bookcases 113"/>
    <x v="2"/>
    <n v="4"/>
    <n v="4357.66"/>
    <n v="0.05"/>
    <x v="708"/>
    <n v="13233.79"/>
    <x v="705"/>
    <x v="0"/>
    <x v="0"/>
    <m/>
    <s v="Valid"/>
    <s v="Valid"/>
    <s v="Pass"/>
    <s v="Pass"/>
    <s v="March"/>
    <s v="2025"/>
    <m/>
    <n v="17430.64"/>
    <n v="16559.108"/>
    <n v="4196.8499999999985"/>
    <n v="0.240774291707017"/>
    <n v="0.240774291707017"/>
  </r>
  <r>
    <x v="709"/>
    <d v="2025-01-19T00:00:00"/>
    <d v="2025-01-23T00:00:00"/>
    <n v="4"/>
    <s v="CUST-8036"/>
    <s v="Kabir Singh"/>
    <x v="3"/>
    <x v="0"/>
    <s v="Punjab"/>
    <s v="Ludhiana"/>
    <x v="2"/>
    <x v="11"/>
    <s v="Eco Phones 787"/>
    <x v="1"/>
    <n v="7"/>
    <n v="1363.04"/>
    <n v="0.15"/>
    <x v="709"/>
    <n v="6417.32"/>
    <x v="706"/>
    <x v="0"/>
    <x v="1"/>
    <m/>
    <s v="Valid"/>
    <s v="Valid"/>
    <s v="Pass"/>
    <s v="Pass"/>
    <s v="January"/>
    <s v="2025"/>
    <m/>
    <n v="9541.2799999999988"/>
    <n v="8110.0879999999988"/>
    <n v="3123.9599999999991"/>
    <n v="0.32741518957624127"/>
    <n v="0.32741518957624127"/>
  </r>
  <r>
    <x v="710"/>
    <d v="2024-12-07T00:00:00"/>
    <d v="2024-07-19T00:00:00"/>
    <n v="-141"/>
    <s v="CUST-7199"/>
    <s v="Vikram Iyer"/>
    <x v="2"/>
    <x v="0"/>
    <s v="Punjab"/>
    <s v="Ludhiana"/>
    <x v="0"/>
    <x v="2"/>
    <s v="Smart Art 279"/>
    <x v="0"/>
    <n v="5"/>
    <n v="1559.16"/>
    <n v="0.05"/>
    <x v="710"/>
    <n v="5941.74"/>
    <x v="707"/>
    <x v="0"/>
    <x v="0"/>
    <m/>
    <s v="Invalid-Date"/>
    <s v="Valid"/>
    <s v="Pass"/>
    <s v="Pass"/>
    <s v="December"/>
    <s v="2024"/>
    <m/>
    <n v="7795.8"/>
    <n v="7406.01"/>
    <n v="1854.0600000000004"/>
    <n v="0.23782806126375744"/>
    <n v="0.23782806126375744"/>
  </r>
  <r>
    <x v="711"/>
    <d v="2025-02-02T00:00:00"/>
    <d v="2025-02-02T00:00:00"/>
    <n v="0"/>
    <s v="CUST-6176"/>
    <s v="Kabir Singh"/>
    <x v="2"/>
    <x v="1"/>
    <s v="West Bengal"/>
    <s v="Kolkata"/>
    <x v="2"/>
    <x v="12"/>
    <s v="Basic Machines 172"/>
    <x v="2"/>
    <n v="1"/>
    <n v="4326.75"/>
    <n v="0.05"/>
    <x v="711"/>
    <n v="2394.14"/>
    <x v="708"/>
    <x v="2"/>
    <x v="2"/>
    <m/>
    <s v="Valid"/>
    <s v="Valid"/>
    <s v="Pass"/>
    <s v="Pass"/>
    <s v="February"/>
    <s v="2025"/>
    <m/>
    <n v="4326.75"/>
    <n v="4110.4124999999995"/>
    <n v="1932.6100000000001"/>
    <n v="0.44666551106488706"/>
    <n v="0.44666551106488706"/>
  </r>
  <r>
    <x v="712"/>
    <d v="2024-02-10T00:00:00"/>
    <d v="2024-02-18T00:00:00"/>
    <n v="8"/>
    <s v="CUST-5127"/>
    <s v="Isha Nair"/>
    <x v="3"/>
    <x v="3"/>
    <s v="Madhya Pradesh"/>
    <s v="Indore"/>
    <x v="1"/>
    <x v="4"/>
    <s v="Smart Chairs 259"/>
    <x v="2"/>
    <n v="7"/>
    <n v="1382.86"/>
    <n v="0"/>
    <x v="712"/>
    <n v="6876.66"/>
    <x v="709"/>
    <x v="0"/>
    <x v="0"/>
    <m/>
    <s v="Valid"/>
    <s v="Valid"/>
    <s v="Pass"/>
    <s v="Pass"/>
    <s v="February"/>
    <s v="2024"/>
    <m/>
    <n v="9680.0199999999986"/>
    <n v="9680.0199999999986"/>
    <n v="2803.3599999999988"/>
    <n v="0.28960270743242256"/>
    <n v="0.28960270743242256"/>
  </r>
  <r>
    <x v="713"/>
    <d v="2025-06-06T00:00:00"/>
    <d v="2025-10-06T00:00:00"/>
    <n v="122"/>
    <s v="CUST-2548"/>
    <s v="Mira Das"/>
    <x v="0"/>
    <x v="3"/>
    <s v="Rajasthan"/>
    <s v="Udaipur"/>
    <x v="2"/>
    <x v="12"/>
    <s v="Pro Machines 987"/>
    <x v="0"/>
    <n v="1"/>
    <n v="289.97000000000003"/>
    <n v="0.25"/>
    <x v="713"/>
    <n v="132.13"/>
    <x v="710"/>
    <x v="0"/>
    <x v="0"/>
    <m/>
    <s v="Valid"/>
    <s v="Valid"/>
    <s v="Pass"/>
    <s v="Pass"/>
    <s v="June"/>
    <s v="2025"/>
    <m/>
    <n v="289.97000000000003"/>
    <n v="217.47750000000002"/>
    <n v="157.84000000000003"/>
    <n v="0.54433217229368558"/>
    <n v="0.54433217229368558"/>
  </r>
  <r>
    <x v="714"/>
    <d v="2025-03-22T00:00:00"/>
    <d v="2025-03-23T00:00:00"/>
    <n v="1"/>
    <s v="CUST-9902"/>
    <s v="Karan Malhotra"/>
    <x v="3"/>
    <x v="0"/>
    <s v="Delhi"/>
    <s v="New Delhi"/>
    <x v="2"/>
    <x v="6"/>
    <s v="Pro Copiers 206"/>
    <x v="3"/>
    <n v="9"/>
    <n v="2075.02"/>
    <n v="0"/>
    <x v="714"/>
    <n v="13974.7"/>
    <x v="711"/>
    <x v="0"/>
    <x v="0"/>
    <m/>
    <s v="Valid"/>
    <s v="Valid"/>
    <s v="Pass"/>
    <s v="Pass"/>
    <s v="March"/>
    <s v="2025"/>
    <m/>
    <n v="18675.18"/>
    <n v="18675.18"/>
    <n v="4700.4799999999996"/>
    <n v="0.25169663692665878"/>
    <n v="0.25169663692665878"/>
  </r>
  <r>
    <x v="715"/>
    <d v="2025-08-22T00:00:00"/>
    <d v="2025-08-27T00:00:00"/>
    <n v="5"/>
    <s v="CUST-7446"/>
    <s v="Priya Menon"/>
    <x v="0"/>
    <x v="0"/>
    <s v="Haryana"/>
    <s v="Gurugram"/>
    <x v="1"/>
    <x v="4"/>
    <s v="Max Chairs 372"/>
    <x v="0"/>
    <n v="7"/>
    <n v="2843.09"/>
    <n v="0"/>
    <x v="715"/>
    <n v="15492.03"/>
    <x v="712"/>
    <x v="1"/>
    <x v="1"/>
    <m/>
    <s v="Valid"/>
    <s v="Valid"/>
    <s v="Pass"/>
    <s v="Pass"/>
    <s v="August"/>
    <s v="2025"/>
    <m/>
    <n v="19901.63"/>
    <n v="19901.63"/>
    <n v="4409.6000000000004"/>
    <n v="0.22156979101711771"/>
    <n v="0.22156979101711771"/>
  </r>
  <r>
    <x v="716"/>
    <d v="2025-08-26T00:00:00"/>
    <d v="2025-08-31T00:00:00"/>
    <n v="5"/>
    <s v="CUST-7540"/>
    <s v="Diya Patel"/>
    <x v="1"/>
    <x v="0"/>
    <s v="Haryana"/>
    <s v="Gurugram"/>
    <x v="2"/>
    <x v="11"/>
    <s v="Basic Phones 496"/>
    <x v="2"/>
    <n v="1"/>
    <n v="3388.02"/>
    <n v="0.15"/>
    <x v="716"/>
    <n v="1824.88"/>
    <x v="713"/>
    <x v="0"/>
    <x v="0"/>
    <m/>
    <s v="Valid"/>
    <s v="Valid"/>
    <s v="Pass"/>
    <s v="Pass"/>
    <s v="August"/>
    <s v="2025"/>
    <m/>
    <n v="3388.02"/>
    <n v="2879.817"/>
    <n v="1563.1399999999999"/>
    <n v="0.46137271916930828"/>
    <n v="0.46137271916930828"/>
  </r>
  <r>
    <x v="717"/>
    <d v="2025-10-12T00:00:00"/>
    <d v="2025-10-15T00:00:00"/>
    <n v="3"/>
    <s v="CUST-8351"/>
    <s v="Kabir Singh"/>
    <x v="1"/>
    <x v="0"/>
    <s v="Haryana"/>
    <s v="Gurugram"/>
    <x v="2"/>
    <x v="12"/>
    <s v="Prime Machines 612"/>
    <x v="3"/>
    <n v="9"/>
    <n v="2598.92"/>
    <n v="0.2"/>
    <x v="717"/>
    <n v="11852.22"/>
    <x v="714"/>
    <x v="2"/>
    <x v="1"/>
    <m/>
    <s v="Valid"/>
    <s v="Valid"/>
    <s v="Pass"/>
    <s v="Pass"/>
    <s v="October"/>
    <s v="2025"/>
    <m/>
    <n v="23390.28"/>
    <n v="18712.223999999998"/>
    <n v="11538.06"/>
    <n v="0.49328438992607188"/>
    <n v="0.49328438992607188"/>
  </r>
  <r>
    <x v="718"/>
    <d v="2024-09-06T00:00:00"/>
    <d v="2024-09-09T00:00:00"/>
    <n v="3"/>
    <s v="CUST-3918"/>
    <s v="Mira Das"/>
    <x v="0"/>
    <x v="3"/>
    <s v="Maharashtra"/>
    <s v="Mumbai"/>
    <x v="0"/>
    <x v="2"/>
    <s v="Smart Art 866"/>
    <x v="1"/>
    <n v="3"/>
    <n v="1972.27"/>
    <n v="0.2"/>
    <x v="718"/>
    <n v="3672.32"/>
    <x v="715"/>
    <x v="0"/>
    <x v="0"/>
    <m/>
    <s v="Valid"/>
    <s v="Valid"/>
    <s v="Pass"/>
    <s v="Pass"/>
    <s v="September"/>
    <s v="2024"/>
    <m/>
    <n v="5916.8099999999995"/>
    <n v="4733.4479999999994"/>
    <n v="2244.4899999999993"/>
    <n v="0.37934123286027427"/>
    <n v="0.37934123286027427"/>
  </r>
  <r>
    <x v="719"/>
    <d v="2025-09-08T00:00:00"/>
    <d v="2025-09-09T00:00:00"/>
    <n v="1"/>
    <s v="CUST-3190"/>
    <s v="Kabir Singh"/>
    <x v="2"/>
    <x v="3"/>
    <s v="Gujarat"/>
    <s v="Ahmedabad"/>
    <x v="0"/>
    <x v="2"/>
    <s v="Pro Art 447"/>
    <x v="1"/>
    <n v="2"/>
    <n v="2372.41"/>
    <n v="0.2"/>
    <x v="719"/>
    <n v="2264.92"/>
    <x v="716"/>
    <x v="0"/>
    <x v="0"/>
    <m/>
    <s v="Valid"/>
    <s v="Valid"/>
    <s v="Pass"/>
    <s v="Pass"/>
    <s v="September"/>
    <s v="2025"/>
    <m/>
    <n v="4744.82"/>
    <n v="3795.8559999999998"/>
    <n v="2479.8999999999996"/>
    <n v="0.52265417866220421"/>
    <n v="0.52265417866220421"/>
  </r>
  <r>
    <x v="720"/>
    <d v="2024-07-16T00:00:00"/>
    <d v="2024-07-16T00:00:00"/>
    <n v="0"/>
    <s v="CUST-1991"/>
    <s v="Aditi Sen"/>
    <x v="3"/>
    <x v="3"/>
    <s v="Madhya Pradesh"/>
    <s v="Indore"/>
    <x v="2"/>
    <x v="6"/>
    <s v="Smart Copiers 196"/>
    <x v="1"/>
    <n v="4"/>
    <n v="4479.92"/>
    <n v="0.15"/>
    <x v="720"/>
    <n v="12451.46"/>
    <x v="717"/>
    <x v="0"/>
    <x v="0"/>
    <m/>
    <s v="Valid"/>
    <s v="Valid"/>
    <s v="Pass"/>
    <s v="Pass"/>
    <s v="July"/>
    <s v="2024"/>
    <m/>
    <n v="17919.68"/>
    <n v="15231.727999999999"/>
    <n v="5468.2200000000012"/>
    <n v="0.3051516544938303"/>
    <n v="0.3051516544938303"/>
  </r>
  <r>
    <x v="721"/>
    <d v="2025-06-19T00:00:00"/>
    <d v="2025-06-23T00:00:00"/>
    <n v="4"/>
    <s v="CUST-7606"/>
    <s v="Sneha Kapoor"/>
    <x v="0"/>
    <x v="2"/>
    <s v="Karnataka"/>
    <s v="Bengaluru"/>
    <x v="2"/>
    <x v="6"/>
    <s v="Pro Copiers 532"/>
    <x v="2"/>
    <n v="5"/>
    <n v="2729.95"/>
    <n v="0"/>
    <x v="721"/>
    <n v="10288.030000000001"/>
    <x v="718"/>
    <x v="0"/>
    <x v="0"/>
    <m/>
    <s v="Valid"/>
    <s v="Valid"/>
    <s v="Pass"/>
    <s v="Pass"/>
    <s v="June"/>
    <s v="2025"/>
    <m/>
    <n v="13649.75"/>
    <n v="13649.75"/>
    <n v="3361.7199999999993"/>
    <n v="0.24628436418249414"/>
    <n v="0.24628436418249414"/>
  </r>
  <r>
    <x v="722"/>
    <d v="2024-10-07T00:00:00"/>
    <d v="2024-10-10T00:00:00"/>
    <n v="3"/>
    <s v="CUST-8844"/>
    <s v="Vikram Iyer"/>
    <x v="0"/>
    <x v="1"/>
    <s v="West Bengal"/>
    <s v="Kolkata"/>
    <x v="1"/>
    <x v="4"/>
    <s v="Eco Chairs 442"/>
    <x v="0"/>
    <n v="9"/>
    <n v="481.51"/>
    <n v="0"/>
    <x v="722"/>
    <n v="2533.59"/>
    <x v="719"/>
    <x v="1"/>
    <x v="1"/>
    <m/>
    <s v="Valid"/>
    <s v="Valid"/>
    <s v="Pass"/>
    <s v="Pass"/>
    <s v="October"/>
    <s v="2024"/>
    <m/>
    <n v="4333.59"/>
    <n v="4333.59"/>
    <n v="1800"/>
    <n v="0.41536001329152039"/>
    <n v="0.41536001329152039"/>
  </r>
  <r>
    <x v="723"/>
    <d v="2025-06-10T00:00:00"/>
    <d v="2025-10-13T00:00:00"/>
    <n v="125"/>
    <s v="CUST-4335"/>
    <s v="Kabir Singh"/>
    <x v="3"/>
    <x v="1"/>
    <s v="Jharkhand"/>
    <s v="Ranchi"/>
    <x v="2"/>
    <x v="5"/>
    <s v="Eco Accessories 364"/>
    <x v="3"/>
    <n v="6"/>
    <n v="2391.9299999999998"/>
    <n v="0.05"/>
    <x v="723"/>
    <n v="9589.81"/>
    <x v="720"/>
    <x v="3"/>
    <x v="2"/>
    <m/>
    <s v="Valid"/>
    <s v="Valid"/>
    <s v="Pass"/>
    <s v="Pass"/>
    <s v="June"/>
    <s v="2025"/>
    <m/>
    <n v="14351.579999999998"/>
    <n v="13634.000999999998"/>
    <n v="4761.7699999999986"/>
    <n v="0.33179412998429436"/>
    <n v="0.33179412998429436"/>
  </r>
  <r>
    <x v="724"/>
    <d v="2024-10-02T00:00:00"/>
    <d v="2024-02-16T00:00:00"/>
    <n v="-229"/>
    <s v="CUST-5891"/>
    <s v="Karan Malhotra"/>
    <x v="0"/>
    <x v="3"/>
    <s v="Goa"/>
    <s v="Panaji"/>
    <x v="1"/>
    <x v="3"/>
    <s v="Elite Furnishings 921"/>
    <x v="0"/>
    <n v="3"/>
    <n v="253.43"/>
    <n v="0"/>
    <x v="724"/>
    <n v="497.77"/>
    <x v="721"/>
    <x v="0"/>
    <x v="0"/>
    <m/>
    <s v="Invalid-Date"/>
    <s v="Valid"/>
    <s v="Pass"/>
    <s v="Pass"/>
    <s v="October"/>
    <s v="2024"/>
    <m/>
    <n v="760.29"/>
    <n v="760.29"/>
    <n v="262.52"/>
    <n v="0.34528929750489945"/>
    <n v="0.34528929750489945"/>
  </r>
  <r>
    <x v="725"/>
    <d v="2025-05-10T00:00:00"/>
    <d v="2025-12-10T00:00:00"/>
    <n v="214"/>
    <s v="CUST-6371"/>
    <s v="Priya Menon"/>
    <x v="2"/>
    <x v="2"/>
    <s v="Karnataka"/>
    <s v="Bengaluru"/>
    <x v="1"/>
    <x v="1"/>
    <s v="Max Tables 309"/>
    <x v="0"/>
    <n v="7"/>
    <n v="2134.73"/>
    <n v="0"/>
    <x v="725"/>
    <n v="8521.5"/>
    <x v="722"/>
    <x v="0"/>
    <x v="0"/>
    <m/>
    <s v="Valid"/>
    <s v="Valid"/>
    <s v="Pass"/>
    <s v="Pass"/>
    <s v="May"/>
    <s v="2025"/>
    <m/>
    <n v="14943.11"/>
    <n v="14943.11"/>
    <n v="6421.6100000000006"/>
    <n v="0.42973718322357263"/>
    <n v="0.42973718322357263"/>
  </r>
  <r>
    <x v="726"/>
    <d v="2024-01-17T00:00:00"/>
    <d v="2024-01-23T00:00:00"/>
    <n v="6"/>
    <s v="CUST-6655"/>
    <s v="Kabir Singh"/>
    <x v="3"/>
    <x v="3"/>
    <s v="Gujarat"/>
    <s v="Ahmedabad"/>
    <x v="2"/>
    <x v="11"/>
    <s v="Pro Phones 857"/>
    <x v="3"/>
    <n v="5"/>
    <n v="2018"/>
    <n v="0.2"/>
    <x v="726"/>
    <n v="5379.22"/>
    <x v="723"/>
    <x v="2"/>
    <x v="2"/>
    <m/>
    <s v="Valid"/>
    <s v="Valid"/>
    <s v="Pass"/>
    <s v="Pass"/>
    <s v="January"/>
    <s v="2024"/>
    <m/>
    <n v="10090"/>
    <n v="8072"/>
    <n v="4710.78"/>
    <n v="0.46687611496531217"/>
    <n v="0.46687611496531217"/>
  </r>
  <r>
    <x v="727"/>
    <d v="2024-10-13T00:00:00"/>
    <d v="2024-10-13T00:00:00"/>
    <n v="0"/>
    <s v="CUST-6492"/>
    <s v="Aarav Sharma"/>
    <x v="1"/>
    <x v="1"/>
    <s v="Assam"/>
    <s v="Guwahati"/>
    <x v="2"/>
    <x v="5"/>
    <s v="Max Accessories 567"/>
    <x v="0"/>
    <n v="8"/>
    <n v="3730.66"/>
    <n v="0.05"/>
    <x v="727"/>
    <n v="19257.849999999999"/>
    <x v="724"/>
    <x v="0"/>
    <x v="0"/>
    <m/>
    <s v="Valid"/>
    <s v="Valid"/>
    <s v="Pass"/>
    <s v="Pass"/>
    <s v="October"/>
    <s v="2024"/>
    <m/>
    <n v="29845.279999999999"/>
    <n v="28353.015999999996"/>
    <n v="10587.43"/>
    <n v="0.35474386569668642"/>
    <n v="0.35474386569668642"/>
  </r>
  <r>
    <x v="728"/>
    <d v="2024-01-04T00:00:00"/>
    <d v="2024-01-07T00:00:00"/>
    <n v="3"/>
    <s v="CUST-1154"/>
    <s v="Sneha Kapoor"/>
    <x v="1"/>
    <x v="2"/>
    <s v="Karnataka"/>
    <s v="Bengaluru"/>
    <x v="2"/>
    <x v="12"/>
    <s v="Max Machines 200"/>
    <x v="2"/>
    <n v="1"/>
    <n v="2363.02"/>
    <n v="0.15"/>
    <x v="728"/>
    <n v="1194.83"/>
    <x v="725"/>
    <x v="0"/>
    <x v="0"/>
    <m/>
    <s v="Valid"/>
    <s v="Valid"/>
    <s v="Pass"/>
    <s v="Pass"/>
    <s v="January"/>
    <s v="2024"/>
    <m/>
    <n v="2363.02"/>
    <n v="2008.567"/>
    <n v="1168.19"/>
    <n v="0.4943631454663947"/>
    <n v="0.4943631454663947"/>
  </r>
  <r>
    <x v="729"/>
    <d v="2025-05-17T00:00:00"/>
    <d v="2025-05-25T00:00:00"/>
    <n v="8"/>
    <s v="CUST-8713"/>
    <s v="Ananya Rao"/>
    <x v="2"/>
    <x v="2"/>
    <s v="Tamil Nadu"/>
    <s v="Chennai"/>
    <x v="2"/>
    <x v="12"/>
    <s v="Pro Machines 563"/>
    <x v="1"/>
    <n v="6"/>
    <n v="1810.63"/>
    <n v="0.15"/>
    <x v="729"/>
    <n v="5516.52"/>
    <x v="726"/>
    <x v="0"/>
    <x v="0"/>
    <m/>
    <s v="Valid"/>
    <s v="Valid"/>
    <s v="Pass"/>
    <s v="Pass"/>
    <s v="May"/>
    <s v="2025"/>
    <m/>
    <n v="10863.78"/>
    <n v="9234.2129999999997"/>
    <n v="5347.26"/>
    <n v="0.49220989379387287"/>
    <n v="0.49220989379387287"/>
  </r>
  <r>
    <x v="730"/>
    <d v="2025-06-19T00:00:00"/>
    <d v="2025-06-24T00:00:00"/>
    <n v="5"/>
    <s v="CUST-6765"/>
    <s v="Arjun Bose"/>
    <x v="0"/>
    <x v="1"/>
    <s v="West Bengal"/>
    <s v="Kolkata"/>
    <x v="0"/>
    <x v="2"/>
    <s v="Elite Art 696"/>
    <x v="0"/>
    <n v="4"/>
    <n v="782.01"/>
    <n v="0.15"/>
    <x v="730"/>
    <n v="2226.9699999999998"/>
    <x v="727"/>
    <x v="1"/>
    <x v="2"/>
    <m/>
    <s v="Valid"/>
    <s v="Valid"/>
    <s v="Pass"/>
    <s v="Pass"/>
    <s v="June"/>
    <s v="2025"/>
    <m/>
    <n v="3128.04"/>
    <n v="2658.8339999999998"/>
    <n v="901.07000000000016"/>
    <n v="0.28806217311799087"/>
    <n v="0.28806217311799087"/>
  </r>
  <r>
    <x v="731"/>
    <d v="2024-03-17T00:00:00"/>
    <d v="2024-03-19T00:00:00"/>
    <n v="2"/>
    <s v="CUST-6849"/>
    <s v="Ananya Rao"/>
    <x v="2"/>
    <x v="1"/>
    <s v="Odisha"/>
    <s v="Bhubaneswar"/>
    <x v="0"/>
    <x v="9"/>
    <s v="Eco Binders 178"/>
    <x v="2"/>
    <n v="4"/>
    <n v="4376.68"/>
    <n v="0.1"/>
    <x v="731"/>
    <n v="10245.44"/>
    <x v="728"/>
    <x v="0"/>
    <x v="0"/>
    <m/>
    <s v="Valid"/>
    <s v="Valid"/>
    <s v="Pass"/>
    <s v="Pass"/>
    <s v="March"/>
    <s v="2024"/>
    <m/>
    <n v="17506.72"/>
    <n v="15756.048000000001"/>
    <n v="7261.2800000000007"/>
    <n v="0.41477101364504604"/>
    <n v="0.41477101364504604"/>
  </r>
  <r>
    <x v="732"/>
    <d v="2024-11-28T00:00:00"/>
    <d v="2024-06-12T00:00:00"/>
    <n v="-169"/>
    <s v="CUST-4973"/>
    <s v="Arjun Bose"/>
    <x v="1"/>
    <x v="0"/>
    <s v="Punjab"/>
    <s v="Ludhiana"/>
    <x v="2"/>
    <x v="11"/>
    <s v="Max Phones 678"/>
    <x v="3"/>
    <n v="6"/>
    <n v="2464.63"/>
    <n v="0"/>
    <x v="732"/>
    <n v="8596.65"/>
    <x v="729"/>
    <x v="0"/>
    <x v="0"/>
    <m/>
    <s v="Invalid-Date"/>
    <s v="Valid"/>
    <s v="Pass"/>
    <s v="Pass"/>
    <s v="November"/>
    <s v="2024"/>
    <m/>
    <n v="14787.78"/>
    <n v="14787.78"/>
    <n v="6191.130000000001"/>
    <n v="0.41866527632950995"/>
    <n v="0.41866527632950995"/>
  </r>
  <r>
    <x v="733"/>
    <d v="2024-06-21T00:00:00"/>
    <d v="2024-06-28T00:00:00"/>
    <n v="7"/>
    <s v="CUST-2394"/>
    <s v="Aarav Sharma"/>
    <x v="3"/>
    <x v="0"/>
    <s v="Rajasthan"/>
    <s v="Jaipur"/>
    <x v="1"/>
    <x v="3"/>
    <s v="Classic Furnishings 582"/>
    <x v="2"/>
    <n v="9"/>
    <n v="2797.96"/>
    <n v="0"/>
    <x v="733"/>
    <n v="15337.9"/>
    <x v="730"/>
    <x v="0"/>
    <x v="0"/>
    <m/>
    <s v="Valid"/>
    <s v="Valid"/>
    <s v="Pass"/>
    <s v="Pass"/>
    <s v="June"/>
    <s v="2024"/>
    <m/>
    <n v="25181.64"/>
    <n v="25181.64"/>
    <n v="9843.74"/>
    <n v="0.39090940860086953"/>
    <n v="0.39090940860086953"/>
  </r>
  <r>
    <x v="734"/>
    <d v="2024-08-24T00:00:00"/>
    <d v="2024-08-24T00:00:00"/>
    <n v="0"/>
    <s v="CUST-5406"/>
    <s v="Ananya Rao"/>
    <x v="1"/>
    <x v="0"/>
    <s v="Rajasthan"/>
    <s v="Jaipur"/>
    <x v="2"/>
    <x v="5"/>
    <s v="Classic Accessories 981"/>
    <x v="2"/>
    <n v="4"/>
    <n v="2761.86"/>
    <n v="0.2"/>
    <x v="734"/>
    <n v="6157.27"/>
    <x v="731"/>
    <x v="0"/>
    <x v="0"/>
    <m/>
    <s v="Valid"/>
    <s v="Valid"/>
    <s v="Pass"/>
    <s v="Pass"/>
    <s v="August"/>
    <s v="2024"/>
    <m/>
    <n v="11047.44"/>
    <n v="8837.9520000000011"/>
    <n v="4890.17"/>
    <n v="0.44265187228896469"/>
    <n v="0.44265187228896469"/>
  </r>
  <r>
    <x v="735"/>
    <d v="2024-08-11T00:00:00"/>
    <d v="2024-08-19T00:00:00"/>
    <n v="8"/>
    <s v="CUST-1963"/>
    <s v="Mira Das"/>
    <x v="0"/>
    <x v="3"/>
    <s v="Maharashtra"/>
    <s v="Mumbai"/>
    <x v="1"/>
    <x v="1"/>
    <s v="Classic Tables 534"/>
    <x v="3"/>
    <n v="6"/>
    <n v="1515.79"/>
    <n v="0.2"/>
    <x v="735"/>
    <n v="6152.87"/>
    <x v="732"/>
    <x v="0"/>
    <x v="0"/>
    <m/>
    <s v="Valid"/>
    <s v="Valid"/>
    <s v="Pass"/>
    <s v="Pass"/>
    <s v="August"/>
    <s v="2024"/>
    <m/>
    <n v="9094.74"/>
    <n v="7275.7920000000004"/>
    <n v="2941.87"/>
    <n v="0.32346938999905439"/>
    <n v="0.32346938999905439"/>
  </r>
  <r>
    <x v="736"/>
    <d v="2024-12-06T00:00:00"/>
    <d v="2024-12-09T00:00:00"/>
    <n v="3"/>
    <s v="CUST-9017"/>
    <s v="Aditi Sen"/>
    <x v="0"/>
    <x v="3"/>
    <s v="Maharashtra"/>
    <s v="Mumbai"/>
    <x v="1"/>
    <x v="4"/>
    <s v="Pro Chairs 383"/>
    <x v="0"/>
    <n v="9"/>
    <n v="290.75"/>
    <n v="0.1"/>
    <x v="736"/>
    <n v="1350.03"/>
    <x v="733"/>
    <x v="0"/>
    <x v="0"/>
    <m/>
    <s v="Valid"/>
    <s v="Valid"/>
    <s v="Pass"/>
    <s v="Pass"/>
    <s v="December"/>
    <s v="2024"/>
    <m/>
    <n v="2616.75"/>
    <n v="2355.0750000000003"/>
    <n v="1266.72"/>
    <n v="0.48408139868157068"/>
    <n v="0.48408139868157068"/>
  </r>
  <r>
    <x v="737"/>
    <d v="2024-02-10T00:00:00"/>
    <d v="2024-10-02T00:00:00"/>
    <n v="235"/>
    <s v="CUST-7967"/>
    <s v="Isha Nair"/>
    <x v="3"/>
    <x v="3"/>
    <s v="Maharashtra"/>
    <s v="Mumbai"/>
    <x v="1"/>
    <x v="4"/>
    <s v="Max Chairs 845"/>
    <x v="1"/>
    <n v="6"/>
    <n v="601.52"/>
    <n v="0"/>
    <x v="737"/>
    <n v="2645.5"/>
    <x v="734"/>
    <x v="0"/>
    <x v="0"/>
    <m/>
    <s v="Valid"/>
    <s v="Valid"/>
    <s v="Pass"/>
    <s v="Pass"/>
    <s v="February"/>
    <s v="2024"/>
    <m/>
    <n v="3609.12"/>
    <n v="3609.12"/>
    <n v="963.61999999999989"/>
    <n v="0.2669958327791816"/>
    <n v="0.2669958327791816"/>
  </r>
  <r>
    <x v="738"/>
    <d v="2025-02-20T00:00:00"/>
    <d v="2025-02-22T00:00:00"/>
    <n v="2"/>
    <s v="CUST-5334"/>
    <s v="Priya Menon"/>
    <x v="2"/>
    <x v="2"/>
    <s v="Kerala"/>
    <s v="Kochi"/>
    <x v="0"/>
    <x v="0"/>
    <s v="Prime Paper 307"/>
    <x v="2"/>
    <n v="1"/>
    <n v="2188.19"/>
    <n v="0"/>
    <x v="738"/>
    <n v="1298.8399999999999"/>
    <x v="735"/>
    <x v="0"/>
    <x v="0"/>
    <m/>
    <s v="Valid"/>
    <s v="Valid"/>
    <s v="Pass"/>
    <s v="Pass"/>
    <s v="February"/>
    <s v="2025"/>
    <m/>
    <n v="2188.19"/>
    <n v="2188.19"/>
    <n v="889.35000000000014"/>
    <n v="0.40643179979800664"/>
    <n v="0.40643179979800664"/>
  </r>
  <r>
    <x v="739"/>
    <d v="2024-12-03T00:00:00"/>
    <d v="2024-10-12T00:00:00"/>
    <n v="-52"/>
    <s v="CUST-5846"/>
    <s v="Neha Gupta"/>
    <x v="2"/>
    <x v="0"/>
    <s v="Rajasthan"/>
    <s v="Jaipur"/>
    <x v="2"/>
    <x v="11"/>
    <s v="Basic Phones 859"/>
    <x v="3"/>
    <n v="5"/>
    <n v="2393.86"/>
    <n v="0.05"/>
    <x v="739"/>
    <n v="7469.58"/>
    <x v="736"/>
    <x v="0"/>
    <x v="0"/>
    <m/>
    <s v="Invalid-Date"/>
    <s v="Valid"/>
    <s v="Pass"/>
    <s v="Pass"/>
    <s v="December"/>
    <s v="2024"/>
    <m/>
    <n v="11969.300000000001"/>
    <n v="11370.835000000001"/>
    <n v="4499.7200000000012"/>
    <n v="0.3759384425154354"/>
    <n v="0.3759384425154354"/>
  </r>
  <r>
    <x v="740"/>
    <d v="2024-04-02T00:00:00"/>
    <d v="2024-02-04T00:00:00"/>
    <n v="-58"/>
    <s v="CUST-7932"/>
    <s v="Sneha Kapoor"/>
    <x v="1"/>
    <x v="3"/>
    <s v="Maharashtra"/>
    <s v="Mumbai"/>
    <x v="1"/>
    <x v="4"/>
    <s v="Eco Chairs 883"/>
    <x v="2"/>
    <n v="4"/>
    <n v="2583"/>
    <n v="0.1"/>
    <x v="740"/>
    <n v="6548.5"/>
    <x v="737"/>
    <x v="0"/>
    <x v="0"/>
    <m/>
    <s v="Invalid-Date"/>
    <s v="Valid"/>
    <s v="Pass"/>
    <s v="Pass"/>
    <s v="April"/>
    <s v="2024"/>
    <m/>
    <n v="10332"/>
    <n v="9298.8000000000011"/>
    <n v="3783.5"/>
    <n v="0.36619241192411922"/>
    <n v="0.36619241192411922"/>
  </r>
  <r>
    <x v="741"/>
    <d v="2025-04-23T00:00:00"/>
    <d v="2025-04-25T00:00:00"/>
    <n v="2"/>
    <s v="CUST-3285"/>
    <s v="Isha Nair"/>
    <x v="3"/>
    <x v="2"/>
    <s v="Tamil Nadu"/>
    <s v="Chennai"/>
    <x v="1"/>
    <x v="4"/>
    <s v="Max Chairs 706"/>
    <x v="0"/>
    <n v="3"/>
    <n v="2951.12"/>
    <n v="0"/>
    <x v="741"/>
    <n v="5596.34"/>
    <x v="738"/>
    <x v="0"/>
    <x v="1"/>
    <m/>
    <s v="Valid"/>
    <s v="Valid"/>
    <s v="Pass"/>
    <s v="Pass"/>
    <s v="April"/>
    <s v="2025"/>
    <m/>
    <n v="8853.36"/>
    <n v="8853.36"/>
    <n v="3257.0200000000004"/>
    <n v="0.36788518709280998"/>
    <n v="0.36788518709280998"/>
  </r>
  <r>
    <x v="742"/>
    <d v="2024-10-15T00:00:00"/>
    <d v="2024-10-22T00:00:00"/>
    <n v="7"/>
    <s v="CUST-6368"/>
    <s v="Karan Malhotra"/>
    <x v="2"/>
    <x v="1"/>
    <s v="Odisha"/>
    <s v="Bhubaneswar"/>
    <x v="0"/>
    <x v="0"/>
    <s v="Prime Paper 768"/>
    <x v="3"/>
    <n v="4"/>
    <n v="2260.9499999999998"/>
    <n v="0"/>
    <x v="742"/>
    <n v="5913.38"/>
    <x v="739"/>
    <x v="0"/>
    <x v="0"/>
    <m/>
    <s v="Valid"/>
    <s v="Valid"/>
    <s v="Pass"/>
    <s v="Pass"/>
    <s v="October"/>
    <s v="2024"/>
    <m/>
    <n v="9043.7999999999993"/>
    <n v="9043.7999999999993"/>
    <n v="3130.4199999999992"/>
    <n v="0.34613989694597397"/>
    <n v="0.34613989694597397"/>
  </r>
  <r>
    <x v="743"/>
    <d v="2025-12-02T00:00:00"/>
    <d v="2025-02-14T00:00:00"/>
    <n v="-291"/>
    <s v="CUST-6231"/>
    <s v="Sneha Kapoor"/>
    <x v="0"/>
    <x v="0"/>
    <s v="Uttar Pradesh"/>
    <s v="Noida"/>
    <x v="0"/>
    <x v="2"/>
    <s v="Basic Art 764"/>
    <x v="3"/>
    <n v="6"/>
    <n v="491.4"/>
    <n v="0.25"/>
    <x v="743"/>
    <n v="1735.64"/>
    <x v="740"/>
    <x v="0"/>
    <x v="0"/>
    <m/>
    <s v="Invalid-Date"/>
    <s v="Valid"/>
    <s v="Pass"/>
    <s v="Pass"/>
    <s v="December"/>
    <s v="2025"/>
    <m/>
    <n v="2948.3999999999996"/>
    <n v="2211.2999999999997"/>
    <n v="1212.7599999999995"/>
    <n v="0.41132817799484456"/>
    <n v="0.41132817799484456"/>
  </r>
  <r>
    <x v="744"/>
    <d v="2025-08-17T00:00:00"/>
    <d v="2025-08-20T00:00:00"/>
    <n v="3"/>
    <s v="CUST-2021"/>
    <s v="Mira Das"/>
    <x v="3"/>
    <x v="0"/>
    <s v="Punjab"/>
    <s v="Ludhiana"/>
    <x v="0"/>
    <x v="9"/>
    <s v="Prime Binders 181"/>
    <x v="2"/>
    <n v="5"/>
    <n v="2701.89"/>
    <n v="0.1"/>
    <x v="744"/>
    <n v="10260.07"/>
    <x v="741"/>
    <x v="0"/>
    <x v="1"/>
    <m/>
    <s v="Valid"/>
    <s v="Valid"/>
    <s v="Pass"/>
    <s v="Pass"/>
    <s v="August"/>
    <s v="2025"/>
    <m/>
    <n v="13509.449999999999"/>
    <n v="12158.504999999999"/>
    <n v="3249.3799999999992"/>
    <n v="0.24052644630240308"/>
    <n v="0.24052644630240308"/>
  </r>
  <r>
    <x v="745"/>
    <d v="2024-10-24T00:00:00"/>
    <d v="2024-10-28T00:00:00"/>
    <n v="4"/>
    <s v="CUST-1493"/>
    <s v="Mira Das"/>
    <x v="1"/>
    <x v="1"/>
    <s v="Assam"/>
    <s v="Guwahati"/>
    <x v="2"/>
    <x v="6"/>
    <s v="Max Copiers 866"/>
    <x v="3"/>
    <n v="3"/>
    <n v="723.59"/>
    <n v="0.2"/>
    <x v="745"/>
    <n v="1059.52"/>
    <x v="742"/>
    <x v="0"/>
    <x v="0"/>
    <m/>
    <s v="Valid"/>
    <s v="Valid"/>
    <s v="Pass"/>
    <s v="Pass"/>
    <s v="October"/>
    <s v="2024"/>
    <m/>
    <n v="2170.77"/>
    <n v="1736.616"/>
    <n v="1111.25"/>
    <n v="0.51191512689045826"/>
    <n v="0.51191512689045826"/>
  </r>
  <r>
    <x v="746"/>
    <d v="2025-01-04T00:00:00"/>
    <d v="2025-01-10T00:00:00"/>
    <n v="6"/>
    <s v="CUST-2314"/>
    <s v="Aarav Sharma"/>
    <x v="3"/>
    <x v="1"/>
    <s v="West Bengal"/>
    <s v="Kolkata"/>
    <x v="0"/>
    <x v="0"/>
    <s v="Pro Paper 662"/>
    <x v="3"/>
    <n v="4"/>
    <n v="2583.19"/>
    <n v="0.2"/>
    <x v="746"/>
    <n v="6236.32"/>
    <x v="743"/>
    <x v="0"/>
    <x v="0"/>
    <m/>
    <s v="Valid"/>
    <s v="Valid"/>
    <s v="Pass"/>
    <s v="Pass"/>
    <s v="January"/>
    <s v="2025"/>
    <m/>
    <n v="10332.76"/>
    <n v="8266.2080000000005"/>
    <n v="4096.4400000000005"/>
    <n v="0.39645167409288518"/>
    <n v="0.39645167409288518"/>
  </r>
  <r>
    <x v="747"/>
    <d v="2024-05-01T00:00:00"/>
    <d v="2024-07-05T00:00:00"/>
    <n v="65"/>
    <s v="CUST-8416"/>
    <s v="Isha Nair"/>
    <x v="3"/>
    <x v="1"/>
    <s v="Odisha"/>
    <s v="Bhubaneswar"/>
    <x v="0"/>
    <x v="0"/>
    <s v="Classic Paper 388"/>
    <x v="1"/>
    <n v="8"/>
    <n v="1473.83"/>
    <n v="0.15"/>
    <x v="747"/>
    <n v="5576.98"/>
    <x v="744"/>
    <x v="0"/>
    <x v="0"/>
    <m/>
    <s v="Valid"/>
    <s v="Valid"/>
    <s v="Pass"/>
    <s v="Pass"/>
    <s v="May"/>
    <s v="2024"/>
    <m/>
    <n v="11790.64"/>
    <n v="10022.044"/>
    <n v="6213.66"/>
    <n v="0.52699938256108236"/>
    <n v="0.52699938256108236"/>
  </r>
  <r>
    <x v="748"/>
    <d v="2024-05-30T00:00:00"/>
    <d v="2024-05-30T00:00:00"/>
    <n v="0"/>
    <s v="CUST-3103"/>
    <s v="Diya Patel"/>
    <x v="3"/>
    <x v="0"/>
    <s v="Haryana"/>
    <s v="Gurugram"/>
    <x v="2"/>
    <x v="11"/>
    <s v="Pro Phones 765"/>
    <x v="0"/>
    <n v="1"/>
    <n v="3848.04"/>
    <n v="0.25"/>
    <x v="748"/>
    <n v="2064.83"/>
    <x v="745"/>
    <x v="0"/>
    <x v="0"/>
    <m/>
    <s v="Valid"/>
    <s v="Valid"/>
    <s v="Pass"/>
    <s v="Pass"/>
    <s v="May"/>
    <s v="2024"/>
    <m/>
    <n v="3848.04"/>
    <n v="2886.0299999999997"/>
    <n v="1783.21"/>
    <n v="0.46340734503799336"/>
    <n v="0.46340734503799336"/>
  </r>
  <r>
    <x v="749"/>
    <d v="2024-03-21T00:00:00"/>
    <d v="2024-03-25T00:00:00"/>
    <n v="4"/>
    <s v="CUST-4457"/>
    <s v="Aditi Sen"/>
    <x v="3"/>
    <x v="1"/>
    <s v="Assam"/>
    <s v="Guwahati"/>
    <x v="2"/>
    <x v="12"/>
    <s v="Classic Machines 543"/>
    <x v="3"/>
    <n v="1"/>
    <n v="1716.7"/>
    <n v="0.15"/>
    <x v="749"/>
    <n v="1055.79"/>
    <x v="746"/>
    <x v="0"/>
    <x v="0"/>
    <m/>
    <s v="Valid"/>
    <s v="Valid"/>
    <s v="Pass"/>
    <s v="Pass"/>
    <s v="March"/>
    <s v="2024"/>
    <m/>
    <n v="1716.7"/>
    <n v="1459.1949999999999"/>
    <n v="660.91000000000008"/>
    <n v="0.38498864099726221"/>
    <n v="0.38498864099726221"/>
  </r>
  <r>
    <x v="750"/>
    <d v="2025-02-06T00:00:00"/>
    <d v="2025-02-06T00:00:00"/>
    <n v="0"/>
    <s v="CUST-7036"/>
    <s v="Aarav Sharma"/>
    <x v="3"/>
    <x v="2"/>
    <s v="Telangana"/>
    <s v="Hyderabad"/>
    <x v="2"/>
    <x v="5"/>
    <s v="Max Accessories 291"/>
    <x v="2"/>
    <n v="8"/>
    <n v="3925.93"/>
    <n v="0.15"/>
    <x v="750"/>
    <n v="22724.52"/>
    <x v="747"/>
    <x v="0"/>
    <x v="0"/>
    <m/>
    <s v="Valid"/>
    <s v="Valid"/>
    <s v="Pass"/>
    <s v="Pass"/>
    <s v="February"/>
    <s v="2025"/>
    <m/>
    <n v="31407.439999999999"/>
    <n v="26696.323999999997"/>
    <n v="8682.9199999999983"/>
    <n v="0.27646060933332989"/>
    <n v="0.27646060933332989"/>
  </r>
  <r>
    <x v="751"/>
    <d v="2025-07-18T00:00:00"/>
    <d v="2025-07-19T00:00:00"/>
    <n v="1"/>
    <s v="CUST-8512"/>
    <s v="Priya Menon"/>
    <x v="3"/>
    <x v="4"/>
    <s v="Uttar Pradesh"/>
    <s v="Noida"/>
    <x v="2"/>
    <x v="12"/>
    <s v="Eco Machines 414"/>
    <x v="4"/>
    <n v="3"/>
    <n v="2963.25"/>
    <n v="0.05"/>
    <x v="751"/>
    <n v="6937.6"/>
    <x v="748"/>
    <x v="0"/>
    <x v="0"/>
    <m/>
    <s v="Valid"/>
    <s v="Valid"/>
    <s v="Flagged"/>
    <s v="Flagged"/>
    <s v="July"/>
    <s v="2025"/>
    <m/>
    <n v="8889.75"/>
    <n v="8445.2624999999989"/>
    <n v="1952.1499999999996"/>
    <n v="0.21959560167608758"/>
    <n v="0.21959560167608758"/>
  </r>
  <r>
    <x v="752"/>
    <d v="2024-03-24T00:00:00"/>
    <d v="2024-03-27T00:00:00"/>
    <n v="3"/>
    <s v="CUST-6345"/>
    <s v="Aditi Sen"/>
    <x v="2"/>
    <x v="3"/>
    <s v="Gujarat"/>
    <s v="Ahmedabad"/>
    <x v="0"/>
    <x v="8"/>
    <s v="Basic Storage 273"/>
    <x v="2"/>
    <n v="5"/>
    <n v="2465.2199999999998"/>
    <n v="0.05"/>
    <x v="752"/>
    <n v="8372.2900000000009"/>
    <x v="749"/>
    <x v="0"/>
    <x v="0"/>
    <m/>
    <s v="Valid"/>
    <s v="Valid"/>
    <s v="Pass"/>
    <s v="Pass"/>
    <s v="March"/>
    <s v="2024"/>
    <m/>
    <n v="12326.099999999999"/>
    <n v="11709.794999999998"/>
    <n v="3953.8099999999977"/>
    <n v="0.32076731488467547"/>
    <n v="0.32076731488467547"/>
  </r>
  <r>
    <x v="753"/>
    <d v="2024-08-11T00:00:00"/>
    <d v="2024-08-10T00:00:00"/>
    <n v="-1"/>
    <s v="CUST-4505"/>
    <s v="Aditi Sen"/>
    <x v="2"/>
    <x v="0"/>
    <s v="Delhi"/>
    <s v="New Delhi"/>
    <x v="1"/>
    <x v="3"/>
    <s v="Elite Furnishings 588"/>
    <x v="0"/>
    <n v="3"/>
    <n v="1017.22"/>
    <n v="0.15"/>
    <x v="753"/>
    <n v="1848.48"/>
    <x v="750"/>
    <x v="3"/>
    <x v="2"/>
    <m/>
    <s v="Invalid-Date"/>
    <s v="Valid"/>
    <s v="Pass"/>
    <s v="Pass"/>
    <s v="August"/>
    <s v="2024"/>
    <m/>
    <n v="3051.66"/>
    <n v="2593.9109999999996"/>
    <n v="1203.1799999999998"/>
    <n v="0.39427065924775367"/>
    <n v="0.39427065924775367"/>
  </r>
  <r>
    <x v="754"/>
    <d v="2025-04-06T00:00:00"/>
    <d v="2025-04-06T00:00:00"/>
    <n v="0"/>
    <s v="CUST-7960"/>
    <s v="Neha Gupta"/>
    <x v="2"/>
    <x v="2"/>
    <s v="Kerala"/>
    <s v="Kochi"/>
    <x v="0"/>
    <x v="8"/>
    <s v="Elite Storage 857"/>
    <x v="3"/>
    <n v="4"/>
    <n v="891.34"/>
    <n v="0.25"/>
    <x v="754"/>
    <n v="2207.5700000000002"/>
    <x v="751"/>
    <x v="0"/>
    <x v="0"/>
    <m/>
    <s v="Valid"/>
    <s v="Valid"/>
    <s v="Pass"/>
    <s v="Pass"/>
    <s v="April"/>
    <s v="2025"/>
    <m/>
    <n v="3565.36"/>
    <n v="2674.02"/>
    <n v="1357.79"/>
    <n v="0.38082830345322771"/>
    <n v="0.38082830345322771"/>
  </r>
  <r>
    <x v="755"/>
    <d v="2025-07-20T00:00:00"/>
    <d v="2025-07-24T00:00:00"/>
    <n v="4"/>
    <s v="CUST-3365"/>
    <s v="Priya Menon"/>
    <x v="3"/>
    <x v="3"/>
    <s v="Madhya Pradesh"/>
    <s v="Indore"/>
    <x v="0"/>
    <x v="8"/>
    <s v="Prime Storage 183"/>
    <x v="0"/>
    <n v="5"/>
    <n v="2481.7399999999998"/>
    <n v="0.2"/>
    <x v="755"/>
    <n v="7994.98"/>
    <x v="752"/>
    <x v="0"/>
    <x v="0"/>
    <m/>
    <s v="Valid"/>
    <s v="Valid"/>
    <s v="Pass"/>
    <s v="Pass"/>
    <s v="July"/>
    <s v="2025"/>
    <m/>
    <n v="12408.699999999999"/>
    <n v="9926.9599999999991"/>
    <n v="4413.7199999999993"/>
    <n v="0.35569560066727374"/>
    <n v="0.35569560066727374"/>
  </r>
  <r>
    <x v="756"/>
    <d v="2024-10-27T00:00:00"/>
    <d v="2024-01-11T00:00:00"/>
    <n v="-290"/>
    <s v="CUST-1557"/>
    <s v="Rohan Mehta"/>
    <x v="0"/>
    <x v="0"/>
    <s v="Rajasthan"/>
    <s v="Jaipur"/>
    <x v="2"/>
    <x v="5"/>
    <s v="Smart Accessories 362"/>
    <x v="1"/>
    <n v="7"/>
    <n v="2177.1"/>
    <n v="0.2"/>
    <x v="756"/>
    <n v="10457.49"/>
    <x v="753"/>
    <x v="0"/>
    <x v="2"/>
    <m/>
    <s v="Invalid-Date"/>
    <s v="Valid"/>
    <s v="Pass"/>
    <s v="Pass"/>
    <s v="October"/>
    <s v="2024"/>
    <m/>
    <n v="15239.699999999999"/>
    <n v="12191.76"/>
    <n v="4782.2099999999991"/>
    <n v="0.31379948424181575"/>
    <n v="0.31379948424181575"/>
  </r>
  <r>
    <x v="757"/>
    <d v="2025-08-01T00:00:00"/>
    <d v="2025-03-08T00:00:00"/>
    <n v="-146"/>
    <s v="CUST-3058"/>
    <s v="Aditi Sen"/>
    <x v="1"/>
    <x v="2"/>
    <s v="Kerala"/>
    <s v="Kochi"/>
    <x v="1"/>
    <x v="10"/>
    <s v="Classic Bookcases 310"/>
    <x v="3"/>
    <n v="3"/>
    <n v="1904.78"/>
    <n v="0.25"/>
    <x v="757"/>
    <n v="2386.33"/>
    <x v="754"/>
    <x v="3"/>
    <x v="1"/>
    <m/>
    <s v="Invalid-Date"/>
    <s v="Valid"/>
    <s v="Pass"/>
    <s v="Pass"/>
    <s v="August"/>
    <s v="2025"/>
    <m/>
    <n v="5714.34"/>
    <n v="4285.7550000000001"/>
    <n v="3328.01"/>
    <n v="0.58239621723593626"/>
    <n v="0.58239621723593626"/>
  </r>
  <r>
    <x v="758"/>
    <d v="2024-05-02T00:00:00"/>
    <d v="2024-10-05T00:00:00"/>
    <n v="156"/>
    <s v="CUST-6076"/>
    <s v="Aarav Sharma"/>
    <x v="1"/>
    <x v="2"/>
    <s v="Karnataka"/>
    <s v="Bengaluru"/>
    <x v="1"/>
    <x v="4"/>
    <s v="Prime Chairs 721"/>
    <x v="3"/>
    <n v="1"/>
    <n v="4166.91"/>
    <n v="0"/>
    <x v="758"/>
    <n v="3412.63"/>
    <x v="755"/>
    <x v="0"/>
    <x v="0"/>
    <m/>
    <s v="Valid"/>
    <s v="Valid"/>
    <s v="Pass"/>
    <s v="Pass"/>
    <s v="May"/>
    <s v="2024"/>
    <m/>
    <n v="4166.91"/>
    <n v="4166.91"/>
    <n v="754.27999999999975"/>
    <n v="0.18101662862888801"/>
    <n v="0.18101662862888801"/>
  </r>
  <r>
    <x v="759"/>
    <d v="2024-07-19T00:00:00"/>
    <d v="2024-07-26T00:00:00"/>
    <n v="7"/>
    <s v="CUST-2098"/>
    <s v="Arjun Bose"/>
    <x v="3"/>
    <x v="2"/>
    <s v="Karnataka"/>
    <s v="Bengaluru"/>
    <x v="1"/>
    <x v="1"/>
    <s v="Prime Tables 797"/>
    <x v="0"/>
    <n v="5"/>
    <n v="3986.01"/>
    <n v="0.25"/>
    <x v="759"/>
    <n v="9438.4599999999991"/>
    <x v="756"/>
    <x v="0"/>
    <x v="0"/>
    <m/>
    <s v="Valid"/>
    <s v="Valid"/>
    <s v="Pass"/>
    <s v="Pass"/>
    <s v="July"/>
    <s v="2024"/>
    <m/>
    <n v="19930.050000000003"/>
    <n v="14947.537500000002"/>
    <n v="10491.590000000004"/>
    <n v="0.52642065624521772"/>
    <n v="0.52642065624521772"/>
  </r>
  <r>
    <x v="760"/>
    <d v="2024-08-28T00:00:00"/>
    <d v="2024-02-09T00:00:00"/>
    <n v="-201"/>
    <s v="CUST-7193"/>
    <s v="Aditi Sen"/>
    <x v="3"/>
    <x v="1"/>
    <s v="Assam"/>
    <s v="Guwahati"/>
    <x v="0"/>
    <x v="2"/>
    <s v="Max Art 926"/>
    <x v="0"/>
    <n v="4"/>
    <n v="3365.53"/>
    <n v="0"/>
    <x v="760"/>
    <n v="7600.63"/>
    <x v="757"/>
    <x v="2"/>
    <x v="2"/>
    <m/>
    <s v="Invalid-Date"/>
    <s v="Valid"/>
    <s v="Pass"/>
    <s v="Pass"/>
    <s v="August"/>
    <s v="2024"/>
    <m/>
    <n v="13462.12"/>
    <n v="13462.12"/>
    <n v="5861.4900000000007"/>
    <n v="0.43540616188237813"/>
    <n v="0.43540616188237813"/>
  </r>
  <r>
    <x v="761"/>
    <d v="2025-08-27T00:00:00"/>
    <d v="2025-08-31T00:00:00"/>
    <n v="4"/>
    <s v="CUST-8948"/>
    <s v="Isha Nair"/>
    <x v="0"/>
    <x v="2"/>
    <s v="Karnataka"/>
    <s v="Bengaluru"/>
    <x v="2"/>
    <x v="12"/>
    <s v="Max Machines 364"/>
    <x v="2"/>
    <n v="3"/>
    <n v="2489.12"/>
    <n v="0"/>
    <x v="761"/>
    <n v="5010.6099999999997"/>
    <x v="758"/>
    <x v="0"/>
    <x v="0"/>
    <m/>
    <s v="Valid"/>
    <s v="Valid"/>
    <s v="Pass"/>
    <s v="Pass"/>
    <s v="August"/>
    <s v="2025"/>
    <m/>
    <n v="7467.36"/>
    <n v="7467.36"/>
    <n v="2456.75"/>
    <n v="0.32899846799940008"/>
    <n v="0.32899846799940008"/>
  </r>
  <r>
    <x v="762"/>
    <d v="2024-01-01T00:00:00"/>
    <d v="2024-05-01T00:00:00"/>
    <n v="121"/>
    <s v="CUST-6921"/>
    <s v="Diya Patel"/>
    <x v="2"/>
    <x v="3"/>
    <s v="Madhya Pradesh"/>
    <s v="Indore"/>
    <x v="2"/>
    <x v="12"/>
    <s v="Classic Machines 122"/>
    <x v="0"/>
    <n v="2"/>
    <n v="3694.12"/>
    <n v="0.2"/>
    <x v="762"/>
    <n v="4775.4399999999996"/>
    <x v="759"/>
    <x v="1"/>
    <x v="2"/>
    <m/>
    <s v="Valid"/>
    <s v="Valid"/>
    <s v="Pass"/>
    <s v="Pass"/>
    <s v="January"/>
    <s v="2024"/>
    <m/>
    <n v="7388.24"/>
    <n v="5910.5920000000006"/>
    <n v="2612.8000000000002"/>
    <n v="0.35364308685153706"/>
    <n v="0.35364308685153706"/>
  </r>
  <r>
    <x v="763"/>
    <d v="2025-08-23T00:00:00"/>
    <d v="2025-08-25T00:00:00"/>
    <n v="2"/>
    <s v="CUST-4086"/>
    <s v="Diya Patel"/>
    <x v="0"/>
    <x v="0"/>
    <s v="Rajasthan"/>
    <s v="Jaipur"/>
    <x v="1"/>
    <x v="3"/>
    <s v="Elite Furnishings 169"/>
    <x v="1"/>
    <n v="6"/>
    <n v="2742.48"/>
    <n v="0"/>
    <x v="763"/>
    <n v="12081.54"/>
    <x v="760"/>
    <x v="0"/>
    <x v="0"/>
    <m/>
    <s v="Valid"/>
    <s v="Valid"/>
    <s v="Pass"/>
    <s v="Pass"/>
    <s v="August"/>
    <s v="2025"/>
    <m/>
    <n v="16454.88"/>
    <n v="16454.88"/>
    <n v="4373.34"/>
    <n v="0.26577769026574488"/>
    <n v="0.26577769026574488"/>
  </r>
  <r>
    <x v="764"/>
    <d v="2025-04-13T00:00:00"/>
    <d v="2025-04-13T00:00:00"/>
    <n v="0"/>
    <s v="CUST-5174"/>
    <s v="Priya Menon"/>
    <x v="2"/>
    <x v="2"/>
    <s v="Kerala"/>
    <s v="Kochi"/>
    <x v="1"/>
    <x v="10"/>
    <s v="Pro Bookcases 615"/>
    <x v="2"/>
    <n v="6"/>
    <n v="4414"/>
    <n v="0.05"/>
    <x v="764"/>
    <n v="21606.83"/>
    <x v="761"/>
    <x v="0"/>
    <x v="0"/>
    <m/>
    <s v="Valid"/>
    <s v="Valid"/>
    <s v="Pass"/>
    <s v="Pass"/>
    <s v="April"/>
    <s v="2025"/>
    <m/>
    <n v="26484"/>
    <n v="25159.8"/>
    <n v="4877.1699999999983"/>
    <n v="0.18415533907264758"/>
    <n v="0.18415533907264758"/>
  </r>
  <r>
    <x v="765"/>
    <d v="2025-06-29T00:00:00"/>
    <d v="2025-03-07T00:00:00"/>
    <n v="-114"/>
    <s v="CUST-8747"/>
    <s v="Vikram Iyer"/>
    <x v="2"/>
    <x v="1"/>
    <s v="Jharkhand"/>
    <s v="Ranchi"/>
    <x v="0"/>
    <x v="7"/>
    <s v="Max Labels 136"/>
    <x v="2"/>
    <n v="3"/>
    <n v="608.14"/>
    <n v="0"/>
    <x v="765"/>
    <n v="1214.8699999999999"/>
    <x v="762"/>
    <x v="0"/>
    <x v="0"/>
    <m/>
    <s v="Invalid-Date"/>
    <s v="Valid"/>
    <s v="Pass"/>
    <s v="Pass"/>
    <s v="June"/>
    <s v="2025"/>
    <m/>
    <n v="1824.42"/>
    <n v="1824.42"/>
    <n v="609.55000000000018"/>
    <n v="0.33410618169061956"/>
    <n v="0.33410618169061956"/>
  </r>
  <r>
    <x v="766"/>
    <d v="2024-09-17T00:00:00"/>
    <d v="2024-09-24T00:00:00"/>
    <n v="7"/>
    <s v="CUST-3156"/>
    <s v="Mira Das"/>
    <x v="2"/>
    <x v="3"/>
    <s v="Gujarat"/>
    <s v="Ahmedabad"/>
    <x v="0"/>
    <x v="2"/>
    <s v="Prime Art 380"/>
    <x v="0"/>
    <n v="9"/>
    <n v="2307.96"/>
    <n v="0.2"/>
    <x v="766"/>
    <n v="9195.73"/>
    <x v="763"/>
    <x v="0"/>
    <x v="1"/>
    <m/>
    <s v="Valid"/>
    <s v="Valid"/>
    <s v="Pass"/>
    <s v="Pass"/>
    <s v="September"/>
    <s v="2024"/>
    <m/>
    <n v="20771.64"/>
    <n v="16617.312000000002"/>
    <n v="11575.91"/>
    <n v="0.55729398352754045"/>
    <n v="0.55729398352754045"/>
  </r>
  <r>
    <x v="767"/>
    <d v="2024-05-03T00:00:00"/>
    <d v="2024-06-05T00:00:00"/>
    <n v="33"/>
    <s v="CUST-2043"/>
    <s v="Ananya Rao"/>
    <x v="3"/>
    <x v="0"/>
    <s v="Uttar Pradesh"/>
    <s v="Noida"/>
    <x v="0"/>
    <x v="9"/>
    <s v="Classic Binders 234"/>
    <x v="3"/>
    <n v="1"/>
    <n v="1244.58"/>
    <n v="0.25"/>
    <x v="767"/>
    <n v="583.09"/>
    <x v="764"/>
    <x v="0"/>
    <x v="0"/>
    <m/>
    <s v="Valid"/>
    <s v="Valid"/>
    <s v="Pass"/>
    <s v="Pass"/>
    <s v="May"/>
    <s v="2024"/>
    <m/>
    <n v="1244.58"/>
    <n v="933.43499999999995"/>
    <n v="661.4899999999999"/>
    <n v="0.53149656912372045"/>
    <n v="0.53149656912372045"/>
  </r>
  <r>
    <x v="768"/>
    <d v="2025-04-02T00:00:00"/>
    <d v="2025-04-04T00:00:00"/>
    <n v="2"/>
    <s v="CUST-8808"/>
    <s v="Sneha Kapoor"/>
    <x v="3"/>
    <x v="1"/>
    <s v="Jharkhand"/>
    <s v="Ranchi"/>
    <x v="0"/>
    <x v="0"/>
    <s v="Classic Paper 280"/>
    <x v="1"/>
    <n v="5"/>
    <n v="3234.24"/>
    <n v="0.1"/>
    <x v="768"/>
    <n v="11166.84"/>
    <x v="765"/>
    <x v="0"/>
    <x v="0"/>
    <m/>
    <s v="Valid"/>
    <s v="Valid"/>
    <s v="Pass"/>
    <s v="Pass"/>
    <s v="April"/>
    <s v="2025"/>
    <m/>
    <n v="16171.199999999999"/>
    <n v="14554.08"/>
    <n v="5004.3599999999988"/>
    <n v="0.30946126447016914"/>
    <n v="0.30946126447016914"/>
  </r>
  <r>
    <x v="769"/>
    <d v="2024-11-05T00:00:00"/>
    <d v="2024-05-13T00:00:00"/>
    <n v="-176"/>
    <s v="CUST-1293"/>
    <s v="Priya Menon"/>
    <x v="3"/>
    <x v="3"/>
    <s v="Goa"/>
    <s v="Panaji"/>
    <x v="1"/>
    <x v="10"/>
    <s v="Classic Bookcases 922"/>
    <x v="1"/>
    <n v="3"/>
    <n v="3612.75"/>
    <n v="0.25"/>
    <x v="769"/>
    <n v="5071.66"/>
    <x v="766"/>
    <x v="0"/>
    <x v="0"/>
    <m/>
    <s v="Invalid-Date"/>
    <s v="Valid"/>
    <s v="Pass"/>
    <s v="Pass"/>
    <s v="November"/>
    <s v="2024"/>
    <m/>
    <n v="10838.25"/>
    <n v="8128.6875"/>
    <n v="5766.59"/>
    <n v="0.53205914238922336"/>
    <n v="0.53205914238922336"/>
  </r>
  <r>
    <x v="770"/>
    <d v="2024-02-15T00:00:00"/>
    <d v="2024-02-17T00:00:00"/>
    <n v="2"/>
    <s v="CUST-8384"/>
    <s v="Neha Gupta"/>
    <x v="0"/>
    <x v="0"/>
    <s v="Uttar Pradesh"/>
    <s v="Noida"/>
    <x v="2"/>
    <x v="6"/>
    <s v="Eco Copiers 396"/>
    <x v="2"/>
    <n v="4"/>
    <n v="863"/>
    <n v="0"/>
    <x v="770"/>
    <n v="2376.62"/>
    <x v="767"/>
    <x v="0"/>
    <x v="0"/>
    <m/>
    <s v="Valid"/>
    <s v="Valid"/>
    <s v="Pass"/>
    <s v="Pass"/>
    <s v="February"/>
    <s v="2024"/>
    <m/>
    <n v="3452"/>
    <n v="3452"/>
    <n v="1075.3800000000001"/>
    <n v="0.3115237543453071"/>
    <n v="0.3115237543453071"/>
  </r>
  <r>
    <x v="771"/>
    <d v="2024-07-12T00:00:00"/>
    <d v="2024-07-14T00:00:00"/>
    <n v="2"/>
    <s v="CUST-7861"/>
    <s v="Ananya Rao"/>
    <x v="0"/>
    <x v="0"/>
    <s v="Haryana"/>
    <s v="Gurugram"/>
    <x v="2"/>
    <x v="12"/>
    <s v="Basic Machines 401"/>
    <x v="0"/>
    <n v="4"/>
    <n v="2131.41"/>
    <n v="0"/>
    <x v="771"/>
    <n v="3520.69"/>
    <x v="768"/>
    <x v="0"/>
    <x v="0"/>
    <m/>
    <s v="Valid"/>
    <s v="Valid"/>
    <s v="Pass"/>
    <s v="Pass"/>
    <s v="July"/>
    <s v="2024"/>
    <m/>
    <n v="8525.64"/>
    <n v="8525.64"/>
    <n v="5004.9499999999989"/>
    <n v="0.58704683753946907"/>
    <n v="0.58704683753946907"/>
  </r>
  <r>
    <x v="772"/>
    <d v="2025-07-15T00:00:00"/>
    <d v="2025-07-19T00:00:00"/>
    <n v="4"/>
    <s v="CUST-8422"/>
    <s v="Diya Patel"/>
    <x v="0"/>
    <x v="2"/>
    <s v="Tamil Nadu"/>
    <s v="Chennai"/>
    <x v="1"/>
    <x v="4"/>
    <s v="Basic Chairs 279"/>
    <x v="1"/>
    <n v="1"/>
    <n v="3903.22"/>
    <n v="0.05"/>
    <x v="772"/>
    <n v="2760.29"/>
    <x v="769"/>
    <x v="2"/>
    <x v="1"/>
    <m/>
    <s v="Valid"/>
    <s v="Valid"/>
    <s v="Pass"/>
    <s v="Pass"/>
    <s v="July"/>
    <s v="2025"/>
    <m/>
    <n v="3903.22"/>
    <n v="3708.0589999999997"/>
    <n v="1142.9299999999998"/>
    <n v="0.29281721245535736"/>
    <n v="0.29281721245535736"/>
  </r>
  <r>
    <x v="773"/>
    <d v="2025-02-21T00:00:00"/>
    <d v="2025-02-21T00:00:00"/>
    <n v="0"/>
    <s v="CUST-4766"/>
    <s v="Karan Malhotra"/>
    <x v="3"/>
    <x v="3"/>
    <s v="Gujarat"/>
    <s v="Ahmedabad"/>
    <x v="2"/>
    <x v="11"/>
    <s v="Basic Phones 753"/>
    <x v="4"/>
    <n v="4"/>
    <n v="2945.07"/>
    <n v="0.2"/>
    <x v="773"/>
    <n v="6178.92"/>
    <x v="770"/>
    <x v="0"/>
    <x v="0"/>
    <m/>
    <s v="Valid"/>
    <s v="Valid"/>
    <s v="Flagged"/>
    <s v="Pass"/>
    <s v="February"/>
    <s v="2025"/>
    <m/>
    <n v="11780.28"/>
    <n v="9424.2240000000002"/>
    <n v="5601.3600000000006"/>
    <n v="0.47548615143273337"/>
    <n v="0.47548615143273337"/>
  </r>
  <r>
    <x v="774"/>
    <d v="2025-08-07T00:00:00"/>
    <d v="2025-07-08T00:00:00"/>
    <n v="-30"/>
    <s v="CUST-1182"/>
    <s v="Kabir Singh"/>
    <x v="0"/>
    <x v="3"/>
    <s v="Rajasthan"/>
    <s v="Udaipur"/>
    <x v="2"/>
    <x v="12"/>
    <s v="Smart Machines 789"/>
    <x v="4"/>
    <n v="9"/>
    <n v="1076.75"/>
    <n v="0.2"/>
    <x v="774"/>
    <n v="4689.3"/>
    <x v="771"/>
    <x v="0"/>
    <x v="0"/>
    <m/>
    <s v="Invalid-Date"/>
    <s v="Valid"/>
    <s v="Flagged"/>
    <s v="Pass"/>
    <s v="August"/>
    <s v="2025"/>
    <m/>
    <n v="9690.75"/>
    <n v="7752.6"/>
    <n v="5001.45"/>
    <n v="0.5161055645847844"/>
    <n v="0.5161055645847844"/>
  </r>
  <r>
    <x v="775"/>
    <d v="2024-04-14T00:00:00"/>
    <d v="2024-04-22T00:00:00"/>
    <n v="8"/>
    <s v="CUST-4461"/>
    <s v="Arjun Bose"/>
    <x v="0"/>
    <x v="0"/>
    <s v="Haryana"/>
    <s v="Gurugram"/>
    <x v="2"/>
    <x v="5"/>
    <s v="Elite Accessories 312"/>
    <x v="3"/>
    <n v="8"/>
    <n v="3956.12"/>
    <n v="0.25"/>
    <x v="775"/>
    <n v="13890.9"/>
    <x v="772"/>
    <x v="0"/>
    <x v="0"/>
    <m/>
    <s v="Valid"/>
    <s v="Valid"/>
    <s v="Pass"/>
    <s v="Pass"/>
    <s v="April"/>
    <s v="2024"/>
    <m/>
    <n v="31648.959999999999"/>
    <n v="23736.720000000001"/>
    <n v="17758.059999999998"/>
    <n v="0.56109458257080158"/>
    <n v="0.56109458257080158"/>
  </r>
  <r>
    <x v="776"/>
    <d v="2025-06-08T00:00:00"/>
    <d v="2025-06-13T00:00:00"/>
    <n v="5"/>
    <s v="CUST-9690"/>
    <s v="Aditi Sen"/>
    <x v="1"/>
    <x v="0"/>
    <s v="Rajasthan"/>
    <s v="Jaipur"/>
    <x v="2"/>
    <x v="6"/>
    <s v="Eco Copiers 528"/>
    <x v="0"/>
    <n v="7"/>
    <n v="3857.13"/>
    <n v="0"/>
    <x v="776"/>
    <n v="17815.98"/>
    <x v="773"/>
    <x v="0"/>
    <x v="0"/>
    <m/>
    <s v="Valid"/>
    <s v="Valid"/>
    <s v="Pass"/>
    <s v="Pass"/>
    <s v="June"/>
    <s v="2025"/>
    <m/>
    <n v="26999.91"/>
    <n v="26999.91"/>
    <n v="9183.93"/>
    <n v="0.34014668937785347"/>
    <n v="0.34014668937785347"/>
  </r>
  <r>
    <x v="777"/>
    <d v="2024-02-04T00:00:00"/>
    <d v="2024-06-02T00:00:00"/>
    <n v="119"/>
    <s v="CUST-6879"/>
    <s v="Kabir Singh"/>
    <x v="1"/>
    <x v="3"/>
    <s v="Madhya Pradesh"/>
    <s v="Indore"/>
    <x v="2"/>
    <x v="5"/>
    <s v="Elite Accessories 226"/>
    <x v="0"/>
    <n v="4"/>
    <n v="1489.74"/>
    <n v="0.15"/>
    <x v="777"/>
    <n v="3530.12"/>
    <x v="774"/>
    <x v="3"/>
    <x v="1"/>
    <m/>
    <s v="Valid"/>
    <s v="Valid"/>
    <s v="Pass"/>
    <s v="Pass"/>
    <s v="February"/>
    <s v="2024"/>
    <m/>
    <n v="5958.96"/>
    <n v="5065.116"/>
    <n v="2428.84"/>
    <n v="0.40759461382523127"/>
    <n v="0.40759461382523127"/>
  </r>
  <r>
    <x v="778"/>
    <d v="2024-07-24T00:00:00"/>
    <d v="2024-07-24T00:00:00"/>
    <n v="0"/>
    <s v="CUST-4714"/>
    <s v="Karan Malhotra"/>
    <x v="1"/>
    <x v="0"/>
    <s v="Haryana"/>
    <s v="Gurugram"/>
    <x v="2"/>
    <x v="6"/>
    <s v="Pro Copiers 298"/>
    <x v="0"/>
    <n v="4"/>
    <n v="1676.88"/>
    <n v="0"/>
    <x v="778"/>
    <n v="5672.57"/>
    <x v="775"/>
    <x v="0"/>
    <x v="0"/>
    <m/>
    <s v="Valid"/>
    <s v="Valid"/>
    <s v="Pass"/>
    <s v="Pass"/>
    <s v="July"/>
    <s v="2024"/>
    <m/>
    <n v="6707.52"/>
    <n v="6707.52"/>
    <n v="1034.9500000000007"/>
    <n v="0.15429696817899918"/>
    <n v="0.15429696817899918"/>
  </r>
  <r>
    <x v="779"/>
    <d v="2024-01-15T00:00:00"/>
    <d v="2024-01-20T00:00:00"/>
    <n v="5"/>
    <s v="CUST-7547"/>
    <s v="Priya Menon"/>
    <x v="1"/>
    <x v="2"/>
    <s v="Andhra Pradesh"/>
    <s v="Vijayawada"/>
    <x v="1"/>
    <x v="4"/>
    <s v="Prime Chairs 331"/>
    <x v="3"/>
    <n v="4"/>
    <n v="3153.54"/>
    <n v="0.05"/>
    <x v="779"/>
    <n v="8572.9"/>
    <x v="776"/>
    <x v="0"/>
    <x v="0"/>
    <m/>
    <s v="Valid"/>
    <s v="Valid"/>
    <s v="Pass"/>
    <s v="Pass"/>
    <s v="January"/>
    <s v="2024"/>
    <m/>
    <n v="12614.16"/>
    <n v="11983.451999999999"/>
    <n v="4041.26"/>
    <n v="0.32037488029325778"/>
    <n v="0.32037488029325778"/>
  </r>
  <r>
    <x v="780"/>
    <d v="2024-08-04T00:00:00"/>
    <d v="2024-10-08T00:00:00"/>
    <n v="65"/>
    <s v="CUST-3288"/>
    <s v="Diya Patel"/>
    <x v="1"/>
    <x v="3"/>
    <s v="Rajasthan"/>
    <s v="Udaipur"/>
    <x v="1"/>
    <x v="4"/>
    <s v="Classic Chairs 798"/>
    <x v="1"/>
    <n v="4"/>
    <n v="426.43"/>
    <n v="0.2"/>
    <x v="780"/>
    <n v="978.16"/>
    <x v="777"/>
    <x v="0"/>
    <x v="0"/>
    <m/>
    <s v="Valid"/>
    <s v="Valid"/>
    <s v="Pass"/>
    <s v="Pass"/>
    <s v="August"/>
    <s v="2024"/>
    <m/>
    <n v="1705.72"/>
    <n v="1364.576"/>
    <n v="727.56000000000006"/>
    <n v="0.42654128461881202"/>
    <n v="0.42654128461881202"/>
  </r>
  <r>
    <x v="781"/>
    <d v="2024-02-02T00:00:00"/>
    <d v="2024-10-02T00:00:00"/>
    <n v="243"/>
    <s v="CUST-8597"/>
    <s v="Karan Malhotra"/>
    <x v="3"/>
    <x v="3"/>
    <s v="Rajasthan"/>
    <s v="Udaipur"/>
    <x v="0"/>
    <x v="7"/>
    <s v="Classic Labels 204"/>
    <x v="2"/>
    <n v="3"/>
    <n v="383.4"/>
    <n v="0.25"/>
    <x v="781"/>
    <n v="603.73"/>
    <x v="778"/>
    <x v="2"/>
    <x v="2"/>
    <m/>
    <s v="Valid"/>
    <s v="Valid"/>
    <s v="Pass"/>
    <s v="Pass"/>
    <s v="February"/>
    <s v="2024"/>
    <m/>
    <n v="1150.1999999999998"/>
    <n v="862.64999999999986"/>
    <n v="546.4699999999998"/>
    <n v="0.47510867675186913"/>
    <n v="0.47510867675186913"/>
  </r>
  <r>
    <x v="782"/>
    <d v="2025-03-14T00:00:00"/>
    <d v="2025-03-22T00:00:00"/>
    <n v="8"/>
    <s v="CUST-9085"/>
    <s v="Mira Das"/>
    <x v="2"/>
    <x v="1"/>
    <s v="West Bengal"/>
    <s v="Kolkata"/>
    <x v="2"/>
    <x v="6"/>
    <s v="Basic Copiers 254"/>
    <x v="3"/>
    <n v="2"/>
    <n v="669.63"/>
    <n v="0.15"/>
    <x v="782"/>
    <n v="797.34"/>
    <x v="779"/>
    <x v="0"/>
    <x v="0"/>
    <m/>
    <s v="Valid"/>
    <s v="Valid"/>
    <s v="Pass"/>
    <s v="Pass"/>
    <s v="March"/>
    <s v="2025"/>
    <m/>
    <n v="1339.26"/>
    <n v="1138.3709999999999"/>
    <n v="541.91999999999996"/>
    <n v="0.40464136911428694"/>
    <n v="0.40464136911428694"/>
  </r>
  <r>
    <x v="783"/>
    <d v="2024-06-07T00:00:00"/>
    <d v="2024-07-06T00:00:00"/>
    <n v="29"/>
    <s v="CUST-7746"/>
    <s v="Aarav Sharma"/>
    <x v="1"/>
    <x v="1"/>
    <s v="Bihar"/>
    <s v="Patna"/>
    <x v="0"/>
    <x v="2"/>
    <s v="Basic Art 709"/>
    <x v="0"/>
    <n v="1"/>
    <n v="2581.9299999999998"/>
    <n v="0.05"/>
    <x v="783"/>
    <n v="1906.7"/>
    <x v="780"/>
    <x v="0"/>
    <x v="0"/>
    <m/>
    <s v="Valid"/>
    <s v="Valid"/>
    <s v="Pass"/>
    <s v="Pass"/>
    <s v="June"/>
    <s v="2024"/>
    <m/>
    <n v="2581.9299999999998"/>
    <n v="2452.8334999999997"/>
    <n v="675.22999999999979"/>
    <n v="0.26152142002300599"/>
    <n v="0.26152142002300599"/>
  </r>
  <r>
    <x v="784"/>
    <d v="2025-04-10T00:00:00"/>
    <d v="2025-05-10T00:00:00"/>
    <n v="30"/>
    <s v="CUST-3119"/>
    <s v="Priya Menon"/>
    <x v="2"/>
    <x v="0"/>
    <s v="Punjab"/>
    <s v="Ludhiana"/>
    <x v="2"/>
    <x v="6"/>
    <s v="Max Copiers 551"/>
    <x v="2"/>
    <n v="4"/>
    <n v="418.18"/>
    <n v="0.05"/>
    <x v="784"/>
    <n v="1084.6600000000001"/>
    <x v="781"/>
    <x v="0"/>
    <x v="0"/>
    <m/>
    <s v="Valid"/>
    <s v="Valid"/>
    <s v="Pass"/>
    <s v="Pass"/>
    <s v="April"/>
    <s v="2025"/>
    <m/>
    <n v="1672.72"/>
    <n v="1589.0840000000001"/>
    <n v="588.05999999999995"/>
    <n v="0.35155913721364002"/>
    <n v="0.35155913721364002"/>
  </r>
  <r>
    <x v="785"/>
    <d v="2024-05-23T00:00:00"/>
    <d v="2024-05-29T00:00:00"/>
    <n v="6"/>
    <s v="CUST-7518"/>
    <s v="Diya Patel"/>
    <x v="1"/>
    <x v="0"/>
    <s v="Haryana"/>
    <s v="Gurugram"/>
    <x v="0"/>
    <x v="8"/>
    <s v="Eco Storage 183"/>
    <x v="1"/>
    <n v="2"/>
    <n v="3012.94"/>
    <n v="0.25"/>
    <x v="785"/>
    <n v="3504.16"/>
    <x v="782"/>
    <x v="3"/>
    <x v="1"/>
    <m/>
    <s v="Valid"/>
    <s v="Valid"/>
    <s v="Pass"/>
    <s v="Pass"/>
    <s v="May"/>
    <s v="2024"/>
    <m/>
    <n v="6025.88"/>
    <n v="4519.41"/>
    <n v="2521.7200000000003"/>
    <n v="0.41848161596314565"/>
    <n v="0.41848161596314565"/>
  </r>
  <r>
    <x v="786"/>
    <d v="2025-06-07T00:00:00"/>
    <d v="2025-08-07T00:00:00"/>
    <n v="61"/>
    <s v="CUST-1343"/>
    <s v="Ananya Rao"/>
    <x v="2"/>
    <x v="0"/>
    <s v="Rajasthan"/>
    <s v="Jaipur"/>
    <x v="1"/>
    <x v="3"/>
    <s v="Pro Furnishings 233"/>
    <x v="4"/>
    <n v="4"/>
    <n v="715.45"/>
    <n v="0.05"/>
    <x v="786"/>
    <n v="2065.0500000000002"/>
    <x v="783"/>
    <x v="1"/>
    <x v="2"/>
    <m/>
    <s v="Valid"/>
    <s v="Valid"/>
    <s v="Flagged"/>
    <s v="Pass"/>
    <s v="June"/>
    <s v="2025"/>
    <m/>
    <n v="2861.8"/>
    <n v="2718.71"/>
    <n v="796.75"/>
    <n v="0.27840869382905864"/>
    <n v="0.27840869382905864"/>
  </r>
  <r>
    <x v="787"/>
    <d v="2024-09-12T00:00:00"/>
    <d v="2024-09-18T00:00:00"/>
    <n v="6"/>
    <s v="CUST-7548"/>
    <s v="Ananya Rao"/>
    <x v="3"/>
    <x v="1"/>
    <s v="Bihar"/>
    <s v="Patna"/>
    <x v="0"/>
    <x v="0"/>
    <s v="Prime Paper 878"/>
    <x v="0"/>
    <n v="2"/>
    <n v="3718.77"/>
    <n v="0.05"/>
    <x v="787"/>
    <n v="4915.2700000000004"/>
    <x v="784"/>
    <x v="0"/>
    <x v="0"/>
    <m/>
    <s v="Valid"/>
    <s v="Valid"/>
    <s v="Pass"/>
    <s v="Pass"/>
    <s v="September"/>
    <s v="2024"/>
    <m/>
    <n v="7437.54"/>
    <n v="7065.6629999999996"/>
    <n v="2522.2699999999995"/>
    <n v="0.33912691561994956"/>
    <n v="0.33912691561994956"/>
  </r>
  <r>
    <x v="788"/>
    <d v="2024-08-01T00:00:00"/>
    <d v="2024-08-02T00:00:00"/>
    <n v="1"/>
    <s v="CUST-3631"/>
    <s v="Isha Nair"/>
    <x v="2"/>
    <x v="0"/>
    <s v="Uttar Pradesh"/>
    <s v="Noida"/>
    <x v="1"/>
    <x v="4"/>
    <s v="Smart Chairs 353"/>
    <x v="3"/>
    <n v="8"/>
    <n v="2487.64"/>
    <n v="0.1"/>
    <x v="788"/>
    <n v="11546.05"/>
    <x v="785"/>
    <x v="3"/>
    <x v="2"/>
    <m/>
    <s v="Valid"/>
    <s v="Valid"/>
    <s v="Pass"/>
    <s v="Pass"/>
    <s v="August"/>
    <s v="2024"/>
    <m/>
    <n v="19901.12"/>
    <n v="17911.007999999998"/>
    <n v="8355.07"/>
    <n v="0.41982913524464954"/>
    <n v="0.41982913524464954"/>
  </r>
  <r>
    <x v="789"/>
    <d v="2025-03-07T00:00:00"/>
    <d v="2025-08-03T00:00:00"/>
    <n v="149"/>
    <s v="CUST-1453"/>
    <s v="Priya Menon"/>
    <x v="3"/>
    <x v="4"/>
    <s v="Rajasthan"/>
    <s v="Udaipur"/>
    <x v="2"/>
    <x v="6"/>
    <s v="Smart Copiers 408"/>
    <x v="1"/>
    <n v="4"/>
    <n v="3537.48"/>
    <n v="0"/>
    <x v="789"/>
    <n v="9466.51"/>
    <x v="786"/>
    <x v="0"/>
    <x v="0"/>
    <m/>
    <s v="Valid"/>
    <s v="Valid"/>
    <s v="Pass"/>
    <s v="Flagged"/>
    <s v="March"/>
    <s v="2025"/>
    <m/>
    <n v="14149.92"/>
    <n v="14149.92"/>
    <n v="4683.41"/>
    <n v="0.33098491016203624"/>
    <n v="0.33098491016203624"/>
  </r>
  <r>
    <x v="790"/>
    <d v="2024-05-31T00:00:00"/>
    <d v="2024-02-06T00:00:00"/>
    <n v="-115"/>
    <s v="CUST-1951"/>
    <s v="Rahul Verma"/>
    <x v="2"/>
    <x v="2"/>
    <s v="Andhra Pradesh"/>
    <s v="Vijayawada"/>
    <x v="0"/>
    <x v="2"/>
    <s v="Classic Art 781"/>
    <x v="3"/>
    <n v="8"/>
    <n v="667.59"/>
    <n v="0.2"/>
    <x v="790"/>
    <n v="3328.92"/>
    <x v="787"/>
    <x v="0"/>
    <x v="0"/>
    <m/>
    <s v="Invalid-Date"/>
    <s v="Valid"/>
    <s v="Pass"/>
    <s v="Pass"/>
    <s v="May"/>
    <s v="2024"/>
    <m/>
    <n v="5340.72"/>
    <n v="4272.576"/>
    <n v="2011.8000000000002"/>
    <n v="0.37669078326517774"/>
    <n v="0.37669078326517774"/>
  </r>
  <r>
    <x v="791"/>
    <d v="2024-10-02T00:00:00"/>
    <d v="2024-06-10T00:00:00"/>
    <n v="-114"/>
    <s v="CUST-6300"/>
    <s v="Rahul Verma"/>
    <x v="3"/>
    <x v="2"/>
    <s v="Karnataka"/>
    <s v="Bengaluru"/>
    <x v="1"/>
    <x v="10"/>
    <s v="Eco Bookcases 144"/>
    <x v="1"/>
    <n v="8"/>
    <n v="1558.77"/>
    <n v="0.25"/>
    <x v="791"/>
    <n v="5269.41"/>
    <x v="788"/>
    <x v="0"/>
    <x v="0"/>
    <m/>
    <s v="Invalid-Date"/>
    <s v="Valid"/>
    <s v="Pass"/>
    <s v="Pass"/>
    <s v="October"/>
    <s v="2024"/>
    <m/>
    <n v="12470.16"/>
    <n v="9352.619999999999"/>
    <n v="7200.75"/>
    <n v="0.5774384610943244"/>
    <n v="0.5774384610943244"/>
  </r>
  <r>
    <x v="792"/>
    <d v="2025-06-04T00:00:00"/>
    <d v="2025-08-06T00:00:00"/>
    <n v="63"/>
    <s v="CUST-1417"/>
    <s v="Arjun Bose"/>
    <x v="1"/>
    <x v="1"/>
    <s v="Assam"/>
    <s v="Guwahati"/>
    <x v="1"/>
    <x v="3"/>
    <s v="Elite Furnishings 852"/>
    <x v="0"/>
    <n v="1"/>
    <n v="3501.12"/>
    <n v="0.2"/>
    <x v="792"/>
    <n v="1735.98"/>
    <x v="789"/>
    <x v="0"/>
    <x v="2"/>
    <m/>
    <s v="Valid"/>
    <s v="Valid"/>
    <s v="Pass"/>
    <s v="Pass"/>
    <s v="June"/>
    <s v="2025"/>
    <m/>
    <n v="3501.12"/>
    <n v="2800.8960000000002"/>
    <n v="1765.1399999999999"/>
    <n v="0.50416438168357547"/>
    <n v="0.50416438168357547"/>
  </r>
  <r>
    <x v="793"/>
    <d v="2024-05-28T00:00:00"/>
    <d v="2024-03-06T00:00:00"/>
    <n v="-83"/>
    <s v="CUST-5421"/>
    <s v="Vikram Iyer"/>
    <x v="2"/>
    <x v="0"/>
    <s v="Rajasthan"/>
    <s v="Jaipur"/>
    <x v="2"/>
    <x v="6"/>
    <s v="Basic Copiers 238"/>
    <x v="0"/>
    <n v="5"/>
    <n v="4302.32"/>
    <n v="0"/>
    <x v="793"/>
    <n v="15408.47"/>
    <x v="790"/>
    <x v="0"/>
    <x v="0"/>
    <m/>
    <s v="Invalid-Date"/>
    <s v="Valid"/>
    <s v="Pass"/>
    <s v="Pass"/>
    <s v="May"/>
    <s v="2024"/>
    <m/>
    <n v="21511.599999999999"/>
    <n v="21511.599999999999"/>
    <n v="6103.1299999999992"/>
    <n v="0.28371343833094703"/>
    <n v="0.28371343833094703"/>
  </r>
  <r>
    <x v="794"/>
    <d v="2025-06-22T00:00:00"/>
    <d v="2025-06-24T00:00:00"/>
    <n v="2"/>
    <s v="CUST-2829"/>
    <s v="Sneha Kapoor"/>
    <x v="2"/>
    <x v="1"/>
    <s v="Assam"/>
    <s v="Guwahati"/>
    <x v="0"/>
    <x v="0"/>
    <s v="Elite Paper 847"/>
    <x v="3"/>
    <n v="9"/>
    <n v="951.55"/>
    <n v="0.15"/>
    <x v="794"/>
    <n v="4870.3900000000003"/>
    <x v="791"/>
    <x v="0"/>
    <x v="0"/>
    <m/>
    <s v="Valid"/>
    <s v="Valid"/>
    <s v="Pass"/>
    <s v="Pass"/>
    <s v="June"/>
    <s v="2025"/>
    <m/>
    <n v="8563.9499999999989"/>
    <n v="7279.3574999999992"/>
    <n v="3693.5599999999986"/>
    <n v="0.43129163528511949"/>
    <n v="0.43129163528511949"/>
  </r>
  <r>
    <x v="795"/>
    <d v="2024-07-30T00:00:00"/>
    <d v="2024-07-30T00:00:00"/>
    <n v="0"/>
    <s v="CUST-6529"/>
    <s v="Diya Patel"/>
    <x v="3"/>
    <x v="1"/>
    <s v="Odisha"/>
    <s v="Bhubaneswar"/>
    <x v="2"/>
    <x v="6"/>
    <s v="Pro Copiers 653"/>
    <x v="1"/>
    <n v="9"/>
    <n v="2894.66"/>
    <n v="0"/>
    <x v="795"/>
    <n v="16883.59"/>
    <x v="792"/>
    <x v="1"/>
    <x v="1"/>
    <m/>
    <s v="Valid"/>
    <s v="Valid"/>
    <s v="Pass"/>
    <s v="Pass"/>
    <s v="July"/>
    <s v="2024"/>
    <m/>
    <n v="26051.94"/>
    <n v="26051.94"/>
    <n v="9168.3499999999985"/>
    <n v="0.3519258066769691"/>
    <n v="0.3519258066769691"/>
  </r>
  <r>
    <x v="796"/>
    <d v="2024-03-23T00:00:00"/>
    <d v="2024-03-30T00:00:00"/>
    <n v="7"/>
    <s v="CUST-3126"/>
    <s v="Rohan Mehta"/>
    <x v="1"/>
    <x v="2"/>
    <s v="Andhra Pradesh"/>
    <s v="Vijayawada"/>
    <x v="2"/>
    <x v="12"/>
    <s v="Elite Machines 459"/>
    <x v="2"/>
    <n v="6"/>
    <n v="1894.44"/>
    <n v="0.15"/>
    <x v="796"/>
    <n v="6303.77"/>
    <x v="793"/>
    <x v="0"/>
    <x v="0"/>
    <m/>
    <s v="Valid"/>
    <s v="Valid"/>
    <s v="Pass"/>
    <s v="Pass"/>
    <s v="March"/>
    <s v="2024"/>
    <m/>
    <n v="11366.64"/>
    <n v="9661.6439999999984"/>
    <n v="5062.869999999999"/>
    <n v="0.44541482795267551"/>
    <n v="0.44541482795267551"/>
  </r>
  <r>
    <x v="797"/>
    <d v="2024-04-18T00:00:00"/>
    <d v="2024-04-22T00:00:00"/>
    <n v="4"/>
    <s v="CUST-3991"/>
    <s v="Aarav Sharma"/>
    <x v="0"/>
    <x v="1"/>
    <s v="Odisha"/>
    <s v="Bhubaneswar"/>
    <x v="0"/>
    <x v="9"/>
    <s v="Elite Binders 764"/>
    <x v="2"/>
    <n v="8"/>
    <n v="1714.37"/>
    <n v="0"/>
    <x v="797"/>
    <n v="10550.47"/>
    <x v="794"/>
    <x v="3"/>
    <x v="1"/>
    <m/>
    <s v="Valid"/>
    <s v="Valid"/>
    <s v="Pass"/>
    <s v="Pass"/>
    <s v="April"/>
    <s v="2024"/>
    <m/>
    <n v="13714.96"/>
    <n v="13714.96"/>
    <n v="3164.49"/>
    <n v="0.23073271814135804"/>
    <n v="0.23073271814135804"/>
  </r>
  <r>
    <x v="798"/>
    <d v="2025-07-11T00:00:00"/>
    <d v="2025-07-09T00:00:00"/>
    <n v="-2"/>
    <s v="CUST-7553"/>
    <s v="Aditi Sen"/>
    <x v="2"/>
    <x v="0"/>
    <s v="Delhi"/>
    <s v="New Delhi"/>
    <x v="1"/>
    <x v="3"/>
    <s v="Classic Furnishings 348"/>
    <x v="3"/>
    <n v="9"/>
    <n v="1706.05"/>
    <n v="0"/>
    <x v="798"/>
    <n v="9656.5"/>
    <x v="795"/>
    <x v="0"/>
    <x v="0"/>
    <m/>
    <s v="Invalid-Date"/>
    <s v="Valid"/>
    <s v="Pass"/>
    <s v="Pass"/>
    <s v="July"/>
    <s v="2025"/>
    <m/>
    <n v="15354.449999999999"/>
    <n v="15354.449999999999"/>
    <n v="5697.9499999999989"/>
    <n v="0.37109437329243311"/>
    <n v="0.37109437329243311"/>
  </r>
  <r>
    <x v="799"/>
    <d v="2024-10-10T00:00:00"/>
    <d v="2024-10-17T00:00:00"/>
    <n v="7"/>
    <s v="CUST-8527"/>
    <s v="Isha Nair"/>
    <x v="3"/>
    <x v="0"/>
    <s v="Haryana"/>
    <s v="Gurugram"/>
    <x v="2"/>
    <x v="5"/>
    <s v="Smart Accessories 487"/>
    <x v="4"/>
    <n v="5"/>
    <n v="967.41"/>
    <n v="0.05"/>
    <x v="799"/>
    <n v="3887.41"/>
    <x v="796"/>
    <x v="0"/>
    <x v="2"/>
    <m/>
    <s v="Valid"/>
    <s v="Valid"/>
    <s v="Flagged"/>
    <s v="Pass"/>
    <s v="October"/>
    <s v="2024"/>
    <m/>
    <n v="4837.05"/>
    <n v="4595.1975000000002"/>
    <n v="949.64000000000033"/>
    <n v="0.19632627324505644"/>
    <n v="0.19632627324505644"/>
  </r>
  <r>
    <x v="800"/>
    <d v="2024-03-01T00:00:00"/>
    <d v="2024-07-03T00:00:00"/>
    <n v="124"/>
    <s v="CUST-5015"/>
    <s v="Vikram Iyer"/>
    <x v="1"/>
    <x v="3"/>
    <s v="Maharashtra"/>
    <s v="Mumbai"/>
    <x v="0"/>
    <x v="8"/>
    <s v="Elite Storage 825"/>
    <x v="0"/>
    <n v="6"/>
    <n v="4163.72"/>
    <n v="0.15"/>
    <x v="800"/>
    <n v="16736.09"/>
    <x v="797"/>
    <x v="0"/>
    <x v="0"/>
    <m/>
    <s v="Valid"/>
    <s v="Valid"/>
    <s v="Pass"/>
    <s v="Pass"/>
    <s v="March"/>
    <s v="2024"/>
    <m/>
    <n v="24982.32"/>
    <n v="21234.971999999998"/>
    <n v="8246.23"/>
    <n v="0.33008263443907532"/>
    <n v="0.33008263443907532"/>
  </r>
  <r>
    <x v="801"/>
    <d v="2025-10-08T00:00:00"/>
    <d v="2025-10-15T00:00:00"/>
    <n v="7"/>
    <s v="CUST-3344"/>
    <s v="Aarav Sharma"/>
    <x v="3"/>
    <x v="1"/>
    <s v="Odisha"/>
    <s v="Bhubaneswar"/>
    <x v="2"/>
    <x v="5"/>
    <s v="Pro Accessories 500"/>
    <x v="0"/>
    <n v="3"/>
    <n v="3372.21"/>
    <n v="0.2"/>
    <x v="801"/>
    <n v="6052.43"/>
    <x v="798"/>
    <x v="2"/>
    <x v="1"/>
    <m/>
    <s v="Valid"/>
    <s v="Valid"/>
    <s v="Pass"/>
    <s v="Pass"/>
    <s v="October"/>
    <s v="2025"/>
    <m/>
    <n v="10116.630000000001"/>
    <n v="8093.304000000001"/>
    <n v="4064.2000000000007"/>
    <n v="0.40173456971343224"/>
    <n v="0.40173456971343224"/>
  </r>
  <r>
    <x v="802"/>
    <d v="2025-02-16T00:00:00"/>
    <d v="2025-02-16T00:00:00"/>
    <n v="0"/>
    <s v="CUST-5866"/>
    <s v="Rohan Mehta"/>
    <x v="1"/>
    <x v="1"/>
    <s v="Assam"/>
    <s v="Guwahati"/>
    <x v="1"/>
    <x v="3"/>
    <s v="Pro Furnishings 909"/>
    <x v="0"/>
    <n v="6"/>
    <n v="1441.91"/>
    <n v="0"/>
    <x v="802"/>
    <n v="5254.62"/>
    <x v="799"/>
    <x v="3"/>
    <x v="2"/>
    <m/>
    <s v="Valid"/>
    <s v="Valid"/>
    <s v="Pass"/>
    <s v="Pass"/>
    <s v="February"/>
    <s v="2025"/>
    <m/>
    <n v="8651.4600000000009"/>
    <n v="8651.4600000000009"/>
    <n v="3396.8400000000011"/>
    <n v="0.39263199506210522"/>
    <n v="0.39263199506210522"/>
  </r>
  <r>
    <x v="803"/>
    <d v="2024-12-09T00:00:00"/>
    <d v="2024-12-13T00:00:00"/>
    <n v="4"/>
    <s v="CUST-7180"/>
    <s v="Rohan Mehta"/>
    <x v="0"/>
    <x v="4"/>
    <s v="Jharkhand"/>
    <s v="Ranchi"/>
    <x v="0"/>
    <x v="7"/>
    <s v="Basic Labels 359"/>
    <x v="2"/>
    <n v="1"/>
    <n v="4306.6499999999996"/>
    <n v="0"/>
    <x v="803"/>
    <n v="2568.8200000000002"/>
    <x v="800"/>
    <x v="0"/>
    <x v="0"/>
    <m/>
    <s v="Valid"/>
    <s v="Valid"/>
    <s v="Pass"/>
    <s v="Flagged"/>
    <s v="December"/>
    <s v="2024"/>
    <m/>
    <n v="4306.6499999999996"/>
    <n v="4306.6499999999996"/>
    <n v="1737.8299999999995"/>
    <n v="0.40352245945224235"/>
    <n v="0.40352245945224235"/>
  </r>
  <r>
    <x v="804"/>
    <d v="2025-09-10T00:00:00"/>
    <d v="2025-09-18T00:00:00"/>
    <n v="8"/>
    <s v="CUST-8745"/>
    <s v="Rahul Verma"/>
    <x v="3"/>
    <x v="2"/>
    <s v="Telangana"/>
    <s v="Hyderabad"/>
    <x v="1"/>
    <x v="3"/>
    <s v="Eco Furnishings 541"/>
    <x v="3"/>
    <n v="1"/>
    <n v="2050.62"/>
    <n v="0.05"/>
    <x v="804"/>
    <n v="1507.08"/>
    <x v="801"/>
    <x v="0"/>
    <x v="0"/>
    <m/>
    <s v="Valid"/>
    <s v="Valid"/>
    <s v="Pass"/>
    <s v="Pass"/>
    <s v="September"/>
    <s v="2025"/>
    <m/>
    <n v="2050.62"/>
    <n v="1948.0889999999997"/>
    <n v="543.54"/>
    <n v="0.26506129853410187"/>
    <n v="0.26506129853410187"/>
  </r>
  <r>
    <x v="805"/>
    <d v="2025-04-06T00:00:00"/>
    <d v="2025-04-07T00:00:00"/>
    <n v="1"/>
    <s v="CUST-2098"/>
    <s v="Priya Menon"/>
    <x v="3"/>
    <x v="1"/>
    <s v="Assam"/>
    <s v="Guwahati"/>
    <x v="0"/>
    <x v="9"/>
    <s v="Classic Binders 103"/>
    <x v="0"/>
    <n v="2"/>
    <n v="2030.06"/>
    <n v="0.25"/>
    <x v="805"/>
    <n v="2601.09"/>
    <x v="802"/>
    <x v="0"/>
    <x v="0"/>
    <m/>
    <s v="Valid"/>
    <s v="Valid"/>
    <s v="Pass"/>
    <s v="Pass"/>
    <s v="April"/>
    <s v="2025"/>
    <m/>
    <n v="4060.12"/>
    <n v="3045.09"/>
    <n v="1459.0299999999997"/>
    <n v="0.35935637370324025"/>
    <n v="0.35935637370324025"/>
  </r>
  <r>
    <x v="806"/>
    <d v="2024-11-09T00:00:00"/>
    <d v="2024-11-15T00:00:00"/>
    <n v="6"/>
    <s v="CUST-3704"/>
    <s v="Isha Nair"/>
    <x v="3"/>
    <x v="0"/>
    <s v="Rajasthan"/>
    <s v="Jaipur"/>
    <x v="2"/>
    <x v="6"/>
    <s v="Max Copiers 560"/>
    <x v="3"/>
    <n v="1"/>
    <n v="3665.97"/>
    <n v="0.2"/>
    <x v="806"/>
    <n v="1900.35"/>
    <x v="803"/>
    <x v="3"/>
    <x v="1"/>
    <m/>
    <s v="Valid"/>
    <s v="Valid"/>
    <s v="Pass"/>
    <s v="Pass"/>
    <s v="November"/>
    <s v="2024"/>
    <m/>
    <n v="3665.97"/>
    <n v="2932.7759999999998"/>
    <n v="1765.62"/>
    <n v="0.48162423587754399"/>
    <n v="0.48162423587754399"/>
  </r>
  <r>
    <x v="807"/>
    <d v="2025-02-07T00:00:00"/>
    <d v="2025-08-02T00:00:00"/>
    <n v="176"/>
    <s v="CUST-5884"/>
    <s v="Karan Malhotra"/>
    <x v="1"/>
    <x v="2"/>
    <s v="Telangana"/>
    <s v="Hyderabad"/>
    <x v="0"/>
    <x v="7"/>
    <s v="Smart Labels 436"/>
    <x v="3"/>
    <n v="2"/>
    <n v="2432.98"/>
    <n v="0.1"/>
    <x v="807"/>
    <n v="3723.93"/>
    <x v="804"/>
    <x v="0"/>
    <x v="0"/>
    <m/>
    <s v="Valid"/>
    <s v="Valid"/>
    <s v="Pass"/>
    <s v="Pass"/>
    <s v="February"/>
    <s v="2025"/>
    <m/>
    <n v="4865.96"/>
    <n v="4379.3640000000005"/>
    <n v="1142.0300000000002"/>
    <n v="0.23469777803352271"/>
    <n v="0.23469777803352271"/>
  </r>
  <r>
    <x v="808"/>
    <d v="2025-08-31T00:00:00"/>
    <d v="2025-08-28T00:00:00"/>
    <n v="-3"/>
    <s v="CUST-7503"/>
    <s v="Aarav Sharma"/>
    <x v="1"/>
    <x v="2"/>
    <s v="Tamil Nadu"/>
    <s v="Chennai"/>
    <x v="1"/>
    <x v="3"/>
    <s v="Pro Furnishings 386"/>
    <x v="2"/>
    <n v="7"/>
    <n v="977.28"/>
    <n v="0.2"/>
    <x v="808"/>
    <n v="4477.33"/>
    <x v="805"/>
    <x v="0"/>
    <x v="0"/>
    <m/>
    <s v="Invalid-Date"/>
    <s v="Valid"/>
    <s v="Pass"/>
    <s v="Pass"/>
    <s v="August"/>
    <s v="2025"/>
    <m/>
    <n v="6840.96"/>
    <n v="5472.768"/>
    <n v="2363.63"/>
    <n v="0.3455114486855646"/>
    <n v="0.3455114486855646"/>
  </r>
  <r>
    <x v="809"/>
    <d v="2025-06-25T00:00:00"/>
    <d v="2025-06-25T00:00:00"/>
    <n v="0"/>
    <s v="CUST-6973"/>
    <s v="Arjun Bose"/>
    <x v="1"/>
    <x v="4"/>
    <s v="Punjab"/>
    <s v="Ludhiana"/>
    <x v="0"/>
    <x v="9"/>
    <s v="Eco Binders 601"/>
    <x v="0"/>
    <n v="6"/>
    <n v="1366.13"/>
    <n v="0.1"/>
    <x v="809"/>
    <n v="5085.21"/>
    <x v="806"/>
    <x v="0"/>
    <x v="0"/>
    <m/>
    <s v="Valid"/>
    <s v="Valid"/>
    <s v="Pass"/>
    <s v="Flagged"/>
    <s v="June"/>
    <s v="2025"/>
    <m/>
    <n v="8196.7800000000007"/>
    <n v="7377.1020000000008"/>
    <n v="3111.5700000000006"/>
    <n v="0.37960882200083451"/>
    <n v="0.37960882200083451"/>
  </r>
  <r>
    <x v="810"/>
    <d v="2024-03-04T00:00:00"/>
    <d v="2024-04-08T00:00:00"/>
    <n v="35"/>
    <s v="CUST-4653"/>
    <s v="Kabir Singh"/>
    <x v="3"/>
    <x v="3"/>
    <s v="Gujarat"/>
    <s v="Ahmedabad"/>
    <x v="2"/>
    <x v="6"/>
    <s v="Pro Copiers 867"/>
    <x v="2"/>
    <n v="1"/>
    <n v="3151.85"/>
    <n v="0.25"/>
    <x v="810"/>
    <n v="1471.51"/>
    <x v="807"/>
    <x v="0"/>
    <x v="0"/>
    <m/>
    <s v="Valid"/>
    <s v="Valid"/>
    <s v="Pass"/>
    <s v="Pass"/>
    <s v="March"/>
    <s v="2024"/>
    <m/>
    <n v="3151.85"/>
    <n v="2363.8874999999998"/>
    <n v="1680.34"/>
    <n v="0.53312816282500752"/>
    <n v="0.53312816282500752"/>
  </r>
  <r>
    <x v="811"/>
    <d v="2024-12-12T00:00:00"/>
    <d v="2024-12-19T00:00:00"/>
    <n v="7"/>
    <s v="CUST-3303"/>
    <s v="Rohan Mehta"/>
    <x v="3"/>
    <x v="0"/>
    <s v="Haryana"/>
    <s v="Gurugram"/>
    <x v="2"/>
    <x v="5"/>
    <s v="Eco Accessories 122"/>
    <x v="2"/>
    <n v="2"/>
    <n v="1610.75"/>
    <n v="0.2"/>
    <x v="811"/>
    <n v="1475.87"/>
    <x v="808"/>
    <x v="0"/>
    <x v="0"/>
    <m/>
    <s v="Valid"/>
    <s v="Valid"/>
    <s v="Pass"/>
    <s v="Pass"/>
    <s v="December"/>
    <s v="2024"/>
    <m/>
    <n v="3221.5"/>
    <n v="2577.2000000000003"/>
    <n v="1745.63"/>
    <n v="0.54186869470743448"/>
    <n v="0.54186869470743448"/>
  </r>
  <r>
    <x v="812"/>
    <d v="2024-06-15T00:00:00"/>
    <d v="2024-06-20T00:00:00"/>
    <n v="5"/>
    <s v="CUST-5754"/>
    <s v="Sneha Kapoor"/>
    <x v="1"/>
    <x v="1"/>
    <s v="Jharkhand"/>
    <s v="Ranchi"/>
    <x v="1"/>
    <x v="1"/>
    <s v="Basic Tables 127"/>
    <x v="2"/>
    <n v="8"/>
    <n v="2228.4699999999998"/>
    <n v="0"/>
    <x v="812"/>
    <n v="14122.13"/>
    <x v="809"/>
    <x v="0"/>
    <x v="0"/>
    <m/>
    <s v="Valid"/>
    <s v="Valid"/>
    <s v="Pass"/>
    <s v="Pass"/>
    <s v="June"/>
    <s v="2024"/>
    <m/>
    <n v="17827.759999999998"/>
    <n v="17827.759999999998"/>
    <n v="3705.6299999999992"/>
    <n v="0.20785729671029896"/>
    <n v="0.20785729671029896"/>
  </r>
  <r>
    <x v="813"/>
    <d v="2025-06-04T00:00:00"/>
    <d v="2025-10-04T00:00:00"/>
    <n v="122"/>
    <s v="CUST-7848"/>
    <s v="Rohan Mehta"/>
    <x v="0"/>
    <x v="1"/>
    <s v="Odisha"/>
    <s v="Bhubaneswar"/>
    <x v="1"/>
    <x v="10"/>
    <s v="Elite Bookcases 988"/>
    <x v="3"/>
    <n v="2"/>
    <n v="1337.67"/>
    <n v="0"/>
    <x v="813"/>
    <n v="1595.87"/>
    <x v="810"/>
    <x v="0"/>
    <x v="0"/>
    <m/>
    <s v="Valid"/>
    <s v="Valid"/>
    <s v="Pass"/>
    <s v="Pass"/>
    <s v="June"/>
    <s v="2025"/>
    <m/>
    <n v="2675.34"/>
    <n v="2675.34"/>
    <n v="1079.4700000000003"/>
    <n v="0.40348890234512258"/>
    <n v="0.40348890234512258"/>
  </r>
  <r>
    <x v="814"/>
    <d v="2025-08-06T00:00:00"/>
    <d v="2025-11-08T00:00:00"/>
    <n v="94"/>
    <s v="CUST-9048"/>
    <s v="Arjun Bose"/>
    <x v="0"/>
    <x v="3"/>
    <s v="Madhya Pradesh"/>
    <s v="Indore"/>
    <x v="0"/>
    <x v="7"/>
    <s v="Smart Labels 126"/>
    <x v="2"/>
    <n v="2"/>
    <n v="2375.94"/>
    <n v="0.25"/>
    <x v="814"/>
    <n v="2639.7"/>
    <x v="811"/>
    <x v="0"/>
    <x v="0"/>
    <m/>
    <s v="Valid"/>
    <s v="Valid"/>
    <s v="Pass"/>
    <s v="Pass"/>
    <s v="August"/>
    <s v="2025"/>
    <m/>
    <n v="4751.88"/>
    <n v="3563.91"/>
    <n v="2112.1800000000003"/>
    <n v="0.44449354781686412"/>
    <n v="0.44449354781686412"/>
  </r>
  <r>
    <x v="815"/>
    <d v="2024-01-04T00:00:00"/>
    <d v="2024-08-04T00:00:00"/>
    <n v="213"/>
    <s v="CUST-2951"/>
    <s v="Diya Patel"/>
    <x v="0"/>
    <x v="1"/>
    <s v="Odisha"/>
    <s v="Bhubaneswar"/>
    <x v="2"/>
    <x v="12"/>
    <s v="Max Machines 569"/>
    <x v="3"/>
    <n v="7"/>
    <n v="715.81"/>
    <n v="0.15"/>
    <x v="815"/>
    <n v="3130.32"/>
    <x v="812"/>
    <x v="2"/>
    <x v="1"/>
    <m/>
    <s v="Valid"/>
    <s v="Valid"/>
    <s v="Pass"/>
    <s v="Pass"/>
    <s v="January"/>
    <s v="2024"/>
    <m/>
    <n v="5010.67"/>
    <n v="4259.0694999999996"/>
    <n v="1880.35"/>
    <n v="0.37526917557931372"/>
    <n v="0.37526917557931372"/>
  </r>
  <r>
    <x v="816"/>
    <d v="2024-11-27T00:00:00"/>
    <d v="2024-11-30T00:00:00"/>
    <n v="3"/>
    <s v="CUST-3072"/>
    <s v="Rahul Verma"/>
    <x v="1"/>
    <x v="1"/>
    <s v="Jharkhand"/>
    <s v="Ranchi"/>
    <x v="1"/>
    <x v="3"/>
    <s v="Basic Furnishings 306"/>
    <x v="2"/>
    <n v="1"/>
    <n v="874.3"/>
    <n v="0.1"/>
    <x v="816"/>
    <n v="498.5"/>
    <x v="813"/>
    <x v="0"/>
    <x v="0"/>
    <m/>
    <s v="Valid"/>
    <s v="Valid"/>
    <s v="Pass"/>
    <s v="Pass"/>
    <s v="November"/>
    <s v="2024"/>
    <m/>
    <n v="874.3"/>
    <n v="786.87"/>
    <n v="375.79999999999995"/>
    <n v="0.42982957794807269"/>
    <n v="0.42982957794807269"/>
  </r>
  <r>
    <x v="817"/>
    <d v="2025-04-05T00:00:00"/>
    <d v="2025-05-04T00:00:00"/>
    <n v="29"/>
    <s v="CUST-2221"/>
    <s v="Sneha Kapoor"/>
    <x v="0"/>
    <x v="1"/>
    <s v="Bihar"/>
    <s v="Patna"/>
    <x v="0"/>
    <x v="9"/>
    <s v="Classic Binders 873"/>
    <x v="3"/>
    <n v="6"/>
    <n v="1829.69"/>
    <n v="0.25"/>
    <x v="817"/>
    <n v="4713.79"/>
    <x v="814"/>
    <x v="0"/>
    <x v="0"/>
    <m/>
    <s v="Valid"/>
    <s v="Valid"/>
    <s v="Pass"/>
    <s v="Pass"/>
    <s v="April"/>
    <s v="2025"/>
    <m/>
    <n v="10978.14"/>
    <n v="8233.6049999999996"/>
    <n v="6264.3499999999995"/>
    <n v="0.57062034187940758"/>
    <n v="0.57062034187940758"/>
  </r>
  <r>
    <x v="818"/>
    <d v="2024-09-29T00:00:00"/>
    <d v="2024-10-05T00:00:00"/>
    <n v="6"/>
    <s v="CUST-3943"/>
    <s v="Priya Menon"/>
    <x v="1"/>
    <x v="3"/>
    <s v="Maharashtra"/>
    <s v="Mumbai"/>
    <x v="0"/>
    <x v="7"/>
    <s v="Pro Labels 611"/>
    <x v="2"/>
    <n v="8"/>
    <n v="1981.04"/>
    <n v="-0.14000000000000001"/>
    <x v="818"/>
    <n v="10088.65"/>
    <x v="815"/>
    <x v="0"/>
    <x v="0"/>
    <m/>
    <s v="Valid"/>
    <s v="Invalid-Discount"/>
    <s v="Pass"/>
    <s v="Pass"/>
    <s v="September"/>
    <s v="2024"/>
    <m/>
    <n v="15848.32"/>
    <n v="18067.084800000001"/>
    <n v="5759.67"/>
    <n v="0.36342464059281993"/>
    <n v="0.36342464059281993"/>
  </r>
  <r>
    <x v="819"/>
    <d v="2024-07-31T00:00:00"/>
    <d v="2024-07-31T00:00:00"/>
    <n v="0"/>
    <s v="CUST-7510"/>
    <s v="Karan Malhotra"/>
    <x v="3"/>
    <x v="2"/>
    <s v="Kerala"/>
    <s v="Kochi"/>
    <x v="2"/>
    <x v="12"/>
    <s v="Prime Machines 524"/>
    <x v="3"/>
    <n v="8"/>
    <n v="4246.01"/>
    <n v="0"/>
    <x v="819"/>
    <n v="26902.44"/>
    <x v="816"/>
    <x v="3"/>
    <x v="1"/>
    <m/>
    <s v="Valid"/>
    <s v="Valid"/>
    <s v="Pass"/>
    <s v="Pass"/>
    <s v="July"/>
    <s v="2024"/>
    <m/>
    <n v="33968.080000000002"/>
    <n v="33968.080000000002"/>
    <n v="7065.6400000000031"/>
    <n v="0.20800822419165294"/>
    <n v="0.20800822419165294"/>
  </r>
  <r>
    <x v="820"/>
    <d v="2025-02-06T00:00:00"/>
    <d v="2025-02-10T00:00:00"/>
    <n v="4"/>
    <s v="CUST-2041"/>
    <s v="Ananya Rao"/>
    <x v="3"/>
    <x v="0"/>
    <s v="Uttar Pradesh"/>
    <s v="Noida"/>
    <x v="1"/>
    <x v="10"/>
    <s v="Classic Bookcases 882"/>
    <x v="3"/>
    <n v="2"/>
    <n v="319.57"/>
    <n v="0.2"/>
    <x v="820"/>
    <n v="436.43"/>
    <x v="817"/>
    <x v="0"/>
    <x v="0"/>
    <m/>
    <s v="Valid"/>
    <s v="Valid"/>
    <s v="Pass"/>
    <s v="Pass"/>
    <s v="February"/>
    <s v="2025"/>
    <m/>
    <n v="639.14"/>
    <n v="511.31200000000001"/>
    <n v="202.70999999999998"/>
    <n v="0.31716055950183059"/>
    <n v="0.31716055950183059"/>
  </r>
  <r>
    <x v="821"/>
    <d v="2024-07-03T00:00:00"/>
    <d v="2024-07-06T00:00:00"/>
    <n v="3"/>
    <s v="CUST-4466"/>
    <s v="Aarav Sharma"/>
    <x v="2"/>
    <x v="2"/>
    <s v="Karnataka"/>
    <s v="Bengaluru"/>
    <x v="2"/>
    <x v="5"/>
    <s v="Classic Accessories 471"/>
    <x v="2"/>
    <n v="7"/>
    <n v="1942.49"/>
    <n v="0.2"/>
    <x v="821"/>
    <n v="9110.14"/>
    <x v="818"/>
    <x v="0"/>
    <x v="0"/>
    <m/>
    <s v="Valid"/>
    <s v="Valid"/>
    <s v="Pass"/>
    <s v="Pass"/>
    <s v="July"/>
    <s v="2024"/>
    <m/>
    <n v="13597.43"/>
    <n v="10877.944000000001"/>
    <n v="4487.2900000000009"/>
    <n v="0.33001015633101261"/>
    <n v="0.33001015633101261"/>
  </r>
  <r>
    <x v="822"/>
    <d v="2024-12-10T00:00:00"/>
    <d v="2024-08-10T00:00:00"/>
    <n v="-122"/>
    <s v="CUST-3188"/>
    <s v="Mira Das"/>
    <x v="2"/>
    <x v="1"/>
    <s v="Assam"/>
    <s v="Guwahati"/>
    <x v="1"/>
    <x v="3"/>
    <s v="Smart Furnishings 175"/>
    <x v="0"/>
    <n v="4"/>
    <n v="3202.04"/>
    <n v="0.2"/>
    <x v="822"/>
    <n v="8634.42"/>
    <x v="819"/>
    <x v="2"/>
    <x v="2"/>
    <m/>
    <s v="Invalid-Date"/>
    <s v="Valid"/>
    <s v="Pass"/>
    <s v="Pass"/>
    <s v="December"/>
    <s v="2024"/>
    <m/>
    <n v="12808.16"/>
    <n v="10246.528"/>
    <n v="4173.74"/>
    <n v="0.32586569811745009"/>
    <n v="0.32586569811745009"/>
  </r>
  <r>
    <x v="823"/>
    <d v="2025-01-06T00:00:00"/>
    <d v="2025-12-01T00:00:00"/>
    <n v="329"/>
    <s v="CUST-6638"/>
    <s v="Mira Das"/>
    <x v="3"/>
    <x v="3"/>
    <s v="Goa"/>
    <s v="Panaji"/>
    <x v="0"/>
    <x v="0"/>
    <s v="Basic Paper 899"/>
    <x v="1"/>
    <n v="3"/>
    <n v="668.33"/>
    <n v="0.15"/>
    <x v="823"/>
    <n v="957.55"/>
    <x v="820"/>
    <x v="0"/>
    <x v="0"/>
    <m/>
    <s v="Valid"/>
    <s v="Valid"/>
    <s v="Pass"/>
    <s v="Pass"/>
    <s v="January"/>
    <s v="2025"/>
    <m/>
    <n v="2004.9900000000002"/>
    <n v="1704.2415000000001"/>
    <n v="1047.4400000000003"/>
    <n v="0.52241657065621283"/>
    <n v="0.52241657065621283"/>
  </r>
  <r>
    <x v="824"/>
    <d v="2025-03-21T00:00:00"/>
    <d v="2025-03-22T00:00:00"/>
    <n v="1"/>
    <s v="CUST-3540"/>
    <s v="Priya Menon"/>
    <x v="0"/>
    <x v="3"/>
    <s v="Goa"/>
    <s v="Panaji"/>
    <x v="0"/>
    <x v="0"/>
    <s v="Pro Paper 267"/>
    <x v="2"/>
    <n v="8"/>
    <n v="4436.74"/>
    <n v="0.05"/>
    <x v="824"/>
    <n v="28924.43"/>
    <x v="821"/>
    <x v="0"/>
    <x v="0"/>
    <m/>
    <s v="Valid"/>
    <s v="Valid"/>
    <s v="Pass"/>
    <s v="Pass"/>
    <s v="March"/>
    <s v="2025"/>
    <m/>
    <n v="35493.919999999998"/>
    <n v="33719.223999999995"/>
    <n v="6569.489999999998"/>
    <n v="0.18508775587480894"/>
    <n v="0.18508775587480894"/>
  </r>
  <r>
    <x v="825"/>
    <d v="2025-04-16T00:00:00"/>
    <d v="2025-04-17T00:00:00"/>
    <n v="1"/>
    <s v="CUST-3351"/>
    <s v="Vikram Iyer"/>
    <x v="1"/>
    <x v="0"/>
    <s v="Uttar Pradesh"/>
    <s v="Noida"/>
    <x v="2"/>
    <x v="12"/>
    <s v="Basic Machines 832"/>
    <x v="2"/>
    <n v="1"/>
    <n v="2720.17"/>
    <n v="0"/>
    <x v="825"/>
    <n v="1834.23"/>
    <x v="822"/>
    <x v="0"/>
    <x v="0"/>
    <m/>
    <s v="Valid"/>
    <s v="Valid"/>
    <s v="Pass"/>
    <s v="Pass"/>
    <s v="April"/>
    <s v="2025"/>
    <m/>
    <n v="2720.17"/>
    <n v="2720.17"/>
    <n v="885.94"/>
    <n v="0.3256928794891496"/>
    <n v="0.3256928794891496"/>
  </r>
  <r>
    <x v="826"/>
    <d v="2025-08-10T00:00:00"/>
    <d v="2025-08-14T00:00:00"/>
    <n v="4"/>
    <s v="CUST-4375"/>
    <s v="Aditi Sen"/>
    <x v="0"/>
    <x v="3"/>
    <s v="Rajasthan"/>
    <s v="Udaipur"/>
    <x v="2"/>
    <x v="5"/>
    <s v="Elite Accessories 790"/>
    <x v="3"/>
    <n v="5"/>
    <n v="2190.14"/>
    <n v="0.25"/>
    <x v="826"/>
    <n v="5569.3"/>
    <x v="823"/>
    <x v="0"/>
    <x v="0"/>
    <m/>
    <s v="Valid"/>
    <s v="Valid"/>
    <s v="Pass"/>
    <s v="Pass"/>
    <s v="August"/>
    <s v="2025"/>
    <m/>
    <n v="10950.699999999999"/>
    <n v="8213.0249999999996"/>
    <n v="5381.3999999999987"/>
    <n v="0.49142063977645256"/>
    <n v="0.49142063977645256"/>
  </r>
  <r>
    <x v="827"/>
    <d v="2024-11-24T00:00:00"/>
    <d v="2024-12-01T00:00:00"/>
    <n v="7"/>
    <s v="CUST-5125"/>
    <s v="Priya Menon"/>
    <x v="3"/>
    <x v="2"/>
    <s v="Tamil Nadu"/>
    <s v="Chennai"/>
    <x v="0"/>
    <x v="0"/>
    <s v="Basic Paper 707"/>
    <x v="1"/>
    <n v="1"/>
    <n v="844.89"/>
    <n v="0.25"/>
    <x v="827"/>
    <n v="520.47"/>
    <x v="824"/>
    <x v="0"/>
    <x v="1"/>
    <m/>
    <s v="Valid"/>
    <s v="Valid"/>
    <s v="Pass"/>
    <s v="Pass"/>
    <s v="November"/>
    <s v="2024"/>
    <m/>
    <n v="844.89"/>
    <n v="633.66750000000002"/>
    <n v="324.41999999999996"/>
    <n v="0.38397897951212578"/>
    <n v="0.38397897951212578"/>
  </r>
  <r>
    <x v="828"/>
    <d v="2025-10-10T00:00:00"/>
    <d v="2025-10-11T00:00:00"/>
    <n v="1"/>
    <s v="CUST-6010"/>
    <s v="Karan Malhotra"/>
    <x v="2"/>
    <x v="1"/>
    <s v="Odisha"/>
    <s v="Bhubaneswar"/>
    <x v="1"/>
    <x v="4"/>
    <s v="Elite Chairs 979"/>
    <x v="0"/>
    <n v="7"/>
    <n v="3791.96"/>
    <n v="0.05"/>
    <x v="828"/>
    <n v="14216.94"/>
    <x v="825"/>
    <x v="3"/>
    <x v="1"/>
    <m/>
    <s v="Valid"/>
    <s v="Valid"/>
    <s v="Pass"/>
    <s v="Pass"/>
    <s v="October"/>
    <s v="2025"/>
    <m/>
    <n v="26543.72"/>
    <n v="25216.534"/>
    <n v="12326.78"/>
    <n v="0.46439534473690952"/>
    <n v="0.46439534473690952"/>
  </r>
  <r>
    <x v="829"/>
    <d v="2024-02-26T00:00:00"/>
    <d v="2024-02-28T00:00:00"/>
    <n v="2"/>
    <s v="CUST-9036"/>
    <s v="Aditi Sen"/>
    <x v="1"/>
    <x v="3"/>
    <s v="Goa"/>
    <s v="Panaji"/>
    <x v="1"/>
    <x v="3"/>
    <s v="Pro Furnishings 192"/>
    <x v="0"/>
    <n v="7"/>
    <n v="1035.1400000000001"/>
    <n v="0.1"/>
    <x v="829"/>
    <n v="4511.1000000000004"/>
    <x v="826"/>
    <x v="0"/>
    <x v="0"/>
    <m/>
    <s v="Valid"/>
    <s v="Valid"/>
    <s v="Pass"/>
    <s v="Pass"/>
    <s v="February"/>
    <s v="2024"/>
    <m/>
    <n v="7245.9800000000005"/>
    <n v="6521.3820000000005"/>
    <n v="2734.88"/>
    <n v="0.37743410829177004"/>
    <n v="0.37743410829177004"/>
  </r>
  <r>
    <x v="830"/>
    <d v="2025-07-15T00:00:00"/>
    <d v="2025-07-18T00:00:00"/>
    <n v="3"/>
    <s v="CUST-7929"/>
    <s v="Aditi Sen"/>
    <x v="1"/>
    <x v="4"/>
    <s v="Tamil Nadu"/>
    <s v="Chennai"/>
    <x v="2"/>
    <x v="12"/>
    <s v="Smart Machines 951"/>
    <x v="2"/>
    <n v="6"/>
    <n v="2382.88"/>
    <n v="0.1"/>
    <x v="830"/>
    <n v="10068.94"/>
    <x v="827"/>
    <x v="0"/>
    <x v="0"/>
    <m/>
    <s v="Valid"/>
    <s v="Valid"/>
    <s v="Pass"/>
    <s v="Flagged"/>
    <s v="July"/>
    <s v="2025"/>
    <m/>
    <n v="14297.28"/>
    <n v="12867.552000000001"/>
    <n v="4228.34"/>
    <n v="0.2957443653618031"/>
    <n v="0.2957443653618031"/>
  </r>
  <r>
    <x v="831"/>
    <d v="2025-03-04T00:00:00"/>
    <d v="2025-04-03T00:00:00"/>
    <n v="30"/>
    <s v="CUST-1106"/>
    <s v="Diya Patel"/>
    <x v="3"/>
    <x v="4"/>
    <s v="Haryana"/>
    <s v="Gurugram"/>
    <x v="1"/>
    <x v="4"/>
    <s v="Smart Chairs 794"/>
    <x v="2"/>
    <n v="9"/>
    <n v="3462.7"/>
    <n v="0.15"/>
    <x v="831"/>
    <n v="15818.46"/>
    <x v="828"/>
    <x v="3"/>
    <x v="2"/>
    <m/>
    <s v="Valid"/>
    <s v="Valid"/>
    <s v="Pass"/>
    <s v="Flagged"/>
    <s v="March"/>
    <s v="2025"/>
    <m/>
    <n v="31164.3"/>
    <n v="26489.654999999999"/>
    <n v="15345.84"/>
    <n v="0.49241728516283056"/>
    <n v="0.49241728516283056"/>
  </r>
  <r>
    <x v="832"/>
    <d v="2025-05-26T00:00:00"/>
    <d v="2025-05-28T00:00:00"/>
    <n v="2"/>
    <s v="CUST-9557"/>
    <s v="Kabir Singh"/>
    <x v="1"/>
    <x v="2"/>
    <s v="Andhra Pradesh"/>
    <s v="Vijayawada"/>
    <x v="2"/>
    <x v="11"/>
    <s v="Max Phones 919"/>
    <x v="0"/>
    <n v="9"/>
    <n v="4302.0200000000004"/>
    <n v="0.05"/>
    <x v="832"/>
    <n v="25902.81"/>
    <x v="829"/>
    <x v="0"/>
    <x v="0"/>
    <m/>
    <s v="Valid"/>
    <s v="Valid"/>
    <s v="Pass"/>
    <s v="Pass"/>
    <s v="May"/>
    <s v="2025"/>
    <m/>
    <n v="38718.180000000008"/>
    <n v="36782.271000000008"/>
    <n v="12815.370000000006"/>
    <n v="0.33099102282183729"/>
    <n v="0.33099102282183729"/>
  </r>
  <r>
    <x v="833"/>
    <d v="2024-06-04T00:00:00"/>
    <d v="2024-04-06T00:00:00"/>
    <n v="-59"/>
    <s v="CUST-2689"/>
    <s v="Rahul Verma"/>
    <x v="3"/>
    <x v="1"/>
    <s v="West Bengal"/>
    <s v="Kolkata"/>
    <x v="1"/>
    <x v="10"/>
    <s v="Basic Bookcases 499"/>
    <x v="2"/>
    <n v="6"/>
    <n v="3949.4"/>
    <n v="0"/>
    <x v="833"/>
    <n v="18109.77"/>
    <x v="830"/>
    <x v="0"/>
    <x v="0"/>
    <m/>
    <s v="Invalid-Date"/>
    <s v="Valid"/>
    <s v="Pass"/>
    <s v="Pass"/>
    <s v="June"/>
    <s v="2024"/>
    <m/>
    <n v="23696.400000000001"/>
    <n v="23696.400000000001"/>
    <n v="5586.630000000001"/>
    <n v="0.23575859624246723"/>
    <n v="0.23575859624246723"/>
  </r>
  <r>
    <x v="834"/>
    <d v="2024-10-18T00:00:00"/>
    <d v="2024-10-22T00:00:00"/>
    <n v="4"/>
    <s v="CUST-2879"/>
    <s v="Aarav Sharma"/>
    <x v="3"/>
    <x v="2"/>
    <s v="Telangana"/>
    <s v="Hyderabad"/>
    <x v="0"/>
    <x v="2"/>
    <s v="Basic Art 143"/>
    <x v="2"/>
    <n v="6"/>
    <n v="674.61"/>
    <n v="0"/>
    <x v="834"/>
    <n v="3078.93"/>
    <x v="831"/>
    <x v="0"/>
    <x v="0"/>
    <m/>
    <s v="Valid"/>
    <s v="Valid"/>
    <s v="Pass"/>
    <s v="Pass"/>
    <s v="October"/>
    <s v="2024"/>
    <m/>
    <n v="4047.66"/>
    <n v="4047.66"/>
    <n v="968.73"/>
    <n v="0.23933087265234729"/>
    <n v="0.23933087265234729"/>
  </r>
  <r>
    <x v="835"/>
    <d v="2025-09-26T00:00:00"/>
    <d v="2025-10-04T00:00:00"/>
    <n v="8"/>
    <s v="CUST-5150"/>
    <s v="Priya Menon"/>
    <x v="1"/>
    <x v="1"/>
    <s v="Assam"/>
    <s v="Guwahati"/>
    <x v="2"/>
    <x v="11"/>
    <s v="Prime Phones 338"/>
    <x v="0"/>
    <n v="7"/>
    <n v="1509.59"/>
    <n v="0.05"/>
    <x v="835"/>
    <n v="5673.1"/>
    <x v="832"/>
    <x v="0"/>
    <x v="0"/>
    <m/>
    <s v="Valid"/>
    <s v="Valid"/>
    <s v="Pass"/>
    <s v="Pass"/>
    <s v="September"/>
    <s v="2025"/>
    <m/>
    <n v="10567.13"/>
    <n v="10038.773499999999"/>
    <n v="4894.0299999999988"/>
    <n v="0.46313710534459207"/>
    <n v="0.46313710534459207"/>
  </r>
  <r>
    <x v="836"/>
    <d v="2024-12-15T00:00:00"/>
    <d v="2024-12-18T00:00:00"/>
    <n v="3"/>
    <s v="CUST-9776"/>
    <s v="Isha Nair"/>
    <x v="1"/>
    <x v="0"/>
    <s v="Rajasthan"/>
    <s v="Jaipur"/>
    <x v="0"/>
    <x v="7"/>
    <s v="Smart Labels 814"/>
    <x v="0"/>
    <n v="2"/>
    <n v="537.11"/>
    <n v="0"/>
    <x v="836"/>
    <n v="850.86"/>
    <x v="833"/>
    <x v="0"/>
    <x v="0"/>
    <m/>
    <s v="Valid"/>
    <s v="Valid"/>
    <s v="Pass"/>
    <s v="Pass"/>
    <s v="December"/>
    <s v="2024"/>
    <m/>
    <n v="1074.22"/>
    <n v="1074.22"/>
    <n v="223.36"/>
    <n v="0.20792761259332354"/>
    <n v="0.20792761259332354"/>
  </r>
  <r>
    <x v="837"/>
    <d v="2025-09-27T00:00:00"/>
    <d v="2025-09-28T00:00:00"/>
    <n v="1"/>
    <s v="CUST-2551"/>
    <s v="Karan Malhotra"/>
    <x v="3"/>
    <x v="3"/>
    <s v="Maharashtra"/>
    <s v="Mumbai"/>
    <x v="0"/>
    <x v="0"/>
    <s v="Prime Paper 812"/>
    <x v="2"/>
    <n v="3"/>
    <n v="4177.63"/>
    <n v="0.25"/>
    <x v="837"/>
    <n v="6540.37"/>
    <x v="834"/>
    <x v="0"/>
    <x v="0"/>
    <m/>
    <s v="Valid"/>
    <s v="Valid"/>
    <s v="Pass"/>
    <s v="Pass"/>
    <s v="September"/>
    <s v="2025"/>
    <m/>
    <n v="12532.89"/>
    <n v="9399.6674999999996"/>
    <n v="5992.5199999999995"/>
    <n v="0.47814350879964634"/>
    <n v="0.47814350879964634"/>
  </r>
  <r>
    <x v="838"/>
    <d v="2025-03-04T00:00:00"/>
    <d v="2025-07-04T00:00:00"/>
    <n v="122"/>
    <s v="CUST-4708"/>
    <s v="Ananya Rao"/>
    <x v="1"/>
    <x v="3"/>
    <s v="Goa"/>
    <s v="Panaji"/>
    <x v="0"/>
    <x v="0"/>
    <s v="Pro Paper 355"/>
    <x v="1"/>
    <n v="1"/>
    <n v="1470.57"/>
    <n v="0"/>
    <x v="838"/>
    <n v="834.02"/>
    <x v="835"/>
    <x v="0"/>
    <x v="2"/>
    <m/>
    <s v="Valid"/>
    <s v="Valid"/>
    <s v="Pass"/>
    <s v="Pass"/>
    <s v="March"/>
    <s v="2025"/>
    <m/>
    <n v="1470.57"/>
    <n v="1470.57"/>
    <n v="636.54999999999995"/>
    <n v="0.43285936745615644"/>
    <n v="0.43285936745615644"/>
  </r>
  <r>
    <x v="839"/>
    <d v="2024-09-20T00:00:00"/>
    <d v="2024-09-22T00:00:00"/>
    <n v="2"/>
    <s v="CUST-8206"/>
    <s v="Rohan Mehta"/>
    <x v="3"/>
    <x v="1"/>
    <s v="Odisha"/>
    <s v="Bhubaneswar"/>
    <x v="2"/>
    <x v="11"/>
    <s v="Basic Phones 398"/>
    <x v="3"/>
    <n v="8"/>
    <n v="531.42999999999995"/>
    <n v="0.1"/>
    <x v="839"/>
    <n v="2194.12"/>
    <x v="836"/>
    <x v="0"/>
    <x v="0"/>
    <m/>
    <s v="Valid"/>
    <s v="Valid"/>
    <s v="Pass"/>
    <s v="Pass"/>
    <s v="September"/>
    <s v="2024"/>
    <m/>
    <n v="4251.4399999999996"/>
    <n v="3826.2959999999998"/>
    <n v="2057.3199999999997"/>
    <n v="0.48391133357168392"/>
    <n v="0.48391133357168392"/>
  </r>
  <r>
    <x v="840"/>
    <d v="2025-09-19T00:00:00"/>
    <d v="2025-09-19T00:00:00"/>
    <n v="0"/>
    <s v="CUST-1297"/>
    <s v="Neha Gupta"/>
    <x v="3"/>
    <x v="0"/>
    <s v="Delhi"/>
    <s v="New Delhi"/>
    <x v="1"/>
    <x v="4"/>
    <s v="Classic Chairs 204"/>
    <x v="1"/>
    <n v="4"/>
    <n v="1584.11"/>
    <n v="0"/>
    <x v="840"/>
    <n v="4680.68"/>
    <x v="837"/>
    <x v="0"/>
    <x v="0"/>
    <m/>
    <s v="Valid"/>
    <s v="Valid"/>
    <s v="Pass"/>
    <s v="Pass"/>
    <s v="September"/>
    <s v="2025"/>
    <m/>
    <n v="6336.44"/>
    <n v="6336.44"/>
    <n v="1655.7599999999993"/>
    <n v="0.26130761121386764"/>
    <n v="0.26130761121386764"/>
  </r>
  <r>
    <x v="841"/>
    <d v="2025-02-06T00:00:00"/>
    <d v="2025-12-02T00:00:00"/>
    <n v="299"/>
    <s v="CUST-7558"/>
    <s v="Ananya Rao"/>
    <x v="1"/>
    <x v="1"/>
    <s v="Bihar"/>
    <s v="Patna"/>
    <x v="0"/>
    <x v="2"/>
    <s v="Max Art 339"/>
    <x v="3"/>
    <n v="9"/>
    <n v="3237.16"/>
    <n v="0.25"/>
    <x v="841"/>
    <n v="16600.13"/>
    <x v="838"/>
    <x v="0"/>
    <x v="0"/>
    <m/>
    <s v="Valid"/>
    <s v="Valid"/>
    <s v="Pass"/>
    <s v="Pass"/>
    <s v="February"/>
    <s v="2025"/>
    <m/>
    <n v="29134.44"/>
    <n v="21850.829999999998"/>
    <n v="12534.309999999998"/>
    <n v="0.43022313111218197"/>
    <n v="0.43022313111218197"/>
  </r>
  <r>
    <x v="842"/>
    <d v="2024-03-31T00:00:00"/>
    <d v="2024-03-30T00:00:00"/>
    <n v="-1"/>
    <s v="CUST-1798"/>
    <s v="Kabir Singh"/>
    <x v="0"/>
    <x v="0"/>
    <s v="Haryana"/>
    <s v="Gurugram"/>
    <x v="2"/>
    <x v="12"/>
    <s v="Smart Machines 581"/>
    <x v="2"/>
    <n v="4"/>
    <n v="2192.08"/>
    <n v="0.15"/>
    <x v="842"/>
    <n v="5133.78"/>
    <x v="839"/>
    <x v="0"/>
    <x v="2"/>
    <m/>
    <s v="Invalid-Date"/>
    <s v="Valid"/>
    <s v="Pass"/>
    <s v="Pass"/>
    <s v="March"/>
    <s v="2024"/>
    <m/>
    <n v="8768.32"/>
    <n v="7453.0719999999992"/>
    <n v="3634.54"/>
    <n v="0.41450813838910988"/>
    <n v="0.41450813838910988"/>
  </r>
  <r>
    <x v="843"/>
    <d v="2025-07-18T00:00:00"/>
    <d v="2025-07-25T00:00:00"/>
    <n v="7"/>
    <s v="CUST-7333"/>
    <s v="Priya Menon"/>
    <x v="1"/>
    <x v="0"/>
    <s v="Uttar Pradesh"/>
    <s v="Noida"/>
    <x v="2"/>
    <x v="11"/>
    <s v="Prime Phones 482"/>
    <x v="2"/>
    <n v="9"/>
    <n v="3989.52"/>
    <n v="-0.02"/>
    <x v="843"/>
    <n v="23916.1"/>
    <x v="840"/>
    <x v="0"/>
    <x v="0"/>
    <m/>
    <s v="Valid"/>
    <s v="Invalid-Discount"/>
    <s v="Pass"/>
    <s v="Pass"/>
    <s v="July"/>
    <s v="2025"/>
    <m/>
    <n v="35905.68"/>
    <n v="36623.793600000005"/>
    <n v="11989.580000000002"/>
    <n v="0.33391875602968674"/>
    <n v="0.33391875602968674"/>
  </r>
  <r>
    <x v="844"/>
    <d v="2025-01-20T00:00:00"/>
    <d v="2025-01-25T00:00:00"/>
    <n v="5"/>
    <s v="CUST-2086"/>
    <s v="Aditi Sen"/>
    <x v="3"/>
    <x v="3"/>
    <s v="Goa"/>
    <s v="Panaji"/>
    <x v="0"/>
    <x v="2"/>
    <s v="Pro Art 588"/>
    <x v="2"/>
    <n v="1"/>
    <n v="3515.15"/>
    <n v="0"/>
    <x v="844"/>
    <n v="2216.34"/>
    <x v="841"/>
    <x v="0"/>
    <x v="0"/>
    <m/>
    <s v="Valid"/>
    <s v="Valid"/>
    <s v="Pass"/>
    <s v="Pass"/>
    <s v="January"/>
    <s v="2025"/>
    <m/>
    <n v="3515.15"/>
    <n v="3515.15"/>
    <n v="1298.81"/>
    <n v="0.36948921098672882"/>
    <n v="0.36948921098672882"/>
  </r>
  <r>
    <x v="845"/>
    <d v="2024-02-23T00:00:00"/>
    <d v="2024-02-27T00:00:00"/>
    <n v="4"/>
    <s v="CUST-2367"/>
    <s v="Karan Malhotra"/>
    <x v="0"/>
    <x v="1"/>
    <s v="Odisha"/>
    <s v="Bhubaneswar"/>
    <x v="1"/>
    <x v="1"/>
    <s v="Eco Tables 792"/>
    <x v="2"/>
    <n v="9"/>
    <n v="3616.23"/>
    <n v="0.25"/>
    <x v="845"/>
    <n v="17157.580000000002"/>
    <x v="842"/>
    <x v="2"/>
    <x v="2"/>
    <m/>
    <s v="Valid"/>
    <s v="Valid"/>
    <s v="Pass"/>
    <s v="Pass"/>
    <s v="February"/>
    <s v="2024"/>
    <m/>
    <n v="32546.07"/>
    <n v="24409.552499999998"/>
    <n v="15388.489999999998"/>
    <n v="0.47282175697403706"/>
    <n v="0.47282175697403706"/>
  </r>
  <r>
    <x v="846"/>
    <d v="2024-04-14T00:00:00"/>
    <d v="2024-04-22T00:00:00"/>
    <n v="8"/>
    <s v="CUST-6522"/>
    <s v="Priya Menon"/>
    <x v="1"/>
    <x v="3"/>
    <s v="Gujarat"/>
    <s v="Ahmedabad"/>
    <x v="1"/>
    <x v="10"/>
    <s v="Prime Bookcases 177"/>
    <x v="3"/>
    <n v="2"/>
    <n v="3977.52"/>
    <n v="0"/>
    <x v="846"/>
    <n v="5580.68"/>
    <x v="843"/>
    <x v="2"/>
    <x v="2"/>
    <m/>
    <s v="Valid"/>
    <s v="Valid"/>
    <s v="Pass"/>
    <s v="Pass"/>
    <s v="April"/>
    <s v="2024"/>
    <m/>
    <n v="7955.04"/>
    <n v="7955.04"/>
    <n v="2374.3599999999997"/>
    <n v="0.29847241497214339"/>
    <n v="0.29847241497214339"/>
  </r>
  <r>
    <x v="847"/>
    <d v="2025-05-20T00:00:00"/>
    <d v="2025-05-22T00:00:00"/>
    <n v="2"/>
    <s v="CUST-8329"/>
    <s v="Diya Patel"/>
    <x v="3"/>
    <x v="1"/>
    <s v="Odisha"/>
    <s v="Bhubaneswar"/>
    <x v="1"/>
    <x v="1"/>
    <s v="Pro Tables 828"/>
    <x v="0"/>
    <n v="2"/>
    <n v="210.08"/>
    <n v="0.2"/>
    <x v="847"/>
    <n v="242.19"/>
    <x v="844"/>
    <x v="0"/>
    <x v="0"/>
    <m/>
    <s v="Valid"/>
    <s v="Valid"/>
    <s v="Pass"/>
    <s v="Pass"/>
    <s v="May"/>
    <s v="2025"/>
    <m/>
    <n v="420.16"/>
    <n v="336.12800000000004"/>
    <n v="177.97000000000003"/>
    <n v="0.42357673267326734"/>
    <n v="0.42357673267326734"/>
  </r>
  <r>
    <x v="848"/>
    <d v="2025-05-27T00:00:00"/>
    <d v="2025-05-29T00:00:00"/>
    <n v="2"/>
    <s v="CUST-4426"/>
    <s v="Rahul Verma"/>
    <x v="3"/>
    <x v="2"/>
    <s v="Tamil Nadu"/>
    <s v="Chennai"/>
    <x v="1"/>
    <x v="3"/>
    <s v="Elite Furnishings 480"/>
    <x v="0"/>
    <n v="1"/>
    <n v="1744.35"/>
    <n v="0.25"/>
    <x v="848"/>
    <n v="1083.56"/>
    <x v="845"/>
    <x v="0"/>
    <x v="0"/>
    <m/>
    <s v="Valid"/>
    <s v="Valid"/>
    <s v="Pass"/>
    <s v="Pass"/>
    <s v="May"/>
    <s v="2025"/>
    <m/>
    <n v="1744.35"/>
    <n v="1308.2624999999998"/>
    <n v="660.79"/>
    <n v="0.37881732450482986"/>
    <n v="0.37881732450482986"/>
  </r>
  <r>
    <x v="849"/>
    <d v="2024-03-06T00:00:00"/>
    <d v="2024-03-12T00:00:00"/>
    <n v="6"/>
    <s v="CUST-3360"/>
    <s v="Isha Nair"/>
    <x v="3"/>
    <x v="3"/>
    <s v="Gujarat"/>
    <s v="Ahmedabad"/>
    <x v="1"/>
    <x v="10"/>
    <s v="Prime Bookcases 755"/>
    <x v="3"/>
    <n v="3"/>
    <n v="679.63"/>
    <n v="0.2"/>
    <x v="849"/>
    <n v="898.73"/>
    <x v="846"/>
    <x v="0"/>
    <x v="0"/>
    <m/>
    <s v="Valid"/>
    <s v="Valid"/>
    <s v="Pass"/>
    <s v="Pass"/>
    <s v="March"/>
    <s v="2024"/>
    <m/>
    <n v="2038.8899999999999"/>
    <n v="1631.1120000000001"/>
    <n v="1140.1599999999999"/>
    <n v="0.55920623476499465"/>
    <n v="0.55920623476499465"/>
  </r>
  <r>
    <x v="850"/>
    <d v="2024-06-30T00:00:00"/>
    <d v="2024-03-07T00:00:00"/>
    <n v="-115"/>
    <s v="CUST-2623"/>
    <s v="Priya Menon"/>
    <x v="3"/>
    <x v="1"/>
    <s v="West Bengal"/>
    <s v="Kolkata"/>
    <x v="0"/>
    <x v="0"/>
    <s v="Prime Paper 317"/>
    <x v="2"/>
    <n v="6"/>
    <n v="1211.01"/>
    <n v="0"/>
    <x v="850"/>
    <n v="6216.89"/>
    <x v="847"/>
    <x v="0"/>
    <x v="0"/>
    <m/>
    <s v="Invalid-Date"/>
    <s v="Valid"/>
    <s v="Pass"/>
    <s v="Pass"/>
    <s v="June"/>
    <s v="2024"/>
    <m/>
    <n v="7266.0599999999995"/>
    <n v="7266.0599999999995"/>
    <n v="1049.1699999999992"/>
    <n v="0.14439324750965438"/>
    <n v="0.14439324750965438"/>
  </r>
  <r>
    <x v="851"/>
    <d v="2024-03-26T00:00:00"/>
    <d v="2024-01-04T00:00:00"/>
    <n v="-82"/>
    <s v="CUST-3175"/>
    <s v="Karan Malhotra"/>
    <x v="1"/>
    <x v="3"/>
    <s v="Gujarat"/>
    <s v="Ahmedabad"/>
    <x v="2"/>
    <x v="5"/>
    <s v="Classic Accessories 933"/>
    <x v="2"/>
    <n v="2"/>
    <n v="1161.3"/>
    <n v="0.2"/>
    <x v="851"/>
    <n v="1590.75"/>
    <x v="848"/>
    <x v="0"/>
    <x v="0"/>
    <m/>
    <s v="Invalid-Date"/>
    <s v="Valid"/>
    <s v="Pass"/>
    <s v="Pass"/>
    <s v="March"/>
    <s v="2024"/>
    <m/>
    <n v="2322.6"/>
    <n v="1858.08"/>
    <n v="731.84999999999991"/>
    <n v="0.31509945750452079"/>
    <n v="0.31509945750452079"/>
  </r>
  <r>
    <x v="852"/>
    <d v="2024-04-01T00:00:00"/>
    <d v="2024-04-08T00:00:00"/>
    <n v="7"/>
    <s v="CUST-9630"/>
    <s v="Ananya Rao"/>
    <x v="0"/>
    <x v="1"/>
    <s v="Assam"/>
    <s v="Guwahati"/>
    <x v="1"/>
    <x v="1"/>
    <s v="Smart Tables 513"/>
    <x v="0"/>
    <n v="7"/>
    <n v="4205.3500000000004"/>
    <n v="0.15"/>
    <x v="852"/>
    <n v="15544.44"/>
    <x v="849"/>
    <x v="2"/>
    <x v="1"/>
    <m/>
    <s v="Valid"/>
    <s v="Valid"/>
    <s v="Pass"/>
    <s v="Pass"/>
    <s v="April"/>
    <s v="2024"/>
    <m/>
    <n v="29437.450000000004"/>
    <n v="25021.832500000004"/>
    <n v="13893.010000000004"/>
    <n v="0.47195018590265125"/>
    <n v="0.47195018590265125"/>
  </r>
  <r>
    <x v="853"/>
    <d v="2025-05-16T00:00:00"/>
    <d v="2025-05-22T00:00:00"/>
    <n v="6"/>
    <s v="CUST-8274"/>
    <s v="Arjun Bose"/>
    <x v="2"/>
    <x v="2"/>
    <s v="Tamil Nadu"/>
    <s v="Chennai"/>
    <x v="2"/>
    <x v="5"/>
    <s v="Elite Accessories 708"/>
    <x v="1"/>
    <n v="8"/>
    <n v="579.79999999999995"/>
    <n v="0.2"/>
    <x v="853"/>
    <n v="3115.29"/>
    <x v="850"/>
    <x v="0"/>
    <x v="0"/>
    <m/>
    <s v="Valid"/>
    <s v="Valid"/>
    <s v="Pass"/>
    <s v="Pass"/>
    <s v="May"/>
    <s v="2025"/>
    <m/>
    <n v="4638.3999999999996"/>
    <n v="3710.72"/>
    <n v="1523.1099999999997"/>
    <n v="0.32836969644705066"/>
    <n v="0.32836969644705066"/>
  </r>
  <r>
    <x v="854"/>
    <d v="2025-03-25T00:00:00"/>
    <d v="2025-02-04T00:00:00"/>
    <n v="-49"/>
    <s v="CUST-2514"/>
    <s v="Priya Menon"/>
    <x v="0"/>
    <x v="2"/>
    <s v="Karnataka"/>
    <s v="Bengaluru"/>
    <x v="1"/>
    <x v="10"/>
    <s v="Max Bookcases 381"/>
    <x v="0"/>
    <n v="4"/>
    <n v="2233.64"/>
    <n v="0.05"/>
    <x v="854"/>
    <n v="5245.72"/>
    <x v="851"/>
    <x v="0"/>
    <x v="0"/>
    <m/>
    <s v="Invalid-Date"/>
    <s v="Valid"/>
    <s v="Pass"/>
    <s v="Pass"/>
    <s v="March"/>
    <s v="2025"/>
    <m/>
    <n v="8934.56"/>
    <n v="8487.8319999999985"/>
    <n v="3688.8399999999992"/>
    <n v="0.41287315771565691"/>
    <n v="0.41287315771565691"/>
  </r>
  <r>
    <x v="855"/>
    <d v="2024-07-25T00:00:00"/>
    <d v="2024-02-08T00:00:00"/>
    <n v="-168"/>
    <s v="CUST-2752"/>
    <s v="Rahul Verma"/>
    <x v="0"/>
    <x v="0"/>
    <s v="Rajasthan"/>
    <s v="Jaipur"/>
    <x v="0"/>
    <x v="7"/>
    <s v="Classic Labels 215"/>
    <x v="0"/>
    <n v="2"/>
    <n v="2073.5300000000002"/>
    <n v="0.25"/>
    <x v="855"/>
    <n v="2101.0300000000002"/>
    <x v="852"/>
    <x v="0"/>
    <x v="0"/>
    <m/>
    <s v="Invalid-Date"/>
    <s v="Valid"/>
    <s v="Pass"/>
    <s v="Pass"/>
    <s v="July"/>
    <s v="2024"/>
    <m/>
    <n v="4147.0600000000004"/>
    <n v="3110.2950000000001"/>
    <n v="2046.0300000000002"/>
    <n v="0.49336879620743368"/>
    <n v="0.49336879620743368"/>
  </r>
  <r>
    <x v="856"/>
    <d v="2024-06-12T00:00:00"/>
    <d v="2024-06-19T00:00:00"/>
    <n v="7"/>
    <s v="CUST-5647"/>
    <s v="Rohan Mehta"/>
    <x v="3"/>
    <x v="2"/>
    <s v="Tamil Nadu"/>
    <s v="Chennai"/>
    <x v="0"/>
    <x v="8"/>
    <s v="Classic Storage 918"/>
    <x v="3"/>
    <n v="4"/>
    <n v="395.1"/>
    <n v="-0.16"/>
    <x v="856"/>
    <n v="966.55"/>
    <x v="853"/>
    <x v="3"/>
    <x v="1"/>
    <m/>
    <s v="Valid"/>
    <s v="Invalid-Discount"/>
    <s v="Pass"/>
    <s v="Pass"/>
    <s v="June"/>
    <s v="2024"/>
    <m/>
    <n v="1580.4"/>
    <n v="1833.2639999999999"/>
    <n v="613.85000000000014"/>
    <n v="0.38841432548721849"/>
    <n v="0.38841432548721849"/>
  </r>
  <r>
    <x v="857"/>
    <d v="2024-06-04T00:00:00"/>
    <d v="2024-06-04T00:00:00"/>
    <n v="0"/>
    <s v="CUST-8575"/>
    <s v="Sneha Kapoor"/>
    <x v="3"/>
    <x v="2"/>
    <s v="Kerala"/>
    <s v="Kochi"/>
    <x v="0"/>
    <x v="8"/>
    <s v="Max Storage 223"/>
    <x v="2"/>
    <n v="6"/>
    <n v="2708.97"/>
    <n v="0.25"/>
    <x v="857"/>
    <n v="10176.99"/>
    <x v="854"/>
    <x v="0"/>
    <x v="0"/>
    <m/>
    <s v="Valid"/>
    <s v="Valid"/>
    <s v="Pass"/>
    <s v="Pass"/>
    <s v="June"/>
    <s v="2024"/>
    <m/>
    <n v="16253.82"/>
    <n v="12190.365"/>
    <n v="6076.83"/>
    <n v="0.37387088081447933"/>
    <n v="0.37387088081447933"/>
  </r>
  <r>
    <x v="858"/>
    <d v="2024-02-05T00:00:00"/>
    <d v="2024-09-05T00:00:00"/>
    <n v="213"/>
    <s v="CUST-9576"/>
    <s v="Arjun Bose"/>
    <x v="0"/>
    <x v="1"/>
    <s v="Odisha"/>
    <s v="Bhubaneswar"/>
    <x v="2"/>
    <x v="5"/>
    <s v="Basic Accessories 602"/>
    <x v="0"/>
    <n v="4"/>
    <n v="2904.86"/>
    <n v="0"/>
    <x v="858"/>
    <n v="7184.32"/>
    <x v="855"/>
    <x v="0"/>
    <x v="0"/>
    <m/>
    <s v="Valid"/>
    <s v="Valid"/>
    <s v="Pass"/>
    <s v="Pass"/>
    <s v="February"/>
    <s v="2024"/>
    <m/>
    <n v="11619.44"/>
    <n v="11619.44"/>
    <n v="4435.1200000000008"/>
    <n v="0.3816982574031107"/>
    <n v="0.3816982574031107"/>
  </r>
  <r>
    <x v="859"/>
    <d v="2024-10-27T00:00:00"/>
    <d v="2024-01-11T00:00:00"/>
    <n v="-290"/>
    <s v="CUST-2395"/>
    <s v="Aditi Sen"/>
    <x v="2"/>
    <x v="2"/>
    <s v="Tamil Nadu"/>
    <s v="Chennai"/>
    <x v="2"/>
    <x v="11"/>
    <s v="Elite Phones 394"/>
    <x v="3"/>
    <n v="6"/>
    <n v="4399.2"/>
    <n v="0.05"/>
    <x v="859"/>
    <n v="16282.74"/>
    <x v="856"/>
    <x v="0"/>
    <x v="0"/>
    <m/>
    <s v="Invalid-Date"/>
    <s v="Valid"/>
    <s v="Pass"/>
    <s v="Pass"/>
    <s v="October"/>
    <s v="2024"/>
    <m/>
    <n v="26395.199999999997"/>
    <n v="25075.439999999995"/>
    <n v="10112.459999999997"/>
    <n v="0.38311738497908704"/>
    <n v="0.38311738497908704"/>
  </r>
  <r>
    <x v="860"/>
    <d v="2024-02-02T00:00:00"/>
    <d v="2024-04-02T00:00:00"/>
    <n v="60"/>
    <s v="CUST-8941"/>
    <s v="Vikram Iyer"/>
    <x v="3"/>
    <x v="0"/>
    <s v="Uttar Pradesh"/>
    <s v="Noida"/>
    <x v="0"/>
    <x v="8"/>
    <s v="Classic Storage 194"/>
    <x v="0"/>
    <n v="1"/>
    <n v="4397.32"/>
    <n v="0.05"/>
    <x v="860"/>
    <n v="2299.5"/>
    <x v="857"/>
    <x v="0"/>
    <x v="0"/>
    <m/>
    <s v="Valid"/>
    <s v="Valid"/>
    <s v="Pass"/>
    <s v="Pass"/>
    <s v="February"/>
    <s v="2024"/>
    <m/>
    <n v="4397.32"/>
    <n v="4177.4539999999997"/>
    <n v="2097.8199999999997"/>
    <n v="0.47706785041798183"/>
    <n v="0.47706785041798183"/>
  </r>
  <r>
    <x v="861"/>
    <d v="2025-03-08T00:00:00"/>
    <d v="2025-09-03T00:00:00"/>
    <n v="179"/>
    <s v="CUST-9448"/>
    <s v="Priya Menon"/>
    <x v="3"/>
    <x v="0"/>
    <s v="Delhi"/>
    <s v="New Delhi"/>
    <x v="1"/>
    <x v="3"/>
    <s v="Smart Furnishings 892"/>
    <x v="1"/>
    <n v="4"/>
    <n v="3405.68"/>
    <n v="0.2"/>
    <x v="861"/>
    <n v="6231.41"/>
    <x v="858"/>
    <x v="0"/>
    <x v="0"/>
    <m/>
    <s v="Valid"/>
    <s v="Valid"/>
    <s v="Pass"/>
    <s v="Pass"/>
    <s v="March"/>
    <s v="2025"/>
    <m/>
    <n v="13622.72"/>
    <n v="10898.175999999999"/>
    <n v="7391.3099999999995"/>
    <n v="0.54257226163350636"/>
    <n v="0.54257226163350636"/>
  </r>
  <r>
    <x v="862"/>
    <d v="2025-03-26T00:00:00"/>
    <d v="2025-03-31T00:00:00"/>
    <n v="5"/>
    <s v="CUST-8354"/>
    <s v="Priya Menon"/>
    <x v="1"/>
    <x v="1"/>
    <s v="Jharkhand"/>
    <s v="Ranchi"/>
    <x v="0"/>
    <x v="9"/>
    <s v="Pro Binders 488"/>
    <x v="2"/>
    <n v="5"/>
    <n v="1395.14"/>
    <n v="0"/>
    <x v="862"/>
    <n v="4797.88"/>
    <x v="859"/>
    <x v="0"/>
    <x v="1"/>
    <m/>
    <s v="Valid"/>
    <s v="Valid"/>
    <s v="Pass"/>
    <s v="Pass"/>
    <s v="March"/>
    <s v="2025"/>
    <m/>
    <n v="6975.7000000000007"/>
    <n v="6975.7000000000007"/>
    <n v="2177.8200000000006"/>
    <n v="0.3122009260719355"/>
    <n v="0.3122009260719355"/>
  </r>
  <r>
    <x v="863"/>
    <d v="2025-06-09T00:00:00"/>
    <d v="2025-08-09T00:00:00"/>
    <n v="61"/>
    <s v="CUST-2200"/>
    <s v="Aarav Sharma"/>
    <x v="3"/>
    <x v="3"/>
    <s v="Madhya Pradesh"/>
    <s v="Indore"/>
    <x v="1"/>
    <x v="3"/>
    <s v="Prime Furnishings 679"/>
    <x v="1"/>
    <n v="3"/>
    <n v="2937.23"/>
    <n v="0"/>
    <x v="863"/>
    <n v="6765.91"/>
    <x v="860"/>
    <x v="0"/>
    <x v="0"/>
    <m/>
    <s v="Valid"/>
    <s v="Valid"/>
    <s v="Pass"/>
    <s v="Pass"/>
    <s v="June"/>
    <s v="2025"/>
    <m/>
    <n v="8811.69"/>
    <n v="8811.69"/>
    <n v="2045.7800000000007"/>
    <n v="0.23216658779416893"/>
    <n v="0.23216658779416893"/>
  </r>
  <r>
    <x v="864"/>
    <d v="2025-09-02T00:00:00"/>
    <d v="2025-09-05T00:00:00"/>
    <n v="3"/>
    <s v="CUST-1178"/>
    <s v="Vikram Iyer"/>
    <x v="0"/>
    <x v="2"/>
    <s v="Tamil Nadu"/>
    <s v="Chennai"/>
    <x v="2"/>
    <x v="11"/>
    <s v="Smart Phones 158"/>
    <x v="2"/>
    <n v="5"/>
    <n v="3406.87"/>
    <n v="0"/>
    <x v="864"/>
    <n v="14631.36"/>
    <x v="861"/>
    <x v="0"/>
    <x v="0"/>
    <m/>
    <s v="Valid"/>
    <s v="Valid"/>
    <s v="Pass"/>
    <s v="Pass"/>
    <s v="September"/>
    <s v="2025"/>
    <m/>
    <n v="17034.349999999999"/>
    <n v="17034.349999999999"/>
    <n v="2402.989999999998"/>
    <n v="0.14106731398615141"/>
    <n v="0.14106731398615141"/>
  </r>
  <r>
    <x v="865"/>
    <d v="2025-02-06T00:00:00"/>
    <d v="2025-02-14T00:00:00"/>
    <n v="8"/>
    <s v="CUST-8099"/>
    <s v="Kabir Singh"/>
    <x v="0"/>
    <x v="3"/>
    <s v="Maharashtra"/>
    <s v="Mumbai"/>
    <x v="0"/>
    <x v="7"/>
    <s v="Classic Labels 218"/>
    <x v="0"/>
    <n v="2"/>
    <n v="3992.04"/>
    <n v="0"/>
    <x v="865"/>
    <n v="5658.05"/>
    <x v="862"/>
    <x v="0"/>
    <x v="0"/>
    <m/>
    <s v="Valid"/>
    <s v="Valid"/>
    <s v="Pass"/>
    <s v="Pass"/>
    <s v="February"/>
    <s v="2025"/>
    <m/>
    <n v="7984.08"/>
    <n v="7984.08"/>
    <n v="2326.0299999999997"/>
    <n v="0.29133350367230787"/>
    <n v="0.29133350367230787"/>
  </r>
  <r>
    <x v="866"/>
    <d v="2025-02-26T00:00:00"/>
    <d v="2025-06-03T00:00:00"/>
    <n v="97"/>
    <s v="CUST-7596"/>
    <s v="Priya Menon"/>
    <x v="0"/>
    <x v="1"/>
    <s v="Bihar"/>
    <s v="Patna"/>
    <x v="1"/>
    <x v="10"/>
    <s v="Smart Bookcases 552"/>
    <x v="2"/>
    <n v="9"/>
    <n v="3043.37"/>
    <n v="0.2"/>
    <x v="866"/>
    <n v="16367.78"/>
    <x v="863"/>
    <x v="2"/>
    <x v="1"/>
    <m/>
    <s v="Valid"/>
    <s v="Valid"/>
    <s v="Pass"/>
    <s v="Pass"/>
    <s v="February"/>
    <s v="2025"/>
    <m/>
    <n v="27390.329999999998"/>
    <n v="21912.263999999999"/>
    <n v="11022.549999999997"/>
    <n v="0.40242487038308766"/>
    <n v="0.40242487038308766"/>
  </r>
  <r>
    <x v="867"/>
    <d v="2024-11-21T00:00:00"/>
    <d v="2024-11-22T00:00:00"/>
    <n v="1"/>
    <s v="CUST-2328"/>
    <s v="Rahul Verma"/>
    <x v="3"/>
    <x v="2"/>
    <s v="Andhra Pradesh"/>
    <s v="Vijayawada"/>
    <x v="2"/>
    <x v="5"/>
    <s v="Eco Accessories 389"/>
    <x v="1"/>
    <n v="6"/>
    <n v="1043.49"/>
    <n v="0.25"/>
    <x v="867"/>
    <n v="3871.69"/>
    <x v="864"/>
    <x v="3"/>
    <x v="1"/>
    <m/>
    <s v="Valid"/>
    <s v="Valid"/>
    <s v="Pass"/>
    <s v="Pass"/>
    <s v="November"/>
    <s v="2024"/>
    <m/>
    <n v="6260.9400000000005"/>
    <n v="4695.7049999999999"/>
    <n v="2389.2500000000005"/>
    <n v="0.38161202630914853"/>
    <n v="0.38161202630914853"/>
  </r>
  <r>
    <x v="868"/>
    <d v="2025-04-11T00:00:00"/>
    <d v="2025-04-15T00:00:00"/>
    <n v="4"/>
    <s v="CUST-8483"/>
    <s v="Vikram Iyer"/>
    <x v="3"/>
    <x v="2"/>
    <s v="Karnataka"/>
    <s v="Bengaluru"/>
    <x v="0"/>
    <x v="8"/>
    <s v="Elite Storage 187"/>
    <x v="1"/>
    <n v="9"/>
    <n v="224.94"/>
    <n v="0.05"/>
    <x v="868"/>
    <n v="1093.6600000000001"/>
    <x v="865"/>
    <x v="0"/>
    <x v="0"/>
    <m/>
    <s v="Valid"/>
    <s v="Valid"/>
    <s v="Pass"/>
    <s v="Pass"/>
    <s v="April"/>
    <s v="2025"/>
    <m/>
    <n v="2024.46"/>
    <n v="1923.2369999999999"/>
    <n v="930.8"/>
    <n v="0.45977692816849924"/>
    <n v="0.45977692816849924"/>
  </r>
  <r>
    <x v="869"/>
    <d v="2025-06-03T00:00:00"/>
    <d v="2025-03-07T00:00:00"/>
    <n v="-88"/>
    <s v="CUST-2388"/>
    <s v="Rohan Mehta"/>
    <x v="3"/>
    <x v="4"/>
    <s v="Delhi"/>
    <s v="New Delhi"/>
    <x v="1"/>
    <x v="4"/>
    <s v="Max Chairs 487"/>
    <x v="1"/>
    <n v="6"/>
    <n v="796.65"/>
    <n v="0.1"/>
    <x v="869"/>
    <n v="2374.4"/>
    <x v="866"/>
    <x v="0"/>
    <x v="0"/>
    <m/>
    <s v="Invalid-Date"/>
    <s v="Valid"/>
    <s v="Pass"/>
    <s v="Flagged"/>
    <s v="June"/>
    <s v="2025"/>
    <m/>
    <n v="4779.8999999999996"/>
    <n v="4301.91"/>
    <n v="2405.4999999999995"/>
    <n v="0.50325320613401947"/>
    <n v="0.50325320613401947"/>
  </r>
  <r>
    <x v="870"/>
    <d v="2025-06-06T00:00:00"/>
    <d v="2025-07-06T00:00:00"/>
    <n v="30"/>
    <s v="CUST-7054"/>
    <s v="Vikram Iyer"/>
    <x v="2"/>
    <x v="3"/>
    <s v="Goa"/>
    <s v="Panaji"/>
    <x v="1"/>
    <x v="1"/>
    <s v="Max Tables 281"/>
    <x v="3"/>
    <n v="9"/>
    <n v="2932.92"/>
    <n v="0.15"/>
    <x v="870"/>
    <n v="17454.669999999998"/>
    <x v="867"/>
    <x v="0"/>
    <x v="1"/>
    <m/>
    <s v="Valid"/>
    <s v="Valid"/>
    <s v="Pass"/>
    <s v="Pass"/>
    <s v="June"/>
    <s v="2025"/>
    <m/>
    <n v="26396.28"/>
    <n v="22436.838"/>
    <n v="8941.61"/>
    <n v="0.33874508074622639"/>
    <n v="0.33874508074622639"/>
  </r>
  <r>
    <x v="871"/>
    <d v="2024-02-20T00:00:00"/>
    <d v="2024-02-22T00:00:00"/>
    <n v="2"/>
    <s v="CUST-4375"/>
    <s v="Neha Gupta"/>
    <x v="1"/>
    <x v="2"/>
    <s v="Telangana"/>
    <s v="Hyderabad"/>
    <x v="2"/>
    <x v="5"/>
    <s v="Pro Accessories 325"/>
    <x v="2"/>
    <n v="9"/>
    <n v="2186.23"/>
    <n v="0"/>
    <x v="871"/>
    <n v="12458.62"/>
    <x v="868"/>
    <x v="1"/>
    <x v="1"/>
    <m/>
    <s v="Valid"/>
    <s v="Valid"/>
    <s v="Pass"/>
    <s v="Pass"/>
    <s v="February"/>
    <s v="2024"/>
    <m/>
    <n v="19676.07"/>
    <n v="19676.07"/>
    <n v="7217.4499999999989"/>
    <n v="0.36681359641432454"/>
    <n v="0.36681359641432454"/>
  </r>
  <r>
    <x v="872"/>
    <d v="2024-01-11T00:00:00"/>
    <d v="2024-02-11T00:00:00"/>
    <n v="31"/>
    <s v="CUST-6262"/>
    <s v="Karan Malhotra"/>
    <x v="2"/>
    <x v="1"/>
    <s v="West Bengal"/>
    <s v="Kolkata"/>
    <x v="1"/>
    <x v="3"/>
    <s v="Prime Furnishings 178"/>
    <x v="3"/>
    <n v="5"/>
    <n v="2212.02"/>
    <n v="0.2"/>
    <x v="872"/>
    <n v="5691.56"/>
    <x v="869"/>
    <x v="0"/>
    <x v="0"/>
    <m/>
    <s v="Valid"/>
    <s v="Valid"/>
    <s v="Pass"/>
    <s v="Pass"/>
    <s v="January"/>
    <s v="2024"/>
    <m/>
    <n v="11060.1"/>
    <n v="8848.08"/>
    <n v="5368.54"/>
    <n v="0.48539705789278575"/>
    <n v="0.48539705789278575"/>
  </r>
  <r>
    <x v="873"/>
    <d v="2025-02-01T00:00:00"/>
    <d v="2025-02-08T00:00:00"/>
    <n v="7"/>
    <s v="CUST-8160"/>
    <s v="Aditi Sen"/>
    <x v="3"/>
    <x v="3"/>
    <s v="Gujarat"/>
    <s v="Ahmedabad"/>
    <x v="0"/>
    <x v="8"/>
    <s v="Elite Storage 144"/>
    <x v="0"/>
    <n v="8"/>
    <n v="623.30999999999995"/>
    <n v="0.1"/>
    <x v="873"/>
    <n v="2633.78"/>
    <x v="870"/>
    <x v="0"/>
    <x v="0"/>
    <m/>
    <s v="Valid"/>
    <s v="Valid"/>
    <s v="Pass"/>
    <s v="Pass"/>
    <s v="February"/>
    <s v="2025"/>
    <m/>
    <n v="4986.4799999999996"/>
    <n v="4487.8319999999994"/>
    <n v="2352.6999999999994"/>
    <n v="0.47181578989587836"/>
    <n v="0.47181578989587836"/>
  </r>
  <r>
    <x v="874"/>
    <d v="2025-07-15T00:00:00"/>
    <d v="2025-07-16T00:00:00"/>
    <n v="1"/>
    <s v="CUST-8770"/>
    <s v="Vikram Iyer"/>
    <x v="1"/>
    <x v="3"/>
    <s v="Maharashtra"/>
    <s v="Mumbai"/>
    <x v="0"/>
    <x v="0"/>
    <s v="Elite Paper 309"/>
    <x v="3"/>
    <n v="8"/>
    <n v="3924.88"/>
    <n v="0.05"/>
    <x v="874"/>
    <n v="20710.18"/>
    <x v="871"/>
    <x v="0"/>
    <x v="0"/>
    <m/>
    <s v="Valid"/>
    <s v="Valid"/>
    <s v="Pass"/>
    <s v="Pass"/>
    <s v="July"/>
    <s v="2025"/>
    <m/>
    <n v="31399.040000000001"/>
    <n v="29829.088"/>
    <n v="10688.86"/>
    <n v="0.340419961884185"/>
    <n v="0.340419961884185"/>
  </r>
  <r>
    <x v="875"/>
    <d v="2024-08-10T00:00:00"/>
    <d v="2024-11-08T00:00:00"/>
    <n v="90"/>
    <s v="CUST-6928"/>
    <s v="Mira Das"/>
    <x v="2"/>
    <x v="3"/>
    <s v="Maharashtra"/>
    <s v="Mumbai"/>
    <x v="2"/>
    <x v="6"/>
    <s v="Elite Copiers 752"/>
    <x v="2"/>
    <n v="7"/>
    <n v="3852.62"/>
    <n v="0.2"/>
    <x v="875"/>
    <n v="14672.83"/>
    <x v="872"/>
    <x v="0"/>
    <x v="0"/>
    <m/>
    <s v="Valid"/>
    <s v="Valid"/>
    <s v="Pass"/>
    <s v="Pass"/>
    <s v="August"/>
    <s v="2024"/>
    <m/>
    <n v="26968.34"/>
    <n v="21574.672000000002"/>
    <n v="12295.51"/>
    <n v="0.45592387221460423"/>
    <n v="0.45592387221460423"/>
  </r>
  <r>
    <x v="876"/>
    <d v="2024-11-18T00:00:00"/>
    <d v="2024-11-20T00:00:00"/>
    <n v="2"/>
    <s v="CUST-9044"/>
    <s v="Priya Menon"/>
    <x v="0"/>
    <x v="3"/>
    <s v="Rajasthan"/>
    <s v="Udaipur"/>
    <x v="1"/>
    <x v="4"/>
    <s v="Pro Chairs 316"/>
    <x v="2"/>
    <n v="6"/>
    <n v="3790.22"/>
    <n v="0"/>
    <x v="876"/>
    <n v="16388.57"/>
    <x v="873"/>
    <x v="0"/>
    <x v="0"/>
    <m/>
    <s v="Valid"/>
    <s v="Valid"/>
    <s v="Pass"/>
    <s v="Pass"/>
    <s v="November"/>
    <s v="2024"/>
    <m/>
    <n v="22741.32"/>
    <n v="22741.32"/>
    <n v="6352.75"/>
    <n v="0.27934834037777928"/>
    <n v="0.27934834037777928"/>
  </r>
  <r>
    <x v="877"/>
    <d v="2025-08-26T00:00:00"/>
    <d v="2025-03-09T00:00:00"/>
    <n v="-170"/>
    <s v="CUST-7146"/>
    <s v="Aarav Sharma"/>
    <x v="0"/>
    <x v="3"/>
    <s v="Rajasthan"/>
    <s v="Udaipur"/>
    <x v="0"/>
    <x v="8"/>
    <s v="Max Storage 438"/>
    <x v="0"/>
    <n v="6"/>
    <n v="674.36"/>
    <n v="0.1"/>
    <x v="877"/>
    <n v="2690.37"/>
    <x v="874"/>
    <x v="0"/>
    <x v="0"/>
    <m/>
    <s v="Invalid-Date"/>
    <s v="Valid"/>
    <s v="Pass"/>
    <s v="Pass"/>
    <s v="August"/>
    <s v="2025"/>
    <m/>
    <n v="4046.16"/>
    <n v="3641.5439999999999"/>
    <n v="1355.79"/>
    <n v="0.33508066907883033"/>
    <n v="0.33508066907883033"/>
  </r>
  <r>
    <x v="878"/>
    <d v="2024-01-22T00:00:00"/>
    <d v="2024-01-22T00:00:00"/>
    <n v="0"/>
    <s v="CUST-8534"/>
    <s v="Karan Malhotra"/>
    <x v="2"/>
    <x v="1"/>
    <s v="West Bengal"/>
    <s v="Kolkata"/>
    <x v="0"/>
    <x v="0"/>
    <s v="Basic Paper 904"/>
    <x v="2"/>
    <n v="8"/>
    <n v="1557.21"/>
    <n v="0.05"/>
    <x v="878"/>
    <n v="9322.36"/>
    <x v="875"/>
    <x v="0"/>
    <x v="0"/>
    <m/>
    <s v="Valid"/>
    <s v="Valid"/>
    <s v="Pass"/>
    <s v="Pass"/>
    <s v="January"/>
    <s v="2024"/>
    <m/>
    <n v="12457.68"/>
    <n v="11834.796"/>
    <n v="3135.3199999999997"/>
    <n v="0.25167767995324969"/>
    <n v="0.25167767995324969"/>
  </r>
  <r>
    <x v="879"/>
    <d v="2025-08-27T00:00:00"/>
    <d v="2025-08-28T00:00:00"/>
    <n v="1"/>
    <s v="CUST-4486"/>
    <s v="Ananya Rao"/>
    <x v="3"/>
    <x v="0"/>
    <s v="Uttar Pradesh"/>
    <s v="Noida"/>
    <x v="0"/>
    <x v="2"/>
    <s v="Smart Art 990"/>
    <x v="3"/>
    <n v="6"/>
    <n v="1182.03"/>
    <n v="0.15"/>
    <x v="879"/>
    <n v="4433.63"/>
    <x v="876"/>
    <x v="0"/>
    <x v="0"/>
    <m/>
    <s v="Valid"/>
    <s v="Valid"/>
    <s v="Pass"/>
    <s v="Pass"/>
    <s v="August"/>
    <s v="2025"/>
    <m/>
    <n v="7092.18"/>
    <n v="6028.3530000000001"/>
    <n v="2658.55"/>
    <n v="0.37485653212411418"/>
    <n v="0.37485653212411418"/>
  </r>
  <r>
    <x v="880"/>
    <d v="2024-03-08T00:00:00"/>
    <d v="2024-03-15T00:00:00"/>
    <n v="7"/>
    <s v="CUST-5287"/>
    <s v="Aarav Sharma"/>
    <x v="1"/>
    <x v="4"/>
    <s v="Punjab"/>
    <s v="Ludhiana"/>
    <x v="1"/>
    <x v="4"/>
    <s v="Basic Chairs 327"/>
    <x v="2"/>
    <n v="5"/>
    <n v="3234.77"/>
    <n v="0"/>
    <x v="880"/>
    <n v="13636.34"/>
    <x v="877"/>
    <x v="0"/>
    <x v="0"/>
    <m/>
    <s v="Valid"/>
    <s v="Valid"/>
    <s v="Pass"/>
    <s v="Flagged"/>
    <s v="March"/>
    <s v="2024"/>
    <m/>
    <n v="16173.85"/>
    <n v="16173.85"/>
    <n v="2537.5100000000002"/>
    <n v="0.15688967067210344"/>
    <n v="0.15688967067210344"/>
  </r>
  <r>
    <x v="881"/>
    <d v="2024-12-01T00:00:00"/>
    <d v="2024-12-05T00:00:00"/>
    <n v="4"/>
    <s v="CUST-3445"/>
    <s v="Ananya Rao"/>
    <x v="1"/>
    <x v="2"/>
    <s v="Andhra Pradesh"/>
    <s v="Vijayawada"/>
    <x v="2"/>
    <x v="6"/>
    <s v="Eco Copiers 987"/>
    <x v="0"/>
    <n v="9"/>
    <n v="3726.75"/>
    <n v="0.25"/>
    <x v="881"/>
    <n v="17592.689999999999"/>
    <x v="878"/>
    <x v="0"/>
    <x v="0"/>
    <m/>
    <s v="Valid"/>
    <s v="Valid"/>
    <s v="Pass"/>
    <s v="Pass"/>
    <s v="December"/>
    <s v="2024"/>
    <m/>
    <n v="33540.75"/>
    <n v="25155.5625"/>
    <n v="15948.060000000001"/>
    <n v="0.47548310637060892"/>
    <n v="0.47548310637060892"/>
  </r>
  <r>
    <x v="882"/>
    <d v="2025-02-02T00:00:00"/>
    <d v="2025-10-02T00:00:00"/>
    <n v="242"/>
    <s v="CUST-4983"/>
    <s v="Sneha Kapoor"/>
    <x v="2"/>
    <x v="1"/>
    <s v="Bihar"/>
    <s v="Patna"/>
    <x v="2"/>
    <x v="5"/>
    <s v="Basic Accessories 607"/>
    <x v="3"/>
    <n v="4"/>
    <n v="1912.45"/>
    <n v="0"/>
    <x v="882"/>
    <n v="4894.53"/>
    <x v="879"/>
    <x v="2"/>
    <x v="2"/>
    <m/>
    <s v="Valid"/>
    <s v="Valid"/>
    <s v="Pass"/>
    <s v="Pass"/>
    <s v="February"/>
    <s v="2025"/>
    <m/>
    <n v="7649.8"/>
    <n v="7649.8"/>
    <n v="2755.2700000000004"/>
    <n v="0.36017542942299152"/>
    <n v="0.36017542942299152"/>
  </r>
  <r>
    <x v="883"/>
    <d v="2025-04-28T00:00:00"/>
    <d v="2025-01-05T00:00:00"/>
    <n v="-113"/>
    <s v="CUST-2597"/>
    <s v="Aarav Sharma"/>
    <x v="1"/>
    <x v="3"/>
    <s v="Goa"/>
    <s v="Panaji"/>
    <x v="0"/>
    <x v="8"/>
    <s v="Classic Storage 211"/>
    <x v="1"/>
    <n v="1"/>
    <n v="1620.87"/>
    <n v="0"/>
    <x v="883"/>
    <n v="1103.6099999999999"/>
    <x v="880"/>
    <x v="0"/>
    <x v="0"/>
    <m/>
    <s v="Invalid-Date"/>
    <s v="Valid"/>
    <s v="Pass"/>
    <s v="Pass"/>
    <s v="April"/>
    <s v="2025"/>
    <m/>
    <n v="1620.87"/>
    <n v="1620.87"/>
    <n v="517.26"/>
    <n v="0.31912491439782342"/>
    <n v="0.31912491439782342"/>
  </r>
  <r>
    <x v="884"/>
    <d v="2025-01-18T00:00:00"/>
    <d v="2025-01-25T00:00:00"/>
    <n v="7"/>
    <s v="CUST-7505"/>
    <s v="Neha Gupta"/>
    <x v="3"/>
    <x v="2"/>
    <s v="Karnataka"/>
    <s v="Bengaluru"/>
    <x v="0"/>
    <x v="8"/>
    <s v="Eco Storage 783"/>
    <x v="1"/>
    <n v="2"/>
    <n v="2098.54"/>
    <n v="0.15"/>
    <x v="884"/>
    <n v="2411.8000000000002"/>
    <x v="881"/>
    <x v="0"/>
    <x v="0"/>
    <m/>
    <s v="Valid"/>
    <s v="Valid"/>
    <s v="Pass"/>
    <s v="Pass"/>
    <s v="January"/>
    <s v="2025"/>
    <m/>
    <n v="4197.08"/>
    <n v="3567.518"/>
    <n v="1785.2799999999997"/>
    <n v="0.42536239480781873"/>
    <n v="0.42536239480781873"/>
  </r>
  <r>
    <x v="885"/>
    <d v="2024-01-05T00:00:00"/>
    <d v="2024-05-01T00:00:00"/>
    <n v="117"/>
    <s v="CUST-3446"/>
    <s v="Diya Patel"/>
    <x v="0"/>
    <x v="0"/>
    <s v="Rajasthan"/>
    <s v="Jaipur"/>
    <x v="1"/>
    <x v="1"/>
    <s v="Pro Tables 866"/>
    <x v="3"/>
    <n v="1"/>
    <n v="2167.08"/>
    <n v="0.25"/>
    <x v="885"/>
    <n v="1157.8900000000001"/>
    <x v="882"/>
    <x v="0"/>
    <x v="0"/>
    <m/>
    <s v="Valid"/>
    <s v="Valid"/>
    <s v="Pass"/>
    <s v="Pass"/>
    <s v="January"/>
    <s v="2024"/>
    <m/>
    <n v="2167.08"/>
    <n v="1625.31"/>
    <n v="1009.1899999999998"/>
    <n v="0.46569116045554382"/>
    <n v="0.46569116045554382"/>
  </r>
  <r>
    <x v="886"/>
    <d v="2025-04-26T00:00:00"/>
    <d v="2025-05-03T00:00:00"/>
    <n v="7"/>
    <s v="CUST-3549"/>
    <s v="Arjun Bose"/>
    <x v="3"/>
    <x v="2"/>
    <s v="Tamil Nadu"/>
    <s v="Chennai"/>
    <x v="2"/>
    <x v="5"/>
    <s v="Max Accessories 541"/>
    <x v="2"/>
    <n v="7"/>
    <n v="3989.9"/>
    <n v="0.15"/>
    <x v="886"/>
    <n v="17716.52"/>
    <x v="883"/>
    <x v="0"/>
    <x v="1"/>
    <m/>
    <s v="Valid"/>
    <s v="Valid"/>
    <s v="Pass"/>
    <s v="Pass"/>
    <s v="April"/>
    <s v="2025"/>
    <m/>
    <n v="27929.3"/>
    <n v="23739.904999999999"/>
    <n v="10212.779999999999"/>
    <n v="0.36566544811362972"/>
    <n v="0.36566544811362972"/>
  </r>
  <r>
    <x v="887"/>
    <d v="2024-06-12T00:00:00"/>
    <d v="2024-06-18T00:00:00"/>
    <n v="6"/>
    <s v="CUST-2795"/>
    <s v="Aarav Sharma"/>
    <x v="1"/>
    <x v="2"/>
    <s v="Andhra Pradesh"/>
    <s v="Vijayawada"/>
    <x v="0"/>
    <x v="2"/>
    <s v="Prime Art 596"/>
    <x v="3"/>
    <n v="4"/>
    <n v="4176.13"/>
    <n v="0"/>
    <x v="887"/>
    <n v="10158.280000000001"/>
    <x v="884"/>
    <x v="0"/>
    <x v="0"/>
    <m/>
    <s v="Valid"/>
    <s v="Valid"/>
    <s v="Pass"/>
    <s v="Pass"/>
    <s v="June"/>
    <s v="2024"/>
    <m/>
    <n v="16704.52"/>
    <n v="16704.52"/>
    <n v="6546.24"/>
    <n v="0.39188435225914897"/>
    <n v="0.39188435225914897"/>
  </r>
  <r>
    <x v="888"/>
    <d v="2025-08-06T00:00:00"/>
    <d v="2025-08-07T00:00:00"/>
    <n v="1"/>
    <s v="CUST-1081"/>
    <s v="Rahul Verma"/>
    <x v="1"/>
    <x v="3"/>
    <s v="Maharashtra"/>
    <s v="Mumbai"/>
    <x v="0"/>
    <x v="2"/>
    <s v="Pro Art 620"/>
    <x v="3"/>
    <n v="4"/>
    <n v="3523.64"/>
    <n v="0.1"/>
    <x v="888"/>
    <n v="10779.56"/>
    <x v="885"/>
    <x v="1"/>
    <x v="1"/>
    <m/>
    <s v="Valid"/>
    <s v="Valid"/>
    <s v="Pass"/>
    <s v="Pass"/>
    <s v="August"/>
    <s v="2025"/>
    <m/>
    <n v="14094.56"/>
    <n v="12685.103999999999"/>
    <n v="3315"/>
    <n v="0.23519712569956069"/>
    <n v="0.23519712569956069"/>
  </r>
  <r>
    <x v="889"/>
    <d v="2025-03-10T00:00:00"/>
    <d v="2025-11-03T00:00:00"/>
    <n v="238"/>
    <s v="CUST-8467"/>
    <s v="Aditi Sen"/>
    <x v="3"/>
    <x v="3"/>
    <s v="Madhya Pradesh"/>
    <s v="Indore"/>
    <x v="0"/>
    <x v="8"/>
    <s v="Prime Storage 806"/>
    <x v="2"/>
    <n v="2"/>
    <n v="3922.08"/>
    <n v="0.25"/>
    <x v="889"/>
    <n v="4647.91"/>
    <x v="886"/>
    <x v="0"/>
    <x v="2"/>
    <m/>
    <s v="Valid"/>
    <s v="Valid"/>
    <s v="Pass"/>
    <s v="Pass"/>
    <s v="March"/>
    <s v="2025"/>
    <m/>
    <n v="7844.16"/>
    <n v="5883.12"/>
    <n v="3196.25"/>
    <n v="0.40746874107616365"/>
    <n v="0.40746874107616365"/>
  </r>
  <r>
    <x v="890"/>
    <d v="2024-05-15T00:00:00"/>
    <d v="2024-05-21T00:00:00"/>
    <n v="6"/>
    <s v="CUST-3992"/>
    <s v="Karan Malhotra"/>
    <x v="0"/>
    <x v="3"/>
    <s v="Goa"/>
    <s v="Panaji"/>
    <x v="0"/>
    <x v="8"/>
    <s v="Smart Storage 288"/>
    <x v="3"/>
    <n v="6"/>
    <n v="2909.56"/>
    <n v="0.2"/>
    <x v="890"/>
    <n v="11646.12"/>
    <x v="887"/>
    <x v="0"/>
    <x v="0"/>
    <m/>
    <s v="Valid"/>
    <s v="Valid"/>
    <s v="Pass"/>
    <s v="Pass"/>
    <s v="May"/>
    <s v="2024"/>
    <m/>
    <n v="17457.36"/>
    <n v="13965.888000000001"/>
    <n v="5811.24"/>
    <n v="0.33288194778591951"/>
    <n v="0.33288194778591951"/>
  </r>
  <r>
    <x v="891"/>
    <d v="2024-10-08T00:00:00"/>
    <d v="2024-10-09T00:00:00"/>
    <n v="1"/>
    <s v="CUST-6647"/>
    <s v="Kabir Singh"/>
    <x v="2"/>
    <x v="2"/>
    <s v="Tamil Nadu"/>
    <s v="Chennai"/>
    <x v="2"/>
    <x v="12"/>
    <s v="Elite Machines 281"/>
    <x v="1"/>
    <n v="5"/>
    <n v="2407.9699999999998"/>
    <n v="0.1"/>
    <x v="891"/>
    <n v="6419.92"/>
    <x v="888"/>
    <x v="3"/>
    <x v="1"/>
    <m/>
    <s v="Valid"/>
    <s v="Valid"/>
    <s v="Pass"/>
    <s v="Pass"/>
    <s v="October"/>
    <s v="2024"/>
    <m/>
    <n v="12039.849999999999"/>
    <n v="10835.865"/>
    <n v="5619.9299999999985"/>
    <n v="0.46677741001756662"/>
    <n v="0.46677741001756662"/>
  </r>
  <r>
    <x v="892"/>
    <d v="2025-12-04T00:00:00"/>
    <d v="2025-04-18T00:00:00"/>
    <n v="-230"/>
    <s v="CUST-5087"/>
    <s v="Isha Nair"/>
    <x v="1"/>
    <x v="1"/>
    <s v="Jharkhand"/>
    <s v="Ranchi"/>
    <x v="2"/>
    <x v="6"/>
    <s v="Elite Copiers 221"/>
    <x v="1"/>
    <n v="1"/>
    <n v="726.89"/>
    <n v="0.2"/>
    <x v="892"/>
    <n v="423.86"/>
    <x v="889"/>
    <x v="0"/>
    <x v="0"/>
    <m/>
    <s v="Invalid-Date"/>
    <s v="Valid"/>
    <s v="Pass"/>
    <s v="Pass"/>
    <s v="December"/>
    <s v="2025"/>
    <m/>
    <n v="726.89"/>
    <n v="581.51200000000006"/>
    <n v="303.02999999999997"/>
    <n v="0.41688563606597967"/>
    <n v="0.41688563606597967"/>
  </r>
  <r>
    <x v="893"/>
    <d v="2024-06-06T00:00:00"/>
    <d v="2024-08-06T00:00:00"/>
    <n v="61"/>
    <s v="CUST-9297"/>
    <s v="Aarav Sharma"/>
    <x v="2"/>
    <x v="2"/>
    <s v="Karnataka"/>
    <s v="Bengaluru"/>
    <x v="1"/>
    <x v="1"/>
    <s v="Max Tables 291"/>
    <x v="0"/>
    <n v="3"/>
    <n v="395.49"/>
    <n v="0.05"/>
    <x v="893"/>
    <n v="845.62"/>
    <x v="890"/>
    <x v="0"/>
    <x v="2"/>
    <m/>
    <s v="Valid"/>
    <s v="Valid"/>
    <s v="Pass"/>
    <s v="Pass"/>
    <s v="June"/>
    <s v="2024"/>
    <m/>
    <n v="1186.47"/>
    <n v="1127.1465000000001"/>
    <n v="340.85"/>
    <n v="0.28728075720414342"/>
    <n v="0.28728075720414342"/>
  </r>
  <r>
    <x v="894"/>
    <d v="2024-02-22T00:00:00"/>
    <d v="2024-02-29T00:00:00"/>
    <n v="7"/>
    <s v="CUST-7996"/>
    <s v="Isha Nair"/>
    <x v="3"/>
    <x v="2"/>
    <s v="Telangana"/>
    <s v="Hyderabad"/>
    <x v="1"/>
    <x v="1"/>
    <s v="Classic Tables 638"/>
    <x v="2"/>
    <n v="6"/>
    <n v="4254.05"/>
    <n v="0"/>
    <x v="894"/>
    <n v="16711.93"/>
    <x v="891"/>
    <x v="0"/>
    <x v="0"/>
    <m/>
    <s v="Valid"/>
    <s v="Valid"/>
    <s v="Pass"/>
    <s v="Pass"/>
    <s v="February"/>
    <s v="2024"/>
    <m/>
    <n v="25524.300000000003"/>
    <n v="25524.300000000003"/>
    <n v="8812.3700000000026"/>
    <n v="0.34525413037771857"/>
    <n v="0.34525413037771857"/>
  </r>
  <r>
    <x v="895"/>
    <d v="2024-11-05T00:00:00"/>
    <d v="2024-10-11T00:00:00"/>
    <n v="-25"/>
    <s v="CUST-4117"/>
    <s v="Arjun Bose"/>
    <x v="0"/>
    <x v="2"/>
    <s v="Kerala"/>
    <s v="Kochi"/>
    <x v="1"/>
    <x v="4"/>
    <s v="Basic Chairs 212"/>
    <x v="1"/>
    <n v="4"/>
    <n v="711.18"/>
    <n v="0.15"/>
    <x v="895"/>
    <n v="1441.89"/>
    <x v="892"/>
    <x v="2"/>
    <x v="2"/>
    <m/>
    <s v="Invalid-Date"/>
    <s v="Valid"/>
    <s v="Pass"/>
    <s v="Pass"/>
    <s v="November"/>
    <s v="2024"/>
    <m/>
    <n v="2844.72"/>
    <n v="2418.0119999999997"/>
    <n v="1402.8299999999997"/>
    <n v="0.49313464945583391"/>
    <n v="0.49313464945583391"/>
  </r>
  <r>
    <x v="896"/>
    <d v="2024-12-24T00:00:00"/>
    <d v="2024-12-25T00:00:00"/>
    <n v="1"/>
    <s v="CUST-4848"/>
    <s v="Ananya Rao"/>
    <x v="1"/>
    <x v="2"/>
    <s v="Tamil Nadu"/>
    <s v="Chennai"/>
    <x v="2"/>
    <x v="6"/>
    <s v="Max Copiers 121"/>
    <x v="0"/>
    <n v="1"/>
    <n v="3693.03"/>
    <n v="0.05"/>
    <x v="896"/>
    <n v="2828.06"/>
    <x v="893"/>
    <x v="3"/>
    <x v="2"/>
    <m/>
    <s v="Valid"/>
    <s v="Valid"/>
    <s v="Pass"/>
    <s v="Pass"/>
    <s v="December"/>
    <s v="2024"/>
    <m/>
    <n v="3693.03"/>
    <n v="3508.3784999999998"/>
    <n v="864.97000000000025"/>
    <n v="0.23421688965429477"/>
    <n v="0.23421688965429477"/>
  </r>
  <r>
    <x v="897"/>
    <d v="2025-04-29T00:00:00"/>
    <d v="2025-03-05T00:00:00"/>
    <n v="-55"/>
    <s v="CUST-2897"/>
    <s v="Rohan Mehta"/>
    <x v="2"/>
    <x v="0"/>
    <s v="Haryana"/>
    <s v="Gurugram"/>
    <x v="0"/>
    <x v="0"/>
    <s v="Eco Paper 747"/>
    <x v="2"/>
    <n v="4"/>
    <n v="1786.65"/>
    <n v="0.05"/>
    <x v="897"/>
    <n v="5626.43"/>
    <x v="894"/>
    <x v="0"/>
    <x v="0"/>
    <m/>
    <s v="Invalid-Date"/>
    <s v="Valid"/>
    <s v="Pass"/>
    <s v="Pass"/>
    <s v="April"/>
    <s v="2025"/>
    <m/>
    <n v="7146.6"/>
    <n v="6789.27"/>
    <n v="1520.17"/>
    <n v="0.21271233873450313"/>
    <n v="0.21271233873450313"/>
  </r>
  <r>
    <x v="898"/>
    <d v="2024-06-02T00:00:00"/>
    <d v="2024-08-06T00:00:00"/>
    <n v="65"/>
    <s v="CUST-6046"/>
    <s v="Vikram Iyer"/>
    <x v="0"/>
    <x v="0"/>
    <s v="Delhi"/>
    <s v="New Delhi"/>
    <x v="1"/>
    <x v="1"/>
    <s v="Classic Tables 535"/>
    <x v="2"/>
    <n v="4"/>
    <n v="1536.7"/>
    <n v="0.2"/>
    <x v="898"/>
    <n v="3846.77"/>
    <x v="895"/>
    <x v="0"/>
    <x v="0"/>
    <m/>
    <s v="Valid"/>
    <s v="Valid"/>
    <s v="Pass"/>
    <s v="Pass"/>
    <s v="June"/>
    <s v="2024"/>
    <m/>
    <n v="6146.8"/>
    <n v="4917.4400000000005"/>
    <n v="2300.0300000000002"/>
    <n v="0.37418331489555545"/>
    <n v="0.37418331489555545"/>
  </r>
  <r>
    <x v="899"/>
    <d v="2025-05-27T00:00:00"/>
    <d v="2025-03-06T00:00:00"/>
    <n v="-82"/>
    <s v="CUST-3789"/>
    <s v="Karan Malhotra"/>
    <x v="0"/>
    <x v="0"/>
    <s v="Punjab"/>
    <s v="Ludhiana"/>
    <x v="1"/>
    <x v="4"/>
    <s v="Elite Chairs 971"/>
    <x v="2"/>
    <n v="5"/>
    <n v="881.08"/>
    <n v="0.25"/>
    <x v="899"/>
    <n v="2279.41"/>
    <x v="896"/>
    <x v="3"/>
    <x v="1"/>
    <m/>
    <s v="Invalid-Date"/>
    <s v="Valid"/>
    <s v="Pass"/>
    <s v="Pass"/>
    <s v="May"/>
    <s v="2025"/>
    <m/>
    <n v="4405.4000000000005"/>
    <n v="3304.05"/>
    <n v="2125.9900000000007"/>
    <n v="0.4825872792481955"/>
    <n v="0.4825872792481955"/>
  </r>
  <r>
    <x v="502"/>
    <d v="2024-01-04T00:00:00"/>
    <d v="2024-09-04T00:00:00"/>
    <n v="244"/>
    <s v="CUST-1534"/>
    <s v="Priya Menon"/>
    <x v="1"/>
    <x v="1"/>
    <s v="Odisha"/>
    <s v="Bhubaneswar"/>
    <x v="2"/>
    <x v="6"/>
    <s v="Prime Copiers 557"/>
    <x v="0"/>
    <n v="6"/>
    <n v="826.93"/>
    <n v="0.1"/>
    <x v="502"/>
    <n v="3377.1"/>
    <x v="501"/>
    <x v="0"/>
    <x v="0"/>
    <m/>
    <s v="Valid"/>
    <s v="Valid"/>
    <s v="Pass"/>
    <s v="Pass"/>
    <s v="January"/>
    <s v="2024"/>
    <m/>
    <n v="4961.58"/>
    <n v="4465.4220000000005"/>
    <n v="1584.48"/>
    <n v="0.31934988451259477"/>
    <n v="0.31934988451259477"/>
  </r>
  <r>
    <x v="598"/>
    <d v="2024-08-17T00:00:00"/>
    <d v="2024-08-24T00:00:00"/>
    <n v="7"/>
    <s v="CUST-8498"/>
    <s v="Ananya Rao"/>
    <x v="2"/>
    <x v="1"/>
    <s v="West Bengal"/>
    <s v="Kolkata"/>
    <x v="2"/>
    <x v="6"/>
    <s v="Eco Copiers 268"/>
    <x v="1"/>
    <n v="3"/>
    <n v="1490.69"/>
    <n v="0.25"/>
    <x v="598"/>
    <n v="2672.67"/>
    <x v="597"/>
    <x v="0"/>
    <x v="0"/>
    <m/>
    <s v="Valid"/>
    <s v="Valid"/>
    <s v="Pass"/>
    <s v="Pass"/>
    <s v="August"/>
    <s v="2024"/>
    <m/>
    <n v="4472.07"/>
    <n v="3354.0524999999998"/>
    <n v="1799.3999999999996"/>
    <n v="0.40236400593013966"/>
    <n v="0.40236400593013966"/>
  </r>
  <r>
    <x v="694"/>
    <d v="2025-08-01T00:00:00"/>
    <d v="2025-08-09T00:00:00"/>
    <n v="8"/>
    <s v="CUST-8025"/>
    <s v="Isha Nair"/>
    <x v="0"/>
    <x v="2"/>
    <s v="Andhra Pradesh"/>
    <s v="Vijayawada"/>
    <x v="0"/>
    <x v="8"/>
    <s v="Classic Storage 291"/>
    <x v="2"/>
    <n v="5"/>
    <n v="2736.24"/>
    <n v="0.15"/>
    <x v="694"/>
    <n v="9627.2099999999991"/>
    <x v="691"/>
    <x v="0"/>
    <x v="0"/>
    <m/>
    <s v="Valid"/>
    <s v="Valid"/>
    <s v="Pass"/>
    <s v="Pass"/>
    <s v="August"/>
    <s v="2025"/>
    <m/>
    <n v="13681.199999999999"/>
    <n v="11629.019999999999"/>
    <n v="4053.99"/>
    <n v="0.29631830541180598"/>
    <n v="0.29631830541180598"/>
  </r>
  <r>
    <x v="704"/>
    <d v="2024-03-13T00:00:00"/>
    <d v="2024-03-20T00:00:00"/>
    <n v="7"/>
    <s v="CUST-4916"/>
    <s v="Priya Menon"/>
    <x v="3"/>
    <x v="2"/>
    <s v="Tamil Nadu"/>
    <s v="Chennai"/>
    <x v="1"/>
    <x v="10"/>
    <s v="Max Bookcases 738"/>
    <x v="4"/>
    <n v="1"/>
    <n v="2825.63"/>
    <n v="0.15"/>
    <x v="704"/>
    <n v="1820.34"/>
    <x v="701"/>
    <x v="0"/>
    <x v="0"/>
    <m/>
    <s v="Valid"/>
    <s v="Valid"/>
    <s v="Flagged"/>
    <s v="Pass"/>
    <s v="March"/>
    <s v="2024"/>
    <m/>
    <n v="2825.63"/>
    <n v="2401.7855"/>
    <n v="1005.2900000000002"/>
    <n v="0.35577552616584623"/>
    <n v="0.35577552616584623"/>
  </r>
  <r>
    <x v="276"/>
    <d v="2024-01-22T00:00:00"/>
    <d v="2024-01-23T00:00:00"/>
    <n v="1"/>
    <s v="CUST-7039"/>
    <s v="Aarav Sharma"/>
    <x v="1"/>
    <x v="4"/>
    <s v="Assam"/>
    <s v="Guwahati"/>
    <x v="1"/>
    <x v="4"/>
    <s v="Basic Chairs 141"/>
    <x v="0"/>
    <n v="6"/>
    <n v="3391.53"/>
    <n v="-0.14000000000000001"/>
    <x v="276"/>
    <n v="8413.5300000000007"/>
    <x v="275"/>
    <x v="0"/>
    <x v="0"/>
    <m/>
    <s v="Valid"/>
    <s v="Invalid-Discount"/>
    <s v="Pass"/>
    <s v="Flagged"/>
    <s v="January"/>
    <s v="2024"/>
    <m/>
    <n v="20349.18"/>
    <n v="23198.065200000005"/>
    <n v="11935.65"/>
    <n v="0.58654206213714755"/>
    <n v="0.58654206213714755"/>
  </r>
  <r>
    <x v="632"/>
    <d v="2025-04-15T00:00:00"/>
    <d v="2025-04-16T00:00:00"/>
    <n v="1"/>
    <s v="CUST-4593"/>
    <s v="Sneha Kapoor"/>
    <x v="1"/>
    <x v="2"/>
    <s v="Karnataka"/>
    <s v="Bengaluru"/>
    <x v="1"/>
    <x v="3"/>
    <s v="Smart Furnishings 721"/>
    <x v="2"/>
    <n v="5"/>
    <n v="2850.53"/>
    <n v="0"/>
    <x v="632"/>
    <n v="11558.31"/>
    <x v="629"/>
    <x v="0"/>
    <x v="0"/>
    <m/>
    <s v="Valid"/>
    <s v="Valid"/>
    <s v="Pass"/>
    <s v="Pass"/>
    <s v="April"/>
    <s v="2025"/>
    <m/>
    <n v="14252.650000000001"/>
    <n v="14252.650000000001"/>
    <n v="2694.340000000002"/>
    <n v="0.18904133617257154"/>
    <n v="0.18904133617257154"/>
  </r>
  <r>
    <x v="729"/>
    <d v="2025-05-17T00:00:00"/>
    <d v="2025-05-25T00:00:00"/>
    <n v="8"/>
    <s v="CUST-8713"/>
    <s v="Ananya Rao"/>
    <x v="2"/>
    <x v="2"/>
    <s v="Tamil Nadu"/>
    <s v="Chennai"/>
    <x v="2"/>
    <x v="12"/>
    <s v="Pro Machines 563"/>
    <x v="1"/>
    <n v="6"/>
    <n v="1810.63"/>
    <n v="0.15"/>
    <x v="729"/>
    <n v="5516.52"/>
    <x v="726"/>
    <x v="0"/>
    <x v="0"/>
    <m/>
    <s v="Valid"/>
    <s v="Valid"/>
    <s v="Pass"/>
    <s v="Pass"/>
    <s v="May"/>
    <s v="2025"/>
    <m/>
    <n v="10863.78"/>
    <n v="9234.2129999999997"/>
    <n v="5347.26"/>
    <n v="0.49220989379387287"/>
    <n v="0.49220989379387287"/>
  </r>
  <r>
    <x v="133"/>
    <d v="2024-12-13T00:00:00"/>
    <d v="2024-12-18T00:00:00"/>
    <n v="5"/>
    <s v="CUST-9441"/>
    <s v="Karan Malhotra"/>
    <x v="0"/>
    <x v="3"/>
    <s v="Goa"/>
    <s v="Panaji"/>
    <x v="2"/>
    <x v="11"/>
    <s v="Prime Phones 419"/>
    <x v="0"/>
    <n v="8"/>
    <n v="3372.15"/>
    <n v="0.15"/>
    <x v="133"/>
    <n v="16875.55"/>
    <x v="133"/>
    <x v="0"/>
    <x v="0"/>
    <m/>
    <s v="Valid"/>
    <s v="Valid"/>
    <s v="Pass"/>
    <s v="Pass"/>
    <s v="December"/>
    <s v="2024"/>
    <m/>
    <n v="26977.200000000001"/>
    <n v="22930.62"/>
    <n v="10101.650000000001"/>
    <n v="0.37445138857998611"/>
    <n v="0.37445138857998611"/>
  </r>
  <r>
    <x v="719"/>
    <d v="2025-09-08T00:00:00"/>
    <d v="2025-09-09T00:00:00"/>
    <n v="1"/>
    <s v="CUST-3190"/>
    <s v="Kabir Singh"/>
    <x v="2"/>
    <x v="3"/>
    <s v="Gujarat"/>
    <s v="Ahmedabad"/>
    <x v="0"/>
    <x v="2"/>
    <s v="Pro Art 447"/>
    <x v="1"/>
    <n v="2"/>
    <n v="2372.41"/>
    <n v="0.2"/>
    <x v="719"/>
    <n v="2264.92"/>
    <x v="716"/>
    <x v="0"/>
    <x v="0"/>
    <m/>
    <s v="Valid"/>
    <s v="Valid"/>
    <s v="Pass"/>
    <s v="Pass"/>
    <s v="September"/>
    <s v="2025"/>
    <m/>
    <n v="4744.82"/>
    <n v="3795.8559999999998"/>
    <n v="2479.8999999999996"/>
    <n v="0.52265417866220421"/>
    <n v="0.52265417866220421"/>
  </r>
  <r>
    <x v="399"/>
    <d v="2025-04-24T00:00:00"/>
    <d v="2025-04-29T00:00:00"/>
    <n v="5"/>
    <s v="CUST-5647"/>
    <s v="Diya Patel"/>
    <x v="1"/>
    <x v="2"/>
    <s v="Andhra Pradesh"/>
    <s v="Vijayawada"/>
    <x v="0"/>
    <x v="0"/>
    <s v="Elite Paper 308"/>
    <x v="1"/>
    <n v="1"/>
    <n v="4358.5"/>
    <n v="0.25"/>
    <x v="399"/>
    <n v="1993.74"/>
    <x v="398"/>
    <x v="0"/>
    <x v="0"/>
    <m/>
    <s v="Valid"/>
    <s v="Valid"/>
    <s v="Pass"/>
    <s v="Pass"/>
    <s v="April"/>
    <s v="2025"/>
    <m/>
    <n v="4358.5"/>
    <n v="3268.875"/>
    <n v="2364.7600000000002"/>
    <n v="0.54256280830560977"/>
    <n v="0.54256280830560977"/>
  </r>
  <r>
    <x v="123"/>
    <d v="2024-05-24T00:00:00"/>
    <d v="2024-05-25T00:00:00"/>
    <n v="1"/>
    <s v="CUST-1007"/>
    <s v="Sneha Kapoor"/>
    <x v="1"/>
    <x v="0"/>
    <s v="Punjab"/>
    <s v="Ludhiana"/>
    <x v="2"/>
    <x v="6"/>
    <s v="Max Copiers 970"/>
    <x v="1"/>
    <n v="1"/>
    <n v="634.13"/>
    <n v="0"/>
    <x v="123"/>
    <n v="453.35"/>
    <x v="123"/>
    <x v="1"/>
    <x v="1"/>
    <m/>
    <s v="Valid"/>
    <s v="Valid"/>
    <s v="Pass"/>
    <s v="Pass"/>
    <s v="May"/>
    <s v="2024"/>
    <m/>
    <n v="634.13"/>
    <n v="634.13"/>
    <n v="180.77999999999997"/>
    <n v="0.28508350022865969"/>
    <n v="0.28508350022865969"/>
  </r>
  <r>
    <x v="250"/>
    <d v="2024-02-21T00:00:00"/>
    <d v="2024-02-27T00:00:00"/>
    <n v="6"/>
    <s v="CUST-5351"/>
    <s v="Arjun Bose"/>
    <x v="1"/>
    <x v="1"/>
    <s v="West Bengal"/>
    <s v="Kolkata"/>
    <x v="1"/>
    <x v="3"/>
    <s v="Prime Furnishings 781"/>
    <x v="3"/>
    <n v="5"/>
    <n v="3373.86"/>
    <n v="0.15"/>
    <x v="250"/>
    <n v="11897.65"/>
    <x v="250"/>
    <x v="2"/>
    <x v="2"/>
    <m/>
    <s v="Valid"/>
    <s v="Valid"/>
    <s v="Pass"/>
    <s v="Pass"/>
    <s v="February"/>
    <s v="2024"/>
    <m/>
    <n v="16869.3"/>
    <n v="14338.904999999999"/>
    <n v="4971.6499999999996"/>
    <n v="0.29471584475941504"/>
    <n v="0.29471584475941504"/>
  </r>
  <r>
    <x v="377"/>
    <d v="2025-05-24T00:00:00"/>
    <d v="2025-05-30T00:00:00"/>
    <n v="6"/>
    <s v="CUST-4875"/>
    <s v="Kabir Singh"/>
    <x v="1"/>
    <x v="1"/>
    <s v="Odisha"/>
    <s v="Bhubaneswar"/>
    <x v="0"/>
    <x v="8"/>
    <s v="Basic Storage 360"/>
    <x v="1"/>
    <n v="1"/>
    <n v="2564.7399999999998"/>
    <n v="0"/>
    <x v="377"/>
    <n v="1754.58"/>
    <x v="376"/>
    <x v="0"/>
    <x v="0"/>
    <m/>
    <s v="Valid"/>
    <s v="Valid"/>
    <s v="Pass"/>
    <s v="Pass"/>
    <s v="May"/>
    <s v="2025"/>
    <m/>
    <n v="2564.7399999999998"/>
    <n v="2564.7399999999998"/>
    <n v="810.15999999999985"/>
    <n v="0.31588387126960232"/>
    <n v="0.31588387126960232"/>
  </r>
  <r>
    <x v="280"/>
    <d v="2024-12-23T00:00:00"/>
    <d v="2024-12-26T00:00:00"/>
    <n v="3"/>
    <s v="CUST-4098"/>
    <s v="Aditi Sen"/>
    <x v="0"/>
    <x v="2"/>
    <s v="Karnataka"/>
    <s v="Bengaluru"/>
    <x v="2"/>
    <x v="6"/>
    <s v="Prime Copiers 961"/>
    <x v="3"/>
    <n v="9"/>
    <n v="993.67"/>
    <n v="0"/>
    <x v="280"/>
    <n v="5165.38"/>
    <x v="279"/>
    <x v="0"/>
    <x v="0"/>
    <m/>
    <s v="Valid"/>
    <s v="Valid"/>
    <s v="Pass"/>
    <s v="Pass"/>
    <s v="December"/>
    <s v="2024"/>
    <m/>
    <n v="8943.0299999999988"/>
    <n v="8943.0299999999988"/>
    <n v="3777.6499999999987"/>
    <n v="0.42241276167026154"/>
    <n v="0.42241276167026154"/>
  </r>
  <r>
    <x v="712"/>
    <d v="2024-02-10T00:00:00"/>
    <d v="2024-02-18T00:00:00"/>
    <n v="8"/>
    <s v="CUST-5127"/>
    <s v="Isha Nair"/>
    <x v="3"/>
    <x v="3"/>
    <s v="Madhya Pradesh"/>
    <s v="Indore"/>
    <x v="1"/>
    <x v="4"/>
    <s v="Smart Chairs 259"/>
    <x v="2"/>
    <n v="7"/>
    <n v="1382.86"/>
    <n v="0"/>
    <x v="712"/>
    <n v="6876.66"/>
    <x v="709"/>
    <x v="0"/>
    <x v="0"/>
    <m/>
    <s v="Valid"/>
    <s v="Valid"/>
    <s v="Pass"/>
    <s v="Pass"/>
    <s v="February"/>
    <s v="2024"/>
    <m/>
    <n v="9680.0199999999986"/>
    <n v="9680.0199999999986"/>
    <n v="2803.3599999999988"/>
    <n v="0.28960270743242256"/>
    <n v="0.28960270743242256"/>
  </r>
  <r>
    <x v="549"/>
    <d v="2025-11-10T00:00:00"/>
    <d v="2025-10-13T00:00:00"/>
    <n v="-28"/>
    <s v="CUST-6028"/>
    <s v="Mira Das"/>
    <x v="2"/>
    <x v="2"/>
    <s v="Telangana"/>
    <s v="Hyderabad"/>
    <x v="0"/>
    <x v="2"/>
    <s v="Pro Art 287"/>
    <x v="0"/>
    <n v="3"/>
    <n v="3804.27"/>
    <n v="0.1"/>
    <x v="549"/>
    <n v="8272.24"/>
    <x v="548"/>
    <x v="0"/>
    <x v="0"/>
    <m/>
    <s v="Invalid-Date"/>
    <s v="Valid"/>
    <s v="Pass"/>
    <s v="Pass"/>
    <s v="November"/>
    <s v="2025"/>
    <m/>
    <n v="11412.81"/>
    <n v="10271.529"/>
    <n v="3140.5699999999997"/>
    <n v="0.2751793817648765"/>
    <n v="0.2751793817648765"/>
  </r>
  <r>
    <x v="849"/>
    <d v="2024-03-06T00:00:00"/>
    <d v="2024-03-12T00:00:00"/>
    <n v="6"/>
    <s v="CUST-3360"/>
    <s v="Isha Nair"/>
    <x v="3"/>
    <x v="3"/>
    <s v="Gujarat"/>
    <s v="Ahmedabad"/>
    <x v="1"/>
    <x v="10"/>
    <s v="Prime Bookcases 755"/>
    <x v="3"/>
    <n v="3"/>
    <n v="679.63"/>
    <n v="0.2"/>
    <x v="849"/>
    <n v="898.73"/>
    <x v="846"/>
    <x v="0"/>
    <x v="0"/>
    <m/>
    <s v="Valid"/>
    <s v="Valid"/>
    <s v="Pass"/>
    <s v="Pass"/>
    <s v="March"/>
    <s v="2024"/>
    <m/>
    <n v="2038.8899999999999"/>
    <n v="1631.1120000000001"/>
    <n v="1140.1599999999999"/>
    <n v="0.55920623476499465"/>
    <n v="0.55920623476499465"/>
  </r>
  <r>
    <x v="127"/>
    <d v="2025-01-30T00:00:00"/>
    <d v="2025-01-26T00:00:00"/>
    <n v="-4"/>
    <s v="CUST-6802"/>
    <s v="Priya Menon"/>
    <x v="2"/>
    <x v="3"/>
    <s v="Madhya Pradesh"/>
    <s v="Indore"/>
    <x v="0"/>
    <x v="8"/>
    <s v="Basic Storage 321"/>
    <x v="0"/>
    <n v="2"/>
    <n v="3039.3"/>
    <n v="0.05"/>
    <x v="127"/>
    <n v="3518.36"/>
    <x v="127"/>
    <x v="0"/>
    <x v="0"/>
    <m/>
    <s v="Invalid-Date"/>
    <s v="Valid"/>
    <s v="Pass"/>
    <s v="Pass"/>
    <s v="January"/>
    <s v="2025"/>
    <m/>
    <n v="6078.6"/>
    <n v="5774.67"/>
    <n v="2560.2400000000002"/>
    <n v="0.42118908959299839"/>
    <n v="0.42118908959299839"/>
  </r>
  <r>
    <x v="676"/>
    <d v="2025-11-09T00:00:00"/>
    <d v="2025-09-18T00:00:00"/>
    <n v="-52"/>
    <s v="CUST-9212"/>
    <s v="Rahul Verma"/>
    <x v="1"/>
    <x v="0"/>
    <s v="Delhi"/>
    <s v="New Delhi"/>
    <x v="2"/>
    <x v="11"/>
    <s v="Smart Phones 967"/>
    <x v="1"/>
    <n v="7"/>
    <n v="3411.21"/>
    <n v="0.15"/>
    <x v="676"/>
    <n v="14920.87"/>
    <x v="673"/>
    <x v="0"/>
    <x v="0"/>
    <m/>
    <s v="Invalid-Date"/>
    <s v="Valid"/>
    <s v="Pass"/>
    <s v="Pass"/>
    <s v="November"/>
    <s v="2025"/>
    <m/>
    <n v="23878.47"/>
    <n v="20296.699499999999"/>
    <n v="8957.6"/>
    <n v="0.3751329126196109"/>
    <n v="0.3751329126196109"/>
  </r>
  <r>
    <x v="6"/>
    <d v="2025-10-04T00:00:00"/>
    <d v="2025-04-16T00:00:00"/>
    <n v="-171"/>
    <s v="CUST-3656"/>
    <s v="Neha Gupta"/>
    <x v="0"/>
    <x v="1"/>
    <s v="Odisha"/>
    <s v="Bhubaneswar"/>
    <x v="2"/>
    <x v="6"/>
    <s v="Eco Copiers 790"/>
    <x v="3"/>
    <n v="4"/>
    <n v="1719.87"/>
    <n v="0.15"/>
    <x v="6"/>
    <n v="4727.25"/>
    <x v="6"/>
    <x v="0"/>
    <x v="0"/>
    <m/>
    <s v="Invalid-Date"/>
    <s v="Valid"/>
    <s v="Pass"/>
    <s v="Pass"/>
    <s v="October"/>
    <s v="2025"/>
    <m/>
    <n v="6879.48"/>
    <n v="5847.5579999999991"/>
    <n v="2152.2299999999996"/>
    <n v="0.3128477733782204"/>
    <n v="0.3128477733782204"/>
  </r>
  <r>
    <x v="331"/>
    <d v="2024-12-04T00:00:00"/>
    <d v="2024-06-12T00:00:00"/>
    <n v="-175"/>
    <s v="CUST-9346"/>
    <s v="Sneha Kapoor"/>
    <x v="3"/>
    <x v="1"/>
    <s v="Odisha"/>
    <s v="Bhubaneswar"/>
    <x v="0"/>
    <x v="9"/>
    <s v="Smart Binders 939"/>
    <x v="0"/>
    <n v="4"/>
    <n v="2685.66"/>
    <n v="0"/>
    <x v="900"/>
    <n v="6477.37"/>
    <x v="330"/>
    <x v="0"/>
    <x v="0"/>
    <m/>
    <s v="Invalid-Date"/>
    <s v="Valid"/>
    <s v="Pass"/>
    <s v="Pass"/>
    <s v="December"/>
    <s v="2024"/>
    <m/>
    <n v="10742.64"/>
    <n v="10742.64"/>
    <n v="4265.2699999999995"/>
    <n v="0.39704113700170535"/>
    <n v="0.39704113700170535"/>
  </r>
  <r>
    <x v="90"/>
    <d v="2025-08-24T00:00:00"/>
    <d v="2025-08-29T00:00:00"/>
    <n v="5"/>
    <s v="CUST-5909"/>
    <s v="Aarav Sharma"/>
    <x v="1"/>
    <x v="1"/>
    <s v="Bihar"/>
    <s v="Patna"/>
    <x v="2"/>
    <x v="6"/>
    <s v="Smart Copiers 556"/>
    <x v="2"/>
    <n v="3"/>
    <n v="3703.96"/>
    <n v="0.15"/>
    <x v="901"/>
    <n v="5586.28"/>
    <x v="90"/>
    <x v="0"/>
    <x v="2"/>
    <m/>
    <s v="Valid"/>
    <s v="Valid"/>
    <s v="Pass"/>
    <s v="Pass"/>
    <s v="August"/>
    <s v="2025"/>
    <m/>
    <n v="11111.880000000001"/>
    <n v="9445.098"/>
    <n v="5525.6000000000013"/>
    <n v="0.49726958894444512"/>
    <n v="0.49726958894444512"/>
  </r>
  <r>
    <x v="373"/>
    <d v="2025-04-13T00:00:00"/>
    <d v="2025-04-13T00:00:00"/>
    <n v="0"/>
    <s v="CUST-8566"/>
    <s v="Sneha Kapoor"/>
    <x v="1"/>
    <x v="0"/>
    <s v="Uttar Pradesh"/>
    <s v="Noida"/>
    <x v="0"/>
    <x v="8"/>
    <s v="Prime Storage 951"/>
    <x v="0"/>
    <n v="9"/>
    <n v="1118.68"/>
    <n v="0"/>
    <x v="902"/>
    <n v="8595.3700000000008"/>
    <x v="372"/>
    <x v="0"/>
    <x v="2"/>
    <m/>
    <s v="Valid"/>
    <s v="Valid"/>
    <s v="Pass"/>
    <s v="Pass"/>
    <s v="April"/>
    <s v="2025"/>
    <m/>
    <n v="10068.120000000001"/>
    <n v="10068.120000000001"/>
    <n v="1472.75"/>
    <n v="0.14627855051389932"/>
    <n v="0.14627855051389932"/>
  </r>
  <r>
    <x v="224"/>
    <d v="2025-02-10T00:00:00"/>
    <d v="2025-08-10T00:00:00"/>
    <n v="181"/>
    <s v="CUST-9871"/>
    <s v="Isha Nair"/>
    <x v="1"/>
    <x v="0"/>
    <s v="Punjab"/>
    <s v="Ludhiana"/>
    <x v="1"/>
    <x v="3"/>
    <s v="Classic Furnishings 109"/>
    <x v="3"/>
    <n v="4"/>
    <n v="3944.64"/>
    <n v="0.25"/>
    <x v="903"/>
    <n v="6682.92"/>
    <x v="224"/>
    <x v="0"/>
    <x v="2"/>
    <m/>
    <s v="Valid"/>
    <s v="Valid"/>
    <s v="Pass"/>
    <s v="Pass"/>
    <s v="February"/>
    <s v="2025"/>
    <m/>
    <n v="15778.56"/>
    <n v="11833.92"/>
    <n v="9095.64"/>
    <n v="0.5764556461426138"/>
    <n v="0.5764556461426138"/>
  </r>
  <r>
    <x v="314"/>
    <d v="2025-05-18T00:00:00"/>
    <d v="2025-05-20T00:00:00"/>
    <n v="2"/>
    <s v="CUST-1945"/>
    <s v="Isha Nair"/>
    <x v="2"/>
    <x v="3"/>
    <s v="Madhya Pradesh"/>
    <s v="Indore"/>
    <x v="0"/>
    <x v="7"/>
    <s v="Elite Labels 544"/>
    <x v="3"/>
    <n v="9"/>
    <n v="847.76"/>
    <n v="0.15"/>
    <x v="904"/>
    <n v="5376.17"/>
    <x v="313"/>
    <x v="3"/>
    <x v="0"/>
    <m/>
    <s v="Valid"/>
    <s v="Valid"/>
    <s v="Pass"/>
    <s v="Pass"/>
    <s v="May"/>
    <s v="2025"/>
    <m/>
    <n v="7629.84"/>
    <n v="6485.3639999999996"/>
    <n v="2253.67"/>
    <n v="0.29537578769672757"/>
    <n v="0.29537578769672757"/>
  </r>
  <r>
    <x v="170"/>
    <d v="2025-09-07T00:00:00"/>
    <d v="2025-09-15T00:00:00"/>
    <n v="8"/>
    <s v="CUST-3734"/>
    <s v="Rohan Mehta"/>
    <x v="2"/>
    <x v="1"/>
    <s v="Bihar"/>
    <s v="Patna"/>
    <x v="2"/>
    <x v="6"/>
    <s v="Eco Copiers 102"/>
    <x v="3"/>
    <n v="3"/>
    <n v="1711.32"/>
    <n v="0"/>
    <x v="905"/>
    <n v="3930"/>
    <x v="170"/>
    <x v="0"/>
    <x v="2"/>
    <m/>
    <s v="Valid"/>
    <s v="Valid"/>
    <s v="Pass"/>
    <s v="Pass"/>
    <s v="September"/>
    <s v="2025"/>
    <m/>
    <n v="5133.96"/>
    <n v="5133.96"/>
    <n v="1203.96"/>
    <n v="0.23450903396208775"/>
    <n v="0.23450903396208775"/>
  </r>
  <r>
    <x v="423"/>
    <d v="2024-02-20T00:00:00"/>
    <d v="2024-02-27T00:00:00"/>
    <n v="7"/>
    <s v="CUST-6169"/>
    <s v="Diya Patel"/>
    <x v="0"/>
    <x v="2"/>
    <s v="Kerala"/>
    <s v="Kochi"/>
    <x v="2"/>
    <x v="5"/>
    <s v="Prime Accessories 236"/>
    <x v="2"/>
    <n v="9"/>
    <n v="3779.31"/>
    <n v="0.2"/>
    <x v="906"/>
    <n v="17940.43"/>
    <x v="422"/>
    <x v="0"/>
    <x v="2"/>
    <m/>
    <s v="Valid"/>
    <s v="Valid"/>
    <s v="Pass"/>
    <s v="Pass"/>
    <s v="February"/>
    <s v="2024"/>
    <m/>
    <n v="34013.79"/>
    <n v="27211.032000000003"/>
    <n v="16073.36"/>
    <n v="0.47255421992080271"/>
    <n v="0.47255421992080271"/>
  </r>
  <r>
    <x v="571"/>
    <d v="2025-02-10T00:00:00"/>
    <d v="2025-02-14T00:00:00"/>
    <n v="4"/>
    <s v="CUST-3425"/>
    <s v="Priya Menon"/>
    <x v="1"/>
    <x v="0"/>
    <s v="Uttar Pradesh"/>
    <s v="Noida"/>
    <x v="2"/>
    <x v="11"/>
    <s v="Prime Phones 895"/>
    <x v="4"/>
    <n v="5"/>
    <n v="4276.29"/>
    <n v="0"/>
    <x v="907"/>
    <n v="13240.21"/>
    <x v="570"/>
    <x v="3"/>
    <x v="0"/>
    <m/>
    <s v="Valid"/>
    <s v="Valid"/>
    <s v="Flagged"/>
    <s v="Pass"/>
    <s v="February"/>
    <s v="2025"/>
    <m/>
    <n v="21381.45"/>
    <n v="21381.45"/>
    <n v="8141.2400000000016"/>
    <n v="0.38076182859441249"/>
    <n v="0.38076182859441249"/>
  </r>
  <r>
    <x v="142"/>
    <d v="2024-03-30T00:00:00"/>
    <d v="2024-03-26T00:00:00"/>
    <n v="-4"/>
    <s v="CUST-8944"/>
    <s v="Aditi Sen"/>
    <x v="3"/>
    <x v="0"/>
    <s v="Rajasthan"/>
    <s v="Jaipur"/>
    <x v="2"/>
    <x v="11"/>
    <s v="Classic Phones 142"/>
    <x v="0"/>
    <n v="5"/>
    <n v="907.54"/>
    <n v="0.15"/>
    <x v="908"/>
    <n v="2769.26"/>
    <x v="142"/>
    <x v="0"/>
    <x v="2"/>
    <m/>
    <s v="Invalid-Date"/>
    <s v="Valid"/>
    <s v="Pass"/>
    <s v="Pass"/>
    <s v="March"/>
    <s v="2024"/>
    <m/>
    <n v="4537.7"/>
    <n v="3857.0449999999996"/>
    <n v="1768.4399999999996"/>
    <n v="0.38972166516076417"/>
    <n v="0.38972166516076417"/>
  </r>
  <r>
    <x v="272"/>
    <d v="2024-08-18T00:00:00"/>
    <d v="2024-08-24T00:00:00"/>
    <n v="6"/>
    <s v="CUST-7389"/>
    <s v="Arjun Bose"/>
    <x v="0"/>
    <x v="2"/>
    <s v="Andhra Pradesh"/>
    <s v="Vijayawada"/>
    <x v="1"/>
    <x v="4"/>
    <s v="Eco Chairs 314"/>
    <x v="2"/>
    <n v="7"/>
    <n v="557.21"/>
    <n v="0.1"/>
    <x v="909"/>
    <n v="2191.5"/>
    <x v="271"/>
    <x v="0"/>
    <x v="2"/>
    <m/>
    <s v="Valid"/>
    <s v="Valid"/>
    <s v="Pass"/>
    <s v="Pass"/>
    <s v="August"/>
    <s v="2024"/>
    <m/>
    <n v="3900.4700000000003"/>
    <n v="3510.4230000000002"/>
    <n v="1708.9700000000003"/>
    <n v="0.4381446338518179"/>
    <n v="0.4381446338518179"/>
  </r>
  <r>
    <x v="123"/>
    <d v="2024-05-24T00:00:00"/>
    <d v="2024-05-25T00:00:00"/>
    <n v="1"/>
    <s v="CUST-1007"/>
    <s v="Sneha Kapoor"/>
    <x v="1"/>
    <x v="0"/>
    <s v="Punjab"/>
    <s v="Ludhiana"/>
    <x v="2"/>
    <x v="6"/>
    <s v="Max Copiers 970"/>
    <x v="1"/>
    <n v="1"/>
    <n v="634.13"/>
    <n v="0"/>
    <x v="910"/>
    <n v="453.35"/>
    <x v="123"/>
    <x v="1"/>
    <x v="2"/>
    <m/>
    <s v="Valid"/>
    <s v="Valid"/>
    <s v="Pass"/>
    <s v="Pass"/>
    <s v="May"/>
    <s v="2024"/>
    <m/>
    <n v="634.13"/>
    <n v="634.13"/>
    <n v="180.77999999999997"/>
    <n v="0.28508350022865969"/>
    <n v="0.28508350022865969"/>
  </r>
  <r>
    <x v="335"/>
    <d v="2025-06-16T00:00:00"/>
    <d v="2025-06-18T00:00:00"/>
    <n v="2"/>
    <s v="CUST-3621"/>
    <s v="Rahul Verma"/>
    <x v="3"/>
    <x v="3"/>
    <s v="Madhya Pradesh"/>
    <s v="Indore"/>
    <x v="0"/>
    <x v="0"/>
    <s v="Prime Paper 559"/>
    <x v="2"/>
    <n v="3"/>
    <n v="4289.37"/>
    <n v="0.1"/>
    <x v="911"/>
    <n v="6829.43"/>
    <x v="334"/>
    <x v="0"/>
    <x v="2"/>
    <m/>
    <s v="Valid"/>
    <s v="Valid"/>
    <s v="Pass"/>
    <s v="Pass"/>
    <s v="June"/>
    <s v="2025"/>
    <m/>
    <n v="12868.11"/>
    <n v="11581.299000000001"/>
    <n v="6038.68"/>
    <n v="0.46927481968991563"/>
    <n v="0.46927481968991563"/>
  </r>
  <r>
    <x v="900"/>
    <m/>
    <m/>
    <m/>
    <m/>
    <m/>
    <x v="4"/>
    <x v="5"/>
    <m/>
    <m/>
    <x v="3"/>
    <x v="13"/>
    <m/>
    <x v="5"/>
    <m/>
    <m/>
    <m/>
    <x v="912"/>
    <m/>
    <x v="897"/>
    <x v="4"/>
    <x v="3"/>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57833F-40A1-4901-A766-42608C73CAC1}"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9:K33" firstHeaderRow="1" firstDataRow="2" firstDataCol="1"/>
  <pivotFields count="35">
    <pivotField showAll="0">
      <items count="902">
        <item x="0"/>
        <item x="1"/>
        <item x="2"/>
        <item x="3"/>
        <item x="5"/>
        <item x="8"/>
        <item x="11"/>
        <item x="12"/>
        <item x="14"/>
        <item x="15"/>
        <item x="16"/>
        <item x="17"/>
        <item x="19"/>
        <item x="24"/>
        <item x="25"/>
        <item x="26"/>
        <item x="28"/>
        <item x="30"/>
        <item x="32"/>
        <item x="33"/>
        <item x="35"/>
        <item x="36"/>
        <item x="38"/>
        <item x="39"/>
        <item x="40"/>
        <item x="41"/>
        <item x="43"/>
        <item x="44"/>
        <item x="45"/>
        <item x="46"/>
        <item x="47"/>
        <item x="49"/>
        <item x="51"/>
        <item x="52"/>
        <item x="57"/>
        <item x="58"/>
        <item x="59"/>
        <item x="60"/>
        <item x="61"/>
        <item x="62"/>
        <item x="63"/>
        <item x="64"/>
        <item x="65"/>
        <item x="68"/>
        <item x="69"/>
        <item x="72"/>
        <item x="76"/>
        <item x="80"/>
        <item x="82"/>
        <item x="83"/>
        <item x="84"/>
        <item x="85"/>
        <item x="86"/>
        <item x="87"/>
        <item x="88"/>
        <item x="89"/>
        <item x="93"/>
        <item x="94"/>
        <item x="96"/>
        <item x="98"/>
        <item x="101"/>
        <item x="105"/>
        <item x="106"/>
        <item x="107"/>
        <item x="108"/>
        <item x="110"/>
        <item x="112"/>
        <item x="113"/>
        <item x="114"/>
        <item x="115"/>
        <item x="117"/>
        <item x="118"/>
        <item x="119"/>
        <item x="120"/>
        <item x="122"/>
        <item x="123"/>
        <item x="124"/>
        <item x="128"/>
        <item x="129"/>
        <item x="130"/>
        <item x="132"/>
        <item x="133"/>
        <item x="138"/>
        <item x="140"/>
        <item x="141"/>
        <item x="142"/>
        <item x="143"/>
        <item x="144"/>
        <item x="147"/>
        <item x="149"/>
        <item x="150"/>
        <item x="151"/>
        <item x="152"/>
        <item x="154"/>
        <item x="157"/>
        <item x="158"/>
        <item x="162"/>
        <item x="165"/>
        <item x="173"/>
        <item x="175"/>
        <item x="177"/>
        <item x="178"/>
        <item x="179"/>
        <item x="180"/>
        <item x="182"/>
        <item x="184"/>
        <item x="185"/>
        <item x="186"/>
        <item x="191"/>
        <item x="192"/>
        <item x="193"/>
        <item x="196"/>
        <item x="198"/>
        <item x="199"/>
        <item x="203"/>
        <item x="207"/>
        <item x="210"/>
        <item x="211"/>
        <item x="212"/>
        <item x="213"/>
        <item x="214"/>
        <item x="215"/>
        <item x="219"/>
        <item x="220"/>
        <item x="225"/>
        <item x="227"/>
        <item x="228"/>
        <item x="230"/>
        <item x="231"/>
        <item x="233"/>
        <item x="234"/>
        <item x="235"/>
        <item x="236"/>
        <item x="237"/>
        <item x="238"/>
        <item x="239"/>
        <item x="240"/>
        <item x="244"/>
        <item x="245"/>
        <item x="246"/>
        <item x="247"/>
        <item x="248"/>
        <item x="250"/>
        <item x="253"/>
        <item x="256"/>
        <item x="258"/>
        <item x="259"/>
        <item x="264"/>
        <item x="265"/>
        <item x="270"/>
        <item x="271"/>
        <item x="272"/>
        <item x="274"/>
        <item x="275"/>
        <item x="276"/>
        <item x="279"/>
        <item x="280"/>
        <item x="282"/>
        <item x="284"/>
        <item x="286"/>
        <item x="287"/>
        <item x="288"/>
        <item x="291"/>
        <item x="293"/>
        <item x="297"/>
        <item x="299"/>
        <item x="300"/>
        <item x="303"/>
        <item x="304"/>
        <item x="305"/>
        <item x="309"/>
        <item x="310"/>
        <item x="311"/>
        <item x="312"/>
        <item x="315"/>
        <item x="316"/>
        <item x="318"/>
        <item x="319"/>
        <item x="320"/>
        <item x="321"/>
        <item x="322"/>
        <item x="323"/>
        <item x="327"/>
        <item x="330"/>
        <item x="331"/>
        <item x="334"/>
        <item x="336"/>
        <item x="337"/>
        <item x="338"/>
        <item x="340"/>
        <item x="344"/>
        <item x="345"/>
        <item x="347"/>
        <item x="348"/>
        <item x="350"/>
        <item x="354"/>
        <item x="355"/>
        <item x="359"/>
        <item x="360"/>
        <item x="362"/>
        <item x="365"/>
        <item x="367"/>
        <item x="370"/>
        <item x="371"/>
        <item x="375"/>
        <item x="376"/>
        <item x="379"/>
        <item x="380"/>
        <item x="384"/>
        <item x="388"/>
        <item x="389"/>
        <item x="390"/>
        <item x="392"/>
        <item x="393"/>
        <item x="394"/>
        <item x="395"/>
        <item x="398"/>
        <item x="402"/>
        <item x="403"/>
        <item x="404"/>
        <item x="405"/>
        <item x="407"/>
        <item x="410"/>
        <item x="412"/>
        <item x="414"/>
        <item x="415"/>
        <item x="418"/>
        <item x="423"/>
        <item x="424"/>
        <item x="425"/>
        <item x="426"/>
        <item x="430"/>
        <item x="431"/>
        <item x="432"/>
        <item x="433"/>
        <item x="436"/>
        <item x="437"/>
        <item x="440"/>
        <item x="441"/>
        <item x="443"/>
        <item x="445"/>
        <item x="448"/>
        <item x="449"/>
        <item x="451"/>
        <item x="452"/>
        <item x="455"/>
        <item x="456"/>
        <item x="457"/>
        <item x="458"/>
        <item x="459"/>
        <item x="462"/>
        <item x="465"/>
        <item x="466"/>
        <item x="467"/>
        <item x="469"/>
        <item x="470"/>
        <item x="471"/>
        <item x="472"/>
        <item x="473"/>
        <item x="474"/>
        <item x="476"/>
        <item x="478"/>
        <item x="479"/>
        <item x="482"/>
        <item x="483"/>
        <item x="484"/>
        <item x="488"/>
        <item x="489"/>
        <item x="490"/>
        <item x="494"/>
        <item x="495"/>
        <item x="497"/>
        <item x="499"/>
        <item x="500"/>
        <item x="501"/>
        <item x="502"/>
        <item x="503"/>
        <item x="505"/>
        <item x="506"/>
        <item x="508"/>
        <item x="510"/>
        <item x="511"/>
        <item x="514"/>
        <item x="516"/>
        <item x="520"/>
        <item x="523"/>
        <item x="524"/>
        <item x="525"/>
        <item x="528"/>
        <item x="529"/>
        <item x="531"/>
        <item x="533"/>
        <item x="535"/>
        <item x="537"/>
        <item x="538"/>
        <item x="540"/>
        <item x="542"/>
        <item x="543"/>
        <item x="545"/>
        <item x="547"/>
        <item x="548"/>
        <item x="550"/>
        <item x="551"/>
        <item x="554"/>
        <item x="556"/>
        <item x="557"/>
        <item x="560"/>
        <item x="562"/>
        <item x="563"/>
        <item x="564"/>
        <item x="566"/>
        <item x="567"/>
        <item x="568"/>
        <item x="572"/>
        <item x="574"/>
        <item x="576"/>
        <item x="578"/>
        <item x="579"/>
        <item x="582"/>
        <item x="583"/>
        <item x="584"/>
        <item x="589"/>
        <item x="590"/>
        <item x="591"/>
        <item x="592"/>
        <item x="594"/>
        <item x="596"/>
        <item x="598"/>
        <item x="599"/>
        <item x="601"/>
        <item x="602"/>
        <item x="608"/>
        <item x="610"/>
        <item x="613"/>
        <item x="614"/>
        <item x="615"/>
        <item x="616"/>
        <item x="617"/>
        <item x="618"/>
        <item x="619"/>
        <item x="620"/>
        <item x="621"/>
        <item x="623"/>
        <item x="624"/>
        <item x="625"/>
        <item x="630"/>
        <item x="631"/>
        <item x="635"/>
        <item x="636"/>
        <item x="637"/>
        <item x="638"/>
        <item x="639"/>
        <item x="642"/>
        <item x="643"/>
        <item x="645"/>
        <item x="646"/>
        <item x="648"/>
        <item x="650"/>
        <item x="656"/>
        <item x="661"/>
        <item x="662"/>
        <item x="663"/>
        <item x="664"/>
        <item x="666"/>
        <item x="668"/>
        <item x="669"/>
        <item x="671"/>
        <item x="672"/>
        <item x="674"/>
        <item x="677"/>
        <item x="678"/>
        <item x="680"/>
        <item x="681"/>
        <item x="686"/>
        <item x="689"/>
        <item x="690"/>
        <item x="691"/>
        <item x="695"/>
        <item x="698"/>
        <item x="699"/>
        <item x="700"/>
        <item x="701"/>
        <item x="703"/>
        <item x="704"/>
        <item x="705"/>
        <item x="706"/>
        <item x="710"/>
        <item x="712"/>
        <item x="718"/>
        <item x="720"/>
        <item x="722"/>
        <item x="724"/>
        <item x="726"/>
        <item x="727"/>
        <item x="728"/>
        <item x="731"/>
        <item x="732"/>
        <item x="733"/>
        <item x="734"/>
        <item x="735"/>
        <item x="736"/>
        <item x="737"/>
        <item x="739"/>
        <item x="740"/>
        <item x="742"/>
        <item x="745"/>
        <item x="747"/>
        <item x="748"/>
        <item x="749"/>
        <item x="752"/>
        <item x="753"/>
        <item x="756"/>
        <item x="758"/>
        <item x="759"/>
        <item x="760"/>
        <item x="762"/>
        <item x="766"/>
        <item x="767"/>
        <item x="769"/>
        <item x="770"/>
        <item x="771"/>
        <item x="775"/>
        <item x="777"/>
        <item x="778"/>
        <item x="779"/>
        <item x="780"/>
        <item x="781"/>
        <item x="783"/>
        <item x="785"/>
        <item x="787"/>
        <item x="788"/>
        <item x="790"/>
        <item x="791"/>
        <item x="793"/>
        <item x="795"/>
        <item x="796"/>
        <item x="797"/>
        <item x="799"/>
        <item x="800"/>
        <item x="803"/>
        <item x="806"/>
        <item x="810"/>
        <item x="811"/>
        <item x="812"/>
        <item x="815"/>
        <item x="816"/>
        <item x="818"/>
        <item x="819"/>
        <item x="821"/>
        <item x="822"/>
        <item x="827"/>
        <item x="829"/>
        <item x="833"/>
        <item x="834"/>
        <item x="836"/>
        <item x="839"/>
        <item x="842"/>
        <item x="845"/>
        <item x="846"/>
        <item x="849"/>
        <item x="850"/>
        <item x="851"/>
        <item x="852"/>
        <item x="855"/>
        <item x="856"/>
        <item x="857"/>
        <item x="858"/>
        <item x="859"/>
        <item x="860"/>
        <item x="867"/>
        <item x="871"/>
        <item x="872"/>
        <item x="875"/>
        <item x="876"/>
        <item x="878"/>
        <item x="880"/>
        <item x="881"/>
        <item x="885"/>
        <item x="887"/>
        <item x="890"/>
        <item x="891"/>
        <item x="893"/>
        <item x="894"/>
        <item x="895"/>
        <item x="896"/>
        <item x="898"/>
        <item x="4"/>
        <item x="6"/>
        <item x="7"/>
        <item x="9"/>
        <item x="10"/>
        <item x="13"/>
        <item x="18"/>
        <item x="20"/>
        <item x="21"/>
        <item x="22"/>
        <item x="23"/>
        <item x="27"/>
        <item x="29"/>
        <item x="31"/>
        <item x="34"/>
        <item x="37"/>
        <item x="42"/>
        <item x="48"/>
        <item x="50"/>
        <item x="53"/>
        <item x="54"/>
        <item x="55"/>
        <item x="56"/>
        <item x="66"/>
        <item x="67"/>
        <item x="70"/>
        <item x="71"/>
        <item x="73"/>
        <item x="74"/>
        <item x="75"/>
        <item x="77"/>
        <item x="78"/>
        <item x="79"/>
        <item x="81"/>
        <item x="90"/>
        <item x="91"/>
        <item x="92"/>
        <item x="95"/>
        <item x="97"/>
        <item x="99"/>
        <item x="100"/>
        <item x="102"/>
        <item x="103"/>
        <item x="104"/>
        <item x="109"/>
        <item x="111"/>
        <item x="116"/>
        <item x="121"/>
        <item x="125"/>
        <item x="126"/>
        <item x="127"/>
        <item x="131"/>
        <item x="134"/>
        <item x="135"/>
        <item x="136"/>
        <item x="137"/>
        <item x="139"/>
        <item x="145"/>
        <item x="146"/>
        <item x="148"/>
        <item x="153"/>
        <item x="155"/>
        <item x="156"/>
        <item x="159"/>
        <item x="160"/>
        <item x="161"/>
        <item x="163"/>
        <item x="164"/>
        <item x="166"/>
        <item x="167"/>
        <item x="168"/>
        <item x="169"/>
        <item x="170"/>
        <item x="171"/>
        <item x="172"/>
        <item x="174"/>
        <item x="176"/>
        <item x="181"/>
        <item x="183"/>
        <item x="187"/>
        <item x="188"/>
        <item x="189"/>
        <item x="190"/>
        <item x="194"/>
        <item x="195"/>
        <item x="197"/>
        <item x="200"/>
        <item x="201"/>
        <item x="202"/>
        <item x="204"/>
        <item x="205"/>
        <item x="206"/>
        <item x="208"/>
        <item x="209"/>
        <item x="216"/>
        <item x="217"/>
        <item x="218"/>
        <item x="221"/>
        <item x="222"/>
        <item x="223"/>
        <item x="224"/>
        <item x="226"/>
        <item x="229"/>
        <item x="232"/>
        <item x="241"/>
        <item x="242"/>
        <item x="243"/>
        <item x="249"/>
        <item x="251"/>
        <item x="252"/>
        <item x="254"/>
        <item x="255"/>
        <item x="257"/>
        <item x="260"/>
        <item x="261"/>
        <item x="262"/>
        <item x="263"/>
        <item x="266"/>
        <item x="267"/>
        <item x="268"/>
        <item x="269"/>
        <item x="273"/>
        <item x="277"/>
        <item x="278"/>
        <item x="281"/>
        <item x="283"/>
        <item x="285"/>
        <item x="289"/>
        <item x="290"/>
        <item x="292"/>
        <item x="294"/>
        <item x="295"/>
        <item x="296"/>
        <item x="298"/>
        <item x="301"/>
        <item x="302"/>
        <item x="306"/>
        <item x="307"/>
        <item x="308"/>
        <item x="313"/>
        <item x="314"/>
        <item x="317"/>
        <item x="324"/>
        <item x="325"/>
        <item x="326"/>
        <item x="328"/>
        <item x="329"/>
        <item x="332"/>
        <item x="333"/>
        <item x="335"/>
        <item x="339"/>
        <item x="341"/>
        <item x="342"/>
        <item x="343"/>
        <item x="346"/>
        <item x="349"/>
        <item x="351"/>
        <item x="352"/>
        <item x="353"/>
        <item x="356"/>
        <item x="357"/>
        <item x="358"/>
        <item x="361"/>
        <item x="363"/>
        <item x="364"/>
        <item x="366"/>
        <item x="368"/>
        <item x="369"/>
        <item x="372"/>
        <item x="373"/>
        <item x="374"/>
        <item x="377"/>
        <item x="378"/>
        <item x="381"/>
        <item x="382"/>
        <item x="383"/>
        <item x="385"/>
        <item x="386"/>
        <item x="387"/>
        <item x="391"/>
        <item x="396"/>
        <item x="397"/>
        <item x="399"/>
        <item x="400"/>
        <item x="401"/>
        <item x="406"/>
        <item x="408"/>
        <item x="409"/>
        <item x="411"/>
        <item x="413"/>
        <item x="416"/>
        <item x="417"/>
        <item x="419"/>
        <item x="420"/>
        <item x="421"/>
        <item x="422"/>
        <item x="427"/>
        <item x="428"/>
        <item x="429"/>
        <item x="434"/>
        <item x="435"/>
        <item x="438"/>
        <item x="439"/>
        <item x="442"/>
        <item x="444"/>
        <item x="446"/>
        <item x="447"/>
        <item x="450"/>
        <item x="453"/>
        <item x="454"/>
        <item x="460"/>
        <item x="461"/>
        <item x="463"/>
        <item x="464"/>
        <item x="468"/>
        <item x="475"/>
        <item x="477"/>
        <item x="480"/>
        <item x="481"/>
        <item x="485"/>
        <item x="486"/>
        <item x="487"/>
        <item x="491"/>
        <item x="492"/>
        <item x="493"/>
        <item x="496"/>
        <item x="498"/>
        <item x="504"/>
        <item x="507"/>
        <item x="509"/>
        <item x="512"/>
        <item x="513"/>
        <item x="515"/>
        <item x="517"/>
        <item x="518"/>
        <item x="519"/>
        <item x="521"/>
        <item x="522"/>
        <item x="526"/>
        <item x="527"/>
        <item x="530"/>
        <item x="532"/>
        <item x="534"/>
        <item x="536"/>
        <item x="539"/>
        <item x="541"/>
        <item x="544"/>
        <item x="546"/>
        <item x="549"/>
        <item x="552"/>
        <item x="553"/>
        <item x="555"/>
        <item x="558"/>
        <item x="559"/>
        <item x="561"/>
        <item x="565"/>
        <item x="569"/>
        <item x="570"/>
        <item x="571"/>
        <item x="573"/>
        <item x="575"/>
        <item x="577"/>
        <item x="580"/>
        <item x="581"/>
        <item x="585"/>
        <item x="586"/>
        <item x="587"/>
        <item x="588"/>
        <item x="593"/>
        <item x="595"/>
        <item x="597"/>
        <item x="600"/>
        <item x="603"/>
        <item x="604"/>
        <item x="605"/>
        <item x="606"/>
        <item x="607"/>
        <item x="609"/>
        <item x="611"/>
        <item x="612"/>
        <item x="622"/>
        <item x="626"/>
        <item x="627"/>
        <item x="628"/>
        <item x="629"/>
        <item x="632"/>
        <item x="633"/>
        <item x="634"/>
        <item x="640"/>
        <item x="641"/>
        <item x="644"/>
        <item x="647"/>
        <item x="649"/>
        <item x="651"/>
        <item x="652"/>
        <item x="653"/>
        <item x="654"/>
        <item x="655"/>
        <item x="657"/>
        <item x="658"/>
        <item x="659"/>
        <item x="660"/>
        <item x="665"/>
        <item x="667"/>
        <item x="670"/>
        <item x="673"/>
        <item x="675"/>
        <item x="676"/>
        <item x="679"/>
        <item x="682"/>
        <item x="683"/>
        <item x="684"/>
        <item x="685"/>
        <item x="687"/>
        <item x="688"/>
        <item x="692"/>
        <item x="693"/>
        <item x="694"/>
        <item x="696"/>
        <item x="697"/>
        <item x="702"/>
        <item x="707"/>
        <item x="708"/>
        <item x="709"/>
        <item x="711"/>
        <item x="713"/>
        <item x="714"/>
        <item x="715"/>
        <item x="716"/>
        <item x="717"/>
        <item x="719"/>
        <item x="721"/>
        <item x="723"/>
        <item x="725"/>
        <item x="729"/>
        <item x="730"/>
        <item x="738"/>
        <item x="741"/>
        <item x="743"/>
        <item x="744"/>
        <item x="746"/>
        <item x="750"/>
        <item x="751"/>
        <item x="754"/>
        <item x="755"/>
        <item x="757"/>
        <item x="761"/>
        <item x="763"/>
        <item x="764"/>
        <item x="765"/>
        <item x="768"/>
        <item x="772"/>
        <item x="773"/>
        <item x="774"/>
        <item x="776"/>
        <item x="782"/>
        <item x="784"/>
        <item x="786"/>
        <item x="789"/>
        <item x="792"/>
        <item x="794"/>
        <item x="798"/>
        <item x="801"/>
        <item x="802"/>
        <item x="804"/>
        <item x="805"/>
        <item x="807"/>
        <item x="808"/>
        <item x="809"/>
        <item x="813"/>
        <item x="814"/>
        <item x="817"/>
        <item x="820"/>
        <item x="823"/>
        <item x="824"/>
        <item x="825"/>
        <item x="826"/>
        <item x="828"/>
        <item x="830"/>
        <item x="831"/>
        <item x="832"/>
        <item x="835"/>
        <item x="837"/>
        <item x="838"/>
        <item x="840"/>
        <item x="841"/>
        <item x="843"/>
        <item x="844"/>
        <item x="847"/>
        <item x="848"/>
        <item x="853"/>
        <item x="854"/>
        <item x="861"/>
        <item x="862"/>
        <item x="863"/>
        <item x="864"/>
        <item x="865"/>
        <item x="866"/>
        <item x="868"/>
        <item x="869"/>
        <item x="870"/>
        <item x="873"/>
        <item x="874"/>
        <item x="877"/>
        <item x="879"/>
        <item x="882"/>
        <item x="883"/>
        <item x="884"/>
        <item x="886"/>
        <item x="888"/>
        <item x="889"/>
        <item x="892"/>
        <item x="897"/>
        <item x="899"/>
        <item x="900"/>
        <item t="default"/>
      </items>
    </pivotField>
    <pivotField showAll="0"/>
    <pivotField showAll="0"/>
    <pivotField showAll="0"/>
    <pivotField showAll="0"/>
    <pivotField showAll="0"/>
    <pivotField showAll="0"/>
    <pivotField axis="axisCol" showAll="0">
      <items count="7">
        <item x="1"/>
        <item x="0"/>
        <item x="2"/>
        <item x="4"/>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3"/>
        <item h="1" x="0"/>
        <item h="1" x="2"/>
        <item x="1"/>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3">
    <i>
      <x/>
    </i>
    <i>
      <x v="3"/>
    </i>
    <i t="grand">
      <x/>
    </i>
  </rowItems>
  <colFields count="1">
    <field x="7"/>
  </colFields>
  <colItems count="6">
    <i>
      <x/>
    </i>
    <i>
      <x v="1"/>
    </i>
    <i>
      <x v="2"/>
    </i>
    <i>
      <x v="3"/>
    </i>
    <i>
      <x v="4"/>
    </i>
    <i t="grand">
      <x/>
    </i>
  </colItems>
  <dataFields count="1">
    <dataField name="Count of payment_status" fld="20" subtotal="count" baseField="0" baseItem="0"/>
  </dataFields>
  <formats count="8">
    <format dxfId="25">
      <pivotArea type="origin" dataOnly="0" labelOnly="1" outline="0" fieldPosition="0"/>
    </format>
    <format dxfId="24">
      <pivotArea field="7" type="button" dataOnly="0" labelOnly="1" outline="0" axis="axisCol" fieldPosition="0"/>
    </format>
    <format dxfId="23">
      <pivotArea type="topRight" dataOnly="0" labelOnly="1" outline="0" fieldPosition="0"/>
    </format>
    <format dxfId="22">
      <pivotArea field="20" type="button" dataOnly="0" labelOnly="1" outline="0" axis="axisRow" fieldPosition="0"/>
    </format>
    <format dxfId="21">
      <pivotArea dataOnly="0" labelOnly="1" fieldPosition="0">
        <references count="1">
          <reference field="7" count="5">
            <x v="0"/>
            <x v="1"/>
            <x v="2"/>
            <x v="3"/>
            <x v="4"/>
          </reference>
        </references>
      </pivotArea>
    </format>
    <format dxfId="20">
      <pivotArea dataOnly="0" labelOnly="1" grandCol="1" outline="0" fieldPosition="0"/>
    </format>
    <format dxfId="19">
      <pivotArea dataOnly="0" grandRow="1" fieldPosition="0"/>
    </format>
    <format dxfId="18">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B7331C-663A-465B-A4E1-8F4F6446C046}"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3:K26" firstHeaderRow="1" firstDataRow="2" firstDataCol="1"/>
  <pivotFields count="35">
    <pivotField dataField="1" showAll="0">
      <items count="902">
        <item x="0"/>
        <item x="1"/>
        <item x="2"/>
        <item x="3"/>
        <item x="5"/>
        <item x="8"/>
        <item x="11"/>
        <item x="12"/>
        <item x="14"/>
        <item x="15"/>
        <item x="16"/>
        <item x="17"/>
        <item x="19"/>
        <item x="24"/>
        <item x="25"/>
        <item x="26"/>
        <item x="28"/>
        <item x="30"/>
        <item x="32"/>
        <item x="33"/>
        <item x="35"/>
        <item x="36"/>
        <item x="38"/>
        <item x="39"/>
        <item x="40"/>
        <item x="41"/>
        <item x="43"/>
        <item x="44"/>
        <item x="45"/>
        <item x="46"/>
        <item x="47"/>
        <item x="49"/>
        <item x="51"/>
        <item x="52"/>
        <item x="57"/>
        <item x="58"/>
        <item x="59"/>
        <item x="60"/>
        <item x="61"/>
        <item x="62"/>
        <item x="63"/>
        <item x="64"/>
        <item x="65"/>
        <item x="68"/>
        <item x="69"/>
        <item x="72"/>
        <item x="76"/>
        <item x="80"/>
        <item x="82"/>
        <item x="83"/>
        <item x="84"/>
        <item x="85"/>
        <item x="86"/>
        <item x="87"/>
        <item x="88"/>
        <item x="89"/>
        <item x="93"/>
        <item x="94"/>
        <item x="96"/>
        <item x="98"/>
        <item x="101"/>
        <item x="105"/>
        <item x="106"/>
        <item x="107"/>
        <item x="108"/>
        <item x="110"/>
        <item x="112"/>
        <item x="113"/>
        <item x="114"/>
        <item x="115"/>
        <item x="117"/>
        <item x="118"/>
        <item x="119"/>
        <item x="120"/>
        <item x="122"/>
        <item x="123"/>
        <item x="124"/>
        <item x="128"/>
        <item x="129"/>
        <item x="130"/>
        <item x="132"/>
        <item x="133"/>
        <item x="138"/>
        <item x="140"/>
        <item x="141"/>
        <item x="142"/>
        <item x="143"/>
        <item x="144"/>
        <item x="147"/>
        <item x="149"/>
        <item x="150"/>
        <item x="151"/>
        <item x="152"/>
        <item x="154"/>
        <item x="157"/>
        <item x="158"/>
        <item x="162"/>
        <item x="165"/>
        <item x="173"/>
        <item x="175"/>
        <item x="177"/>
        <item x="178"/>
        <item x="179"/>
        <item x="180"/>
        <item x="182"/>
        <item x="184"/>
        <item x="185"/>
        <item x="186"/>
        <item x="191"/>
        <item x="192"/>
        <item x="193"/>
        <item x="196"/>
        <item x="198"/>
        <item x="199"/>
        <item x="203"/>
        <item x="207"/>
        <item x="210"/>
        <item x="211"/>
        <item x="212"/>
        <item x="213"/>
        <item x="214"/>
        <item x="215"/>
        <item x="219"/>
        <item x="220"/>
        <item x="225"/>
        <item x="227"/>
        <item x="228"/>
        <item x="230"/>
        <item x="231"/>
        <item x="233"/>
        <item x="234"/>
        <item x="235"/>
        <item x="236"/>
        <item x="237"/>
        <item x="238"/>
        <item x="239"/>
        <item x="240"/>
        <item x="244"/>
        <item x="245"/>
        <item x="246"/>
        <item x="247"/>
        <item x="248"/>
        <item x="250"/>
        <item x="253"/>
        <item x="256"/>
        <item x="258"/>
        <item x="259"/>
        <item x="264"/>
        <item x="265"/>
        <item x="270"/>
        <item x="271"/>
        <item x="272"/>
        <item x="274"/>
        <item x="275"/>
        <item x="276"/>
        <item x="279"/>
        <item x="280"/>
        <item x="282"/>
        <item x="284"/>
        <item x="286"/>
        <item x="287"/>
        <item x="288"/>
        <item x="291"/>
        <item x="293"/>
        <item x="297"/>
        <item x="299"/>
        <item x="300"/>
        <item x="303"/>
        <item x="304"/>
        <item x="305"/>
        <item x="309"/>
        <item x="310"/>
        <item x="311"/>
        <item x="312"/>
        <item x="315"/>
        <item x="316"/>
        <item x="318"/>
        <item x="319"/>
        <item x="320"/>
        <item x="321"/>
        <item x="322"/>
        <item x="323"/>
        <item x="327"/>
        <item x="330"/>
        <item x="331"/>
        <item x="334"/>
        <item x="336"/>
        <item x="337"/>
        <item x="338"/>
        <item x="340"/>
        <item x="344"/>
        <item x="345"/>
        <item x="347"/>
        <item x="348"/>
        <item x="350"/>
        <item x="354"/>
        <item x="355"/>
        <item x="359"/>
        <item x="360"/>
        <item x="362"/>
        <item x="365"/>
        <item x="367"/>
        <item x="370"/>
        <item x="371"/>
        <item x="375"/>
        <item x="376"/>
        <item x="379"/>
        <item x="380"/>
        <item x="384"/>
        <item x="388"/>
        <item x="389"/>
        <item x="390"/>
        <item x="392"/>
        <item x="393"/>
        <item x="394"/>
        <item x="395"/>
        <item x="398"/>
        <item x="402"/>
        <item x="403"/>
        <item x="404"/>
        <item x="405"/>
        <item x="407"/>
        <item x="410"/>
        <item x="412"/>
        <item x="414"/>
        <item x="415"/>
        <item x="418"/>
        <item x="423"/>
        <item x="424"/>
        <item x="425"/>
        <item x="426"/>
        <item x="430"/>
        <item x="431"/>
        <item x="432"/>
        <item x="433"/>
        <item x="436"/>
        <item x="437"/>
        <item x="440"/>
        <item x="441"/>
        <item x="443"/>
        <item x="445"/>
        <item x="448"/>
        <item x="449"/>
        <item x="451"/>
        <item x="452"/>
        <item x="455"/>
        <item x="456"/>
        <item x="457"/>
        <item x="458"/>
        <item x="459"/>
        <item x="462"/>
        <item x="465"/>
        <item x="466"/>
        <item x="467"/>
        <item x="469"/>
        <item x="470"/>
        <item x="471"/>
        <item x="472"/>
        <item x="473"/>
        <item x="474"/>
        <item x="476"/>
        <item x="478"/>
        <item x="479"/>
        <item x="482"/>
        <item x="483"/>
        <item x="484"/>
        <item x="488"/>
        <item x="489"/>
        <item x="490"/>
        <item x="494"/>
        <item x="495"/>
        <item x="497"/>
        <item x="499"/>
        <item x="500"/>
        <item x="501"/>
        <item x="502"/>
        <item x="503"/>
        <item x="505"/>
        <item x="506"/>
        <item x="508"/>
        <item x="510"/>
        <item x="511"/>
        <item x="514"/>
        <item x="516"/>
        <item x="520"/>
        <item x="523"/>
        <item x="524"/>
        <item x="525"/>
        <item x="528"/>
        <item x="529"/>
        <item x="531"/>
        <item x="533"/>
        <item x="535"/>
        <item x="537"/>
        <item x="538"/>
        <item x="540"/>
        <item x="542"/>
        <item x="543"/>
        <item x="545"/>
        <item x="547"/>
        <item x="548"/>
        <item x="550"/>
        <item x="551"/>
        <item x="554"/>
        <item x="556"/>
        <item x="557"/>
        <item x="560"/>
        <item x="562"/>
        <item x="563"/>
        <item x="564"/>
        <item x="566"/>
        <item x="567"/>
        <item x="568"/>
        <item x="572"/>
        <item x="574"/>
        <item x="576"/>
        <item x="578"/>
        <item x="579"/>
        <item x="582"/>
        <item x="583"/>
        <item x="584"/>
        <item x="589"/>
        <item x="590"/>
        <item x="591"/>
        <item x="592"/>
        <item x="594"/>
        <item x="596"/>
        <item x="598"/>
        <item x="599"/>
        <item x="601"/>
        <item x="602"/>
        <item x="608"/>
        <item x="610"/>
        <item x="613"/>
        <item x="614"/>
        <item x="615"/>
        <item x="616"/>
        <item x="617"/>
        <item x="618"/>
        <item x="619"/>
        <item x="620"/>
        <item x="621"/>
        <item x="623"/>
        <item x="624"/>
        <item x="625"/>
        <item x="630"/>
        <item x="631"/>
        <item x="635"/>
        <item x="636"/>
        <item x="637"/>
        <item x="638"/>
        <item x="639"/>
        <item x="642"/>
        <item x="643"/>
        <item x="645"/>
        <item x="646"/>
        <item x="648"/>
        <item x="650"/>
        <item x="656"/>
        <item x="661"/>
        <item x="662"/>
        <item x="663"/>
        <item x="664"/>
        <item x="666"/>
        <item x="668"/>
        <item x="669"/>
        <item x="671"/>
        <item x="672"/>
        <item x="674"/>
        <item x="677"/>
        <item x="678"/>
        <item x="680"/>
        <item x="681"/>
        <item x="686"/>
        <item x="689"/>
        <item x="690"/>
        <item x="691"/>
        <item x="695"/>
        <item x="698"/>
        <item x="699"/>
        <item x="700"/>
        <item x="701"/>
        <item x="703"/>
        <item x="704"/>
        <item x="705"/>
        <item x="706"/>
        <item x="710"/>
        <item x="712"/>
        <item x="718"/>
        <item x="720"/>
        <item x="722"/>
        <item x="724"/>
        <item x="726"/>
        <item x="727"/>
        <item x="728"/>
        <item x="731"/>
        <item x="732"/>
        <item x="733"/>
        <item x="734"/>
        <item x="735"/>
        <item x="736"/>
        <item x="737"/>
        <item x="739"/>
        <item x="740"/>
        <item x="742"/>
        <item x="745"/>
        <item x="747"/>
        <item x="748"/>
        <item x="749"/>
        <item x="752"/>
        <item x="753"/>
        <item x="756"/>
        <item x="758"/>
        <item x="759"/>
        <item x="760"/>
        <item x="762"/>
        <item x="766"/>
        <item x="767"/>
        <item x="769"/>
        <item x="770"/>
        <item x="771"/>
        <item x="775"/>
        <item x="777"/>
        <item x="778"/>
        <item x="779"/>
        <item x="780"/>
        <item x="781"/>
        <item x="783"/>
        <item x="785"/>
        <item x="787"/>
        <item x="788"/>
        <item x="790"/>
        <item x="791"/>
        <item x="793"/>
        <item x="795"/>
        <item x="796"/>
        <item x="797"/>
        <item x="799"/>
        <item x="800"/>
        <item x="803"/>
        <item x="806"/>
        <item x="810"/>
        <item x="811"/>
        <item x="812"/>
        <item x="815"/>
        <item x="816"/>
        <item x="818"/>
        <item x="819"/>
        <item x="821"/>
        <item x="822"/>
        <item x="827"/>
        <item x="829"/>
        <item x="833"/>
        <item x="834"/>
        <item x="836"/>
        <item x="839"/>
        <item x="842"/>
        <item x="845"/>
        <item x="846"/>
        <item x="849"/>
        <item x="850"/>
        <item x="851"/>
        <item x="852"/>
        <item x="855"/>
        <item x="856"/>
        <item x="857"/>
        <item x="858"/>
        <item x="859"/>
        <item x="860"/>
        <item x="867"/>
        <item x="871"/>
        <item x="872"/>
        <item x="875"/>
        <item x="876"/>
        <item x="878"/>
        <item x="880"/>
        <item x="881"/>
        <item x="885"/>
        <item x="887"/>
        <item x="890"/>
        <item x="891"/>
        <item x="893"/>
        <item x="894"/>
        <item x="895"/>
        <item x="896"/>
        <item x="898"/>
        <item x="4"/>
        <item x="6"/>
        <item x="7"/>
        <item x="9"/>
        <item x="10"/>
        <item x="13"/>
        <item x="18"/>
        <item x="20"/>
        <item x="21"/>
        <item x="22"/>
        <item x="23"/>
        <item x="27"/>
        <item x="29"/>
        <item x="31"/>
        <item x="34"/>
        <item x="37"/>
        <item x="42"/>
        <item x="48"/>
        <item x="50"/>
        <item x="53"/>
        <item x="54"/>
        <item x="55"/>
        <item x="56"/>
        <item x="66"/>
        <item x="67"/>
        <item x="70"/>
        <item x="71"/>
        <item x="73"/>
        <item x="74"/>
        <item x="75"/>
        <item x="77"/>
        <item x="78"/>
        <item x="79"/>
        <item x="81"/>
        <item x="90"/>
        <item x="91"/>
        <item x="92"/>
        <item x="95"/>
        <item x="97"/>
        <item x="99"/>
        <item x="100"/>
        <item x="102"/>
        <item x="103"/>
        <item x="104"/>
        <item x="109"/>
        <item x="111"/>
        <item x="116"/>
        <item x="121"/>
        <item x="125"/>
        <item x="126"/>
        <item x="127"/>
        <item x="131"/>
        <item x="134"/>
        <item x="135"/>
        <item x="136"/>
        <item x="137"/>
        <item x="139"/>
        <item x="145"/>
        <item x="146"/>
        <item x="148"/>
        <item x="153"/>
        <item x="155"/>
        <item x="156"/>
        <item x="159"/>
        <item x="160"/>
        <item x="161"/>
        <item x="163"/>
        <item x="164"/>
        <item x="166"/>
        <item x="167"/>
        <item x="168"/>
        <item x="169"/>
        <item x="170"/>
        <item x="171"/>
        <item x="172"/>
        <item x="174"/>
        <item x="176"/>
        <item x="181"/>
        <item x="183"/>
        <item x="187"/>
        <item x="188"/>
        <item x="189"/>
        <item x="190"/>
        <item x="194"/>
        <item x="195"/>
        <item x="197"/>
        <item x="200"/>
        <item x="201"/>
        <item x="202"/>
        <item x="204"/>
        <item x="205"/>
        <item x="206"/>
        <item x="208"/>
        <item x="209"/>
        <item x="216"/>
        <item x="217"/>
        <item x="218"/>
        <item x="221"/>
        <item x="222"/>
        <item x="223"/>
        <item x="224"/>
        <item x="226"/>
        <item x="229"/>
        <item x="232"/>
        <item x="241"/>
        <item x="242"/>
        <item x="243"/>
        <item x="249"/>
        <item x="251"/>
        <item x="252"/>
        <item x="254"/>
        <item x="255"/>
        <item x="257"/>
        <item x="260"/>
        <item x="261"/>
        <item x="262"/>
        <item x="263"/>
        <item x="266"/>
        <item x="267"/>
        <item x="268"/>
        <item x="269"/>
        <item x="273"/>
        <item x="277"/>
        <item x="278"/>
        <item x="281"/>
        <item x="283"/>
        <item x="285"/>
        <item x="289"/>
        <item x="290"/>
        <item x="292"/>
        <item x="294"/>
        <item x="295"/>
        <item x="296"/>
        <item x="298"/>
        <item x="301"/>
        <item x="302"/>
        <item x="306"/>
        <item x="307"/>
        <item x="308"/>
        <item x="313"/>
        <item x="314"/>
        <item x="317"/>
        <item x="324"/>
        <item x="325"/>
        <item x="326"/>
        <item x="328"/>
        <item x="329"/>
        <item x="332"/>
        <item x="333"/>
        <item x="335"/>
        <item x="339"/>
        <item x="341"/>
        <item x="342"/>
        <item x="343"/>
        <item x="346"/>
        <item x="349"/>
        <item x="351"/>
        <item x="352"/>
        <item x="353"/>
        <item x="356"/>
        <item x="357"/>
        <item x="358"/>
        <item x="361"/>
        <item x="363"/>
        <item x="364"/>
        <item x="366"/>
        <item x="368"/>
        <item x="369"/>
        <item x="372"/>
        <item x="373"/>
        <item x="374"/>
        <item x="377"/>
        <item x="378"/>
        <item x="381"/>
        <item x="382"/>
        <item x="383"/>
        <item x="385"/>
        <item x="386"/>
        <item x="387"/>
        <item x="391"/>
        <item x="396"/>
        <item x="397"/>
        <item x="399"/>
        <item x="400"/>
        <item x="401"/>
        <item x="406"/>
        <item x="408"/>
        <item x="409"/>
        <item x="411"/>
        <item x="413"/>
        <item x="416"/>
        <item x="417"/>
        <item x="419"/>
        <item x="420"/>
        <item x="421"/>
        <item x="422"/>
        <item x="427"/>
        <item x="428"/>
        <item x="429"/>
        <item x="434"/>
        <item x="435"/>
        <item x="438"/>
        <item x="439"/>
        <item x="442"/>
        <item x="444"/>
        <item x="446"/>
        <item x="447"/>
        <item x="450"/>
        <item x="453"/>
        <item x="454"/>
        <item x="460"/>
        <item x="461"/>
        <item x="463"/>
        <item x="464"/>
        <item x="468"/>
        <item x="475"/>
        <item x="477"/>
        <item x="480"/>
        <item x="481"/>
        <item x="485"/>
        <item x="486"/>
        <item x="487"/>
        <item x="491"/>
        <item x="492"/>
        <item x="493"/>
        <item x="496"/>
        <item x="498"/>
        <item x="504"/>
        <item x="507"/>
        <item x="509"/>
        <item x="512"/>
        <item x="513"/>
        <item x="515"/>
        <item x="517"/>
        <item x="518"/>
        <item x="519"/>
        <item x="521"/>
        <item x="522"/>
        <item x="526"/>
        <item x="527"/>
        <item x="530"/>
        <item x="532"/>
        <item x="534"/>
        <item x="536"/>
        <item x="539"/>
        <item x="541"/>
        <item x="544"/>
        <item x="546"/>
        <item x="549"/>
        <item x="552"/>
        <item x="553"/>
        <item x="555"/>
        <item x="558"/>
        <item x="559"/>
        <item x="561"/>
        <item x="565"/>
        <item x="569"/>
        <item x="570"/>
        <item x="571"/>
        <item x="573"/>
        <item x="575"/>
        <item x="577"/>
        <item x="580"/>
        <item x="581"/>
        <item x="585"/>
        <item x="586"/>
        <item x="587"/>
        <item x="588"/>
        <item x="593"/>
        <item x="595"/>
        <item x="597"/>
        <item x="600"/>
        <item x="603"/>
        <item x="604"/>
        <item x="605"/>
        <item x="606"/>
        <item x="607"/>
        <item x="609"/>
        <item x="611"/>
        <item x="612"/>
        <item x="622"/>
        <item x="626"/>
        <item x="627"/>
        <item x="628"/>
        <item x="629"/>
        <item x="632"/>
        <item x="633"/>
        <item x="634"/>
        <item x="640"/>
        <item x="641"/>
        <item x="644"/>
        <item x="647"/>
        <item x="649"/>
        <item x="651"/>
        <item x="652"/>
        <item x="653"/>
        <item x="654"/>
        <item x="655"/>
        <item x="657"/>
        <item x="658"/>
        <item x="659"/>
        <item x="660"/>
        <item x="665"/>
        <item x="667"/>
        <item x="670"/>
        <item x="673"/>
        <item x="675"/>
        <item x="676"/>
        <item x="679"/>
        <item x="682"/>
        <item x="683"/>
        <item x="684"/>
        <item x="685"/>
        <item x="687"/>
        <item x="688"/>
        <item x="692"/>
        <item x="693"/>
        <item x="694"/>
        <item x="696"/>
        <item x="697"/>
        <item x="702"/>
        <item x="707"/>
        <item x="708"/>
        <item x="709"/>
        <item x="711"/>
        <item x="713"/>
        <item x="714"/>
        <item x="715"/>
        <item x="716"/>
        <item x="717"/>
        <item x="719"/>
        <item x="721"/>
        <item x="723"/>
        <item x="725"/>
        <item x="729"/>
        <item x="730"/>
        <item x="738"/>
        <item x="741"/>
        <item x="743"/>
        <item x="744"/>
        <item x="746"/>
        <item x="750"/>
        <item x="751"/>
        <item x="754"/>
        <item x="755"/>
        <item x="757"/>
        <item x="761"/>
        <item x="763"/>
        <item x="764"/>
        <item x="765"/>
        <item x="768"/>
        <item x="772"/>
        <item x="773"/>
        <item x="774"/>
        <item x="776"/>
        <item x="782"/>
        <item x="784"/>
        <item x="786"/>
        <item x="789"/>
        <item x="792"/>
        <item x="794"/>
        <item x="798"/>
        <item x="801"/>
        <item x="802"/>
        <item x="804"/>
        <item x="805"/>
        <item x="807"/>
        <item x="808"/>
        <item x="809"/>
        <item x="813"/>
        <item x="814"/>
        <item x="817"/>
        <item x="820"/>
        <item x="823"/>
        <item x="824"/>
        <item x="825"/>
        <item x="826"/>
        <item x="828"/>
        <item x="830"/>
        <item x="831"/>
        <item x="832"/>
        <item x="835"/>
        <item x="837"/>
        <item x="838"/>
        <item x="840"/>
        <item x="841"/>
        <item x="843"/>
        <item x="844"/>
        <item x="847"/>
        <item x="848"/>
        <item x="853"/>
        <item x="854"/>
        <item x="861"/>
        <item x="862"/>
        <item x="863"/>
        <item x="864"/>
        <item x="865"/>
        <item x="866"/>
        <item x="868"/>
        <item x="869"/>
        <item x="870"/>
        <item x="873"/>
        <item x="874"/>
        <item x="877"/>
        <item x="879"/>
        <item x="882"/>
        <item x="883"/>
        <item x="884"/>
        <item x="886"/>
        <item x="888"/>
        <item x="889"/>
        <item x="892"/>
        <item x="897"/>
        <item x="899"/>
        <item x="900"/>
        <item t="default"/>
      </items>
    </pivotField>
    <pivotField showAll="0"/>
    <pivotField showAll="0"/>
    <pivotField showAll="0"/>
    <pivotField showAll="0"/>
    <pivotField showAll="0"/>
    <pivotField showAll="0"/>
    <pivotField axis="axisCol" showAll="0">
      <items count="7">
        <item x="1"/>
        <item x="0"/>
        <item x="2"/>
        <item x="4"/>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h="1" x="0"/>
        <item h="1" x="2"/>
        <item x="1"/>
        <item x="4"/>
        <item t="default"/>
      </items>
    </pivotField>
    <pivotField axis="axisRow" showAll="0">
      <items count="5">
        <item x="1"/>
        <item h="1" x="0"/>
        <item h="1"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2">
    <i>
      <x/>
    </i>
    <i t="grand">
      <x/>
    </i>
  </rowItems>
  <colFields count="1">
    <field x="7"/>
  </colFields>
  <colItems count="6">
    <i>
      <x/>
    </i>
    <i>
      <x v="1"/>
    </i>
    <i>
      <x v="2"/>
    </i>
    <i>
      <x v="3"/>
    </i>
    <i>
      <x v="4"/>
    </i>
    <i t="grand">
      <x/>
    </i>
  </colItems>
  <dataFields count="1">
    <dataField name="Count of order_id" fld="0" subtotal="count" baseField="0" baseItem="0"/>
  </dataFields>
  <formats count="18">
    <format dxfId="123">
      <pivotArea type="all" dataOnly="0" outline="0" fieldPosition="0"/>
    </format>
    <format dxfId="122">
      <pivotArea outline="0" collapsedLevelsAreSubtotals="1" fieldPosition="0"/>
    </format>
    <format dxfId="121">
      <pivotArea type="origin" dataOnly="0" labelOnly="1" outline="0" fieldPosition="0"/>
    </format>
    <format dxfId="120">
      <pivotArea field="7" type="button" dataOnly="0" labelOnly="1" outline="0" axis="axisCol" fieldPosition="0"/>
    </format>
    <format dxfId="119">
      <pivotArea type="topRight" dataOnly="0" labelOnly="1" outline="0" fieldPosition="0"/>
    </format>
    <format dxfId="118">
      <pivotArea field="21" type="button" dataOnly="0" labelOnly="1" outline="0" axis="axisRow" fieldPosition="0"/>
    </format>
    <format dxfId="117">
      <pivotArea dataOnly="0" labelOnly="1" fieldPosition="0">
        <references count="1">
          <reference field="21" count="0"/>
        </references>
      </pivotArea>
    </format>
    <format dxfId="116">
      <pivotArea dataOnly="0" labelOnly="1" grandRow="1" outline="0" fieldPosition="0"/>
    </format>
    <format dxfId="115">
      <pivotArea dataOnly="0" labelOnly="1" fieldPosition="0">
        <references count="1">
          <reference field="7" count="5">
            <x v="0"/>
            <x v="1"/>
            <x v="2"/>
            <x v="3"/>
            <x v="4"/>
          </reference>
        </references>
      </pivotArea>
    </format>
    <format dxfId="114">
      <pivotArea dataOnly="0" labelOnly="1" grandCol="1" outline="0" fieldPosition="0"/>
    </format>
    <format dxfId="71">
      <pivotArea type="origin" dataOnly="0" labelOnly="1" outline="0" fieldPosition="0"/>
    </format>
    <format dxfId="70">
      <pivotArea field="7" type="button" dataOnly="0" labelOnly="1" outline="0" axis="axisCol" fieldPosition="0"/>
    </format>
    <format dxfId="69">
      <pivotArea type="topRight" dataOnly="0" labelOnly="1" outline="0" fieldPosition="0"/>
    </format>
    <format dxfId="68">
      <pivotArea field="21" type="button" dataOnly="0" labelOnly="1" outline="0" axis="axisRow" fieldPosition="0"/>
    </format>
    <format dxfId="67">
      <pivotArea dataOnly="0" labelOnly="1" fieldPosition="0">
        <references count="1">
          <reference field="7" count="5">
            <x v="0"/>
            <x v="1"/>
            <x v="2"/>
            <x v="3"/>
            <x v="4"/>
          </reference>
        </references>
      </pivotArea>
    </format>
    <format dxfId="66">
      <pivotArea dataOnly="0" labelOnly="1" grandCol="1" outline="0" fieldPosition="0"/>
    </format>
    <format dxfId="65">
      <pivotArea grandRow="1" outline="0" collapsedLevelsAreSubtotals="1" fieldPosition="0"/>
    </format>
    <format dxfId="6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0FB460-0E65-4490-9D16-D3438BFCB3FA}"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4:F20" firstHeaderRow="1" firstDataRow="1" firstDataCol="1"/>
  <pivotFields count="35">
    <pivotField showAll="0"/>
    <pivotField showAll="0"/>
    <pivotField showAll="0"/>
    <pivotField showAll="0"/>
    <pivotField showAll="0"/>
    <pivotField showAll="0"/>
    <pivotField axis="axisRow" showAll="0">
      <items count="6">
        <item x="0"/>
        <item x="2"/>
        <item x="3"/>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6"/>
  </rowFields>
  <rowItems count="6">
    <i>
      <x/>
    </i>
    <i>
      <x v="1"/>
    </i>
    <i>
      <x v="2"/>
    </i>
    <i>
      <x v="3"/>
    </i>
    <i>
      <x v="4"/>
    </i>
    <i t="grand">
      <x/>
    </i>
  </rowItems>
  <colItems count="1">
    <i/>
  </colItems>
  <dataFields count="1">
    <dataField name="Average of Profit_margin" fld="34" subtotal="average" baseField="6" baseItem="0" numFmtId="10"/>
  </dataFields>
  <formats count="9">
    <format dxfId="127">
      <pivotArea field="6" type="button" dataOnly="0" labelOnly="1" outline="0" axis="axisRow" fieldPosition="0"/>
    </format>
    <format dxfId="126">
      <pivotArea dataOnly="0" labelOnly="1" outline="0" axis="axisValues" fieldPosition="0"/>
    </format>
    <format dxfId="124">
      <pivotArea dataOnly="0" grandRow="1" fieldPosition="0"/>
    </format>
    <format dxfId="113">
      <pivotArea type="all" dataOnly="0" outline="0" fieldPosition="0"/>
    </format>
    <format dxfId="112">
      <pivotArea outline="0" collapsedLevelsAreSubtotals="1" fieldPosition="0"/>
    </format>
    <format dxfId="111">
      <pivotArea field="6" type="button" dataOnly="0" labelOnly="1" outline="0" axis="axisRow" fieldPosition="0"/>
    </format>
    <format dxfId="110">
      <pivotArea dataOnly="0" labelOnly="1" fieldPosition="0">
        <references count="1">
          <reference field="6" count="0"/>
        </references>
      </pivotArea>
    </format>
    <format dxfId="109">
      <pivotArea dataOnly="0" labelOnly="1" grandRow="1" outline="0" fieldPosition="0"/>
    </format>
    <format dxfId="10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8127BE-5996-481C-9562-66FDE87FB8B6}"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8" firstHeaderRow="1" firstDataRow="1" firstDataCol="1"/>
  <pivotFields count="35">
    <pivotField showAll="0">
      <items count="902">
        <item x="0"/>
        <item x="1"/>
        <item x="2"/>
        <item x="3"/>
        <item x="5"/>
        <item x="8"/>
        <item x="11"/>
        <item x="12"/>
        <item x="14"/>
        <item x="15"/>
        <item x="16"/>
        <item x="17"/>
        <item x="19"/>
        <item x="24"/>
        <item x="25"/>
        <item x="26"/>
        <item x="28"/>
        <item x="30"/>
        <item x="32"/>
        <item x="33"/>
        <item x="35"/>
        <item x="36"/>
        <item x="38"/>
        <item x="39"/>
        <item x="40"/>
        <item x="41"/>
        <item x="43"/>
        <item x="44"/>
        <item x="45"/>
        <item x="46"/>
        <item x="47"/>
        <item x="49"/>
        <item x="51"/>
        <item x="52"/>
        <item x="57"/>
        <item x="58"/>
        <item x="59"/>
        <item x="60"/>
        <item x="61"/>
        <item x="62"/>
        <item x="63"/>
        <item x="64"/>
        <item x="65"/>
        <item x="68"/>
        <item x="69"/>
        <item x="72"/>
        <item x="76"/>
        <item x="80"/>
        <item x="82"/>
        <item x="83"/>
        <item x="84"/>
        <item x="85"/>
        <item x="86"/>
        <item x="87"/>
        <item x="88"/>
        <item x="89"/>
        <item x="93"/>
        <item x="94"/>
        <item x="96"/>
        <item x="98"/>
        <item x="101"/>
        <item x="105"/>
        <item x="106"/>
        <item x="107"/>
        <item x="108"/>
        <item x="110"/>
        <item x="112"/>
        <item x="113"/>
        <item x="114"/>
        <item x="115"/>
        <item x="117"/>
        <item x="118"/>
        <item x="119"/>
        <item x="120"/>
        <item x="122"/>
        <item x="123"/>
        <item x="124"/>
        <item x="128"/>
        <item x="129"/>
        <item x="130"/>
        <item x="132"/>
        <item x="133"/>
        <item x="138"/>
        <item x="140"/>
        <item x="141"/>
        <item x="142"/>
        <item x="143"/>
        <item x="144"/>
        <item x="147"/>
        <item x="149"/>
        <item x="150"/>
        <item x="151"/>
        <item x="152"/>
        <item x="154"/>
        <item x="157"/>
        <item x="158"/>
        <item x="162"/>
        <item x="165"/>
        <item x="173"/>
        <item x="175"/>
        <item x="177"/>
        <item x="178"/>
        <item x="179"/>
        <item x="180"/>
        <item x="182"/>
        <item x="184"/>
        <item x="185"/>
        <item x="186"/>
        <item x="191"/>
        <item x="192"/>
        <item x="193"/>
        <item x="196"/>
        <item x="198"/>
        <item x="199"/>
        <item x="203"/>
        <item x="207"/>
        <item x="210"/>
        <item x="211"/>
        <item x="212"/>
        <item x="213"/>
        <item x="214"/>
        <item x="215"/>
        <item x="219"/>
        <item x="220"/>
        <item x="225"/>
        <item x="227"/>
        <item x="228"/>
        <item x="230"/>
        <item x="231"/>
        <item x="233"/>
        <item x="234"/>
        <item x="235"/>
        <item x="236"/>
        <item x="237"/>
        <item x="238"/>
        <item x="239"/>
        <item x="240"/>
        <item x="244"/>
        <item x="245"/>
        <item x="246"/>
        <item x="247"/>
        <item x="248"/>
        <item x="250"/>
        <item x="253"/>
        <item x="256"/>
        <item x="258"/>
        <item x="259"/>
        <item x="264"/>
        <item x="265"/>
        <item x="270"/>
        <item x="271"/>
        <item x="272"/>
        <item x="274"/>
        <item x="275"/>
        <item x="276"/>
        <item x="279"/>
        <item x="280"/>
        <item x="282"/>
        <item x="284"/>
        <item x="286"/>
        <item x="287"/>
        <item x="288"/>
        <item x="291"/>
        <item x="293"/>
        <item x="297"/>
        <item x="299"/>
        <item x="300"/>
        <item x="303"/>
        <item x="304"/>
        <item x="305"/>
        <item x="309"/>
        <item x="310"/>
        <item x="311"/>
        <item x="312"/>
        <item x="315"/>
        <item x="316"/>
        <item x="318"/>
        <item x="319"/>
        <item x="320"/>
        <item x="321"/>
        <item x="322"/>
        <item x="323"/>
        <item x="327"/>
        <item x="330"/>
        <item x="331"/>
        <item x="334"/>
        <item x="336"/>
        <item x="337"/>
        <item x="338"/>
        <item x="340"/>
        <item x="344"/>
        <item x="345"/>
        <item x="347"/>
        <item x="348"/>
        <item x="350"/>
        <item x="354"/>
        <item x="355"/>
        <item x="359"/>
        <item x="360"/>
        <item x="362"/>
        <item x="365"/>
        <item x="367"/>
        <item x="370"/>
        <item x="371"/>
        <item x="375"/>
        <item x="376"/>
        <item x="379"/>
        <item x="380"/>
        <item x="384"/>
        <item x="388"/>
        <item x="389"/>
        <item x="390"/>
        <item x="392"/>
        <item x="393"/>
        <item x="394"/>
        <item x="395"/>
        <item x="398"/>
        <item x="402"/>
        <item x="403"/>
        <item x="404"/>
        <item x="405"/>
        <item x="407"/>
        <item x="410"/>
        <item x="412"/>
        <item x="414"/>
        <item x="415"/>
        <item x="418"/>
        <item x="423"/>
        <item x="424"/>
        <item x="425"/>
        <item x="426"/>
        <item x="430"/>
        <item x="431"/>
        <item x="432"/>
        <item x="433"/>
        <item x="436"/>
        <item x="437"/>
        <item x="440"/>
        <item x="441"/>
        <item x="443"/>
        <item x="445"/>
        <item x="448"/>
        <item x="449"/>
        <item x="451"/>
        <item x="452"/>
        <item x="455"/>
        <item x="456"/>
        <item x="457"/>
        <item x="458"/>
        <item x="459"/>
        <item x="462"/>
        <item x="465"/>
        <item x="466"/>
        <item x="467"/>
        <item x="469"/>
        <item x="470"/>
        <item x="471"/>
        <item x="472"/>
        <item x="473"/>
        <item x="474"/>
        <item x="476"/>
        <item x="478"/>
        <item x="479"/>
        <item x="482"/>
        <item x="483"/>
        <item x="484"/>
        <item x="488"/>
        <item x="489"/>
        <item x="490"/>
        <item x="494"/>
        <item x="495"/>
        <item x="497"/>
        <item x="499"/>
        <item x="500"/>
        <item x="501"/>
        <item x="502"/>
        <item x="503"/>
        <item x="505"/>
        <item x="506"/>
        <item x="508"/>
        <item x="510"/>
        <item x="511"/>
        <item x="514"/>
        <item x="516"/>
        <item x="520"/>
        <item x="523"/>
        <item x="524"/>
        <item x="525"/>
        <item x="528"/>
        <item x="529"/>
        <item x="531"/>
        <item x="533"/>
        <item x="535"/>
        <item x="537"/>
        <item x="538"/>
        <item x="540"/>
        <item x="542"/>
        <item x="543"/>
        <item x="545"/>
        <item x="547"/>
        <item x="548"/>
        <item x="550"/>
        <item x="551"/>
        <item x="554"/>
        <item x="556"/>
        <item x="557"/>
        <item x="560"/>
        <item x="562"/>
        <item x="563"/>
        <item x="564"/>
        <item x="566"/>
        <item x="567"/>
        <item x="568"/>
        <item x="572"/>
        <item x="574"/>
        <item x="576"/>
        <item x="578"/>
        <item x="579"/>
        <item x="582"/>
        <item x="583"/>
        <item x="584"/>
        <item x="589"/>
        <item x="590"/>
        <item x="591"/>
        <item x="592"/>
        <item x="594"/>
        <item x="596"/>
        <item x="598"/>
        <item x="599"/>
        <item x="601"/>
        <item x="602"/>
        <item x="608"/>
        <item x="610"/>
        <item x="613"/>
        <item x="614"/>
        <item x="615"/>
        <item x="616"/>
        <item x="617"/>
        <item x="618"/>
        <item x="619"/>
        <item x="620"/>
        <item x="621"/>
        <item x="623"/>
        <item x="624"/>
        <item x="625"/>
        <item x="630"/>
        <item x="631"/>
        <item x="635"/>
        <item x="636"/>
        <item x="637"/>
        <item x="638"/>
        <item x="639"/>
        <item x="642"/>
        <item x="643"/>
        <item x="645"/>
        <item x="646"/>
        <item x="648"/>
        <item x="650"/>
        <item x="656"/>
        <item x="661"/>
        <item x="662"/>
        <item x="663"/>
        <item x="664"/>
        <item x="666"/>
        <item x="668"/>
        <item x="669"/>
        <item x="671"/>
        <item x="672"/>
        <item x="674"/>
        <item x="677"/>
        <item x="678"/>
        <item x="680"/>
        <item x="681"/>
        <item x="686"/>
        <item x="689"/>
        <item x="690"/>
        <item x="691"/>
        <item x="695"/>
        <item x="698"/>
        <item x="699"/>
        <item x="700"/>
        <item x="701"/>
        <item x="703"/>
        <item x="704"/>
        <item x="705"/>
        <item x="706"/>
        <item x="710"/>
        <item x="712"/>
        <item x="718"/>
        <item x="720"/>
        <item x="722"/>
        <item x="724"/>
        <item x="726"/>
        <item x="727"/>
        <item x="728"/>
        <item x="731"/>
        <item x="732"/>
        <item x="733"/>
        <item x="734"/>
        <item x="735"/>
        <item x="736"/>
        <item x="737"/>
        <item x="739"/>
        <item x="740"/>
        <item x="742"/>
        <item x="745"/>
        <item x="747"/>
        <item x="748"/>
        <item x="749"/>
        <item x="752"/>
        <item x="753"/>
        <item x="756"/>
        <item x="758"/>
        <item x="759"/>
        <item x="760"/>
        <item x="762"/>
        <item x="766"/>
        <item x="767"/>
        <item x="769"/>
        <item x="770"/>
        <item x="771"/>
        <item x="775"/>
        <item x="777"/>
        <item x="778"/>
        <item x="779"/>
        <item x="780"/>
        <item x="781"/>
        <item x="783"/>
        <item x="785"/>
        <item x="787"/>
        <item x="788"/>
        <item x="790"/>
        <item x="791"/>
        <item x="793"/>
        <item x="795"/>
        <item x="796"/>
        <item x="797"/>
        <item x="799"/>
        <item x="800"/>
        <item x="803"/>
        <item x="806"/>
        <item x="810"/>
        <item x="811"/>
        <item x="812"/>
        <item x="815"/>
        <item x="816"/>
        <item x="818"/>
        <item x="819"/>
        <item x="821"/>
        <item x="822"/>
        <item x="827"/>
        <item x="829"/>
        <item x="833"/>
        <item x="834"/>
        <item x="836"/>
        <item x="839"/>
        <item x="842"/>
        <item x="845"/>
        <item x="846"/>
        <item x="849"/>
        <item x="850"/>
        <item x="851"/>
        <item x="852"/>
        <item x="855"/>
        <item x="856"/>
        <item x="857"/>
        <item x="858"/>
        <item x="859"/>
        <item x="860"/>
        <item x="867"/>
        <item x="871"/>
        <item x="872"/>
        <item x="875"/>
        <item x="876"/>
        <item x="878"/>
        <item x="880"/>
        <item x="881"/>
        <item x="885"/>
        <item x="887"/>
        <item x="890"/>
        <item x="891"/>
        <item x="893"/>
        <item x="894"/>
        <item x="895"/>
        <item x="896"/>
        <item x="898"/>
        <item x="4"/>
        <item x="6"/>
        <item x="7"/>
        <item x="9"/>
        <item x="10"/>
        <item x="13"/>
        <item x="18"/>
        <item x="20"/>
        <item x="21"/>
        <item x="22"/>
        <item x="23"/>
        <item x="27"/>
        <item x="29"/>
        <item x="31"/>
        <item x="34"/>
        <item x="37"/>
        <item x="42"/>
        <item x="48"/>
        <item x="50"/>
        <item x="53"/>
        <item x="54"/>
        <item x="55"/>
        <item x="56"/>
        <item x="66"/>
        <item x="67"/>
        <item x="70"/>
        <item x="71"/>
        <item x="73"/>
        <item x="74"/>
        <item x="75"/>
        <item x="77"/>
        <item x="78"/>
        <item x="79"/>
        <item x="81"/>
        <item x="90"/>
        <item x="91"/>
        <item x="92"/>
        <item x="95"/>
        <item x="97"/>
        <item x="99"/>
        <item x="100"/>
        <item x="102"/>
        <item x="103"/>
        <item x="104"/>
        <item x="109"/>
        <item x="111"/>
        <item x="116"/>
        <item x="121"/>
        <item x="125"/>
        <item x="126"/>
        <item x="127"/>
        <item x="131"/>
        <item x="134"/>
        <item x="135"/>
        <item x="136"/>
        <item x="137"/>
        <item x="139"/>
        <item x="145"/>
        <item x="146"/>
        <item x="148"/>
        <item x="153"/>
        <item x="155"/>
        <item x="156"/>
        <item x="159"/>
        <item x="160"/>
        <item x="161"/>
        <item x="163"/>
        <item x="164"/>
        <item x="166"/>
        <item x="167"/>
        <item x="168"/>
        <item x="169"/>
        <item x="170"/>
        <item x="171"/>
        <item x="172"/>
        <item x="174"/>
        <item x="176"/>
        <item x="181"/>
        <item x="183"/>
        <item x="187"/>
        <item x="188"/>
        <item x="189"/>
        <item x="190"/>
        <item x="194"/>
        <item x="195"/>
        <item x="197"/>
        <item x="200"/>
        <item x="201"/>
        <item x="202"/>
        <item x="204"/>
        <item x="205"/>
        <item x="206"/>
        <item x="208"/>
        <item x="209"/>
        <item x="216"/>
        <item x="217"/>
        <item x="218"/>
        <item x="221"/>
        <item x="222"/>
        <item x="223"/>
        <item x="224"/>
        <item x="226"/>
        <item x="229"/>
        <item x="232"/>
        <item x="241"/>
        <item x="242"/>
        <item x="243"/>
        <item x="249"/>
        <item x="251"/>
        <item x="252"/>
        <item x="254"/>
        <item x="255"/>
        <item x="257"/>
        <item x="260"/>
        <item x="261"/>
        <item x="262"/>
        <item x="263"/>
        <item x="266"/>
        <item x="267"/>
        <item x="268"/>
        <item x="269"/>
        <item x="273"/>
        <item x="277"/>
        <item x="278"/>
        <item x="281"/>
        <item x="283"/>
        <item x="285"/>
        <item x="289"/>
        <item x="290"/>
        <item x="292"/>
        <item x="294"/>
        <item x="295"/>
        <item x="296"/>
        <item x="298"/>
        <item x="301"/>
        <item x="302"/>
        <item x="306"/>
        <item x="307"/>
        <item x="308"/>
        <item x="313"/>
        <item x="314"/>
        <item x="317"/>
        <item x="324"/>
        <item x="325"/>
        <item x="326"/>
        <item x="328"/>
        <item x="329"/>
        <item x="332"/>
        <item x="333"/>
        <item x="335"/>
        <item x="339"/>
        <item x="341"/>
        <item x="342"/>
        <item x="343"/>
        <item x="346"/>
        <item x="349"/>
        <item x="351"/>
        <item x="352"/>
        <item x="353"/>
        <item x="356"/>
        <item x="357"/>
        <item x="358"/>
        <item x="361"/>
        <item x="363"/>
        <item x="364"/>
        <item x="366"/>
        <item x="368"/>
        <item x="369"/>
        <item x="372"/>
        <item x="373"/>
        <item x="374"/>
        <item x="377"/>
        <item x="378"/>
        <item x="381"/>
        <item x="382"/>
        <item x="383"/>
        <item x="385"/>
        <item x="386"/>
        <item x="387"/>
        <item x="391"/>
        <item x="396"/>
        <item x="397"/>
        <item x="399"/>
        <item x="400"/>
        <item x="401"/>
        <item x="406"/>
        <item x="408"/>
        <item x="409"/>
        <item x="411"/>
        <item x="413"/>
        <item x="416"/>
        <item x="417"/>
        <item x="419"/>
        <item x="420"/>
        <item x="421"/>
        <item x="422"/>
        <item x="427"/>
        <item x="428"/>
        <item x="429"/>
        <item x="434"/>
        <item x="435"/>
        <item x="438"/>
        <item x="439"/>
        <item x="442"/>
        <item x="444"/>
        <item x="446"/>
        <item x="447"/>
        <item x="450"/>
        <item x="453"/>
        <item x="454"/>
        <item x="460"/>
        <item x="461"/>
        <item x="463"/>
        <item x="464"/>
        <item x="468"/>
        <item x="475"/>
        <item x="477"/>
        <item x="480"/>
        <item x="481"/>
        <item x="485"/>
        <item x="486"/>
        <item x="487"/>
        <item x="491"/>
        <item x="492"/>
        <item x="493"/>
        <item x="496"/>
        <item x="498"/>
        <item x="504"/>
        <item x="507"/>
        <item x="509"/>
        <item x="512"/>
        <item x="513"/>
        <item x="515"/>
        <item x="517"/>
        <item x="518"/>
        <item x="519"/>
        <item x="521"/>
        <item x="522"/>
        <item x="526"/>
        <item x="527"/>
        <item x="530"/>
        <item x="532"/>
        <item x="534"/>
        <item x="536"/>
        <item x="539"/>
        <item x="541"/>
        <item x="544"/>
        <item x="546"/>
        <item x="549"/>
        <item x="552"/>
        <item x="553"/>
        <item x="555"/>
        <item x="558"/>
        <item x="559"/>
        <item x="561"/>
        <item x="565"/>
        <item x="569"/>
        <item x="570"/>
        <item x="571"/>
        <item x="573"/>
        <item x="575"/>
        <item x="577"/>
        <item x="580"/>
        <item x="581"/>
        <item x="585"/>
        <item x="586"/>
        <item x="587"/>
        <item x="588"/>
        <item x="593"/>
        <item x="595"/>
        <item x="597"/>
        <item x="600"/>
        <item x="603"/>
        <item x="604"/>
        <item x="605"/>
        <item x="606"/>
        <item x="607"/>
        <item x="609"/>
        <item x="611"/>
        <item x="612"/>
        <item x="622"/>
        <item x="626"/>
        <item x="627"/>
        <item x="628"/>
        <item x="629"/>
        <item x="632"/>
        <item x="633"/>
        <item x="634"/>
        <item x="640"/>
        <item x="641"/>
        <item x="644"/>
        <item x="647"/>
        <item x="649"/>
        <item x="651"/>
        <item x="652"/>
        <item x="653"/>
        <item x="654"/>
        <item x="655"/>
        <item x="657"/>
        <item x="658"/>
        <item x="659"/>
        <item x="660"/>
        <item x="665"/>
        <item x="667"/>
        <item x="670"/>
        <item x="673"/>
        <item x="675"/>
        <item x="676"/>
        <item x="679"/>
        <item x="682"/>
        <item x="683"/>
        <item x="684"/>
        <item x="685"/>
        <item x="687"/>
        <item x="688"/>
        <item x="692"/>
        <item x="693"/>
        <item x="694"/>
        <item x="696"/>
        <item x="697"/>
        <item x="702"/>
        <item x="707"/>
        <item x="708"/>
        <item x="709"/>
        <item x="711"/>
        <item x="713"/>
        <item x="714"/>
        <item x="715"/>
        <item x="716"/>
        <item x="717"/>
        <item x="719"/>
        <item x="721"/>
        <item x="723"/>
        <item x="725"/>
        <item x="729"/>
        <item x="730"/>
        <item x="738"/>
        <item x="741"/>
        <item x="743"/>
        <item x="744"/>
        <item x="746"/>
        <item x="750"/>
        <item x="751"/>
        <item x="754"/>
        <item x="755"/>
        <item x="757"/>
        <item x="761"/>
        <item x="763"/>
        <item x="764"/>
        <item x="765"/>
        <item x="768"/>
        <item x="772"/>
        <item x="773"/>
        <item x="774"/>
        <item x="776"/>
        <item x="782"/>
        <item x="784"/>
        <item x="786"/>
        <item x="789"/>
        <item x="792"/>
        <item x="794"/>
        <item x="798"/>
        <item x="801"/>
        <item x="802"/>
        <item x="804"/>
        <item x="805"/>
        <item x="807"/>
        <item x="808"/>
        <item x="809"/>
        <item x="813"/>
        <item x="814"/>
        <item x="817"/>
        <item x="820"/>
        <item x="823"/>
        <item x="824"/>
        <item x="825"/>
        <item x="826"/>
        <item x="828"/>
        <item x="830"/>
        <item x="831"/>
        <item x="832"/>
        <item x="835"/>
        <item x="837"/>
        <item x="838"/>
        <item x="840"/>
        <item x="841"/>
        <item x="843"/>
        <item x="844"/>
        <item x="847"/>
        <item x="848"/>
        <item x="853"/>
        <item x="854"/>
        <item x="861"/>
        <item x="862"/>
        <item x="863"/>
        <item x="864"/>
        <item x="865"/>
        <item x="866"/>
        <item x="868"/>
        <item x="869"/>
        <item x="870"/>
        <item x="873"/>
        <item x="874"/>
        <item x="877"/>
        <item x="879"/>
        <item x="882"/>
        <item x="883"/>
        <item x="884"/>
        <item x="886"/>
        <item x="888"/>
        <item x="889"/>
        <item x="892"/>
        <item x="897"/>
        <item x="899"/>
        <item x="90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7">
        <item x="2"/>
        <item x="1"/>
        <item x="0"/>
        <item x="3"/>
        <item x="4"/>
        <item x="5"/>
        <item t="default"/>
      </items>
    </pivotField>
    <pivotField showAll="0"/>
    <pivotField showAll="0"/>
    <pivotField showAll="0"/>
    <pivotField showAll="0"/>
    <pivotField showAll="0"/>
    <pivotField showAll="0"/>
    <pivotField showAll="0"/>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5">
    <i>
      <x/>
    </i>
    <i>
      <x v="1"/>
    </i>
    <i>
      <x v="2"/>
    </i>
    <i>
      <x v="3"/>
    </i>
    <i t="grand">
      <x/>
    </i>
  </rowItems>
  <colItems count="1">
    <i/>
  </colItems>
  <dataFields count="1">
    <dataField name="Count of ship_mode" fld="13" subtotal="count" baseField="0" baseItem="0"/>
  </dataFields>
  <formats count="9">
    <format dxfId="132">
      <pivotArea field="21" type="button" dataOnly="0" labelOnly="1" outline="0" axis="axisRow" fieldPosition="0"/>
    </format>
    <format dxfId="131">
      <pivotArea dataOnly="0" labelOnly="1" outline="0" axis="axisValues" fieldPosition="0"/>
    </format>
    <format dxfId="129">
      <pivotArea dataOnly="0" grandRow="1" fieldPosition="0"/>
    </format>
    <format dxfId="106">
      <pivotArea type="all" dataOnly="0" outline="0" fieldPosition="0"/>
    </format>
    <format dxfId="105">
      <pivotArea outline="0" collapsedLevelsAreSubtotals="1" fieldPosition="0"/>
    </format>
    <format dxfId="104">
      <pivotArea field="21" type="button" dataOnly="0" labelOnly="1" outline="0" axis="axisRow" fieldPosition="0"/>
    </format>
    <format dxfId="103">
      <pivotArea dataOnly="0" labelOnly="1" fieldPosition="0">
        <references count="1">
          <reference field="21" count="0"/>
        </references>
      </pivotArea>
    </format>
    <format dxfId="102">
      <pivotArea dataOnly="0" labelOnly="1" grandRow="1" outline="0" fieldPosition="0"/>
    </format>
    <format dxfId="10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46635B-CA69-4B05-A14B-E6F71E013CED}"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C33" firstHeaderRow="0" firstDataRow="1" firstDataCol="1"/>
  <pivotFields count="35">
    <pivotField showAll="0"/>
    <pivotField showAll="0"/>
    <pivotField showAll="0"/>
    <pivotField showAll="0"/>
    <pivotField showAll="0"/>
    <pivotField showAll="0"/>
    <pivotField showAll="0"/>
    <pivotField showAll="0"/>
    <pivotField showAll="0"/>
    <pivotField showAll="0"/>
    <pivotField axis="axisRow" showAll="0">
      <items count="5">
        <item x="1"/>
        <item x="0"/>
        <item x="2"/>
        <item x="3"/>
        <item t="default"/>
      </items>
    </pivotField>
    <pivotField axis="axisRow" showAll="0">
      <items count="15">
        <item x="5"/>
        <item x="2"/>
        <item x="9"/>
        <item x="10"/>
        <item x="4"/>
        <item x="6"/>
        <item x="3"/>
        <item x="7"/>
        <item x="12"/>
        <item x="0"/>
        <item x="11"/>
        <item x="8"/>
        <item x="1"/>
        <item x="13"/>
        <item t="default"/>
      </items>
    </pivotField>
    <pivotField showAll="0"/>
    <pivotField showAll="0"/>
    <pivotField showAll="0"/>
    <pivotField showAll="0"/>
    <pivotField showAll="0"/>
    <pivotField dataField="1" showAll="0">
      <items count="914">
        <item x="713"/>
        <item x="29"/>
        <item x="219"/>
        <item x="666"/>
        <item x="319"/>
        <item x="847"/>
        <item x="448"/>
        <item x="489"/>
        <item x="212"/>
        <item x="531"/>
        <item x="580"/>
        <item x="543"/>
        <item x="206"/>
        <item x="203"/>
        <item x="265"/>
        <item x="122"/>
        <item x="820"/>
        <item x="246"/>
        <item x="573"/>
        <item x="892"/>
        <item x="12"/>
        <item x="85"/>
        <item x="827"/>
        <item x="123"/>
        <item x="60"/>
        <item x="232"/>
        <item x="562"/>
        <item x="687"/>
        <item x="483"/>
        <item x="214"/>
        <item x="659"/>
        <item x="391"/>
        <item x="115"/>
        <item x="724"/>
        <item x="330"/>
        <item x="267"/>
        <item x="816"/>
        <item x="108"/>
        <item x="910"/>
        <item x="584"/>
        <item x="498"/>
        <item x="781"/>
        <item x="130"/>
        <item x="526"/>
        <item x="473"/>
        <item x="767"/>
        <item x="83"/>
        <item x="61"/>
        <item x="275"/>
        <item x="432"/>
        <item x="208"/>
        <item x="695"/>
        <item x="674"/>
        <item x="703"/>
        <item x="476"/>
        <item x="132"/>
        <item x="548"/>
        <item x="836"/>
        <item x="404"/>
        <item x="198"/>
        <item x="893"/>
        <item x="560"/>
        <item x="782"/>
        <item x="223"/>
        <item x="856"/>
        <item x="506"/>
        <item x="241"/>
        <item x="396"/>
        <item x="105"/>
        <item x="625"/>
        <item x="640"/>
        <item x="57"/>
        <item x="218"/>
        <item x="567"/>
        <item x="848"/>
        <item x="419"/>
        <item x="780"/>
        <item x="633"/>
        <item x="150"/>
        <item x="134"/>
        <item x="190"/>
        <item x="120"/>
        <item x="749"/>
        <item x="838"/>
        <item x="227"/>
        <item x="564"/>
        <item x="639"/>
        <item x="664"/>
        <item x="70"/>
        <item x="589"/>
        <item x="412"/>
        <item x="784"/>
        <item x="185"/>
        <item x="520"/>
        <item x="883"/>
        <item x="111"/>
        <item x="204"/>
        <item x="885"/>
        <item x="661"/>
        <item x="849"/>
        <item x="646"/>
        <item x="161"/>
        <item x="261"/>
        <item x="479"/>
        <item x="324"/>
        <item x="290"/>
        <item x="823"/>
        <item x="494"/>
        <item x="173"/>
        <item x="745"/>
        <item x="207"/>
        <item x="387"/>
        <item x="572"/>
        <item x="184"/>
        <item x="651"/>
        <item x="438"/>
        <item x="283"/>
        <item x="420"/>
        <item x="765"/>
        <item x="442"/>
        <item x="472"/>
        <item x="428"/>
        <item x="597"/>
        <item x="851"/>
        <item x="362"/>
        <item x="552"/>
        <item x="577"/>
        <item x="119"/>
        <item x="706"/>
        <item x="539"/>
        <item x="425"/>
        <item x="868"/>
        <item x="269"/>
        <item x="537"/>
        <item x="491"/>
        <item x="804"/>
        <item x="298"/>
        <item x="385"/>
        <item x="226"/>
        <item x="277"/>
        <item x="728"/>
        <item x="398"/>
        <item x="50"/>
        <item x="657"/>
        <item x="462"/>
        <item x="166"/>
        <item x="654"/>
        <item x="368"/>
        <item x="109"/>
        <item x="583"/>
        <item x="533"/>
        <item x="738"/>
        <item x="77"/>
        <item x="154"/>
        <item x="743"/>
        <item x="516"/>
        <item x="409"/>
        <item x="435"/>
        <item x="252"/>
        <item x="157"/>
        <item x="308"/>
        <item x="736"/>
        <item x="303"/>
        <item x="810"/>
        <item x="164"/>
        <item x="86"/>
        <item x="704"/>
        <item x="668"/>
        <item x="895"/>
        <item x="490"/>
        <item x="91"/>
        <item x="113"/>
        <item x="783"/>
        <item x="270"/>
        <item x="599"/>
        <item x="497"/>
        <item x="356"/>
        <item x="421"/>
        <item x="311"/>
        <item x="465"/>
        <item x="5"/>
        <item x="168"/>
        <item x="377"/>
        <item x="811"/>
        <item x="26"/>
        <item x="33"/>
        <item x="753"/>
        <item x="375"/>
        <item x="320"/>
        <item x="730"/>
        <item x="754"/>
        <item x="813"/>
        <item x="131"/>
        <item x="702"/>
        <item x="321"/>
        <item x="228"/>
        <item x="786"/>
        <item x="825"/>
        <item x="610"/>
        <item x="84"/>
        <item x="147"/>
        <item x="21"/>
        <item x="792"/>
        <item x="469"/>
        <item x="384"/>
        <item x="463"/>
        <item x="568"/>
        <item x="716"/>
        <item x="748"/>
        <item x="437"/>
        <item x="675"/>
        <item x="482"/>
        <item x="561"/>
        <item x="28"/>
        <item x="806"/>
        <item x="333"/>
        <item x="697"/>
        <item x="7"/>
        <item x="43"/>
        <item x="805"/>
        <item x="143"/>
        <item x="30"/>
        <item x="770"/>
        <item x="855"/>
        <item x="316"/>
        <item x="64"/>
        <item x="239"/>
        <item x="579"/>
        <item x="604"/>
        <item x="455"/>
        <item x="351"/>
        <item x="434"/>
        <item x="399"/>
        <item x="196"/>
        <item x="899"/>
        <item x="74"/>
        <item x="443"/>
        <item x="268"/>
        <item x="439"/>
        <item x="411"/>
        <item x="598"/>
        <item x="582"/>
        <item x="445"/>
        <item x="619"/>
        <item x="55"/>
        <item x="54"/>
        <item x="135"/>
        <item x="459"/>
        <item x="690"/>
        <item x="397"/>
        <item x="896"/>
        <item x="272"/>
        <item x="844"/>
        <item x="696"/>
        <item x="814"/>
        <item x="515"/>
        <item x="884"/>
        <item x="116"/>
        <item x="737"/>
        <item x="587"/>
        <item x="877"/>
        <item x="430"/>
        <item x="511"/>
        <item x="393"/>
        <item x="772"/>
        <item x="853"/>
        <item x="689"/>
        <item x="278"/>
        <item x="495"/>
        <item x="719"/>
        <item x="909"/>
        <item x="839"/>
        <item x="416"/>
        <item x="96"/>
        <item x="612"/>
        <item x="142"/>
        <item x="114"/>
        <item x="667"/>
        <item x="575"/>
        <item x="158"/>
        <item x="18"/>
        <item x="141"/>
        <item x="627"/>
        <item x="834"/>
        <item x="243"/>
        <item x="302"/>
        <item x="607"/>
        <item x="65"/>
        <item x="554"/>
        <item x="492"/>
        <item x="402"/>
        <item x="422"/>
        <item x="908"/>
        <item x="14"/>
        <item x="711"/>
        <item x="210"/>
        <item x="279"/>
        <item x="758"/>
        <item x="860"/>
        <item x="124"/>
        <item x="205"/>
        <item x="37"/>
        <item x="80"/>
        <item x="815"/>
        <item x="2"/>
        <item x="790"/>
        <item x="757"/>
        <item x="869"/>
        <item x="126"/>
        <item x="803"/>
        <item x="722"/>
        <item x="357"/>
        <item x="807"/>
        <item x="128"/>
        <item x="327"/>
        <item x="286"/>
        <item x="556"/>
        <item x="502"/>
        <item x="383"/>
        <item x="873"/>
        <item x="110"/>
        <item x="785"/>
        <item x="480"/>
        <item x="799"/>
        <item x="217"/>
        <item x="282"/>
        <item x="371"/>
        <item x="486"/>
        <item x="867"/>
        <item x="686"/>
        <item x="566"/>
        <item x="611"/>
        <item x="284"/>
        <item x="718"/>
        <item x="253"/>
        <item x="201"/>
        <item x="663"/>
        <item x="160"/>
        <item x="63"/>
        <item x="474"/>
        <item x="221"/>
        <item x="898"/>
        <item x="39"/>
        <item x="359"/>
        <item x="777"/>
        <item x="648"/>
        <item x="669"/>
        <item x="637"/>
        <item x="53"/>
        <item x="170"/>
        <item x="905"/>
        <item x="225"/>
        <item x="180"/>
        <item x="679"/>
        <item x="628"/>
        <item x="574"/>
        <item x="182"/>
        <item x="621"/>
        <item x="808"/>
        <item x="81"/>
        <item x="345"/>
        <item x="169"/>
        <item x="258"/>
        <item x="254"/>
        <item x="563"/>
        <item x="242"/>
        <item x="665"/>
        <item x="395"/>
        <item x="127"/>
        <item x="523"/>
        <item x="400"/>
        <item x="6"/>
        <item x="152"/>
        <item x="889"/>
        <item x="406"/>
        <item x="615"/>
        <item x="762"/>
        <item x="555"/>
        <item x="358"/>
        <item x="297"/>
        <item x="681"/>
        <item x="82"/>
        <item x="264"/>
        <item x="248"/>
        <item x="879"/>
        <item x="512"/>
        <item x="244"/>
        <item x="251"/>
        <item x="9"/>
        <item x="390"/>
        <item x="487"/>
        <item x="433"/>
        <item x="670"/>
        <item x="431"/>
        <item x="364"/>
        <item x="513"/>
        <item x="88"/>
        <item x="23"/>
        <item x="301"/>
        <item x="118"/>
        <item x="840"/>
        <item x="771"/>
        <item x="641"/>
        <item x="424"/>
        <item x="601"/>
        <item x="257"/>
        <item x="314"/>
        <item x="99"/>
        <item x="287"/>
        <item x="829"/>
        <item x="188"/>
        <item x="468"/>
        <item x="904"/>
        <item x="436"/>
        <item x="620"/>
        <item x="685"/>
        <item x="496"/>
        <item x="34"/>
        <item x="778"/>
        <item x="49"/>
        <item x="27"/>
        <item x="649"/>
        <item x="897"/>
        <item x="471"/>
        <item x="41"/>
        <item x="363"/>
        <item x="862"/>
        <item x="322"/>
        <item x="209"/>
        <item x="66"/>
        <item x="787"/>
        <item x="470"/>
        <item x="741"/>
        <item x="337"/>
        <item x="408"/>
        <item x="73"/>
        <item x="106"/>
        <item x="850"/>
        <item x="735"/>
        <item x="794"/>
        <item x="1"/>
        <item x="508"/>
        <item x="25"/>
        <item x="194"/>
        <item x="809"/>
        <item x="682"/>
        <item x="710"/>
        <item x="288"/>
        <item x="453"/>
        <item x="42"/>
        <item x="842"/>
        <item x="761"/>
        <item x="586"/>
        <item x="499"/>
        <item x="341"/>
        <item x="605"/>
        <item x="17"/>
        <item x="882"/>
        <item x="372"/>
        <item x="485"/>
        <item x="346"/>
        <item x="151"/>
        <item x="155"/>
        <item x="638"/>
        <item x="389"/>
        <item x="774"/>
        <item x="700"/>
        <item x="103"/>
        <item x="378"/>
        <item x="332"/>
        <item x="401"/>
        <item x="683"/>
        <item x="75"/>
        <item x="407"/>
        <item x="846"/>
        <item x="379"/>
        <item x="865"/>
        <item x="551"/>
        <item x="726"/>
        <item x="801"/>
        <item x="709"/>
        <item x="769"/>
        <item x="826"/>
        <item x="817"/>
        <item x="289"/>
        <item x="104"/>
        <item x="174"/>
        <item x="746"/>
        <item x="22"/>
        <item x="3"/>
        <item x="293"/>
        <item x="380"/>
        <item x="518"/>
        <item x="751"/>
        <item x="624"/>
        <item x="510"/>
        <item x="854"/>
        <item x="692"/>
        <item x="701"/>
        <item x="458"/>
        <item x="655"/>
        <item x="642"/>
        <item x="461"/>
        <item x="541"/>
        <item x="802"/>
        <item x="229"/>
        <item x="488"/>
        <item x="187"/>
        <item x="553"/>
        <item x="140"/>
        <item x="606"/>
        <item x="192"/>
        <item x="691"/>
        <item x="863"/>
        <item x="366"/>
        <item x="734"/>
        <item x="872"/>
        <item x="376"/>
        <item x="570"/>
        <item x="249"/>
        <item x="280"/>
        <item x="369"/>
        <item x="507"/>
        <item x="32"/>
        <item x="742"/>
        <item x="78"/>
        <item x="51"/>
        <item x="634"/>
        <item x="565"/>
        <item x="729"/>
        <item x="740"/>
        <item x="19"/>
        <item x="791"/>
        <item x="410"/>
        <item x="36"/>
        <item x="295"/>
        <item x="388"/>
        <item x="193"/>
        <item x="837"/>
        <item x="773"/>
        <item x="414"/>
        <item x="90"/>
        <item x="699"/>
        <item x="56"/>
        <item x="100"/>
        <item x="901"/>
        <item x="220"/>
        <item x="179"/>
        <item x="535"/>
        <item x="195"/>
        <item x="11"/>
        <item x="662"/>
        <item x="796"/>
        <item x="452"/>
        <item x="712"/>
        <item x="291"/>
        <item x="245"/>
        <item x="199"/>
        <item x="656"/>
        <item x="755"/>
        <item x="16"/>
        <item x="542"/>
        <item x="747"/>
        <item x="835"/>
        <item x="373"/>
        <item x="10"/>
        <item x="148"/>
        <item x="323"/>
        <item x="181"/>
        <item x="550"/>
        <item x="76"/>
        <item x="822"/>
        <item x="165"/>
        <item x="549"/>
        <item x="415"/>
        <item x="139"/>
        <item x="353"/>
        <item x="623"/>
        <item x="464"/>
        <item x="902"/>
        <item x="382"/>
        <item x="622"/>
        <item x="95"/>
        <item x="503"/>
        <item x="481"/>
        <item x="591"/>
        <item x="629"/>
        <item x="352"/>
        <item x="331"/>
        <item x="299"/>
        <item x="891"/>
        <item x="821"/>
        <item x="861"/>
        <item x="546"/>
        <item x="112"/>
        <item x="71"/>
        <item x="234"/>
        <item x="630"/>
        <item x="900"/>
        <item x="216"/>
        <item x="600"/>
        <item x="456"/>
        <item x="230"/>
        <item x="318"/>
        <item x="58"/>
        <item x="144"/>
        <item x="525"/>
        <item x="739"/>
        <item x="466"/>
        <item x="231"/>
        <item x="102"/>
        <item x="626"/>
        <item x="335"/>
        <item x="858"/>
        <item x="460"/>
        <item x="694"/>
        <item x="271"/>
        <item x="752"/>
        <item x="911"/>
        <item x="693"/>
        <item x="224"/>
        <item x="878"/>
        <item x="477"/>
        <item x="517"/>
        <item x="350"/>
        <item x="347"/>
        <item x="594"/>
        <item x="779"/>
        <item x="672"/>
        <item x="156"/>
        <item x="903"/>
        <item x="744"/>
        <item x="857"/>
        <item x="756"/>
        <item x="342"/>
        <item x="107"/>
        <item x="313"/>
        <item x="521"/>
        <item x="52"/>
        <item x="618"/>
        <item x="818"/>
        <item x="888"/>
        <item x="255"/>
        <item x="830"/>
        <item x="183"/>
        <item x="200"/>
        <item x="365"/>
        <item x="334"/>
        <item x="304"/>
        <item x="309"/>
        <item x="636"/>
        <item x="266"/>
        <item x="451"/>
        <item x="370"/>
        <item x="645"/>
        <item x="178"/>
        <item x="595"/>
        <item x="202"/>
        <item x="149"/>
        <item x="305"/>
        <item x="262"/>
        <item x="760"/>
        <item x="24"/>
        <item x="72"/>
        <item x="723"/>
        <item x="721"/>
        <item x="797"/>
        <item x="527"/>
        <item x="673"/>
        <item x="213"/>
        <item x="38"/>
        <item x="890"/>
        <item x="519"/>
        <item x="40"/>
        <item x="789"/>
        <item x="644"/>
        <item x="632"/>
        <item x="534"/>
        <item x="250"/>
        <item x="374"/>
        <item x="97"/>
        <item x="647"/>
        <item x="768"/>
        <item x="125"/>
        <item x="569"/>
        <item x="306"/>
        <item x="559"/>
        <item x="732"/>
        <item x="680"/>
        <item x="725"/>
        <item x="759"/>
        <item x="247"/>
        <item x="578"/>
        <item x="145"/>
        <item x="326"/>
        <item x="98"/>
        <item x="260"/>
        <item x="235"/>
        <item x="720"/>
        <item x="276"/>
        <item x="493"/>
        <item x="413"/>
        <item x="798"/>
        <item x="450"/>
        <item x="329"/>
        <item x="688"/>
        <item x="325"/>
        <item x="163"/>
        <item x="312"/>
        <item x="731"/>
        <item x="650"/>
        <item x="175"/>
        <item x="171"/>
        <item x="336"/>
        <item x="660"/>
        <item x="705"/>
        <item x="355"/>
        <item x="46"/>
        <item x="880"/>
        <item x="310"/>
        <item x="581"/>
        <item x="484"/>
        <item x="635"/>
        <item x="20"/>
        <item x="529"/>
        <item x="763"/>
        <item x="101"/>
        <item x="281"/>
        <item x="59"/>
        <item x="708"/>
        <item x="766"/>
        <item x="381"/>
        <item x="403"/>
        <item x="887"/>
        <item x="707"/>
        <item x="864"/>
        <item x="530"/>
        <item x="545"/>
        <item x="504"/>
        <item x="197"/>
        <item x="121"/>
        <item x="505"/>
        <item x="47"/>
        <item x="429"/>
        <item x="360"/>
        <item x="296"/>
        <item x="812"/>
        <item x="501"/>
        <item x="532"/>
        <item x="440"/>
        <item x="788"/>
        <item x="129"/>
        <item x="340"/>
        <item x="259"/>
        <item x="652"/>
        <item x="677"/>
        <item x="596"/>
        <item x="417"/>
        <item x="328"/>
        <item x="714"/>
        <item x="717"/>
        <item x="294"/>
        <item x="616"/>
        <item x="0"/>
        <item x="35"/>
        <item x="137"/>
        <item x="215"/>
        <item x="467"/>
        <item x="348"/>
        <item x="256"/>
        <item x="349"/>
        <item x="608"/>
        <item x="367"/>
        <item x="93"/>
        <item x="603"/>
        <item x="449"/>
        <item x="871"/>
        <item x="558"/>
        <item x="536"/>
        <item x="68"/>
        <item x="715"/>
        <item x="457"/>
        <item x="658"/>
        <item x="386"/>
        <item x="354"/>
        <item x="475"/>
        <item x="676"/>
        <item x="444"/>
        <item x="614"/>
        <item x="590"/>
        <item x="4"/>
        <item x="240"/>
        <item x="339"/>
        <item x="514"/>
        <item x="237"/>
        <item x="89"/>
        <item x="678"/>
        <item x="800"/>
        <item x="571"/>
        <item x="907"/>
        <item x="793"/>
        <item x="69"/>
        <item x="540"/>
        <item x="875"/>
        <item x="274"/>
        <item x="841"/>
        <item x="544"/>
        <item x="447"/>
        <item x="62"/>
        <item x="866"/>
        <item x="418"/>
        <item x="870"/>
        <item x="613"/>
        <item x="273"/>
        <item x="876"/>
        <item x="317"/>
        <item x="133"/>
        <item x="153"/>
        <item x="167"/>
        <item x="509"/>
        <item x="87"/>
        <item x="576"/>
        <item x="833"/>
        <item x="775"/>
        <item x="886"/>
        <item x="15"/>
        <item x="186"/>
        <item x="172"/>
        <item x="67"/>
        <item x="138"/>
        <item x="176"/>
        <item x="236"/>
        <item x="845"/>
        <item x="405"/>
        <item x="684"/>
        <item x="617"/>
        <item x="852"/>
        <item x="8"/>
        <item x="859"/>
        <item x="881"/>
        <item x="764"/>
        <item x="733"/>
        <item x="828"/>
        <item x="454"/>
        <item x="441"/>
        <item x="189"/>
        <item x="117"/>
        <item x="894"/>
        <item x="146"/>
        <item x="478"/>
        <item x="222"/>
        <item x="191"/>
        <item x="795"/>
        <item x="602"/>
        <item x="643"/>
        <item x="13"/>
        <item x="338"/>
        <item x="427"/>
        <item x="94"/>
        <item x="831"/>
        <item x="653"/>
        <item x="238"/>
        <item x="750"/>
        <item x="44"/>
        <item x="776"/>
        <item x="211"/>
        <item x="426"/>
        <item x="423"/>
        <item x="906"/>
        <item x="394"/>
        <item x="585"/>
        <item x="593"/>
        <item x="31"/>
        <item x="698"/>
        <item x="727"/>
        <item x="48"/>
        <item x="307"/>
        <item x="315"/>
        <item x="528"/>
        <item x="874"/>
        <item x="45"/>
        <item x="538"/>
        <item x="592"/>
        <item x="547"/>
        <item x="609"/>
        <item x="177"/>
        <item x="343"/>
        <item x="344"/>
        <item x="136"/>
        <item x="671"/>
        <item x="233"/>
        <item x="631"/>
        <item x="300"/>
        <item x="588"/>
        <item x="557"/>
        <item x="263"/>
        <item x="522"/>
        <item x="79"/>
        <item x="824"/>
        <item x="292"/>
        <item x="159"/>
        <item x="446"/>
        <item x="819"/>
        <item x="524"/>
        <item x="500"/>
        <item x="361"/>
        <item x="843"/>
        <item x="162"/>
        <item x="92"/>
        <item x="392"/>
        <item x="285"/>
        <item x="832"/>
        <item x="912"/>
        <item t="default"/>
      </items>
    </pivotField>
    <pivotField showAll="0"/>
    <pivotField dataField="1" showAll="0">
      <items count="899">
        <item x="663"/>
        <item x="817"/>
        <item x="246"/>
        <item x="219"/>
        <item x="212"/>
        <item x="710"/>
        <item x="530"/>
        <item x="844"/>
        <item x="447"/>
        <item x="29"/>
        <item x="488"/>
        <item x="542"/>
        <item x="232"/>
        <item x="824"/>
        <item x="318"/>
        <item x="214"/>
        <item x="431"/>
        <item x="122"/>
        <item x="206"/>
        <item x="390"/>
        <item x="203"/>
        <item x="403"/>
        <item x="579"/>
        <item x="889"/>
        <item x="60"/>
        <item x="700"/>
        <item x="123"/>
        <item x="57"/>
        <item x="684"/>
        <item x="656"/>
        <item x="61"/>
        <item x="264"/>
        <item x="130"/>
        <item x="12"/>
        <item x="561"/>
        <item x="853"/>
        <item x="547"/>
        <item x="833"/>
        <item x="845"/>
        <item x="105"/>
        <item x="266"/>
        <item x="588"/>
        <item x="497"/>
        <item x="572"/>
        <item x="583"/>
        <item x="395"/>
        <item x="778"/>
        <item x="721"/>
        <item x="85"/>
        <item x="482"/>
        <item x="848"/>
        <item x="185"/>
        <item x="115"/>
        <item x="83"/>
        <item x="329"/>
        <item x="559"/>
        <item x="890"/>
        <item x="622"/>
        <item x="813"/>
        <item x="361"/>
        <item x="551"/>
        <item x="323"/>
        <item x="108"/>
        <item x="274"/>
        <item x="525"/>
        <item x="779"/>
        <item x="297"/>
        <item x="150"/>
        <item x="637"/>
        <item x="173"/>
        <item x="764"/>
        <item x="355"/>
        <item x="493"/>
        <item x="505"/>
        <item x="472"/>
        <item x="208"/>
        <item x="119"/>
        <item x="374"/>
        <item x="777"/>
        <item x="651"/>
        <item x="846"/>
        <item x="671"/>
        <item x="692"/>
        <item x="746"/>
        <item x="204"/>
        <item x="434"/>
        <item x="132"/>
        <item x="532"/>
        <item x="386"/>
        <item x="727"/>
        <item x="475"/>
        <item x="801"/>
        <item x="802"/>
        <item x="198"/>
        <item x="437"/>
        <item x="496"/>
        <item x="418"/>
        <item x="751"/>
        <item x="536"/>
        <item x="882"/>
        <item x="636"/>
        <item x="70"/>
        <item x="661"/>
        <item x="740"/>
        <item x="617"/>
        <item x="302"/>
        <item x="643"/>
        <item x="781"/>
        <item x="563"/>
        <item x="560"/>
        <item x="33"/>
        <item x="190"/>
        <item x="880"/>
        <item x="241"/>
        <item x="223"/>
        <item x="134"/>
        <item x="665"/>
        <item x="116"/>
        <item x="468"/>
        <item x="168"/>
        <item x="218"/>
        <item x="424"/>
        <item x="111"/>
        <item x="780"/>
        <item x="703"/>
        <item x="410"/>
        <item x="120"/>
        <item x="367"/>
        <item x="411"/>
        <item x="630"/>
        <item x="227"/>
        <item x="566"/>
        <item x="701"/>
        <item x="538"/>
        <item x="596"/>
        <item x="578"/>
        <item x="850"/>
        <item x="166"/>
        <item x="268"/>
        <item x="55"/>
        <item x="762"/>
        <item x="478"/>
        <item x="7"/>
        <item x="835"/>
        <item x="438"/>
        <item x="74"/>
        <item x="461"/>
        <item x="515"/>
        <item x="131"/>
        <item x="84"/>
        <item x="356"/>
        <item x="783"/>
        <item x="804"/>
        <item x="260"/>
        <item x="586"/>
        <item x="687"/>
        <item x="397"/>
        <item x="408"/>
        <item x="742"/>
        <item x="893"/>
        <item x="597"/>
        <item x="154"/>
        <item x="289"/>
        <item x="658"/>
        <item x="419"/>
        <item x="796"/>
        <item x="392"/>
        <item x="462"/>
        <item x="519"/>
        <item x="664"/>
        <item x="252"/>
        <item x="310"/>
        <item x="767"/>
        <item x="490"/>
        <item x="161"/>
        <item x="654"/>
        <item x="124"/>
        <item x="576"/>
        <item x="750"/>
        <item x="820"/>
        <item x="471"/>
        <item x="160"/>
        <item x="427"/>
        <item x="21"/>
        <item x="755"/>
        <item x="196"/>
        <item x="207"/>
        <item x="184"/>
        <item x="114"/>
        <item x="429"/>
        <item x="64"/>
        <item x="571"/>
        <item x="109"/>
        <item x="307"/>
        <item x="282"/>
        <item x="420"/>
        <item x="225"/>
        <item x="28"/>
        <item x="648"/>
        <item x="489"/>
        <item x="91"/>
        <item x="574"/>
        <item x="609"/>
        <item x="376"/>
        <item x="113"/>
        <item x="276"/>
        <item x="725"/>
        <item x="164"/>
        <item x="745"/>
        <item x="441"/>
        <item x="864"/>
        <item x="865"/>
        <item x="239"/>
        <item x="384"/>
        <item x="565"/>
        <item x="598"/>
        <item x="205"/>
        <item x="624"/>
        <item x="157"/>
        <item x="699"/>
        <item x="226"/>
        <item x="444"/>
        <item x="491"/>
        <item x="582"/>
        <item x="50"/>
        <item x="822"/>
        <item x="567"/>
        <item x="735"/>
        <item x="807"/>
        <item x="86"/>
        <item x="88"/>
        <item x="811"/>
        <item x="37"/>
        <item x="320"/>
        <item x="787"/>
        <item x="415"/>
        <item x="769"/>
        <item x="874"/>
        <item x="399"/>
        <item x="269"/>
        <item x="734"/>
        <item x="442"/>
        <item x="77"/>
        <item x="625"/>
        <item x="892"/>
        <item x="5"/>
        <item x="805"/>
        <item x="733"/>
        <item x="852"/>
        <item x="332"/>
        <item x="608"/>
        <item x="49"/>
        <item x="128"/>
        <item x="682"/>
        <item x="896"/>
        <item x="803"/>
        <item x="775"/>
        <item x="147"/>
        <item x="481"/>
        <item x="464"/>
        <item x="847"/>
        <item x="26"/>
        <item x="713"/>
        <item x="715"/>
        <item x="789"/>
        <item x="895"/>
        <item x="562"/>
        <item x="344"/>
        <item x="30"/>
        <item x="672"/>
        <item x="810"/>
        <item x="319"/>
        <item x="142"/>
        <item x="501"/>
        <item x="808"/>
        <item x="313"/>
        <item x="603"/>
        <item x="350"/>
        <item x="6"/>
        <item x="732"/>
        <item x="694"/>
        <item x="812"/>
        <item x="759"/>
        <item x="141"/>
        <item x="248"/>
        <item x="581"/>
        <item x="522"/>
        <item x="103"/>
        <item x="143"/>
        <item x="881"/>
        <item x="467"/>
        <item x="315"/>
        <item x="894"/>
        <item x="228"/>
        <item x="210"/>
        <item x="267"/>
        <item x="605"/>
        <item x="433"/>
        <item x="383"/>
        <item x="217"/>
        <item x="170"/>
        <item x="271"/>
        <item x="432"/>
        <item x="886"/>
        <item x="553"/>
        <item x="288"/>
        <item x="251"/>
        <item x="336"/>
        <item x="257"/>
        <item x="398"/>
        <item x="782"/>
        <item x="831"/>
        <item x="585"/>
        <item x="401"/>
        <item x="340"/>
        <item x="436"/>
        <item x="841"/>
        <item x="43"/>
        <item x="396"/>
        <item x="613"/>
        <item x="96"/>
        <item x="221"/>
        <item x="573"/>
        <item x="382"/>
        <item x="18"/>
        <item x="693"/>
        <item x="494"/>
        <item x="458"/>
        <item x="281"/>
        <item x="256"/>
        <item x="454"/>
        <item x="278"/>
        <item x="541"/>
        <item x="326"/>
        <item x="421"/>
        <item x="375"/>
        <item x="54"/>
        <item x="65"/>
        <item x="498"/>
        <item x="14"/>
        <item x="686"/>
        <item x="242"/>
        <item x="707"/>
        <item x="372"/>
        <item x="32"/>
        <item x="135"/>
        <item x="676"/>
        <item x="514"/>
        <item x="188"/>
        <item x="738"/>
        <item x="152"/>
        <item x="106"/>
        <item x="485"/>
        <item x="748"/>
        <item x="3"/>
        <item x="716"/>
        <item x="774"/>
        <item x="243"/>
        <item x="192"/>
        <item x="645"/>
        <item x="39"/>
        <item x="460"/>
        <item x="357"/>
        <item x="510"/>
        <item x="11"/>
        <item x="283"/>
        <item x="509"/>
        <item x="876"/>
        <item x="22"/>
        <item x="158"/>
        <item x="819"/>
        <item x="394"/>
        <item x="660"/>
        <item x="301"/>
        <item x="836"/>
        <item x="277"/>
        <item x="370"/>
        <item x="610"/>
        <item x="696"/>
        <item x="837"/>
        <item x="430"/>
        <item x="362"/>
        <item x="95"/>
        <item x="706"/>
        <item x="234"/>
        <item x="627"/>
        <item x="708"/>
        <item x="182"/>
        <item x="51"/>
        <item x="753"/>
        <item x="126"/>
        <item x="800"/>
        <item x="80"/>
        <item x="818"/>
        <item x="312"/>
        <item x="331"/>
        <item x="99"/>
        <item x="2"/>
        <item x="719"/>
        <item x="19"/>
        <item x="201"/>
        <item x="470"/>
        <item x="479"/>
        <item x="555"/>
        <item x="678"/>
        <item x="292"/>
        <item x="346"/>
        <item x="155"/>
        <item x="512"/>
        <item x="870"/>
        <item x="486"/>
        <item x="666"/>
        <item x="857"/>
        <item x="517"/>
        <item x="698"/>
        <item x="110"/>
        <item x="741"/>
        <item x="754"/>
        <item x="194"/>
        <item x="885"/>
        <item x="450"/>
        <item x="118"/>
        <item x="63"/>
        <item x="866"/>
        <item x="285"/>
        <item x="752"/>
        <item x="202"/>
        <item x="23"/>
        <item x="290"/>
        <item x="296"/>
        <item x="634"/>
        <item x="599"/>
        <item x="52"/>
        <item x="548"/>
        <item x="691"/>
        <item x="286"/>
        <item x="826"/>
        <item x="854"/>
        <item x="358"/>
        <item x="743"/>
        <item x="169"/>
        <item x="195"/>
        <item x="798"/>
        <item x="683"/>
        <item x="860"/>
        <item x="270"/>
        <item x="662"/>
        <item x="40"/>
        <item x="27"/>
        <item x="381"/>
        <item x="484"/>
        <item x="244"/>
        <item x="616"/>
        <item x="263"/>
        <item x="552"/>
        <item x="140"/>
        <item x="349"/>
        <item x="618"/>
        <item x="784"/>
        <item x="506"/>
        <item x="423"/>
        <item x="859"/>
        <item x="473"/>
        <item x="368"/>
        <item x="653"/>
        <item x="534"/>
        <item x="564"/>
        <item x="363"/>
        <item x="435"/>
        <item x="406"/>
        <item x="593"/>
        <item x="82"/>
        <item x="230"/>
        <item x="127"/>
        <item x="405"/>
        <item x="78"/>
        <item x="180"/>
        <item x="806"/>
        <item x="53"/>
        <item x="104"/>
        <item x="659"/>
        <item x="400"/>
        <item x="388"/>
        <item x="839"/>
        <item x="887"/>
        <item x="862"/>
        <item x="9"/>
        <item x="554"/>
        <item x="151"/>
        <item x="209"/>
        <item x="25"/>
        <item x="414"/>
        <item x="843"/>
        <item x="680"/>
        <item x="178"/>
        <item x="861"/>
        <item x="1"/>
        <item x="791"/>
        <item x="66"/>
        <item x="81"/>
        <item x="250"/>
        <item x="758"/>
        <item x="247"/>
        <item x="452"/>
        <item x="253"/>
        <item x="371"/>
        <item x="102"/>
        <item x="476"/>
        <item x="187"/>
        <item x="407"/>
        <item x="287"/>
        <item x="875"/>
        <item x="604"/>
        <item x="75"/>
        <item x="550"/>
        <item x="569"/>
        <item x="877"/>
        <item x="24"/>
        <item x="623"/>
        <item x="533"/>
        <item x="213"/>
        <item x="148"/>
        <item x="300"/>
        <item x="815"/>
        <item x="76"/>
        <item x="409"/>
        <item x="41"/>
        <item x="34"/>
        <item x="689"/>
        <item x="469"/>
        <item x="667"/>
        <item x="823"/>
        <item x="516"/>
        <item x="511"/>
        <item x="731"/>
        <item x="723"/>
        <item x="629"/>
        <item x="389"/>
        <item x="487"/>
        <item x="483"/>
        <item x="36"/>
        <item x="568"/>
        <item x="73"/>
        <item x="737"/>
        <item x="317"/>
        <item x="677"/>
        <item x="879"/>
        <item x="327"/>
        <item x="717"/>
        <item x="387"/>
        <item x="633"/>
        <item x="827"/>
        <item x="709"/>
        <item x="620"/>
        <item x="377"/>
        <item x="638"/>
        <item x="265"/>
        <item x="364"/>
        <item x="600"/>
        <item x="834"/>
        <item x="768"/>
        <item x="503"/>
        <item x="540"/>
        <item x="56"/>
        <item x="685"/>
        <item x="674"/>
        <item x="17"/>
        <item x="646"/>
        <item x="42"/>
        <item x="303"/>
        <item x="321"/>
        <item x="365"/>
        <item x="495"/>
        <item x="621"/>
        <item x="766"/>
        <item x="771"/>
        <item x="129"/>
        <item x="697"/>
        <item x="4"/>
        <item x="635"/>
        <item x="229"/>
        <item x="739"/>
        <item x="507"/>
        <item x="869"/>
        <item x="378"/>
        <item x="794"/>
        <item x="463"/>
        <item x="163"/>
        <item x="0"/>
        <item x="457"/>
        <item x="69"/>
        <item x="851"/>
        <item x="770"/>
        <item x="639"/>
        <item x="679"/>
        <item x="249"/>
        <item x="520"/>
        <item x="705"/>
        <item x="197"/>
        <item x="641"/>
        <item x="749"/>
        <item x="107"/>
        <item x="456"/>
        <item x="793"/>
        <item x="718"/>
        <item x="193"/>
        <item x="594"/>
        <item x="765"/>
        <item x="216"/>
        <item x="799"/>
        <item x="543"/>
        <item x="776"/>
        <item x="38"/>
        <item x="502"/>
        <item x="549"/>
        <item x="304"/>
        <item x="345"/>
        <item x="341"/>
        <item x="254"/>
        <item x="652"/>
        <item x="220"/>
        <item x="174"/>
        <item x="814"/>
        <item x="59"/>
        <item x="761"/>
        <item x="294"/>
        <item x="644"/>
        <item x="72"/>
        <item x="333"/>
        <item x="335"/>
        <item x="379"/>
        <item x="688"/>
        <item x="137"/>
        <item x="324"/>
        <item x="809"/>
        <item x="322"/>
        <item x="200"/>
        <item x="726"/>
        <item x="526"/>
        <item x="612"/>
        <item x="139"/>
        <item x="35"/>
        <item x="544"/>
        <item x="298"/>
        <item x="279"/>
        <item x="690"/>
        <item x="165"/>
        <item x="619"/>
        <item x="428"/>
        <item x="186"/>
        <item x="466"/>
        <item x="90"/>
        <item x="736"/>
        <item x="325"/>
        <item x="98"/>
        <item x="413"/>
        <item x="359"/>
        <item x="747"/>
        <item x="100"/>
        <item x="575"/>
        <item x="695"/>
        <item x="146"/>
        <item x="348"/>
        <item x="10"/>
        <item x="451"/>
        <item x="179"/>
        <item x="720"/>
        <item x="13"/>
        <item x="235"/>
        <item x="788"/>
        <item x="631"/>
        <item x="211"/>
        <item x="669"/>
        <item x="492"/>
        <item x="500"/>
        <item x="181"/>
        <item x="459"/>
        <item x="528"/>
        <item x="351"/>
        <item x="504"/>
        <item x="480"/>
        <item x="330"/>
        <item x="149"/>
        <item x="524"/>
        <item x="231"/>
        <item x="369"/>
        <item x="16"/>
        <item x="259"/>
        <item x="615"/>
        <item x="245"/>
        <item x="465"/>
        <item x="112"/>
        <item x="832"/>
        <item x="144"/>
        <item x="760"/>
        <item x="545"/>
        <item x="199"/>
        <item x="474"/>
        <item x="712"/>
        <item x="888"/>
        <item x="101"/>
        <item x="744"/>
        <item x="455"/>
        <item x="539"/>
        <item x="352"/>
        <item x="855"/>
        <item x="797"/>
        <item x="71"/>
        <item x="440"/>
        <item x="183"/>
        <item x="337"/>
        <item x="590"/>
        <item x="305"/>
        <item x="412"/>
        <item x="171"/>
        <item x="702"/>
        <item x="858"/>
        <item x="58"/>
        <item x="786"/>
        <item x="589"/>
        <item x="711"/>
        <item x="334"/>
        <item x="626"/>
        <item x="821"/>
        <item x="261"/>
        <item x="233"/>
        <item x="347"/>
        <item x="175"/>
        <item x="366"/>
        <item x="125"/>
        <item x="867"/>
        <item x="546"/>
        <item x="453"/>
        <item x="117"/>
        <item x="704"/>
        <item x="94"/>
        <item x="518"/>
        <item x="642"/>
        <item x="224"/>
        <item x="47"/>
        <item x="280"/>
        <item x="145"/>
        <item x="557"/>
        <item x="537"/>
        <item x="838"/>
        <item x="558"/>
        <item x="595"/>
        <item x="167"/>
        <item x="67"/>
        <item x="607"/>
        <item x="448"/>
        <item x="577"/>
        <item x="673"/>
        <item x="670"/>
        <item x="156"/>
        <item x="601"/>
        <item x="46"/>
        <item x="449"/>
        <item x="756"/>
        <item x="728"/>
        <item x="863"/>
        <item x="830"/>
        <item x="499"/>
        <item x="97"/>
        <item x="584"/>
        <item x="311"/>
        <item x="121"/>
        <item x="795"/>
        <item x="385"/>
        <item x="439"/>
        <item x="308"/>
        <item x="647"/>
        <item x="380"/>
        <item x="236"/>
        <item x="757"/>
        <item x="284"/>
        <item x="650"/>
        <item x="632"/>
        <item x="508"/>
        <item x="883"/>
        <item x="133"/>
        <item x="790"/>
        <item x="273"/>
        <item x="729"/>
        <item x="404"/>
        <item x="373"/>
        <item x="529"/>
        <item x="873"/>
        <item x="580"/>
        <item x="785"/>
        <item x="402"/>
        <item x="393"/>
        <item x="722"/>
        <item x="293"/>
        <item x="191"/>
        <item x="354"/>
        <item x="884"/>
        <item x="417"/>
        <item x="328"/>
        <item x="657"/>
        <item x="20"/>
        <item x="275"/>
        <item x="309"/>
        <item x="714"/>
        <item x="339"/>
        <item x="872"/>
        <item x="240"/>
        <item x="92"/>
        <item x="295"/>
        <item x="614"/>
        <item x="816"/>
        <item x="93"/>
        <item x="353"/>
        <item x="868"/>
        <item x="649"/>
        <item x="153"/>
        <item x="842"/>
        <item x="556"/>
        <item x="655"/>
        <item x="255"/>
        <item x="272"/>
        <item x="416"/>
        <item x="763"/>
        <item x="681"/>
        <item x="237"/>
        <item x="591"/>
        <item x="48"/>
        <item x="878"/>
        <item x="535"/>
        <item x="606"/>
        <item x="8"/>
        <item x="238"/>
        <item x="258"/>
        <item x="172"/>
        <item x="87"/>
        <item x="443"/>
        <item x="531"/>
        <item x="611"/>
        <item x="446"/>
        <item x="15"/>
        <item x="222"/>
        <item x="570"/>
        <item x="159"/>
        <item x="527"/>
        <item x="215"/>
        <item x="316"/>
        <item x="62"/>
        <item x="338"/>
        <item x="602"/>
        <item x="521"/>
        <item x="189"/>
        <item x="425"/>
        <item x="79"/>
        <item x="856"/>
        <item x="891"/>
        <item x="426"/>
        <item x="628"/>
        <item x="68"/>
        <item x="89"/>
        <item x="724"/>
        <item x="291"/>
        <item x="871"/>
        <item x="792"/>
        <item x="773"/>
        <item x="513"/>
        <item x="422"/>
        <item x="162"/>
        <item x="299"/>
        <item x="675"/>
        <item x="849"/>
        <item x="44"/>
        <item x="136"/>
        <item x="730"/>
        <item x="772"/>
        <item x="138"/>
        <item x="640"/>
        <item x="31"/>
        <item x="177"/>
        <item x="445"/>
        <item x="262"/>
        <item x="176"/>
        <item x="306"/>
        <item x="828"/>
        <item x="829"/>
        <item x="343"/>
        <item x="825"/>
        <item x="587"/>
        <item x="477"/>
        <item x="314"/>
        <item x="391"/>
        <item x="840"/>
        <item x="592"/>
        <item x="523"/>
        <item x="45"/>
        <item x="342"/>
        <item x="668"/>
        <item x="360"/>
        <item x="8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0"/>
    <field x="11"/>
  </rowFields>
  <rowItems count="19">
    <i>
      <x/>
    </i>
    <i r="1">
      <x v="3"/>
    </i>
    <i r="1">
      <x v="4"/>
    </i>
    <i r="1">
      <x v="6"/>
    </i>
    <i r="1">
      <x v="12"/>
    </i>
    <i>
      <x v="1"/>
    </i>
    <i r="1">
      <x v="1"/>
    </i>
    <i r="1">
      <x v="2"/>
    </i>
    <i r="1">
      <x v="7"/>
    </i>
    <i r="1">
      <x v="9"/>
    </i>
    <i r="1">
      <x v="11"/>
    </i>
    <i>
      <x v="2"/>
    </i>
    <i r="1">
      <x/>
    </i>
    <i r="1">
      <x v="5"/>
    </i>
    <i r="1">
      <x v="8"/>
    </i>
    <i r="1">
      <x v="10"/>
    </i>
    <i>
      <x v="3"/>
    </i>
    <i r="1">
      <x v="13"/>
    </i>
    <i t="grand">
      <x/>
    </i>
  </rowItems>
  <colFields count="1">
    <field x="-2"/>
  </colFields>
  <colItems count="2">
    <i>
      <x/>
    </i>
    <i i="1">
      <x v="1"/>
    </i>
  </colItems>
  <dataFields count="2">
    <dataField name="Sum of profit" fld="19" baseField="0" baseItem="0"/>
    <dataField name="Sum of sales" fld="17" baseField="0" baseItem="0"/>
  </dataFields>
  <formats count="5">
    <format dxfId="152">
      <pivotArea field="10" type="button" dataOnly="0" labelOnly="1" outline="0" axis="axisRow" fieldPosition="0"/>
    </format>
    <format dxfId="151">
      <pivotArea dataOnly="0" grandRow="1" fieldPosition="0"/>
    </format>
    <format dxfId="128">
      <pivotArea dataOnly="0" labelOnly="1" outline="0" fieldPosition="0">
        <references count="1">
          <reference field="4294967294" count="2">
            <x v="0"/>
            <x v="1"/>
          </reference>
        </references>
      </pivotArea>
    </format>
    <format dxfId="97">
      <pivotArea outline="0" collapsedLevelsAreSubtotals="1" fieldPosition="0"/>
    </format>
    <format dxfId="9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C5F6B4-CF97-468F-8348-EC8F759227FA}"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35">
    <pivotField showAll="0"/>
    <pivotField showAll="0"/>
    <pivotField showAll="0"/>
    <pivotField showAll="0"/>
    <pivotField showAll="0"/>
    <pivotField showAll="0"/>
    <pivotField showAll="0"/>
    <pivotField axis="axisRow" showAll="0">
      <items count="7">
        <item x="1"/>
        <item x="0"/>
        <item x="2"/>
        <item x="4"/>
        <item x="3"/>
        <item x="5"/>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Fields count="1">
    <field x="-2"/>
  </colFields>
  <colItems count="2">
    <i>
      <x/>
    </i>
    <i i="1">
      <x v="1"/>
    </i>
  </colItems>
  <dataFields count="2">
    <dataField name="Sum of sales" fld="17" baseField="0" baseItem="0"/>
    <dataField name="Sum of profit" fld="19" baseField="0" baseItem="0"/>
  </dataFields>
  <formats count="2">
    <format dxfId="99">
      <pivotArea outline="0" collapsedLevelsAreSubtotals="1" fieldPosition="0"/>
    </format>
    <format dxfId="9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933"/>
  <sheetViews>
    <sheetView zoomScale="64" zoomScaleNormal="61" workbookViewId="0">
      <pane ySplit="1" topLeftCell="A2" activePane="bottomLeft" state="frozen"/>
      <selection pane="bottomLeft" sqref="A1:XFD1048576"/>
    </sheetView>
  </sheetViews>
  <sheetFormatPr defaultRowHeight="13.8"/>
  <cols>
    <col min="1" max="1" width="16" customWidth="1"/>
    <col min="2" max="2" width="13" style="5" customWidth="1"/>
    <col min="3" max="3" width="10.8984375" style="5" customWidth="1"/>
    <col min="4" max="4" width="19.59765625" style="14" bestFit="1" customWidth="1"/>
    <col min="5" max="5" width="13.796875" customWidth="1"/>
    <col min="6" max="6" width="17.296875" customWidth="1"/>
    <col min="7" max="7" width="18.59765625" customWidth="1"/>
    <col min="8" max="8" width="10.296875" customWidth="1"/>
    <col min="9" max="12" width="16" customWidth="1"/>
    <col min="13" max="13" width="22" customWidth="1"/>
    <col min="14" max="14" width="16" customWidth="1"/>
    <col min="15" max="15" width="11.09765625" customWidth="1"/>
    <col min="16" max="16" width="16" customWidth="1"/>
    <col min="17" max="17" width="10.8984375" style="11" customWidth="1"/>
    <col min="18" max="22" width="16" customWidth="1"/>
    <col min="23" max="23" width="9" style="25"/>
    <col min="24" max="24" width="24" style="8" customWidth="1"/>
    <col min="25" max="25" width="21.59765625" style="8" customWidth="1"/>
    <col min="26" max="26" width="22" style="8" bestFit="1" customWidth="1"/>
    <col min="27" max="27" width="21.8984375" style="8" customWidth="1"/>
    <col min="28" max="28" width="12.3984375" style="8" bestFit="1" customWidth="1"/>
    <col min="29" max="29" width="10.8984375" style="8" bestFit="1" customWidth="1"/>
    <col min="30" max="30" width="14.8984375" style="1" bestFit="1" customWidth="1"/>
    <col min="31" max="31" width="18.796875" customWidth="1"/>
    <col min="32" max="32" width="24.5" style="11" customWidth="1"/>
    <col min="33" max="33" width="15.8984375" customWidth="1"/>
    <col min="34" max="34" width="17.3984375" style="11" customWidth="1"/>
    <col min="35" max="35" width="17.19921875" style="44" customWidth="1"/>
  </cols>
  <sheetData>
    <row r="1" spans="1:40" ht="45.75" customHeight="1">
      <c r="A1" s="2" t="s">
        <v>0</v>
      </c>
      <c r="B1" s="4" t="s">
        <v>1</v>
      </c>
      <c r="C1" s="4" t="s">
        <v>2</v>
      </c>
      <c r="D1" s="12" t="s">
        <v>2796</v>
      </c>
      <c r="E1" s="2" t="s">
        <v>3</v>
      </c>
      <c r="F1" s="2" t="s">
        <v>4</v>
      </c>
      <c r="G1" s="2" t="s">
        <v>5</v>
      </c>
      <c r="H1" s="2" t="s">
        <v>6</v>
      </c>
      <c r="I1" s="2" t="s">
        <v>7</v>
      </c>
      <c r="J1" s="2" t="s">
        <v>8</v>
      </c>
      <c r="K1" s="2" t="s">
        <v>9</v>
      </c>
      <c r="L1" s="2" t="s">
        <v>10</v>
      </c>
      <c r="M1" s="2" t="s">
        <v>11</v>
      </c>
      <c r="N1" s="2" t="s">
        <v>12</v>
      </c>
      <c r="O1" s="2" t="s">
        <v>13</v>
      </c>
      <c r="P1" s="2" t="s">
        <v>14</v>
      </c>
      <c r="Q1" s="23" t="s">
        <v>15</v>
      </c>
      <c r="R1" s="2" t="s">
        <v>16</v>
      </c>
      <c r="S1" s="2" t="s">
        <v>17</v>
      </c>
      <c r="T1" s="2" t="s">
        <v>18</v>
      </c>
      <c r="U1" s="2" t="s">
        <v>19</v>
      </c>
      <c r="V1" s="2" t="s">
        <v>20</v>
      </c>
      <c r="W1" s="24"/>
      <c r="X1" s="26" t="s">
        <v>2786</v>
      </c>
      <c r="Y1" s="27" t="s">
        <v>2802</v>
      </c>
      <c r="Z1" s="26" t="s">
        <v>2803</v>
      </c>
      <c r="AA1" s="26" t="s">
        <v>2804</v>
      </c>
      <c r="AB1" s="26" t="s">
        <v>2794</v>
      </c>
      <c r="AC1" s="26" t="s">
        <v>2795</v>
      </c>
      <c r="AD1" s="28" t="s">
        <v>2793</v>
      </c>
      <c r="AE1" s="32" t="s">
        <v>2807</v>
      </c>
      <c r="AF1" s="33" t="s">
        <v>2808</v>
      </c>
      <c r="AG1" s="28" t="s">
        <v>2788</v>
      </c>
      <c r="AH1" s="34" t="s">
        <v>2788</v>
      </c>
      <c r="AI1" s="43" t="s">
        <v>2789</v>
      </c>
    </row>
    <row r="2" spans="1:40">
      <c r="A2" t="s">
        <v>21</v>
      </c>
      <c r="B2" s="5">
        <v>45494</v>
      </c>
      <c r="C2" s="5">
        <v>45500</v>
      </c>
      <c r="D2" s="13">
        <f>C2-B2</f>
        <v>6</v>
      </c>
      <c r="E2" t="s">
        <v>22</v>
      </c>
      <c r="F2" t="s">
        <v>23</v>
      </c>
      <c r="G2" t="s">
        <v>24</v>
      </c>
      <c r="H2" t="s">
        <v>25</v>
      </c>
      <c r="I2" t="s">
        <v>26</v>
      </c>
      <c r="J2" t="s">
        <v>27</v>
      </c>
      <c r="K2" t="s">
        <v>28</v>
      </c>
      <c r="L2" t="s">
        <v>29</v>
      </c>
      <c r="M2" t="s">
        <v>30</v>
      </c>
      <c r="N2" t="s">
        <v>31</v>
      </c>
      <c r="O2">
        <v>8</v>
      </c>
      <c r="P2">
        <v>2976.45</v>
      </c>
      <c r="Q2" s="11">
        <v>0.2</v>
      </c>
      <c r="R2">
        <v>19049.28</v>
      </c>
      <c r="S2">
        <v>15841.89</v>
      </c>
      <c r="T2">
        <v>3207.39</v>
      </c>
      <c r="U2" t="s">
        <v>32</v>
      </c>
      <c r="V2" t="s">
        <v>33</v>
      </c>
      <c r="X2" s="8" t="str">
        <f>IF(C2&gt;=B2,"Valid", "Invalid-Date")</f>
        <v>Valid</v>
      </c>
      <c r="Y2" s="8" t="str">
        <f>IF(OR(Q2&lt;0, Q2&gt;0.5), "Invalid-Discount", "Valid")</f>
        <v>Valid</v>
      </c>
      <c r="Z2" s="8" t="str">
        <f>IF(N2="Unknown","Flagged","Pass")</f>
        <v>Pass</v>
      </c>
      <c r="AA2" s="8" t="str">
        <f>IF(H2="Unknown","Flagged","Pass")</f>
        <v>Pass</v>
      </c>
      <c r="AB2" s="8" t="str">
        <f>TEXT(B2,"mmmm")</f>
        <v>July</v>
      </c>
      <c r="AC2" s="8" t="str">
        <f>TEXT(B2,"yyyy")</f>
        <v>2024</v>
      </c>
      <c r="AE2">
        <f>O2*P2</f>
        <v>23811.599999999999</v>
      </c>
      <c r="AF2" s="11">
        <f>AE2*(1-Q2)</f>
        <v>19049.28</v>
      </c>
      <c r="AG2">
        <f>AE2-S2</f>
        <v>7969.7099999999991</v>
      </c>
      <c r="AH2" s="11">
        <f>AG2/AE2</f>
        <v>0.33469863427909086</v>
      </c>
      <c r="AI2" s="44">
        <f>AG2/AE2</f>
        <v>0.33469863427909086</v>
      </c>
    </row>
    <row r="3" spans="1:40">
      <c r="A3" t="s">
        <v>34</v>
      </c>
      <c r="B3" s="5">
        <v>45535</v>
      </c>
      <c r="C3" s="5">
        <v>45421</v>
      </c>
      <c r="D3" s="13">
        <f t="shared" ref="D3:D66" si="0">C3-B3</f>
        <v>-114</v>
      </c>
      <c r="E3" t="s">
        <v>35</v>
      </c>
      <c r="F3" t="s">
        <v>36</v>
      </c>
      <c r="G3" t="s">
        <v>37</v>
      </c>
      <c r="H3" t="s">
        <v>38</v>
      </c>
      <c r="I3" t="s">
        <v>39</v>
      </c>
      <c r="J3" t="s">
        <v>40</v>
      </c>
      <c r="K3" t="s">
        <v>41</v>
      </c>
      <c r="L3" t="s">
        <v>42</v>
      </c>
      <c r="M3" t="s">
        <v>43</v>
      </c>
      <c r="N3" t="s">
        <v>44</v>
      </c>
      <c r="O3">
        <v>3</v>
      </c>
      <c r="P3">
        <v>2437.5</v>
      </c>
      <c r="Q3" s="11">
        <v>0</v>
      </c>
      <c r="R3">
        <v>7312.5</v>
      </c>
      <c r="S3">
        <v>4904.7299999999996</v>
      </c>
      <c r="T3">
        <v>2407.77</v>
      </c>
      <c r="U3" t="s">
        <v>32</v>
      </c>
      <c r="V3" t="s">
        <v>33</v>
      </c>
      <c r="X3" s="8" t="str">
        <f>IF(C3&gt;=B3,"Valid", "Invalid-Date")</f>
        <v>Invalid-Date</v>
      </c>
      <c r="Y3" s="8" t="str">
        <f t="shared" ref="Y3:Y66" si="1">IF(OR(Q3&lt;0, Q3&gt;0.5), "Invalid-Discount", "Valid")</f>
        <v>Valid</v>
      </c>
      <c r="Z3" s="8" t="str">
        <f t="shared" ref="Z3:Z66" si="2">IF(N3="Unknown","Flagged","Pass")</f>
        <v>Pass</v>
      </c>
      <c r="AA3" s="8" t="str">
        <f t="shared" ref="AA3:AA66" si="3">IF(H3="Unknown","Flagged","Pass")</f>
        <v>Pass</v>
      </c>
      <c r="AB3" s="8" t="str">
        <f>TEXT(B3,"mmmm")</f>
        <v>August</v>
      </c>
      <c r="AC3" s="8" t="str">
        <f>TEXT(B3,"yyyy")</f>
        <v>2024</v>
      </c>
      <c r="AE3">
        <f t="shared" ref="AE3:AE66" si="4">O3*P3</f>
        <v>7312.5</v>
      </c>
      <c r="AF3" s="11">
        <f t="shared" ref="AF3:AF66" si="5">AE3*(1-Q3)</f>
        <v>7312.5</v>
      </c>
      <c r="AG3">
        <f t="shared" ref="AG3:AG66" si="6">AE3-S3</f>
        <v>2407.7700000000004</v>
      </c>
      <c r="AH3" s="11">
        <f t="shared" ref="AH3:AH66" si="7">AG3/AE3</f>
        <v>0.32926769230769237</v>
      </c>
      <c r="AI3" s="44">
        <f t="shared" ref="AI3:AI66" si="8">AG3/AE3</f>
        <v>0.32926769230769237</v>
      </c>
    </row>
    <row r="4" spans="1:40">
      <c r="A4" t="s">
        <v>45</v>
      </c>
      <c r="B4" s="5">
        <v>45510</v>
      </c>
      <c r="C4" s="5">
        <v>45458</v>
      </c>
      <c r="D4" s="13">
        <f t="shared" si="0"/>
        <v>-52</v>
      </c>
      <c r="E4" t="s">
        <v>46</v>
      </c>
      <c r="F4" t="s">
        <v>47</v>
      </c>
      <c r="G4" t="s">
        <v>24</v>
      </c>
      <c r="H4" t="s">
        <v>38</v>
      </c>
      <c r="I4" t="s">
        <v>39</v>
      </c>
      <c r="J4" t="s">
        <v>40</v>
      </c>
      <c r="K4" t="s">
        <v>28</v>
      </c>
      <c r="L4" t="s">
        <v>48</v>
      </c>
      <c r="M4" t="s">
        <v>49</v>
      </c>
      <c r="N4" t="s">
        <v>50</v>
      </c>
      <c r="O4">
        <v>4</v>
      </c>
      <c r="P4">
        <v>1065.43</v>
      </c>
      <c r="Q4" s="11">
        <v>0.55000000000000004</v>
      </c>
      <c r="R4">
        <v>4261.72</v>
      </c>
      <c r="S4">
        <v>2465.69</v>
      </c>
      <c r="T4">
        <v>1796.03</v>
      </c>
      <c r="U4" t="s">
        <v>32</v>
      </c>
      <c r="V4" t="s">
        <v>33</v>
      </c>
      <c r="X4" s="8" t="str">
        <f>IF(C4&gt;=B4,"Valid", "Invalid-Date")</f>
        <v>Invalid-Date</v>
      </c>
      <c r="Y4" s="8" t="str">
        <f t="shared" si="1"/>
        <v>Invalid-Discount</v>
      </c>
      <c r="Z4" s="8" t="str">
        <f t="shared" si="2"/>
        <v>Pass</v>
      </c>
      <c r="AA4" s="8" t="str">
        <f t="shared" si="3"/>
        <v>Pass</v>
      </c>
      <c r="AB4" s="8" t="str">
        <f>TEXT(B4,"mmmm")</f>
        <v>August</v>
      </c>
      <c r="AC4" s="8" t="str">
        <f>TEXT(B4,"yyyy")</f>
        <v>2024</v>
      </c>
      <c r="AE4">
        <f t="shared" si="4"/>
        <v>4261.72</v>
      </c>
      <c r="AF4" s="11">
        <f t="shared" si="5"/>
        <v>1917.7739999999999</v>
      </c>
      <c r="AG4">
        <f t="shared" si="6"/>
        <v>1796.0300000000002</v>
      </c>
      <c r="AH4" s="11">
        <f t="shared" si="7"/>
        <v>0.42143313028542467</v>
      </c>
      <c r="AI4" s="44">
        <f t="shared" si="8"/>
        <v>0.42143313028542467</v>
      </c>
    </row>
    <row r="5" spans="1:40">
      <c r="A5" t="s">
        <v>51</v>
      </c>
      <c r="B5" s="5">
        <v>45624</v>
      </c>
      <c r="C5" s="5">
        <v>45625</v>
      </c>
      <c r="D5" s="13">
        <f t="shared" si="0"/>
        <v>1</v>
      </c>
      <c r="E5" t="s">
        <v>52</v>
      </c>
      <c r="F5" t="s">
        <v>53</v>
      </c>
      <c r="G5" t="s">
        <v>37</v>
      </c>
      <c r="H5" t="s">
        <v>54</v>
      </c>
      <c r="I5" t="s">
        <v>55</v>
      </c>
      <c r="J5" t="s">
        <v>56</v>
      </c>
      <c r="K5" t="s">
        <v>41</v>
      </c>
      <c r="L5" t="s">
        <v>57</v>
      </c>
      <c r="M5" t="s">
        <v>58</v>
      </c>
      <c r="N5" t="s">
        <v>59</v>
      </c>
      <c r="O5">
        <v>6</v>
      </c>
      <c r="P5">
        <v>1848.43</v>
      </c>
      <c r="Q5" s="11">
        <v>0.25</v>
      </c>
      <c r="R5">
        <v>8317.93</v>
      </c>
      <c r="S5">
        <v>6796.77</v>
      </c>
      <c r="T5">
        <v>1521.16</v>
      </c>
      <c r="U5" t="s">
        <v>32</v>
      </c>
      <c r="V5" t="s">
        <v>33</v>
      </c>
      <c r="X5" s="8" t="str">
        <f>IF(C5&gt;=B5,"Valid", "Invalid-Date")</f>
        <v>Valid</v>
      </c>
      <c r="Y5" s="8" t="str">
        <f t="shared" si="1"/>
        <v>Valid</v>
      </c>
      <c r="Z5" s="8" t="str">
        <f t="shared" si="2"/>
        <v>Pass</v>
      </c>
      <c r="AA5" s="8" t="str">
        <f t="shared" si="3"/>
        <v>Pass</v>
      </c>
      <c r="AB5" s="8" t="str">
        <f>TEXT(B5,"mmmm")</f>
        <v>November</v>
      </c>
      <c r="AC5" s="8" t="str">
        <f>TEXT(B5,"yyyy")</f>
        <v>2024</v>
      </c>
      <c r="AE5">
        <f t="shared" si="4"/>
        <v>11090.58</v>
      </c>
      <c r="AF5" s="11">
        <f t="shared" si="5"/>
        <v>8317.9349999999995</v>
      </c>
      <c r="AG5">
        <f t="shared" si="6"/>
        <v>4293.8099999999995</v>
      </c>
      <c r="AH5" s="11">
        <f t="shared" si="7"/>
        <v>0.38715829109027655</v>
      </c>
      <c r="AI5" s="44">
        <f t="shared" si="8"/>
        <v>0.38715829109027655</v>
      </c>
    </row>
    <row r="6" spans="1:40">
      <c r="A6" t="s">
        <v>60</v>
      </c>
      <c r="B6" s="5">
        <v>45898</v>
      </c>
      <c r="C6" s="5">
        <v>45666</v>
      </c>
      <c r="D6" s="13">
        <f t="shared" si="0"/>
        <v>-232</v>
      </c>
      <c r="E6" t="s">
        <v>61</v>
      </c>
      <c r="F6" t="s">
        <v>62</v>
      </c>
      <c r="G6" t="s">
        <v>37</v>
      </c>
      <c r="H6" t="s">
        <v>63</v>
      </c>
      <c r="I6" t="s">
        <v>64</v>
      </c>
      <c r="J6" t="s">
        <v>65</v>
      </c>
      <c r="K6" t="s">
        <v>41</v>
      </c>
      <c r="L6" t="s">
        <v>66</v>
      </c>
      <c r="M6" t="s">
        <v>67</v>
      </c>
      <c r="N6" t="s">
        <v>50</v>
      </c>
      <c r="O6">
        <v>7</v>
      </c>
      <c r="P6">
        <v>2973.76</v>
      </c>
      <c r="Q6" s="11">
        <v>0</v>
      </c>
      <c r="R6">
        <v>20816.32</v>
      </c>
      <c r="S6">
        <v>17705.37</v>
      </c>
      <c r="T6">
        <v>3110.95</v>
      </c>
      <c r="U6" t="s">
        <v>32</v>
      </c>
      <c r="V6" t="s">
        <v>68</v>
      </c>
      <c r="X6" s="8" t="str">
        <f>IF(C6&gt;=B6,"Valid", "Invalid-Date")</f>
        <v>Invalid-Date</v>
      </c>
      <c r="Y6" s="8" t="str">
        <f t="shared" si="1"/>
        <v>Valid</v>
      </c>
      <c r="Z6" s="8" t="str">
        <f t="shared" si="2"/>
        <v>Pass</v>
      </c>
      <c r="AA6" s="8" t="str">
        <f t="shared" si="3"/>
        <v>Pass</v>
      </c>
      <c r="AB6" s="8" t="str">
        <f>TEXT(B6,"mmmm")</f>
        <v>August</v>
      </c>
      <c r="AC6" s="8" t="str">
        <f>TEXT(B6,"yyyy")</f>
        <v>2025</v>
      </c>
      <c r="AE6">
        <f t="shared" si="4"/>
        <v>20816.32</v>
      </c>
      <c r="AF6" s="11">
        <f t="shared" si="5"/>
        <v>20816.32</v>
      </c>
      <c r="AG6">
        <f t="shared" si="6"/>
        <v>3110.9500000000007</v>
      </c>
      <c r="AH6" s="11">
        <f t="shared" si="7"/>
        <v>0.14944764492475138</v>
      </c>
      <c r="AI6" s="44">
        <f t="shared" si="8"/>
        <v>0.14944764492475138</v>
      </c>
    </row>
    <row r="7" spans="1:40">
      <c r="A7" t="s">
        <v>69</v>
      </c>
      <c r="B7" s="5">
        <v>45436</v>
      </c>
      <c r="C7" s="5">
        <v>45440</v>
      </c>
      <c r="D7" s="13">
        <f t="shared" si="0"/>
        <v>4</v>
      </c>
      <c r="E7" t="s">
        <v>70</v>
      </c>
      <c r="F7" t="s">
        <v>71</v>
      </c>
      <c r="G7" t="s">
        <v>37</v>
      </c>
      <c r="H7" t="s">
        <v>63</v>
      </c>
      <c r="I7" t="s">
        <v>72</v>
      </c>
      <c r="J7" t="s">
        <v>73</v>
      </c>
      <c r="K7" t="s">
        <v>74</v>
      </c>
      <c r="L7" t="s">
        <v>75</v>
      </c>
      <c r="M7" t="s">
        <v>76</v>
      </c>
      <c r="N7" t="s">
        <v>44</v>
      </c>
      <c r="O7">
        <v>3</v>
      </c>
      <c r="P7">
        <v>1053.1099999999999</v>
      </c>
      <c r="Q7" s="11">
        <v>0.2</v>
      </c>
      <c r="R7">
        <v>2527.46</v>
      </c>
      <c r="S7">
        <v>1533.58</v>
      </c>
      <c r="T7">
        <v>993.88</v>
      </c>
      <c r="U7" t="s">
        <v>32</v>
      </c>
      <c r="V7" t="s">
        <v>33</v>
      </c>
      <c r="X7" s="8" t="str">
        <f>IF(C7&gt;=B7,"Valid", "Invalid-Date")</f>
        <v>Valid</v>
      </c>
      <c r="Y7" s="8" t="str">
        <f t="shared" si="1"/>
        <v>Valid</v>
      </c>
      <c r="Z7" s="8" t="str">
        <f t="shared" si="2"/>
        <v>Pass</v>
      </c>
      <c r="AA7" s="8" t="str">
        <f t="shared" si="3"/>
        <v>Pass</v>
      </c>
      <c r="AB7" s="8" t="str">
        <f>TEXT(B7,"mmmm")</f>
        <v>May</v>
      </c>
      <c r="AC7" s="8" t="str">
        <f>TEXT(B7,"yyyy")</f>
        <v>2024</v>
      </c>
      <c r="AE7">
        <f t="shared" si="4"/>
        <v>3159.33</v>
      </c>
      <c r="AF7" s="11">
        <f t="shared" si="5"/>
        <v>2527.4639999999999</v>
      </c>
      <c r="AG7">
        <f t="shared" si="6"/>
        <v>1625.75</v>
      </c>
      <c r="AH7" s="11">
        <f t="shared" si="7"/>
        <v>0.51458695356293904</v>
      </c>
      <c r="AI7" s="44">
        <f t="shared" si="8"/>
        <v>0.51458695356293904</v>
      </c>
    </row>
    <row r="8" spans="1:40" s="15" customFormat="1">
      <c r="A8" s="15" t="s">
        <v>77</v>
      </c>
      <c r="B8" s="16">
        <v>45934</v>
      </c>
      <c r="C8" s="16">
        <v>45763</v>
      </c>
      <c r="D8" s="17">
        <f t="shared" si="0"/>
        <v>-171</v>
      </c>
      <c r="E8" s="15" t="s">
        <v>78</v>
      </c>
      <c r="F8" s="15" t="s">
        <v>79</v>
      </c>
      <c r="G8" s="15" t="s">
        <v>24</v>
      </c>
      <c r="H8" s="15" t="s">
        <v>38</v>
      </c>
      <c r="I8" s="15" t="s">
        <v>39</v>
      </c>
      <c r="J8" s="15" t="s">
        <v>40</v>
      </c>
      <c r="K8" s="15" t="s">
        <v>74</v>
      </c>
      <c r="L8" s="15" t="s">
        <v>80</v>
      </c>
      <c r="M8" s="15" t="s">
        <v>81</v>
      </c>
      <c r="N8" s="15" t="s">
        <v>59</v>
      </c>
      <c r="O8" s="15">
        <v>4</v>
      </c>
      <c r="P8" s="15">
        <v>1719.87</v>
      </c>
      <c r="Q8" s="18">
        <v>0.15</v>
      </c>
      <c r="R8" s="15">
        <v>5847.56</v>
      </c>
      <c r="S8" s="15">
        <v>4727.25</v>
      </c>
      <c r="T8" s="15">
        <v>1120.31</v>
      </c>
      <c r="U8" s="15" t="s">
        <v>32</v>
      </c>
      <c r="V8" s="15" t="s">
        <v>33</v>
      </c>
      <c r="W8" s="25"/>
      <c r="X8" s="8" t="str">
        <f>IF(C8&gt;=B8,"Valid", "Invalid-Date")</f>
        <v>Invalid-Date</v>
      </c>
      <c r="Y8" s="8" t="str">
        <f t="shared" si="1"/>
        <v>Valid</v>
      </c>
      <c r="Z8" s="19" t="str">
        <f t="shared" si="2"/>
        <v>Pass</v>
      </c>
      <c r="AA8" s="19" t="str">
        <f t="shared" si="3"/>
        <v>Pass</v>
      </c>
      <c r="AB8" s="19" t="str">
        <f>TEXT(B8,"mmmm")</f>
        <v>October</v>
      </c>
      <c r="AC8" s="19" t="str">
        <f>TEXT(B8,"yyyy")</f>
        <v>2025</v>
      </c>
      <c r="AD8" s="20"/>
      <c r="AE8" s="15">
        <f t="shared" si="4"/>
        <v>6879.48</v>
      </c>
      <c r="AF8" s="11">
        <f t="shared" si="5"/>
        <v>5847.5579999999991</v>
      </c>
      <c r="AG8" s="15">
        <f t="shared" si="6"/>
        <v>2152.2299999999996</v>
      </c>
      <c r="AH8" s="18">
        <f t="shared" si="7"/>
        <v>0.3128477733782204</v>
      </c>
      <c r="AI8" s="45">
        <f t="shared" si="8"/>
        <v>0.3128477733782204</v>
      </c>
    </row>
    <row r="9" spans="1:40">
      <c r="A9" t="s">
        <v>82</v>
      </c>
      <c r="B9" s="5">
        <v>45711</v>
      </c>
      <c r="C9" s="5">
        <v>45714</v>
      </c>
      <c r="D9" s="13">
        <f t="shared" si="0"/>
        <v>3</v>
      </c>
      <c r="E9" t="s">
        <v>83</v>
      </c>
      <c r="F9" t="s">
        <v>47</v>
      </c>
      <c r="G9" t="s">
        <v>37</v>
      </c>
      <c r="H9" t="s">
        <v>54</v>
      </c>
      <c r="I9" t="s">
        <v>84</v>
      </c>
      <c r="J9" t="s">
        <v>85</v>
      </c>
      <c r="K9" t="s">
        <v>28</v>
      </c>
      <c r="L9" t="s">
        <v>48</v>
      </c>
      <c r="M9" t="s">
        <v>86</v>
      </c>
      <c r="N9" t="s">
        <v>50</v>
      </c>
      <c r="O9">
        <v>1</v>
      </c>
      <c r="P9">
        <v>2980.71</v>
      </c>
      <c r="Q9" s="11">
        <v>0</v>
      </c>
      <c r="R9">
        <v>2980.71</v>
      </c>
      <c r="S9">
        <v>2357.2199999999998</v>
      </c>
      <c r="T9">
        <v>623.49</v>
      </c>
      <c r="U9" t="s">
        <v>32</v>
      </c>
      <c r="V9" t="s">
        <v>33</v>
      </c>
      <c r="X9" s="8" t="str">
        <f>IF(C9&gt;=B9,"Valid", "Invalid-Date")</f>
        <v>Valid</v>
      </c>
      <c r="Y9" s="8" t="str">
        <f t="shared" si="1"/>
        <v>Valid</v>
      </c>
      <c r="Z9" s="8" t="str">
        <f t="shared" si="2"/>
        <v>Pass</v>
      </c>
      <c r="AA9" s="8" t="str">
        <f t="shared" si="3"/>
        <v>Pass</v>
      </c>
      <c r="AB9" s="8" t="str">
        <f>TEXT(B9,"mmmm")</f>
        <v>February</v>
      </c>
      <c r="AC9" s="8" t="str">
        <f>TEXT(B9,"yyyy")</f>
        <v>2025</v>
      </c>
      <c r="AE9">
        <f t="shared" si="4"/>
        <v>2980.71</v>
      </c>
      <c r="AF9" s="11">
        <f t="shared" si="5"/>
        <v>2980.71</v>
      </c>
      <c r="AG9">
        <f t="shared" si="6"/>
        <v>623.49000000000024</v>
      </c>
      <c r="AH9" s="11">
        <f t="shared" si="7"/>
        <v>0.20917499521925992</v>
      </c>
      <c r="AI9" s="44">
        <f t="shared" si="8"/>
        <v>0.20917499521925992</v>
      </c>
    </row>
    <row r="10" spans="1:40">
      <c r="A10" t="s">
        <v>87</v>
      </c>
      <c r="B10" s="5">
        <v>45423</v>
      </c>
      <c r="C10" s="5">
        <v>45576</v>
      </c>
      <c r="D10" s="13">
        <f t="shared" si="0"/>
        <v>153</v>
      </c>
      <c r="E10" t="s">
        <v>88</v>
      </c>
      <c r="F10" t="s">
        <v>89</v>
      </c>
      <c r="G10" t="s">
        <v>90</v>
      </c>
      <c r="H10" t="s">
        <v>54</v>
      </c>
      <c r="I10" t="s">
        <v>55</v>
      </c>
      <c r="J10" t="s">
        <v>56</v>
      </c>
      <c r="K10" t="s">
        <v>28</v>
      </c>
      <c r="L10" t="s">
        <v>91</v>
      </c>
      <c r="M10" t="s">
        <v>92</v>
      </c>
      <c r="N10" t="s">
        <v>50</v>
      </c>
      <c r="O10">
        <v>8</v>
      </c>
      <c r="P10">
        <v>3134.2</v>
      </c>
      <c r="Q10" s="11">
        <v>0</v>
      </c>
      <c r="R10">
        <v>25073.599999999999</v>
      </c>
      <c r="S10">
        <v>17347.23</v>
      </c>
      <c r="T10">
        <v>7726.37</v>
      </c>
      <c r="U10" t="s">
        <v>32</v>
      </c>
      <c r="V10" t="s">
        <v>33</v>
      </c>
      <c r="X10" s="8" t="str">
        <f>IF(C10&gt;=B10,"Valid", "Invalid-Date")</f>
        <v>Valid</v>
      </c>
      <c r="Y10" s="8" t="str">
        <f t="shared" si="1"/>
        <v>Valid</v>
      </c>
      <c r="Z10" s="8" t="str">
        <f t="shared" si="2"/>
        <v>Pass</v>
      </c>
      <c r="AA10" s="8" t="str">
        <f t="shared" si="3"/>
        <v>Pass</v>
      </c>
      <c r="AB10" s="8" t="str">
        <f>TEXT(B10,"mmmm")</f>
        <v>May</v>
      </c>
      <c r="AC10" s="8" t="str">
        <f>TEXT(B10,"yyyy")</f>
        <v>2024</v>
      </c>
      <c r="AE10">
        <f t="shared" si="4"/>
        <v>25073.599999999999</v>
      </c>
      <c r="AF10" s="11">
        <f t="shared" si="5"/>
        <v>25073.599999999999</v>
      </c>
      <c r="AG10">
        <f t="shared" si="6"/>
        <v>7726.369999999999</v>
      </c>
      <c r="AH10" s="11">
        <f t="shared" si="7"/>
        <v>0.30814761342607361</v>
      </c>
      <c r="AI10" s="44">
        <f t="shared" si="8"/>
        <v>0.30814761342607361</v>
      </c>
    </row>
    <row r="11" spans="1:40">
      <c r="A11" t="s">
        <v>93</v>
      </c>
      <c r="B11" s="5">
        <v>45907</v>
      </c>
      <c r="C11" s="5">
        <v>46000</v>
      </c>
      <c r="D11" s="13">
        <f t="shared" si="0"/>
        <v>93</v>
      </c>
      <c r="E11" t="s">
        <v>94</v>
      </c>
      <c r="F11" t="s">
        <v>36</v>
      </c>
      <c r="G11" t="s">
        <v>95</v>
      </c>
      <c r="H11" t="s">
        <v>54</v>
      </c>
      <c r="I11" t="s">
        <v>55</v>
      </c>
      <c r="J11" t="s">
        <v>56</v>
      </c>
      <c r="K11" t="s">
        <v>28</v>
      </c>
      <c r="L11" t="s">
        <v>29</v>
      </c>
      <c r="M11" t="s">
        <v>96</v>
      </c>
      <c r="N11" t="s">
        <v>31</v>
      </c>
      <c r="O11">
        <v>9</v>
      </c>
      <c r="P11">
        <v>852.04</v>
      </c>
      <c r="Q11" s="11">
        <v>0.2</v>
      </c>
      <c r="R11">
        <v>6134.69</v>
      </c>
      <c r="S11">
        <v>3800.19</v>
      </c>
      <c r="T11">
        <v>2334.5</v>
      </c>
      <c r="U11" t="s">
        <v>32</v>
      </c>
      <c r="V11" t="s">
        <v>33</v>
      </c>
      <c r="X11" s="8" t="str">
        <f>IF(C11&gt;=B11,"Valid", "Invalid-Date")</f>
        <v>Valid</v>
      </c>
      <c r="Y11" s="8" t="str">
        <f t="shared" si="1"/>
        <v>Valid</v>
      </c>
      <c r="Z11" s="8" t="str">
        <f t="shared" si="2"/>
        <v>Pass</v>
      </c>
      <c r="AA11" s="8" t="str">
        <f t="shared" si="3"/>
        <v>Pass</v>
      </c>
      <c r="AB11" s="8" t="str">
        <f>TEXT(B11,"mmmm")</f>
        <v>September</v>
      </c>
      <c r="AC11" s="8" t="str">
        <f>TEXT(B11,"yyyy")</f>
        <v>2025</v>
      </c>
      <c r="AE11">
        <f t="shared" si="4"/>
        <v>7668.36</v>
      </c>
      <c r="AF11" s="11">
        <f t="shared" si="5"/>
        <v>6134.6880000000001</v>
      </c>
      <c r="AG11">
        <f t="shared" si="6"/>
        <v>3868.1699999999996</v>
      </c>
      <c r="AH11" s="11">
        <f t="shared" si="7"/>
        <v>0.50443249925668587</v>
      </c>
      <c r="AI11" s="44">
        <f t="shared" si="8"/>
        <v>0.50443249925668587</v>
      </c>
    </row>
    <row r="12" spans="1:40">
      <c r="A12" t="s">
        <v>97</v>
      </c>
      <c r="B12" s="5">
        <v>45797</v>
      </c>
      <c r="C12" s="5">
        <v>45797</v>
      </c>
      <c r="D12" s="13">
        <f t="shared" si="0"/>
        <v>0</v>
      </c>
      <c r="E12" t="s">
        <v>98</v>
      </c>
      <c r="F12" t="s">
        <v>62</v>
      </c>
      <c r="G12" t="s">
        <v>90</v>
      </c>
      <c r="H12" t="s">
        <v>38</v>
      </c>
      <c r="I12" t="s">
        <v>99</v>
      </c>
      <c r="J12" t="s">
        <v>100</v>
      </c>
      <c r="K12" t="s">
        <v>28</v>
      </c>
      <c r="L12" t="s">
        <v>91</v>
      </c>
      <c r="M12" t="s">
        <v>101</v>
      </c>
      <c r="N12" t="s">
        <v>31</v>
      </c>
      <c r="O12">
        <v>3</v>
      </c>
      <c r="P12">
        <v>3534.83</v>
      </c>
      <c r="Q12" s="11">
        <v>0.05</v>
      </c>
      <c r="R12">
        <v>10074.27</v>
      </c>
      <c r="S12">
        <v>6048.27</v>
      </c>
      <c r="T12">
        <v>4026</v>
      </c>
      <c r="U12" t="s">
        <v>102</v>
      </c>
      <c r="V12" t="s">
        <v>103</v>
      </c>
      <c r="X12" s="8" t="str">
        <f>IF(C12&gt;=B12,"Valid", "Invalid-Date")</f>
        <v>Valid</v>
      </c>
      <c r="Y12" s="8" t="str">
        <f t="shared" si="1"/>
        <v>Valid</v>
      </c>
      <c r="Z12" s="8" t="str">
        <f t="shared" si="2"/>
        <v>Pass</v>
      </c>
      <c r="AA12" s="8" t="str">
        <f t="shared" si="3"/>
        <v>Pass</v>
      </c>
      <c r="AB12" s="8" t="str">
        <f>TEXT(B12,"mmmm")</f>
        <v>May</v>
      </c>
      <c r="AC12" s="8" t="str">
        <f>TEXT(B12,"yyyy")</f>
        <v>2025</v>
      </c>
      <c r="AE12">
        <f t="shared" si="4"/>
        <v>10604.49</v>
      </c>
      <c r="AF12" s="11">
        <f t="shared" si="5"/>
        <v>10074.2655</v>
      </c>
      <c r="AG12">
        <f t="shared" si="6"/>
        <v>4556.2199999999993</v>
      </c>
      <c r="AH12" s="11">
        <f t="shared" si="7"/>
        <v>0.42965008218216993</v>
      </c>
      <c r="AI12" s="44">
        <f t="shared" si="8"/>
        <v>0.42965008218216993</v>
      </c>
    </row>
    <row r="13" spans="1:40">
      <c r="A13" t="s">
        <v>104</v>
      </c>
      <c r="B13" s="5">
        <v>45495</v>
      </c>
      <c r="C13" s="5">
        <v>45496</v>
      </c>
      <c r="D13" s="13">
        <f t="shared" si="0"/>
        <v>1</v>
      </c>
      <c r="E13" t="s">
        <v>105</v>
      </c>
      <c r="F13" t="s">
        <v>71</v>
      </c>
      <c r="G13" t="s">
        <v>37</v>
      </c>
      <c r="H13" t="s">
        <v>38</v>
      </c>
      <c r="I13" t="s">
        <v>39</v>
      </c>
      <c r="J13" t="s">
        <v>40</v>
      </c>
      <c r="K13" t="s">
        <v>74</v>
      </c>
      <c r="L13" t="s">
        <v>75</v>
      </c>
      <c r="M13" t="s">
        <v>106</v>
      </c>
      <c r="N13" t="s">
        <v>44</v>
      </c>
      <c r="O13">
        <v>6</v>
      </c>
      <c r="P13">
        <v>2005.95</v>
      </c>
      <c r="Q13" s="11">
        <v>0.2</v>
      </c>
      <c r="R13">
        <v>9628.56</v>
      </c>
      <c r="S13">
        <v>8038.59</v>
      </c>
      <c r="T13">
        <v>1589.97</v>
      </c>
      <c r="U13" t="s">
        <v>32</v>
      </c>
      <c r="V13" t="s">
        <v>33</v>
      </c>
      <c r="X13" s="8" t="str">
        <f>IF(C13&gt;=B13,"Valid", "Invalid-Date")</f>
        <v>Valid</v>
      </c>
      <c r="Y13" s="8" t="str">
        <f t="shared" si="1"/>
        <v>Valid</v>
      </c>
      <c r="Z13" s="8" t="str">
        <f t="shared" si="2"/>
        <v>Pass</v>
      </c>
      <c r="AA13" s="8" t="str">
        <f t="shared" si="3"/>
        <v>Pass</v>
      </c>
      <c r="AB13" s="8" t="str">
        <f>TEXT(B13,"mmmm")</f>
        <v>July</v>
      </c>
      <c r="AC13" s="8" t="str">
        <f>TEXT(B13,"yyyy")</f>
        <v>2024</v>
      </c>
      <c r="AE13">
        <f t="shared" si="4"/>
        <v>12035.7</v>
      </c>
      <c r="AF13" s="11">
        <f t="shared" si="5"/>
        <v>9628.5600000000013</v>
      </c>
      <c r="AG13">
        <f t="shared" si="6"/>
        <v>3997.1100000000006</v>
      </c>
      <c r="AH13" s="11">
        <f t="shared" si="7"/>
        <v>0.33210448914479429</v>
      </c>
      <c r="AI13" s="44">
        <f t="shared" si="8"/>
        <v>0.33210448914479429</v>
      </c>
      <c r="AN13" s="11"/>
    </row>
    <row r="14" spans="1:40">
      <c r="A14" t="s">
        <v>107</v>
      </c>
      <c r="B14" s="5">
        <v>45646</v>
      </c>
      <c r="C14" s="5">
        <v>45647</v>
      </c>
      <c r="D14" s="13">
        <f t="shared" si="0"/>
        <v>1</v>
      </c>
      <c r="E14" t="s">
        <v>108</v>
      </c>
      <c r="F14" t="s">
        <v>62</v>
      </c>
      <c r="G14" t="s">
        <v>90</v>
      </c>
      <c r="H14" t="s">
        <v>63</v>
      </c>
      <c r="I14" t="s">
        <v>26</v>
      </c>
      <c r="J14" t="s">
        <v>109</v>
      </c>
      <c r="K14" t="s">
        <v>28</v>
      </c>
      <c r="L14" t="s">
        <v>29</v>
      </c>
      <c r="M14" t="s">
        <v>110</v>
      </c>
      <c r="N14" t="s">
        <v>50</v>
      </c>
      <c r="O14">
        <v>1</v>
      </c>
      <c r="P14">
        <v>702.14</v>
      </c>
      <c r="Q14" s="11">
        <v>0.15</v>
      </c>
      <c r="R14">
        <v>596.82000000000005</v>
      </c>
      <c r="S14">
        <v>380.25</v>
      </c>
      <c r="T14">
        <v>216.57</v>
      </c>
      <c r="U14" t="s">
        <v>111</v>
      </c>
      <c r="V14" t="s">
        <v>103</v>
      </c>
      <c r="X14" s="8" t="str">
        <f>IF(C14&gt;=B14,"Valid", "Invalid-Date")</f>
        <v>Valid</v>
      </c>
      <c r="Y14" s="8" t="str">
        <f t="shared" si="1"/>
        <v>Valid</v>
      </c>
      <c r="Z14" s="8" t="str">
        <f t="shared" si="2"/>
        <v>Pass</v>
      </c>
      <c r="AA14" s="8" t="str">
        <f t="shared" si="3"/>
        <v>Pass</v>
      </c>
      <c r="AB14" s="8" t="str">
        <f>TEXT(B14,"mmmm")</f>
        <v>December</v>
      </c>
      <c r="AC14" s="8" t="str">
        <f>TEXT(B14,"yyyy")</f>
        <v>2024</v>
      </c>
      <c r="AE14">
        <f t="shared" si="4"/>
        <v>702.14</v>
      </c>
      <c r="AF14" s="11">
        <f t="shared" si="5"/>
        <v>596.81899999999996</v>
      </c>
      <c r="AG14">
        <f t="shared" si="6"/>
        <v>321.89</v>
      </c>
      <c r="AH14" s="11">
        <f t="shared" si="7"/>
        <v>0.45844133648560115</v>
      </c>
      <c r="AI14" s="44">
        <f t="shared" si="8"/>
        <v>0.45844133648560115</v>
      </c>
    </row>
    <row r="15" spans="1:40">
      <c r="A15" t="s">
        <v>112</v>
      </c>
      <c r="B15" s="5">
        <v>45942</v>
      </c>
      <c r="C15" s="5">
        <v>45946</v>
      </c>
      <c r="D15" s="13">
        <f t="shared" si="0"/>
        <v>4</v>
      </c>
      <c r="E15" t="s">
        <v>113</v>
      </c>
      <c r="F15" t="s">
        <v>114</v>
      </c>
      <c r="G15" t="s">
        <v>37</v>
      </c>
      <c r="H15" t="s">
        <v>63</v>
      </c>
      <c r="I15" t="s">
        <v>64</v>
      </c>
      <c r="J15" t="s">
        <v>65</v>
      </c>
      <c r="K15" t="s">
        <v>28</v>
      </c>
      <c r="L15" t="s">
        <v>48</v>
      </c>
      <c r="M15" t="s">
        <v>115</v>
      </c>
      <c r="N15" t="s">
        <v>31</v>
      </c>
      <c r="O15">
        <v>7</v>
      </c>
      <c r="P15">
        <v>3964.72</v>
      </c>
      <c r="Q15" s="11">
        <v>0.05</v>
      </c>
      <c r="R15">
        <v>26365.39</v>
      </c>
      <c r="S15">
        <v>22306.240000000002</v>
      </c>
      <c r="T15">
        <v>4059.15</v>
      </c>
      <c r="U15" t="s">
        <v>32</v>
      </c>
      <c r="V15" t="s">
        <v>33</v>
      </c>
      <c r="X15" s="8" t="str">
        <f>IF(C15&gt;=B15,"Valid", "Invalid-Date")</f>
        <v>Valid</v>
      </c>
      <c r="Y15" s="8" t="str">
        <f t="shared" si="1"/>
        <v>Valid</v>
      </c>
      <c r="Z15" s="8" t="str">
        <f t="shared" si="2"/>
        <v>Pass</v>
      </c>
      <c r="AA15" s="8" t="str">
        <f t="shared" si="3"/>
        <v>Pass</v>
      </c>
      <c r="AB15" s="8" t="str">
        <f>TEXT(B15,"mmmm")</f>
        <v>October</v>
      </c>
      <c r="AC15" s="8" t="str">
        <f>TEXT(B15,"yyyy")</f>
        <v>2025</v>
      </c>
      <c r="AE15">
        <f t="shared" si="4"/>
        <v>27753.039999999997</v>
      </c>
      <c r="AF15" s="11">
        <f t="shared" si="5"/>
        <v>26365.387999999995</v>
      </c>
      <c r="AG15">
        <f t="shared" si="6"/>
        <v>5446.7999999999956</v>
      </c>
      <c r="AH15" s="11">
        <f t="shared" si="7"/>
        <v>0.19625958093239501</v>
      </c>
      <c r="AI15" s="44">
        <f t="shared" si="8"/>
        <v>0.19625958093239501</v>
      </c>
    </row>
    <row r="16" spans="1:40">
      <c r="A16" t="s">
        <v>116</v>
      </c>
      <c r="B16" s="5">
        <v>45653</v>
      </c>
      <c r="C16" s="5">
        <v>45654</v>
      </c>
      <c r="D16" s="13">
        <f t="shared" si="0"/>
        <v>1</v>
      </c>
      <c r="E16" t="s">
        <v>117</v>
      </c>
      <c r="F16" t="s">
        <v>118</v>
      </c>
      <c r="G16" t="s">
        <v>24</v>
      </c>
      <c r="H16" t="s">
        <v>63</v>
      </c>
      <c r="I16" t="s">
        <v>26</v>
      </c>
      <c r="J16" t="s">
        <v>109</v>
      </c>
      <c r="K16" t="s">
        <v>74</v>
      </c>
      <c r="L16" t="s">
        <v>80</v>
      </c>
      <c r="M16" t="s">
        <v>119</v>
      </c>
      <c r="N16" t="s">
        <v>59</v>
      </c>
      <c r="O16">
        <v>2</v>
      </c>
      <c r="P16">
        <v>2737.83</v>
      </c>
      <c r="Q16" s="11">
        <v>0.25</v>
      </c>
      <c r="R16">
        <v>4106.74</v>
      </c>
      <c r="S16">
        <v>2666.3</v>
      </c>
      <c r="T16">
        <v>1440.44</v>
      </c>
      <c r="U16" t="s">
        <v>32</v>
      </c>
      <c r="V16" t="s">
        <v>33</v>
      </c>
      <c r="X16" s="8" t="str">
        <f>IF(C16&gt;=B16,"Valid", "Invalid-Date")</f>
        <v>Valid</v>
      </c>
      <c r="Y16" s="8" t="str">
        <f t="shared" si="1"/>
        <v>Valid</v>
      </c>
      <c r="Z16" s="8" t="str">
        <f t="shared" si="2"/>
        <v>Pass</v>
      </c>
      <c r="AA16" s="8" t="str">
        <f t="shared" si="3"/>
        <v>Pass</v>
      </c>
      <c r="AB16" s="8" t="str">
        <f>TEXT(B16,"mmmm")</f>
        <v>December</v>
      </c>
      <c r="AC16" s="8" t="str">
        <f>TEXT(B16,"yyyy")</f>
        <v>2024</v>
      </c>
      <c r="AE16">
        <f t="shared" si="4"/>
        <v>5475.66</v>
      </c>
      <c r="AF16" s="11">
        <f t="shared" si="5"/>
        <v>4106.7449999999999</v>
      </c>
      <c r="AG16">
        <f t="shared" si="6"/>
        <v>2809.3599999999997</v>
      </c>
      <c r="AH16" s="11">
        <f t="shared" si="7"/>
        <v>0.51306326543284275</v>
      </c>
      <c r="AI16" s="44">
        <f t="shared" si="8"/>
        <v>0.51306326543284275</v>
      </c>
    </row>
    <row r="17" spans="1:35">
      <c r="A17" t="s">
        <v>120</v>
      </c>
      <c r="B17" s="5">
        <v>45542</v>
      </c>
      <c r="C17" s="5">
        <v>45542</v>
      </c>
      <c r="D17" s="13">
        <f t="shared" si="0"/>
        <v>0</v>
      </c>
      <c r="E17" t="s">
        <v>121</v>
      </c>
      <c r="F17" t="s">
        <v>23</v>
      </c>
      <c r="G17" t="s">
        <v>37</v>
      </c>
      <c r="H17" t="s">
        <v>25</v>
      </c>
      <c r="I17" t="s">
        <v>122</v>
      </c>
      <c r="J17" t="s">
        <v>123</v>
      </c>
      <c r="K17" t="s">
        <v>28</v>
      </c>
      <c r="L17" t="s">
        <v>124</v>
      </c>
      <c r="M17" t="s">
        <v>125</v>
      </c>
      <c r="N17" t="s">
        <v>31</v>
      </c>
      <c r="O17">
        <v>6</v>
      </c>
      <c r="P17">
        <v>3965.76</v>
      </c>
      <c r="Q17" s="11">
        <v>0</v>
      </c>
      <c r="R17">
        <v>23794.560000000001</v>
      </c>
      <c r="S17">
        <v>15698.47</v>
      </c>
      <c r="T17">
        <v>8096.09</v>
      </c>
      <c r="U17" t="s">
        <v>32</v>
      </c>
      <c r="V17" t="s">
        <v>33</v>
      </c>
      <c r="X17" s="8" t="str">
        <f>IF(C17&gt;=B17,"Valid", "Invalid-Date")</f>
        <v>Valid</v>
      </c>
      <c r="Y17" s="8" t="str">
        <f t="shared" si="1"/>
        <v>Valid</v>
      </c>
      <c r="Z17" s="8" t="str">
        <f t="shared" si="2"/>
        <v>Pass</v>
      </c>
      <c r="AA17" s="8" t="str">
        <f t="shared" si="3"/>
        <v>Pass</v>
      </c>
      <c r="AB17" s="8" t="str">
        <f>TEXT(B17,"mmmm")</f>
        <v>September</v>
      </c>
      <c r="AC17" s="8" t="str">
        <f>TEXT(B17,"yyyy")</f>
        <v>2024</v>
      </c>
      <c r="AE17">
        <f t="shared" si="4"/>
        <v>23794.560000000001</v>
      </c>
      <c r="AF17" s="11">
        <f t="shared" si="5"/>
        <v>23794.560000000001</v>
      </c>
      <c r="AG17">
        <f t="shared" si="6"/>
        <v>8096.090000000002</v>
      </c>
      <c r="AH17" s="11">
        <f t="shared" si="7"/>
        <v>0.34024962008122872</v>
      </c>
      <c r="AI17" s="44">
        <f t="shared" si="8"/>
        <v>0.34024962008122872</v>
      </c>
    </row>
    <row r="18" spans="1:35">
      <c r="A18" t="s">
        <v>126</v>
      </c>
      <c r="B18" s="5">
        <v>45509</v>
      </c>
      <c r="C18" s="5">
        <v>45427</v>
      </c>
      <c r="D18" s="13">
        <f t="shared" si="0"/>
        <v>-82</v>
      </c>
      <c r="E18" t="s">
        <v>127</v>
      </c>
      <c r="F18" t="s">
        <v>128</v>
      </c>
      <c r="G18" t="s">
        <v>24</v>
      </c>
      <c r="H18" t="s">
        <v>54</v>
      </c>
      <c r="I18" t="s">
        <v>55</v>
      </c>
      <c r="J18" t="s">
        <v>56</v>
      </c>
      <c r="K18" t="s">
        <v>28</v>
      </c>
      <c r="L18" t="s">
        <v>48</v>
      </c>
      <c r="M18" t="s">
        <v>129</v>
      </c>
      <c r="N18" t="s">
        <v>50</v>
      </c>
      <c r="O18">
        <v>4</v>
      </c>
      <c r="P18">
        <v>3323.51</v>
      </c>
      <c r="Q18" s="11">
        <v>0.25</v>
      </c>
      <c r="R18">
        <v>9970.5300000000007</v>
      </c>
      <c r="S18">
        <v>5668.17</v>
      </c>
      <c r="T18">
        <v>4302.3599999999997</v>
      </c>
      <c r="U18" t="s">
        <v>32</v>
      </c>
      <c r="V18" t="s">
        <v>33</v>
      </c>
      <c r="X18" s="8" t="str">
        <f>IF(C18&gt;=B18,"Valid", "Invalid-Date")</f>
        <v>Invalid-Date</v>
      </c>
      <c r="Y18" s="8" t="str">
        <f t="shared" si="1"/>
        <v>Valid</v>
      </c>
      <c r="Z18" s="8" t="str">
        <f t="shared" si="2"/>
        <v>Pass</v>
      </c>
      <c r="AA18" s="8" t="str">
        <f t="shared" si="3"/>
        <v>Pass</v>
      </c>
      <c r="AB18" s="8" t="str">
        <f>TEXT(B18,"mmmm")</f>
        <v>August</v>
      </c>
      <c r="AC18" s="8" t="str">
        <f>TEXT(B18,"yyyy")</f>
        <v>2024</v>
      </c>
      <c r="AE18">
        <f t="shared" si="4"/>
        <v>13294.04</v>
      </c>
      <c r="AF18" s="11">
        <f t="shared" si="5"/>
        <v>9970.5300000000007</v>
      </c>
      <c r="AG18">
        <f t="shared" si="6"/>
        <v>7625.8700000000008</v>
      </c>
      <c r="AH18" s="11">
        <f t="shared" si="7"/>
        <v>0.57363073979016166</v>
      </c>
      <c r="AI18" s="44">
        <f t="shared" si="8"/>
        <v>0.57363073979016166</v>
      </c>
    </row>
    <row r="19" spans="1:35">
      <c r="A19" t="s">
        <v>130</v>
      </c>
      <c r="B19" s="5">
        <v>45474</v>
      </c>
      <c r="C19" s="5">
        <v>45505</v>
      </c>
      <c r="D19" s="13">
        <f t="shared" si="0"/>
        <v>31</v>
      </c>
      <c r="E19" t="s">
        <v>131</v>
      </c>
      <c r="F19" t="s">
        <v>132</v>
      </c>
      <c r="G19" t="s">
        <v>37</v>
      </c>
      <c r="H19" t="s">
        <v>25</v>
      </c>
      <c r="I19" t="s">
        <v>26</v>
      </c>
      <c r="J19" t="s">
        <v>27</v>
      </c>
      <c r="K19" t="s">
        <v>41</v>
      </c>
      <c r="L19" t="s">
        <v>57</v>
      </c>
      <c r="M19" t="s">
        <v>133</v>
      </c>
      <c r="N19" t="s">
        <v>44</v>
      </c>
      <c r="O19">
        <v>5</v>
      </c>
      <c r="P19">
        <v>1526.78</v>
      </c>
      <c r="Q19" s="11">
        <v>0</v>
      </c>
      <c r="R19">
        <v>7633.9</v>
      </c>
      <c r="S19">
        <v>4706.91</v>
      </c>
      <c r="T19">
        <v>2926.99</v>
      </c>
      <c r="U19" t="s">
        <v>32</v>
      </c>
      <c r="V19" t="s">
        <v>33</v>
      </c>
      <c r="X19" s="8" t="str">
        <f>IF(C19&gt;=B19,"Valid", "Invalid-Date")</f>
        <v>Valid</v>
      </c>
      <c r="Y19" s="8" t="str">
        <f t="shared" si="1"/>
        <v>Valid</v>
      </c>
      <c r="Z19" s="8" t="str">
        <f t="shared" si="2"/>
        <v>Pass</v>
      </c>
      <c r="AA19" s="8" t="str">
        <f t="shared" si="3"/>
        <v>Pass</v>
      </c>
      <c r="AB19" s="8" t="str">
        <f>TEXT(B19,"mmmm")</f>
        <v>July</v>
      </c>
      <c r="AC19" s="8" t="str">
        <f>TEXT(B19,"yyyy")</f>
        <v>2024</v>
      </c>
      <c r="AE19">
        <f t="shared" si="4"/>
        <v>7633.9</v>
      </c>
      <c r="AF19" s="11">
        <f t="shared" si="5"/>
        <v>7633.9</v>
      </c>
      <c r="AG19">
        <f t="shared" si="6"/>
        <v>2926.99</v>
      </c>
      <c r="AH19" s="11">
        <f t="shared" si="7"/>
        <v>0.38342000812166782</v>
      </c>
      <c r="AI19" s="44">
        <f t="shared" si="8"/>
        <v>0.38342000812166782</v>
      </c>
    </row>
    <row r="20" spans="1:35">
      <c r="A20" t="s">
        <v>134</v>
      </c>
      <c r="B20" s="5">
        <v>45853</v>
      </c>
      <c r="C20" s="5">
        <v>45855</v>
      </c>
      <c r="D20" s="13">
        <f t="shared" si="0"/>
        <v>2</v>
      </c>
      <c r="E20" t="s">
        <v>135</v>
      </c>
      <c r="F20" t="s">
        <v>128</v>
      </c>
      <c r="G20" t="s">
        <v>95</v>
      </c>
      <c r="H20" t="s">
        <v>25</v>
      </c>
      <c r="I20" t="s">
        <v>136</v>
      </c>
      <c r="J20" t="s">
        <v>137</v>
      </c>
      <c r="K20" t="s">
        <v>74</v>
      </c>
      <c r="L20" t="s">
        <v>80</v>
      </c>
      <c r="M20" t="s">
        <v>138</v>
      </c>
      <c r="N20" t="s">
        <v>50</v>
      </c>
      <c r="O20">
        <v>2</v>
      </c>
      <c r="P20">
        <v>1997.99</v>
      </c>
      <c r="Q20" s="11">
        <v>0</v>
      </c>
      <c r="R20">
        <v>3995.98</v>
      </c>
      <c r="S20">
        <v>2633.2</v>
      </c>
      <c r="T20">
        <v>1362.78</v>
      </c>
      <c r="U20" t="s">
        <v>102</v>
      </c>
      <c r="V20" t="s">
        <v>68</v>
      </c>
      <c r="X20" s="8" t="str">
        <f>IF(C20&gt;=B20,"Valid", "Invalid-Date")</f>
        <v>Valid</v>
      </c>
      <c r="Y20" s="8" t="str">
        <f t="shared" si="1"/>
        <v>Valid</v>
      </c>
      <c r="Z20" s="8" t="str">
        <f t="shared" si="2"/>
        <v>Pass</v>
      </c>
      <c r="AA20" s="8" t="str">
        <f t="shared" si="3"/>
        <v>Pass</v>
      </c>
      <c r="AB20" s="8" t="str">
        <f>TEXT(B20,"mmmm")</f>
        <v>July</v>
      </c>
      <c r="AC20" s="8" t="str">
        <f>TEXT(B20,"yyyy")</f>
        <v>2025</v>
      </c>
      <c r="AE20">
        <f t="shared" si="4"/>
        <v>3995.98</v>
      </c>
      <c r="AF20" s="11">
        <f t="shared" si="5"/>
        <v>3995.98</v>
      </c>
      <c r="AG20">
        <f t="shared" si="6"/>
        <v>1362.7800000000002</v>
      </c>
      <c r="AH20" s="11">
        <f t="shared" si="7"/>
        <v>0.34103774293164635</v>
      </c>
      <c r="AI20" s="44">
        <f t="shared" si="8"/>
        <v>0.34103774293164635</v>
      </c>
    </row>
    <row r="21" spans="1:35">
      <c r="A21" t="s">
        <v>139</v>
      </c>
      <c r="B21" s="5">
        <v>45500</v>
      </c>
      <c r="C21" s="5">
        <v>45504</v>
      </c>
      <c r="D21" s="13">
        <f t="shared" si="0"/>
        <v>4</v>
      </c>
      <c r="E21" t="s">
        <v>140</v>
      </c>
      <c r="F21" t="s">
        <v>141</v>
      </c>
      <c r="G21" t="s">
        <v>95</v>
      </c>
      <c r="H21" t="s">
        <v>63</v>
      </c>
      <c r="I21" t="s">
        <v>72</v>
      </c>
      <c r="J21" t="s">
        <v>73</v>
      </c>
      <c r="K21" t="s">
        <v>28</v>
      </c>
      <c r="L21" t="s">
        <v>124</v>
      </c>
      <c r="M21" t="s">
        <v>142</v>
      </c>
      <c r="N21" t="s">
        <v>31</v>
      </c>
      <c r="O21">
        <v>3</v>
      </c>
      <c r="P21">
        <v>3887.94</v>
      </c>
      <c r="Q21" s="11">
        <v>-0.19</v>
      </c>
      <c r="R21">
        <v>9331.06</v>
      </c>
      <c r="S21">
        <v>7529.31</v>
      </c>
      <c r="T21">
        <v>1801.75</v>
      </c>
      <c r="U21" t="s">
        <v>32</v>
      </c>
      <c r="V21" t="s">
        <v>33</v>
      </c>
      <c r="X21" s="8" t="str">
        <f>IF(C21&gt;=B21,"Valid", "Invalid-Date")</f>
        <v>Valid</v>
      </c>
      <c r="Y21" s="8" t="str">
        <f t="shared" si="1"/>
        <v>Invalid-Discount</v>
      </c>
      <c r="Z21" s="8" t="str">
        <f t="shared" si="2"/>
        <v>Pass</v>
      </c>
      <c r="AA21" s="8" t="str">
        <f t="shared" si="3"/>
        <v>Pass</v>
      </c>
      <c r="AB21" s="8" t="str">
        <f>TEXT(B21,"mmmm")</f>
        <v>July</v>
      </c>
      <c r="AC21" s="8" t="str">
        <f>TEXT(B21,"yyyy")</f>
        <v>2024</v>
      </c>
      <c r="AE21">
        <f t="shared" si="4"/>
        <v>11663.82</v>
      </c>
      <c r="AF21" s="11">
        <f t="shared" si="5"/>
        <v>13879.9458</v>
      </c>
      <c r="AG21">
        <f t="shared" si="6"/>
        <v>4134.5099999999993</v>
      </c>
      <c r="AH21" s="11">
        <f t="shared" si="7"/>
        <v>0.35447306285590824</v>
      </c>
      <c r="AI21" s="44">
        <f t="shared" si="8"/>
        <v>0.35447306285590824</v>
      </c>
    </row>
    <row r="22" spans="1:35">
      <c r="A22" t="s">
        <v>143</v>
      </c>
      <c r="B22" s="5">
        <v>45678</v>
      </c>
      <c r="C22" s="5">
        <v>45680</v>
      </c>
      <c r="D22" s="13">
        <f t="shared" si="0"/>
        <v>2</v>
      </c>
      <c r="E22" t="s">
        <v>144</v>
      </c>
      <c r="F22" t="s">
        <v>89</v>
      </c>
      <c r="G22" t="s">
        <v>95</v>
      </c>
      <c r="H22" t="s">
        <v>38</v>
      </c>
      <c r="I22" t="s">
        <v>145</v>
      </c>
      <c r="J22" t="s">
        <v>146</v>
      </c>
      <c r="K22" t="s">
        <v>74</v>
      </c>
      <c r="L22" t="s">
        <v>80</v>
      </c>
      <c r="M22" t="s">
        <v>147</v>
      </c>
      <c r="N22" t="s">
        <v>50</v>
      </c>
      <c r="O22">
        <v>5</v>
      </c>
      <c r="P22">
        <v>4373.0600000000004</v>
      </c>
      <c r="Q22" s="11">
        <v>0.25</v>
      </c>
      <c r="R22">
        <v>16398.98</v>
      </c>
      <c r="S22">
        <v>9556.52</v>
      </c>
      <c r="T22">
        <v>6842.46</v>
      </c>
      <c r="U22" t="s">
        <v>32</v>
      </c>
      <c r="V22" t="s">
        <v>33</v>
      </c>
      <c r="X22" s="8" t="str">
        <f>IF(C22&gt;=B22,"Valid", "Invalid-Date")</f>
        <v>Valid</v>
      </c>
      <c r="Y22" s="8" t="str">
        <f t="shared" si="1"/>
        <v>Valid</v>
      </c>
      <c r="Z22" s="8" t="str">
        <f t="shared" si="2"/>
        <v>Pass</v>
      </c>
      <c r="AA22" s="8" t="str">
        <f t="shared" si="3"/>
        <v>Pass</v>
      </c>
      <c r="AB22" s="8" t="str">
        <f>TEXT(B22,"mmmm")</f>
        <v>January</v>
      </c>
      <c r="AC22" s="8" t="str">
        <f>TEXT(B22,"yyyy")</f>
        <v>2025</v>
      </c>
      <c r="AE22">
        <f t="shared" si="4"/>
        <v>21865.300000000003</v>
      </c>
      <c r="AF22" s="11">
        <f t="shared" si="5"/>
        <v>16398.975000000002</v>
      </c>
      <c r="AG22">
        <f t="shared" si="6"/>
        <v>12308.780000000002</v>
      </c>
      <c r="AH22" s="11">
        <f t="shared" si="7"/>
        <v>0.5629367079344898</v>
      </c>
      <c r="AI22" s="44">
        <f t="shared" si="8"/>
        <v>0.5629367079344898</v>
      </c>
    </row>
    <row r="23" spans="1:35">
      <c r="A23" t="s">
        <v>148</v>
      </c>
      <c r="B23" s="5">
        <v>45681</v>
      </c>
      <c r="C23" s="5">
        <v>45687</v>
      </c>
      <c r="D23" s="13">
        <f t="shared" si="0"/>
        <v>6</v>
      </c>
      <c r="E23" t="s">
        <v>149</v>
      </c>
      <c r="F23" t="s">
        <v>132</v>
      </c>
      <c r="G23" t="s">
        <v>24</v>
      </c>
      <c r="H23" t="s">
        <v>63</v>
      </c>
      <c r="I23" t="s">
        <v>72</v>
      </c>
      <c r="J23" t="s">
        <v>73</v>
      </c>
      <c r="K23" t="s">
        <v>41</v>
      </c>
      <c r="L23" t="s">
        <v>57</v>
      </c>
      <c r="M23" t="s">
        <v>150</v>
      </c>
      <c r="N23" t="s">
        <v>31</v>
      </c>
      <c r="O23">
        <v>4</v>
      </c>
      <c r="P23">
        <v>697.69</v>
      </c>
      <c r="Q23" s="11">
        <v>-0.23</v>
      </c>
      <c r="R23">
        <v>2790.76</v>
      </c>
      <c r="S23">
        <v>2037.71</v>
      </c>
      <c r="T23">
        <v>753.05</v>
      </c>
      <c r="U23" t="s">
        <v>32</v>
      </c>
      <c r="V23" t="s">
        <v>33</v>
      </c>
      <c r="X23" s="8" t="str">
        <f>IF(C23&gt;=B23,"Valid", "Invalid-Date")</f>
        <v>Valid</v>
      </c>
      <c r="Y23" s="8" t="str">
        <f t="shared" si="1"/>
        <v>Invalid-Discount</v>
      </c>
      <c r="Z23" s="8" t="str">
        <f t="shared" si="2"/>
        <v>Pass</v>
      </c>
      <c r="AA23" s="8" t="str">
        <f t="shared" si="3"/>
        <v>Pass</v>
      </c>
      <c r="AB23" s="8" t="str">
        <f>TEXT(B23,"mmmm")</f>
        <v>January</v>
      </c>
      <c r="AC23" s="8" t="str">
        <f>TEXT(B23,"yyyy")</f>
        <v>2025</v>
      </c>
      <c r="AE23">
        <f t="shared" si="4"/>
        <v>2790.76</v>
      </c>
      <c r="AF23" s="11">
        <f t="shared" si="5"/>
        <v>3432.6348000000003</v>
      </c>
      <c r="AG23">
        <f t="shared" si="6"/>
        <v>753.05000000000018</v>
      </c>
      <c r="AH23" s="11">
        <f t="shared" si="7"/>
        <v>0.2698368903094498</v>
      </c>
      <c r="AI23" s="44">
        <f t="shared" si="8"/>
        <v>0.2698368903094498</v>
      </c>
    </row>
    <row r="24" spans="1:35">
      <c r="A24" t="s">
        <v>151</v>
      </c>
      <c r="B24" s="5">
        <v>45676</v>
      </c>
      <c r="C24" s="5">
        <v>45678</v>
      </c>
      <c r="D24" s="13">
        <f t="shared" si="0"/>
        <v>2</v>
      </c>
      <c r="E24" t="s">
        <v>152</v>
      </c>
      <c r="F24" t="s">
        <v>36</v>
      </c>
      <c r="G24" t="s">
        <v>24</v>
      </c>
      <c r="H24" t="s">
        <v>54</v>
      </c>
      <c r="I24" t="s">
        <v>55</v>
      </c>
      <c r="J24" t="s">
        <v>56</v>
      </c>
      <c r="K24" t="s">
        <v>28</v>
      </c>
      <c r="L24" t="s">
        <v>153</v>
      </c>
      <c r="M24" t="s">
        <v>154</v>
      </c>
      <c r="N24" t="s">
        <v>59</v>
      </c>
      <c r="O24">
        <v>8</v>
      </c>
      <c r="P24">
        <v>1219.3399999999999</v>
      </c>
      <c r="Q24" s="11">
        <v>0.15</v>
      </c>
      <c r="R24">
        <v>8291.51</v>
      </c>
      <c r="S24">
        <v>6685.03</v>
      </c>
      <c r="T24">
        <v>1606.48</v>
      </c>
      <c r="U24" t="s">
        <v>155</v>
      </c>
      <c r="V24" t="s">
        <v>103</v>
      </c>
      <c r="X24" s="8" t="str">
        <f>IF(C24&gt;=B24,"Valid", "Invalid-Date")</f>
        <v>Valid</v>
      </c>
      <c r="Y24" s="8" t="str">
        <f t="shared" si="1"/>
        <v>Valid</v>
      </c>
      <c r="Z24" s="8" t="str">
        <f t="shared" si="2"/>
        <v>Pass</v>
      </c>
      <c r="AA24" s="8" t="str">
        <f t="shared" si="3"/>
        <v>Pass</v>
      </c>
      <c r="AB24" s="8" t="str">
        <f>TEXT(B24,"mmmm")</f>
        <v>January</v>
      </c>
      <c r="AC24" s="8" t="str">
        <f>TEXT(B24,"yyyy")</f>
        <v>2025</v>
      </c>
      <c r="AE24">
        <f t="shared" si="4"/>
        <v>9754.7199999999993</v>
      </c>
      <c r="AF24" s="11">
        <f t="shared" si="5"/>
        <v>8291.5119999999988</v>
      </c>
      <c r="AG24">
        <f t="shared" si="6"/>
        <v>3069.6899999999996</v>
      </c>
      <c r="AH24" s="11">
        <f t="shared" si="7"/>
        <v>0.31468765889743627</v>
      </c>
      <c r="AI24" s="44">
        <f t="shared" si="8"/>
        <v>0.31468765889743627</v>
      </c>
    </row>
    <row r="25" spans="1:35">
      <c r="A25" t="s">
        <v>156</v>
      </c>
      <c r="B25" s="5">
        <v>45898</v>
      </c>
      <c r="C25" s="5">
        <v>45900</v>
      </c>
      <c r="D25" s="13">
        <f t="shared" si="0"/>
        <v>2</v>
      </c>
      <c r="E25" t="s">
        <v>157</v>
      </c>
      <c r="F25" t="s">
        <v>118</v>
      </c>
      <c r="G25" t="s">
        <v>95</v>
      </c>
      <c r="H25" t="s">
        <v>38</v>
      </c>
      <c r="I25" t="s">
        <v>145</v>
      </c>
      <c r="J25" t="s">
        <v>146</v>
      </c>
      <c r="K25" t="s">
        <v>41</v>
      </c>
      <c r="L25" t="s">
        <v>158</v>
      </c>
      <c r="M25" t="s">
        <v>159</v>
      </c>
      <c r="N25" t="s">
        <v>50</v>
      </c>
      <c r="O25">
        <v>4</v>
      </c>
      <c r="P25">
        <v>1958.01</v>
      </c>
      <c r="Q25" s="11">
        <v>0.2</v>
      </c>
      <c r="R25">
        <v>6265.63</v>
      </c>
      <c r="S25">
        <v>4321.8599999999997</v>
      </c>
      <c r="T25">
        <v>1943.77</v>
      </c>
      <c r="U25" t="s">
        <v>32</v>
      </c>
      <c r="V25" t="s">
        <v>33</v>
      </c>
      <c r="X25" s="8" t="str">
        <f>IF(C25&gt;=B25,"Valid", "Invalid-Date")</f>
        <v>Valid</v>
      </c>
      <c r="Y25" s="8" t="str">
        <f t="shared" si="1"/>
        <v>Valid</v>
      </c>
      <c r="Z25" s="8" t="str">
        <f t="shared" si="2"/>
        <v>Pass</v>
      </c>
      <c r="AA25" s="8" t="str">
        <f t="shared" si="3"/>
        <v>Pass</v>
      </c>
      <c r="AB25" s="8" t="str">
        <f>TEXT(B25,"mmmm")</f>
        <v>August</v>
      </c>
      <c r="AC25" s="8" t="str">
        <f>TEXT(B25,"yyyy")</f>
        <v>2025</v>
      </c>
      <c r="AE25">
        <f t="shared" si="4"/>
        <v>7832.04</v>
      </c>
      <c r="AF25" s="11">
        <f t="shared" si="5"/>
        <v>6265.6320000000005</v>
      </c>
      <c r="AG25">
        <f t="shared" si="6"/>
        <v>3510.1800000000003</v>
      </c>
      <c r="AH25" s="11">
        <f t="shared" si="7"/>
        <v>0.4481820828289948</v>
      </c>
      <c r="AI25" s="44">
        <f t="shared" si="8"/>
        <v>0.4481820828289948</v>
      </c>
    </row>
    <row r="26" spans="1:35">
      <c r="A26" t="s">
        <v>160</v>
      </c>
      <c r="B26" s="5">
        <v>45355</v>
      </c>
      <c r="C26" s="5">
        <v>45294</v>
      </c>
      <c r="D26" s="13">
        <f t="shared" si="0"/>
        <v>-61</v>
      </c>
      <c r="E26" t="s">
        <v>161</v>
      </c>
      <c r="F26" t="s">
        <v>162</v>
      </c>
      <c r="G26" t="s">
        <v>24</v>
      </c>
      <c r="H26" t="s">
        <v>25</v>
      </c>
      <c r="I26" t="s">
        <v>122</v>
      </c>
      <c r="J26" t="s">
        <v>123</v>
      </c>
      <c r="K26" t="s">
        <v>28</v>
      </c>
      <c r="L26" t="s">
        <v>48</v>
      </c>
      <c r="M26" t="s">
        <v>163</v>
      </c>
      <c r="N26" t="s">
        <v>59</v>
      </c>
      <c r="O26">
        <v>4</v>
      </c>
      <c r="P26">
        <v>4492.9399999999996</v>
      </c>
      <c r="Q26" s="11">
        <v>0.25</v>
      </c>
      <c r="R26">
        <v>13478.82</v>
      </c>
      <c r="S26">
        <v>10937.35</v>
      </c>
      <c r="T26">
        <v>2541.4699999999998</v>
      </c>
      <c r="U26" t="s">
        <v>111</v>
      </c>
      <c r="V26" t="s">
        <v>68</v>
      </c>
      <c r="X26" s="8" t="str">
        <f>IF(C26&gt;=B26,"Valid", "Invalid-Date")</f>
        <v>Invalid-Date</v>
      </c>
      <c r="Y26" s="8" t="str">
        <f t="shared" si="1"/>
        <v>Valid</v>
      </c>
      <c r="Z26" s="8" t="str">
        <f t="shared" si="2"/>
        <v>Pass</v>
      </c>
      <c r="AA26" s="8" t="str">
        <f t="shared" si="3"/>
        <v>Pass</v>
      </c>
      <c r="AB26" s="8" t="str">
        <f>TEXT(B26,"mmmm")</f>
        <v>March</v>
      </c>
      <c r="AC26" s="8" t="str">
        <f>TEXT(B26,"yyyy")</f>
        <v>2024</v>
      </c>
      <c r="AE26">
        <f t="shared" si="4"/>
        <v>17971.759999999998</v>
      </c>
      <c r="AF26" s="11">
        <f t="shared" si="5"/>
        <v>13478.82</v>
      </c>
      <c r="AG26">
        <f t="shared" si="6"/>
        <v>7034.409999999998</v>
      </c>
      <c r="AH26" s="11">
        <f t="shared" si="7"/>
        <v>0.3914146416377694</v>
      </c>
      <c r="AI26" s="44">
        <f t="shared" si="8"/>
        <v>0.3914146416377694</v>
      </c>
    </row>
    <row r="27" spans="1:35">
      <c r="A27" t="s">
        <v>164</v>
      </c>
      <c r="B27" s="5">
        <v>45576</v>
      </c>
      <c r="C27" s="5">
        <v>45584</v>
      </c>
      <c r="D27" s="13">
        <f t="shared" si="0"/>
        <v>8</v>
      </c>
      <c r="E27" t="s">
        <v>165</v>
      </c>
      <c r="F27" t="s">
        <v>53</v>
      </c>
      <c r="G27" t="s">
        <v>90</v>
      </c>
      <c r="H27" t="s">
        <v>38</v>
      </c>
      <c r="I27" t="s">
        <v>166</v>
      </c>
      <c r="J27" t="s">
        <v>167</v>
      </c>
      <c r="K27" t="s">
        <v>74</v>
      </c>
      <c r="L27" t="s">
        <v>75</v>
      </c>
      <c r="M27" t="s">
        <v>168</v>
      </c>
      <c r="N27" t="s">
        <v>50</v>
      </c>
      <c r="O27">
        <v>2</v>
      </c>
      <c r="P27">
        <v>4315.2</v>
      </c>
      <c r="Q27" s="11">
        <v>0.15</v>
      </c>
      <c r="R27">
        <v>7335.84</v>
      </c>
      <c r="S27">
        <v>4968.41</v>
      </c>
      <c r="T27">
        <v>2367.4299999999998</v>
      </c>
      <c r="U27" t="s">
        <v>32</v>
      </c>
      <c r="V27" t="s">
        <v>33</v>
      </c>
      <c r="X27" s="8" t="str">
        <f>IF(C27&gt;=B27,"Valid", "Invalid-Date")</f>
        <v>Valid</v>
      </c>
      <c r="Y27" s="8" t="str">
        <f t="shared" si="1"/>
        <v>Valid</v>
      </c>
      <c r="Z27" s="8" t="str">
        <f t="shared" si="2"/>
        <v>Pass</v>
      </c>
      <c r="AA27" s="8" t="str">
        <f t="shared" si="3"/>
        <v>Pass</v>
      </c>
      <c r="AB27" s="8" t="str">
        <f>TEXT(B27,"mmmm")</f>
        <v>October</v>
      </c>
      <c r="AC27" s="8" t="str">
        <f>TEXT(B27,"yyyy")</f>
        <v>2024</v>
      </c>
      <c r="AE27">
        <f t="shared" si="4"/>
        <v>8630.4</v>
      </c>
      <c r="AF27" s="11">
        <f t="shared" si="5"/>
        <v>7335.8399999999992</v>
      </c>
      <c r="AG27">
        <f t="shared" si="6"/>
        <v>3661.99</v>
      </c>
      <c r="AH27" s="11">
        <f t="shared" si="7"/>
        <v>0.42431289395624766</v>
      </c>
      <c r="AI27" s="44">
        <f t="shared" si="8"/>
        <v>0.42431289395624766</v>
      </c>
    </row>
    <row r="28" spans="1:35">
      <c r="A28" t="s">
        <v>169</v>
      </c>
      <c r="B28" s="5">
        <v>45619</v>
      </c>
      <c r="C28" s="5">
        <v>45619</v>
      </c>
      <c r="D28" s="13">
        <f t="shared" si="0"/>
        <v>0</v>
      </c>
      <c r="E28" t="s">
        <v>170</v>
      </c>
      <c r="F28" t="s">
        <v>162</v>
      </c>
      <c r="G28" t="s">
        <v>90</v>
      </c>
      <c r="H28" t="s">
        <v>25</v>
      </c>
      <c r="I28" t="s">
        <v>136</v>
      </c>
      <c r="J28" t="s">
        <v>137</v>
      </c>
      <c r="K28" t="s">
        <v>74</v>
      </c>
      <c r="L28" t="s">
        <v>171</v>
      </c>
      <c r="M28" t="s">
        <v>172</v>
      </c>
      <c r="N28" t="s">
        <v>59</v>
      </c>
      <c r="O28">
        <v>4</v>
      </c>
      <c r="P28">
        <v>716.13</v>
      </c>
      <c r="Q28" s="11">
        <v>0.1</v>
      </c>
      <c r="R28">
        <v>2578.0700000000002</v>
      </c>
      <c r="S28">
        <v>1527.55</v>
      </c>
      <c r="T28">
        <v>1050.52</v>
      </c>
      <c r="U28" t="s">
        <v>32</v>
      </c>
      <c r="V28" t="s">
        <v>103</v>
      </c>
      <c r="X28" s="8" t="str">
        <f>IF(C28&gt;=B28,"Valid", "Invalid-Date")</f>
        <v>Valid</v>
      </c>
      <c r="Y28" s="8" t="str">
        <f t="shared" si="1"/>
        <v>Valid</v>
      </c>
      <c r="Z28" s="8" t="str">
        <f t="shared" si="2"/>
        <v>Pass</v>
      </c>
      <c r="AA28" s="8" t="str">
        <f t="shared" si="3"/>
        <v>Pass</v>
      </c>
      <c r="AB28" s="8" t="str">
        <f>TEXT(B28,"mmmm")</f>
        <v>November</v>
      </c>
      <c r="AC28" s="8" t="str">
        <f>TEXT(B28,"yyyy")</f>
        <v>2024</v>
      </c>
      <c r="AE28">
        <f t="shared" si="4"/>
        <v>2864.52</v>
      </c>
      <c r="AF28" s="11">
        <f t="shared" si="5"/>
        <v>2578.0680000000002</v>
      </c>
      <c r="AG28">
        <f t="shared" si="6"/>
        <v>1336.97</v>
      </c>
      <c r="AH28" s="11">
        <f t="shared" si="7"/>
        <v>0.46673439180037146</v>
      </c>
      <c r="AI28" s="44">
        <f t="shared" si="8"/>
        <v>0.46673439180037146</v>
      </c>
    </row>
    <row r="29" spans="1:35">
      <c r="A29" t="s">
        <v>173</v>
      </c>
      <c r="B29" s="5">
        <v>45929</v>
      </c>
      <c r="C29" s="5">
        <v>45935</v>
      </c>
      <c r="D29" s="13">
        <f t="shared" si="0"/>
        <v>6</v>
      </c>
      <c r="E29" t="s">
        <v>174</v>
      </c>
      <c r="F29" t="s">
        <v>53</v>
      </c>
      <c r="G29" t="s">
        <v>37</v>
      </c>
      <c r="H29" t="s">
        <v>54</v>
      </c>
      <c r="I29" t="s">
        <v>175</v>
      </c>
      <c r="J29" t="s">
        <v>176</v>
      </c>
      <c r="K29" t="s">
        <v>28</v>
      </c>
      <c r="L29" t="s">
        <v>29</v>
      </c>
      <c r="M29" t="s">
        <v>177</v>
      </c>
      <c r="N29" t="s">
        <v>31</v>
      </c>
      <c r="O29">
        <v>5</v>
      </c>
      <c r="P29">
        <v>1806.51</v>
      </c>
      <c r="Q29" s="11">
        <v>0.25</v>
      </c>
      <c r="R29">
        <v>6774.41</v>
      </c>
      <c r="S29">
        <v>4710.3599999999997</v>
      </c>
      <c r="T29">
        <v>2064.0500000000002</v>
      </c>
      <c r="U29" t="s">
        <v>155</v>
      </c>
      <c r="V29" t="s">
        <v>103</v>
      </c>
      <c r="X29" s="8" t="str">
        <f>IF(C29&gt;=B29,"Valid", "Invalid-Date")</f>
        <v>Valid</v>
      </c>
      <c r="Y29" s="8" t="str">
        <f t="shared" si="1"/>
        <v>Valid</v>
      </c>
      <c r="Z29" s="8" t="str">
        <f t="shared" si="2"/>
        <v>Pass</v>
      </c>
      <c r="AA29" s="8" t="str">
        <f t="shared" si="3"/>
        <v>Pass</v>
      </c>
      <c r="AB29" s="8" t="str">
        <f>TEXT(B29,"mmmm")</f>
        <v>September</v>
      </c>
      <c r="AC29" s="8" t="str">
        <f>TEXT(B29,"yyyy")</f>
        <v>2025</v>
      </c>
      <c r="AE29">
        <f t="shared" si="4"/>
        <v>9032.5499999999993</v>
      </c>
      <c r="AF29" s="11">
        <f t="shared" si="5"/>
        <v>6774.4124999999995</v>
      </c>
      <c r="AG29">
        <f t="shared" si="6"/>
        <v>4322.1899999999996</v>
      </c>
      <c r="AH29" s="11">
        <f t="shared" si="7"/>
        <v>0.47851271235697562</v>
      </c>
      <c r="AI29" s="44">
        <f t="shared" si="8"/>
        <v>0.47851271235697562</v>
      </c>
    </row>
    <row r="30" spans="1:35">
      <c r="A30" t="s">
        <v>178</v>
      </c>
      <c r="B30" s="5">
        <v>45576</v>
      </c>
      <c r="C30" s="5">
        <v>45583</v>
      </c>
      <c r="D30" s="13">
        <f t="shared" si="0"/>
        <v>7</v>
      </c>
      <c r="E30" t="s">
        <v>179</v>
      </c>
      <c r="F30" t="s">
        <v>62</v>
      </c>
      <c r="G30" t="s">
        <v>95</v>
      </c>
      <c r="H30" t="s">
        <v>63</v>
      </c>
      <c r="I30" t="s">
        <v>180</v>
      </c>
      <c r="J30" t="s">
        <v>181</v>
      </c>
      <c r="K30" t="s">
        <v>74</v>
      </c>
      <c r="L30" t="s">
        <v>171</v>
      </c>
      <c r="M30" t="s">
        <v>182</v>
      </c>
      <c r="N30" t="s">
        <v>31</v>
      </c>
      <c r="O30">
        <v>2</v>
      </c>
      <c r="P30">
        <v>1942.22</v>
      </c>
      <c r="Q30" s="11">
        <v>0.25</v>
      </c>
      <c r="R30">
        <v>2913.33</v>
      </c>
      <c r="S30">
        <v>2122.33</v>
      </c>
      <c r="T30">
        <v>791</v>
      </c>
      <c r="U30" t="s">
        <v>102</v>
      </c>
      <c r="V30" t="s">
        <v>68</v>
      </c>
      <c r="X30" s="8" t="str">
        <f>IF(C30&gt;=B30,"Valid", "Invalid-Date")</f>
        <v>Valid</v>
      </c>
      <c r="Y30" s="8" t="str">
        <f t="shared" si="1"/>
        <v>Valid</v>
      </c>
      <c r="Z30" s="8" t="str">
        <f t="shared" si="2"/>
        <v>Pass</v>
      </c>
      <c r="AA30" s="8" t="str">
        <f t="shared" si="3"/>
        <v>Pass</v>
      </c>
      <c r="AB30" s="8" t="str">
        <f>TEXT(B30,"mmmm")</f>
        <v>October</v>
      </c>
      <c r="AC30" s="8" t="str">
        <f>TEXT(B30,"yyyy")</f>
        <v>2024</v>
      </c>
      <c r="AE30">
        <f t="shared" si="4"/>
        <v>3884.44</v>
      </c>
      <c r="AF30" s="11">
        <f t="shared" si="5"/>
        <v>2913.33</v>
      </c>
      <c r="AG30">
        <f t="shared" si="6"/>
        <v>1762.1100000000001</v>
      </c>
      <c r="AH30" s="11">
        <f t="shared" si="7"/>
        <v>0.45363295610178045</v>
      </c>
      <c r="AI30" s="44">
        <f t="shared" si="8"/>
        <v>0.45363295610178045</v>
      </c>
    </row>
    <row r="31" spans="1:35">
      <c r="A31" t="s">
        <v>183</v>
      </c>
      <c r="B31" s="5">
        <v>45882</v>
      </c>
      <c r="C31" s="5">
        <v>45882</v>
      </c>
      <c r="D31" s="13">
        <f t="shared" si="0"/>
        <v>0</v>
      </c>
      <c r="E31" t="s">
        <v>184</v>
      </c>
      <c r="F31" t="s">
        <v>141</v>
      </c>
      <c r="G31" t="s">
        <v>95</v>
      </c>
      <c r="H31" t="s">
        <v>54</v>
      </c>
      <c r="I31" t="s">
        <v>185</v>
      </c>
      <c r="J31" t="s">
        <v>186</v>
      </c>
      <c r="K31" t="s">
        <v>74</v>
      </c>
      <c r="L31" t="s">
        <v>171</v>
      </c>
      <c r="M31" t="s">
        <v>187</v>
      </c>
      <c r="N31" t="s">
        <v>59</v>
      </c>
      <c r="O31">
        <v>1</v>
      </c>
      <c r="P31">
        <v>256.01</v>
      </c>
      <c r="Q31" s="11">
        <v>0.15</v>
      </c>
      <c r="R31">
        <v>217.61</v>
      </c>
      <c r="S31">
        <v>119.77</v>
      </c>
      <c r="T31">
        <v>97.84</v>
      </c>
      <c r="U31" t="s">
        <v>32</v>
      </c>
      <c r="V31" t="s">
        <v>33</v>
      </c>
      <c r="X31" s="8" t="str">
        <f>IF(C31&gt;=B31,"Valid", "Invalid-Date")</f>
        <v>Valid</v>
      </c>
      <c r="Y31" s="8" t="str">
        <f t="shared" si="1"/>
        <v>Valid</v>
      </c>
      <c r="Z31" s="8" t="str">
        <f t="shared" si="2"/>
        <v>Pass</v>
      </c>
      <c r="AA31" s="8" t="str">
        <f t="shared" si="3"/>
        <v>Pass</v>
      </c>
      <c r="AB31" s="8" t="str">
        <f>TEXT(B31,"mmmm")</f>
        <v>August</v>
      </c>
      <c r="AC31" s="8" t="str">
        <f>TEXT(B31,"yyyy")</f>
        <v>2025</v>
      </c>
      <c r="AE31">
        <f t="shared" si="4"/>
        <v>256.01</v>
      </c>
      <c r="AF31" s="11">
        <f t="shared" si="5"/>
        <v>217.60849999999999</v>
      </c>
      <c r="AG31">
        <f t="shared" si="6"/>
        <v>136.24</v>
      </c>
      <c r="AH31" s="11">
        <f t="shared" si="7"/>
        <v>0.53216671223780332</v>
      </c>
      <c r="AI31" s="44">
        <f t="shared" si="8"/>
        <v>0.53216671223780332</v>
      </c>
    </row>
    <row r="32" spans="1:35">
      <c r="A32" t="s">
        <v>188</v>
      </c>
      <c r="B32" s="5">
        <v>45331</v>
      </c>
      <c r="C32" s="5">
        <v>45628</v>
      </c>
      <c r="D32" s="13">
        <f t="shared" si="0"/>
        <v>297</v>
      </c>
      <c r="E32" t="s">
        <v>189</v>
      </c>
      <c r="F32" t="s">
        <v>62</v>
      </c>
      <c r="G32" t="s">
        <v>90</v>
      </c>
      <c r="H32" t="s">
        <v>63</v>
      </c>
      <c r="I32" t="s">
        <v>190</v>
      </c>
      <c r="J32" t="s">
        <v>191</v>
      </c>
      <c r="K32" t="s">
        <v>28</v>
      </c>
      <c r="L32" t="s">
        <v>91</v>
      </c>
      <c r="M32" t="s">
        <v>192</v>
      </c>
      <c r="N32" t="s">
        <v>50</v>
      </c>
      <c r="O32">
        <v>1</v>
      </c>
      <c r="P32">
        <v>3421.77</v>
      </c>
      <c r="Q32" s="11">
        <v>0.1</v>
      </c>
      <c r="R32">
        <v>3079.59</v>
      </c>
      <c r="S32">
        <v>2001.89</v>
      </c>
      <c r="T32">
        <v>1077.7</v>
      </c>
      <c r="U32" t="s">
        <v>32</v>
      </c>
      <c r="V32" t="s">
        <v>33</v>
      </c>
      <c r="X32" s="8" t="str">
        <f>IF(C32&gt;=B32,"Valid", "Invalid-Date")</f>
        <v>Valid</v>
      </c>
      <c r="Y32" s="8" t="str">
        <f t="shared" si="1"/>
        <v>Valid</v>
      </c>
      <c r="Z32" s="8" t="str">
        <f t="shared" si="2"/>
        <v>Pass</v>
      </c>
      <c r="AA32" s="8" t="str">
        <f t="shared" si="3"/>
        <v>Pass</v>
      </c>
      <c r="AB32" s="8" t="str">
        <f>TEXT(B32,"mmmm")</f>
        <v>February</v>
      </c>
      <c r="AC32" s="8" t="str">
        <f>TEXT(B32,"yyyy")</f>
        <v>2024</v>
      </c>
      <c r="AE32">
        <f t="shared" si="4"/>
        <v>3421.77</v>
      </c>
      <c r="AF32" s="11">
        <f t="shared" si="5"/>
        <v>3079.5929999999998</v>
      </c>
      <c r="AG32">
        <f t="shared" si="6"/>
        <v>1419.8799999999999</v>
      </c>
      <c r="AH32" s="11">
        <f t="shared" si="7"/>
        <v>0.41495483331725974</v>
      </c>
      <c r="AI32" s="44">
        <f t="shared" si="8"/>
        <v>0.41495483331725974</v>
      </c>
    </row>
    <row r="33" spans="1:35">
      <c r="A33" t="s">
        <v>193</v>
      </c>
      <c r="B33" s="5">
        <v>45823</v>
      </c>
      <c r="C33" s="5">
        <v>45827</v>
      </c>
      <c r="D33" s="13">
        <f t="shared" si="0"/>
        <v>4</v>
      </c>
      <c r="E33" t="s">
        <v>194</v>
      </c>
      <c r="F33" t="s">
        <v>23</v>
      </c>
      <c r="G33" t="s">
        <v>37</v>
      </c>
      <c r="H33" t="s">
        <v>63</v>
      </c>
      <c r="I33" t="s">
        <v>72</v>
      </c>
      <c r="J33" t="s">
        <v>73</v>
      </c>
      <c r="K33" t="s">
        <v>28</v>
      </c>
      <c r="L33" t="s">
        <v>29</v>
      </c>
      <c r="M33" t="s">
        <v>195</v>
      </c>
      <c r="N33" t="s">
        <v>31</v>
      </c>
      <c r="O33">
        <v>9</v>
      </c>
      <c r="P33">
        <v>3092.55</v>
      </c>
      <c r="Q33" s="11">
        <v>0</v>
      </c>
      <c r="R33">
        <v>27832.95</v>
      </c>
      <c r="S33">
        <v>17769.75</v>
      </c>
      <c r="T33">
        <v>10063.200000000001</v>
      </c>
      <c r="U33" t="s">
        <v>155</v>
      </c>
      <c r="V33" t="s">
        <v>103</v>
      </c>
      <c r="X33" s="8" t="str">
        <f>IF(C33&gt;=B33,"Valid", "Invalid-Date")</f>
        <v>Valid</v>
      </c>
      <c r="Y33" s="8" t="str">
        <f t="shared" si="1"/>
        <v>Valid</v>
      </c>
      <c r="Z33" s="8" t="str">
        <f t="shared" si="2"/>
        <v>Pass</v>
      </c>
      <c r="AA33" s="8" t="str">
        <f t="shared" si="3"/>
        <v>Pass</v>
      </c>
      <c r="AB33" s="8" t="str">
        <f>TEXT(B33,"mmmm")</f>
        <v>June</v>
      </c>
      <c r="AC33" s="8" t="str">
        <f>TEXT(B33,"yyyy")</f>
        <v>2025</v>
      </c>
      <c r="AE33">
        <f t="shared" si="4"/>
        <v>27832.95</v>
      </c>
      <c r="AF33" s="11">
        <f t="shared" si="5"/>
        <v>27832.95</v>
      </c>
      <c r="AG33">
        <f t="shared" si="6"/>
        <v>10063.200000000001</v>
      </c>
      <c r="AH33" s="11">
        <f t="shared" si="7"/>
        <v>0.36155707533696574</v>
      </c>
      <c r="AI33" s="44">
        <f t="shared" si="8"/>
        <v>0.36155707533696574</v>
      </c>
    </row>
    <row r="34" spans="1:35">
      <c r="A34" t="s">
        <v>196</v>
      </c>
      <c r="B34" s="5">
        <v>45618</v>
      </c>
      <c r="C34" s="5">
        <v>45622</v>
      </c>
      <c r="D34" s="13">
        <f t="shared" si="0"/>
        <v>4</v>
      </c>
      <c r="E34" t="s">
        <v>197</v>
      </c>
      <c r="F34" t="s">
        <v>128</v>
      </c>
      <c r="G34" t="s">
        <v>90</v>
      </c>
      <c r="H34" t="s">
        <v>54</v>
      </c>
      <c r="I34" t="s">
        <v>84</v>
      </c>
      <c r="J34" t="s">
        <v>85</v>
      </c>
      <c r="K34" t="s">
        <v>74</v>
      </c>
      <c r="L34" t="s">
        <v>171</v>
      </c>
      <c r="M34" t="s">
        <v>198</v>
      </c>
      <c r="N34" t="s">
        <v>31</v>
      </c>
      <c r="O34">
        <v>3</v>
      </c>
      <c r="P34">
        <v>4001.25</v>
      </c>
      <c r="Q34" s="11">
        <v>0</v>
      </c>
      <c r="R34">
        <v>9002.81</v>
      </c>
      <c r="S34">
        <v>7529.92</v>
      </c>
      <c r="T34">
        <v>1472.89</v>
      </c>
      <c r="U34" t="s">
        <v>32</v>
      </c>
      <c r="V34" t="s">
        <v>33</v>
      </c>
      <c r="X34" s="8" t="str">
        <f>IF(C34&gt;=B34,"Valid", "Invalid-Date")</f>
        <v>Valid</v>
      </c>
      <c r="Y34" s="8" t="str">
        <f t="shared" si="1"/>
        <v>Valid</v>
      </c>
      <c r="Z34" s="8" t="str">
        <f t="shared" si="2"/>
        <v>Pass</v>
      </c>
      <c r="AA34" s="8" t="str">
        <f t="shared" si="3"/>
        <v>Pass</v>
      </c>
      <c r="AB34" s="8" t="str">
        <f>TEXT(B34,"mmmm")</f>
        <v>November</v>
      </c>
      <c r="AC34" s="8" t="str">
        <f>TEXT(B34,"yyyy")</f>
        <v>2024</v>
      </c>
      <c r="AE34">
        <f t="shared" si="4"/>
        <v>12003.75</v>
      </c>
      <c r="AF34" s="11">
        <f t="shared" si="5"/>
        <v>12003.75</v>
      </c>
      <c r="AG34">
        <f t="shared" si="6"/>
        <v>4473.83</v>
      </c>
      <c r="AH34" s="11">
        <f t="shared" si="7"/>
        <v>0.37270269707383108</v>
      </c>
      <c r="AI34" s="44">
        <f t="shared" si="8"/>
        <v>0.37270269707383108</v>
      </c>
    </row>
    <row r="35" spans="1:35">
      <c r="A35" t="s">
        <v>199</v>
      </c>
      <c r="B35" s="5">
        <v>45495</v>
      </c>
      <c r="C35" s="5">
        <v>45500</v>
      </c>
      <c r="D35" s="13">
        <f t="shared" si="0"/>
        <v>5</v>
      </c>
      <c r="E35" t="s">
        <v>200</v>
      </c>
      <c r="F35" t="s">
        <v>114</v>
      </c>
      <c r="G35" t="s">
        <v>95</v>
      </c>
      <c r="H35" t="s">
        <v>63</v>
      </c>
      <c r="I35" t="s">
        <v>190</v>
      </c>
      <c r="J35" t="s">
        <v>191</v>
      </c>
      <c r="K35" t="s">
        <v>41</v>
      </c>
      <c r="L35" t="s">
        <v>42</v>
      </c>
      <c r="M35" t="s">
        <v>201</v>
      </c>
      <c r="N35" t="s">
        <v>44</v>
      </c>
      <c r="O35">
        <v>7</v>
      </c>
      <c r="P35">
        <v>492.41</v>
      </c>
      <c r="Q35" s="11">
        <v>0.25</v>
      </c>
      <c r="R35">
        <v>2585.15</v>
      </c>
      <c r="S35">
        <v>2070.73</v>
      </c>
      <c r="T35">
        <v>514.41999999999996</v>
      </c>
      <c r="U35" t="s">
        <v>32</v>
      </c>
      <c r="V35" t="s">
        <v>33</v>
      </c>
      <c r="X35" s="8" t="str">
        <f>IF(C35&gt;=B35,"Valid", "Invalid-Date")</f>
        <v>Valid</v>
      </c>
      <c r="Y35" s="8" t="str">
        <f t="shared" si="1"/>
        <v>Valid</v>
      </c>
      <c r="Z35" s="8" t="str">
        <f t="shared" si="2"/>
        <v>Pass</v>
      </c>
      <c r="AA35" s="8" t="str">
        <f t="shared" si="3"/>
        <v>Pass</v>
      </c>
      <c r="AB35" s="8" t="str">
        <f>TEXT(B35,"mmmm")</f>
        <v>July</v>
      </c>
      <c r="AC35" s="8" t="str">
        <f>TEXT(B35,"yyyy")</f>
        <v>2024</v>
      </c>
      <c r="AE35">
        <f t="shared" si="4"/>
        <v>3446.8700000000003</v>
      </c>
      <c r="AF35" s="11">
        <f t="shared" si="5"/>
        <v>2585.1525000000001</v>
      </c>
      <c r="AG35">
        <f t="shared" si="6"/>
        <v>1376.1400000000003</v>
      </c>
      <c r="AH35" s="11">
        <f t="shared" si="7"/>
        <v>0.39924337152256983</v>
      </c>
      <c r="AI35" s="44">
        <f t="shared" si="8"/>
        <v>0.39924337152256983</v>
      </c>
    </row>
    <row r="36" spans="1:35">
      <c r="A36" t="s">
        <v>202</v>
      </c>
      <c r="B36" s="5">
        <v>45688</v>
      </c>
      <c r="C36" s="5">
        <v>45779</v>
      </c>
      <c r="D36" s="13">
        <f t="shared" si="0"/>
        <v>91</v>
      </c>
      <c r="E36" t="s">
        <v>203</v>
      </c>
      <c r="F36" t="s">
        <v>114</v>
      </c>
      <c r="G36" t="s">
        <v>95</v>
      </c>
      <c r="H36" t="s">
        <v>38</v>
      </c>
      <c r="I36" t="s">
        <v>99</v>
      </c>
      <c r="J36" t="s">
        <v>100</v>
      </c>
      <c r="K36" t="s">
        <v>41</v>
      </c>
      <c r="L36" t="s">
        <v>66</v>
      </c>
      <c r="M36" t="s">
        <v>204</v>
      </c>
      <c r="N36" t="s">
        <v>2785</v>
      </c>
      <c r="O36">
        <v>2</v>
      </c>
      <c r="P36">
        <v>4159.6899999999996</v>
      </c>
      <c r="Q36" s="11">
        <v>0.2</v>
      </c>
      <c r="R36">
        <v>6655.5</v>
      </c>
      <c r="S36">
        <v>4340.21</v>
      </c>
      <c r="T36">
        <v>2607.3200000000002</v>
      </c>
      <c r="U36" t="s">
        <v>32</v>
      </c>
      <c r="V36" t="s">
        <v>33</v>
      </c>
      <c r="X36" s="8" t="str">
        <f>IF(C36&gt;=B36,"Valid", "Invalid-Date")</f>
        <v>Valid</v>
      </c>
      <c r="Y36" s="8" t="str">
        <f t="shared" si="1"/>
        <v>Valid</v>
      </c>
      <c r="Z36" s="8" t="str">
        <f t="shared" si="2"/>
        <v>Flagged</v>
      </c>
      <c r="AA36" s="8" t="str">
        <f t="shared" si="3"/>
        <v>Pass</v>
      </c>
      <c r="AB36" s="8" t="str">
        <f>TEXT(B36,"mmmm")</f>
        <v>January</v>
      </c>
      <c r="AC36" s="8" t="str">
        <f>TEXT(B36,"yyyy")</f>
        <v>2025</v>
      </c>
      <c r="AE36">
        <f t="shared" si="4"/>
        <v>8319.3799999999992</v>
      </c>
      <c r="AF36" s="11">
        <f t="shared" si="5"/>
        <v>6655.5039999999999</v>
      </c>
      <c r="AG36">
        <f t="shared" si="6"/>
        <v>3979.1699999999992</v>
      </c>
      <c r="AH36" s="11">
        <f t="shared" si="7"/>
        <v>0.47830126764254061</v>
      </c>
      <c r="AI36" s="44">
        <f t="shared" si="8"/>
        <v>0.47830126764254061</v>
      </c>
    </row>
    <row r="37" spans="1:35">
      <c r="A37" t="s">
        <v>205</v>
      </c>
      <c r="B37" s="5">
        <v>45441</v>
      </c>
      <c r="C37" s="5">
        <v>45441</v>
      </c>
      <c r="D37" s="13">
        <f t="shared" si="0"/>
        <v>0</v>
      </c>
      <c r="E37" t="s">
        <v>206</v>
      </c>
      <c r="F37" t="s">
        <v>132</v>
      </c>
      <c r="G37" t="s">
        <v>37</v>
      </c>
      <c r="H37" t="s">
        <v>63</v>
      </c>
      <c r="I37" t="s">
        <v>180</v>
      </c>
      <c r="J37" t="s">
        <v>181</v>
      </c>
      <c r="K37" t="s">
        <v>41</v>
      </c>
      <c r="L37" t="s">
        <v>158</v>
      </c>
      <c r="M37" t="s">
        <v>207</v>
      </c>
      <c r="N37" t="s">
        <v>31</v>
      </c>
      <c r="O37">
        <v>8</v>
      </c>
      <c r="P37">
        <v>2507.12</v>
      </c>
      <c r="Q37" s="11">
        <v>0.05</v>
      </c>
      <c r="R37">
        <v>19054.11</v>
      </c>
      <c r="S37">
        <v>15313.83</v>
      </c>
      <c r="T37">
        <v>3740.28</v>
      </c>
      <c r="U37" t="s">
        <v>111</v>
      </c>
      <c r="V37" t="s">
        <v>103</v>
      </c>
      <c r="X37" s="8" t="str">
        <f>IF(C37&gt;=B37,"Valid", "Invalid-Date")</f>
        <v>Valid</v>
      </c>
      <c r="Y37" s="8" t="str">
        <f t="shared" si="1"/>
        <v>Valid</v>
      </c>
      <c r="Z37" s="8" t="str">
        <f t="shared" si="2"/>
        <v>Pass</v>
      </c>
      <c r="AA37" s="8" t="str">
        <f t="shared" si="3"/>
        <v>Pass</v>
      </c>
      <c r="AB37" s="8" t="str">
        <f>TEXT(B37,"mmmm")</f>
        <v>May</v>
      </c>
      <c r="AC37" s="8" t="str">
        <f>TEXT(B37,"yyyy")</f>
        <v>2024</v>
      </c>
      <c r="AE37">
        <f t="shared" si="4"/>
        <v>20056.96</v>
      </c>
      <c r="AF37" s="11">
        <f t="shared" si="5"/>
        <v>19054.111999999997</v>
      </c>
      <c r="AG37">
        <f t="shared" si="6"/>
        <v>4743.1299999999992</v>
      </c>
      <c r="AH37" s="11">
        <f t="shared" si="7"/>
        <v>0.2364829964261782</v>
      </c>
      <c r="AI37" s="44">
        <f t="shared" si="8"/>
        <v>0.2364829964261782</v>
      </c>
    </row>
    <row r="38" spans="1:35">
      <c r="A38" t="s">
        <v>208</v>
      </c>
      <c r="B38" s="5">
        <v>45590</v>
      </c>
      <c r="C38" s="5">
        <v>45593</v>
      </c>
      <c r="D38" s="13">
        <f t="shared" si="0"/>
        <v>3</v>
      </c>
      <c r="E38" t="s">
        <v>209</v>
      </c>
      <c r="F38" t="s">
        <v>141</v>
      </c>
      <c r="G38" t="s">
        <v>90</v>
      </c>
      <c r="H38" t="s">
        <v>63</v>
      </c>
      <c r="I38" t="s">
        <v>64</v>
      </c>
      <c r="J38" t="s">
        <v>65</v>
      </c>
      <c r="K38" t="s">
        <v>41</v>
      </c>
      <c r="L38" t="s">
        <v>158</v>
      </c>
      <c r="M38" t="s">
        <v>210</v>
      </c>
      <c r="N38" t="s">
        <v>31</v>
      </c>
      <c r="O38">
        <v>3</v>
      </c>
      <c r="P38">
        <v>3126.47</v>
      </c>
      <c r="Q38" s="11">
        <v>0</v>
      </c>
      <c r="R38">
        <v>9379.41</v>
      </c>
      <c r="S38">
        <v>6670.85</v>
      </c>
      <c r="T38">
        <v>2708.56</v>
      </c>
      <c r="U38" t="s">
        <v>32</v>
      </c>
      <c r="V38" t="s">
        <v>103</v>
      </c>
      <c r="X38" s="8" t="str">
        <f>IF(C38&gt;=B38,"Valid", "Invalid-Date")</f>
        <v>Valid</v>
      </c>
      <c r="Y38" s="8" t="str">
        <f t="shared" si="1"/>
        <v>Valid</v>
      </c>
      <c r="Z38" s="8" t="str">
        <f t="shared" si="2"/>
        <v>Pass</v>
      </c>
      <c r="AA38" s="8" t="str">
        <f t="shared" si="3"/>
        <v>Pass</v>
      </c>
      <c r="AB38" s="8" t="str">
        <f>TEXT(B38,"mmmm")</f>
        <v>October</v>
      </c>
      <c r="AC38" s="8" t="str">
        <f>TEXT(B38,"yyyy")</f>
        <v>2024</v>
      </c>
      <c r="AE38">
        <f t="shared" si="4"/>
        <v>9379.41</v>
      </c>
      <c r="AF38" s="11">
        <f t="shared" si="5"/>
        <v>9379.41</v>
      </c>
      <c r="AG38">
        <f t="shared" si="6"/>
        <v>2708.5599999999995</v>
      </c>
      <c r="AH38" s="11">
        <f t="shared" si="7"/>
        <v>0.28877722585962223</v>
      </c>
      <c r="AI38" s="44">
        <f t="shared" si="8"/>
        <v>0.28877722585962223</v>
      </c>
    </row>
    <row r="39" spans="1:35">
      <c r="A39" t="s">
        <v>211</v>
      </c>
      <c r="B39" s="5">
        <v>45867</v>
      </c>
      <c r="C39" s="5">
        <v>45867</v>
      </c>
      <c r="D39" s="13">
        <f t="shared" si="0"/>
        <v>0</v>
      </c>
      <c r="E39" t="s">
        <v>212</v>
      </c>
      <c r="F39" t="s">
        <v>162</v>
      </c>
      <c r="G39" t="s">
        <v>24</v>
      </c>
      <c r="H39" t="s">
        <v>63</v>
      </c>
      <c r="I39" t="s">
        <v>64</v>
      </c>
      <c r="J39" t="s">
        <v>65</v>
      </c>
      <c r="K39" t="s">
        <v>74</v>
      </c>
      <c r="L39" t="s">
        <v>80</v>
      </c>
      <c r="M39" t="s">
        <v>213</v>
      </c>
      <c r="N39" t="s">
        <v>59</v>
      </c>
      <c r="O39">
        <v>4</v>
      </c>
      <c r="P39">
        <v>1327.54</v>
      </c>
      <c r="Q39" s="11">
        <v>0.2</v>
      </c>
      <c r="R39">
        <v>4248.13</v>
      </c>
      <c r="S39">
        <v>3321.09</v>
      </c>
      <c r="T39">
        <v>927.04</v>
      </c>
      <c r="U39" t="s">
        <v>32</v>
      </c>
      <c r="V39" t="s">
        <v>33</v>
      </c>
      <c r="X39" s="8" t="str">
        <f>IF(C39&gt;=B39,"Valid", "Invalid-Date")</f>
        <v>Valid</v>
      </c>
      <c r="Y39" s="8" t="str">
        <f t="shared" si="1"/>
        <v>Valid</v>
      </c>
      <c r="Z39" s="8" t="str">
        <f t="shared" si="2"/>
        <v>Pass</v>
      </c>
      <c r="AA39" s="8" t="str">
        <f t="shared" si="3"/>
        <v>Pass</v>
      </c>
      <c r="AB39" s="8" t="str">
        <f>TEXT(B39,"mmmm")</f>
        <v>July</v>
      </c>
      <c r="AC39" s="8" t="str">
        <f>TEXT(B39,"yyyy")</f>
        <v>2025</v>
      </c>
      <c r="AE39">
        <f t="shared" si="4"/>
        <v>5310.16</v>
      </c>
      <c r="AF39" s="11">
        <f t="shared" si="5"/>
        <v>4248.1279999999997</v>
      </c>
      <c r="AG39">
        <f t="shared" si="6"/>
        <v>1989.0699999999997</v>
      </c>
      <c r="AH39" s="11">
        <f t="shared" si="7"/>
        <v>0.37457816713620679</v>
      </c>
      <c r="AI39" s="44">
        <f t="shared" si="8"/>
        <v>0.37457816713620679</v>
      </c>
    </row>
    <row r="40" spans="1:35">
      <c r="A40" t="s">
        <v>214</v>
      </c>
      <c r="B40" s="5">
        <v>45460</v>
      </c>
      <c r="C40" s="5">
        <v>45465</v>
      </c>
      <c r="D40" s="13">
        <f t="shared" si="0"/>
        <v>5</v>
      </c>
      <c r="E40" t="s">
        <v>215</v>
      </c>
      <c r="F40" t="s">
        <v>128</v>
      </c>
      <c r="G40" t="s">
        <v>90</v>
      </c>
      <c r="H40" t="s">
        <v>63</v>
      </c>
      <c r="I40" t="s">
        <v>180</v>
      </c>
      <c r="J40" t="s">
        <v>181</v>
      </c>
      <c r="K40" t="s">
        <v>74</v>
      </c>
      <c r="L40" t="s">
        <v>171</v>
      </c>
      <c r="M40" t="s">
        <v>216</v>
      </c>
      <c r="N40" t="s">
        <v>50</v>
      </c>
      <c r="O40">
        <v>7</v>
      </c>
      <c r="P40">
        <v>2210.6799999999998</v>
      </c>
      <c r="Q40" s="11">
        <v>0.1</v>
      </c>
      <c r="R40">
        <v>13927.28</v>
      </c>
      <c r="S40">
        <v>10504.87</v>
      </c>
      <c r="T40">
        <v>3422.41</v>
      </c>
      <c r="U40" t="s">
        <v>32</v>
      </c>
      <c r="V40" t="s">
        <v>33</v>
      </c>
      <c r="X40" s="8" t="str">
        <f>IF(C40&gt;=B40,"Valid", "Invalid-Date")</f>
        <v>Valid</v>
      </c>
      <c r="Y40" s="8" t="str">
        <f t="shared" si="1"/>
        <v>Valid</v>
      </c>
      <c r="Z40" s="8" t="str">
        <f t="shared" si="2"/>
        <v>Pass</v>
      </c>
      <c r="AA40" s="8" t="str">
        <f t="shared" si="3"/>
        <v>Pass</v>
      </c>
      <c r="AB40" s="8" t="str">
        <f>TEXT(B40,"mmmm")</f>
        <v>June</v>
      </c>
      <c r="AC40" s="8" t="str">
        <f>TEXT(B40,"yyyy")</f>
        <v>2024</v>
      </c>
      <c r="AE40">
        <f t="shared" si="4"/>
        <v>15474.759999999998</v>
      </c>
      <c r="AF40" s="11">
        <f t="shared" si="5"/>
        <v>13927.284</v>
      </c>
      <c r="AG40">
        <f t="shared" si="6"/>
        <v>4969.8899999999976</v>
      </c>
      <c r="AH40" s="11">
        <f t="shared" si="7"/>
        <v>0.32116103900803616</v>
      </c>
      <c r="AI40" s="44">
        <f t="shared" si="8"/>
        <v>0.32116103900803616</v>
      </c>
    </row>
    <row r="41" spans="1:35">
      <c r="A41" t="s">
        <v>217</v>
      </c>
      <c r="B41" s="5">
        <v>45608</v>
      </c>
      <c r="C41" s="5">
        <v>45608</v>
      </c>
      <c r="D41" s="13">
        <f t="shared" si="0"/>
        <v>0</v>
      </c>
      <c r="E41" t="s">
        <v>218</v>
      </c>
      <c r="F41" t="s">
        <v>36</v>
      </c>
      <c r="G41" t="s">
        <v>37</v>
      </c>
      <c r="H41" t="s">
        <v>63</v>
      </c>
      <c r="I41" t="s">
        <v>72</v>
      </c>
      <c r="J41" t="s">
        <v>73</v>
      </c>
      <c r="K41" t="s">
        <v>74</v>
      </c>
      <c r="L41" t="s">
        <v>80</v>
      </c>
      <c r="M41" t="s">
        <v>219</v>
      </c>
      <c r="N41" t="s">
        <v>50</v>
      </c>
      <c r="O41">
        <v>4</v>
      </c>
      <c r="P41">
        <v>1370.92</v>
      </c>
      <c r="Q41" s="11">
        <v>0.1</v>
      </c>
      <c r="R41">
        <v>4935.3100000000004</v>
      </c>
      <c r="S41">
        <v>3374.77</v>
      </c>
      <c r="T41">
        <v>1560.54</v>
      </c>
      <c r="U41" t="s">
        <v>111</v>
      </c>
      <c r="V41" t="s">
        <v>103</v>
      </c>
      <c r="X41" s="8" t="str">
        <f>IF(C41&gt;=B41,"Valid", "Invalid-Date")</f>
        <v>Valid</v>
      </c>
      <c r="Y41" s="8" t="str">
        <f t="shared" si="1"/>
        <v>Valid</v>
      </c>
      <c r="Z41" s="8" t="str">
        <f t="shared" si="2"/>
        <v>Pass</v>
      </c>
      <c r="AA41" s="8" t="str">
        <f t="shared" si="3"/>
        <v>Pass</v>
      </c>
      <c r="AB41" s="8" t="str">
        <f>TEXT(B41,"mmmm")</f>
        <v>November</v>
      </c>
      <c r="AC41" s="8" t="str">
        <f>TEXT(B41,"yyyy")</f>
        <v>2024</v>
      </c>
      <c r="AE41">
        <f t="shared" si="4"/>
        <v>5483.68</v>
      </c>
      <c r="AF41" s="11">
        <f t="shared" si="5"/>
        <v>4935.3120000000008</v>
      </c>
      <c r="AG41">
        <f t="shared" si="6"/>
        <v>2108.9100000000003</v>
      </c>
      <c r="AH41" s="11">
        <f t="shared" si="7"/>
        <v>0.38457933358620494</v>
      </c>
      <c r="AI41" s="44">
        <f t="shared" si="8"/>
        <v>0.38457933358620494</v>
      </c>
    </row>
    <row r="42" spans="1:35">
      <c r="A42" t="s">
        <v>220</v>
      </c>
      <c r="B42" s="5">
        <v>45575</v>
      </c>
      <c r="C42" s="5">
        <v>45581</v>
      </c>
      <c r="D42" s="13">
        <f t="shared" si="0"/>
        <v>6</v>
      </c>
      <c r="E42" t="s">
        <v>221</v>
      </c>
      <c r="F42" t="s">
        <v>47</v>
      </c>
      <c r="G42" t="s">
        <v>95</v>
      </c>
      <c r="H42" t="s">
        <v>63</v>
      </c>
      <c r="I42" t="s">
        <v>26</v>
      </c>
      <c r="J42" t="s">
        <v>109</v>
      </c>
      <c r="K42" t="s">
        <v>74</v>
      </c>
      <c r="L42" t="s">
        <v>80</v>
      </c>
      <c r="M42" t="s">
        <v>222</v>
      </c>
      <c r="N42" t="s">
        <v>59</v>
      </c>
      <c r="O42">
        <v>7</v>
      </c>
      <c r="P42">
        <v>2509.27</v>
      </c>
      <c r="Q42" s="11">
        <v>0.2</v>
      </c>
      <c r="R42">
        <v>14051.91</v>
      </c>
      <c r="S42">
        <v>11990.37</v>
      </c>
      <c r="T42">
        <v>2061.54</v>
      </c>
      <c r="U42" t="s">
        <v>32</v>
      </c>
      <c r="V42" t="s">
        <v>33</v>
      </c>
      <c r="X42" s="8" t="str">
        <f>IF(C42&gt;=B42,"Valid", "Invalid-Date")</f>
        <v>Valid</v>
      </c>
      <c r="Y42" s="8" t="str">
        <f t="shared" si="1"/>
        <v>Valid</v>
      </c>
      <c r="Z42" s="8" t="str">
        <f t="shared" si="2"/>
        <v>Pass</v>
      </c>
      <c r="AA42" s="8" t="str">
        <f t="shared" si="3"/>
        <v>Pass</v>
      </c>
      <c r="AB42" s="8" t="str">
        <f>TEXT(B42,"mmmm")</f>
        <v>October</v>
      </c>
      <c r="AC42" s="8" t="str">
        <f>TEXT(B42,"yyyy")</f>
        <v>2024</v>
      </c>
      <c r="AE42">
        <f t="shared" si="4"/>
        <v>17564.89</v>
      </c>
      <c r="AF42" s="11">
        <f t="shared" si="5"/>
        <v>14051.912</v>
      </c>
      <c r="AG42">
        <f t="shared" si="6"/>
        <v>5574.5199999999986</v>
      </c>
      <c r="AH42" s="11">
        <f t="shared" si="7"/>
        <v>0.31736720241345084</v>
      </c>
      <c r="AI42" s="44">
        <f t="shared" si="8"/>
        <v>0.31736720241345084</v>
      </c>
    </row>
    <row r="43" spans="1:35">
      <c r="A43" t="s">
        <v>223</v>
      </c>
      <c r="B43" s="5">
        <v>45629</v>
      </c>
      <c r="C43" s="5">
        <v>45368</v>
      </c>
      <c r="D43" s="13">
        <f t="shared" si="0"/>
        <v>-261</v>
      </c>
      <c r="E43" t="s">
        <v>224</v>
      </c>
      <c r="F43" t="s">
        <v>128</v>
      </c>
      <c r="G43" t="s">
        <v>37</v>
      </c>
      <c r="H43" t="s">
        <v>38</v>
      </c>
      <c r="I43" t="s">
        <v>39</v>
      </c>
      <c r="J43" t="s">
        <v>40</v>
      </c>
      <c r="K43" t="s">
        <v>41</v>
      </c>
      <c r="L43" t="s">
        <v>158</v>
      </c>
      <c r="M43" t="s">
        <v>225</v>
      </c>
      <c r="N43" t="s">
        <v>44</v>
      </c>
      <c r="O43">
        <v>8</v>
      </c>
      <c r="P43">
        <v>855.81</v>
      </c>
      <c r="Q43" s="11">
        <v>0</v>
      </c>
      <c r="R43">
        <v>6846.48</v>
      </c>
      <c r="S43">
        <v>4239.8900000000003</v>
      </c>
      <c r="T43">
        <v>2606.59</v>
      </c>
      <c r="U43" t="s">
        <v>111</v>
      </c>
      <c r="V43" t="s">
        <v>68</v>
      </c>
      <c r="X43" s="8" t="str">
        <f>IF(C43&gt;=B43,"Valid", "Invalid-Date")</f>
        <v>Invalid-Date</v>
      </c>
      <c r="Y43" s="8" t="str">
        <f t="shared" si="1"/>
        <v>Valid</v>
      </c>
      <c r="Z43" s="8" t="str">
        <f t="shared" si="2"/>
        <v>Pass</v>
      </c>
      <c r="AA43" s="8" t="str">
        <f t="shared" si="3"/>
        <v>Pass</v>
      </c>
      <c r="AB43" s="8" t="str">
        <f>TEXT(B43,"mmmm")</f>
        <v>December</v>
      </c>
      <c r="AC43" s="8" t="str">
        <f>TEXT(B43,"yyyy")</f>
        <v>2024</v>
      </c>
      <c r="AE43">
        <f t="shared" si="4"/>
        <v>6846.48</v>
      </c>
      <c r="AF43" s="11">
        <f t="shared" si="5"/>
        <v>6846.48</v>
      </c>
      <c r="AG43">
        <f t="shared" si="6"/>
        <v>2606.5899999999992</v>
      </c>
      <c r="AH43" s="11">
        <f t="shared" si="7"/>
        <v>0.38071972750961069</v>
      </c>
      <c r="AI43" s="44">
        <f t="shared" si="8"/>
        <v>0.38071972750961069</v>
      </c>
    </row>
    <row r="44" spans="1:35">
      <c r="A44" t="s">
        <v>226</v>
      </c>
      <c r="B44" s="5">
        <v>45940</v>
      </c>
      <c r="C44" s="5">
        <v>45945</v>
      </c>
      <c r="D44" s="13">
        <f t="shared" si="0"/>
        <v>5</v>
      </c>
      <c r="E44" t="s">
        <v>227</v>
      </c>
      <c r="F44" t="s">
        <v>53</v>
      </c>
      <c r="G44" t="s">
        <v>90</v>
      </c>
      <c r="H44" t="s">
        <v>38</v>
      </c>
      <c r="I44" t="s">
        <v>228</v>
      </c>
      <c r="J44" t="s">
        <v>229</v>
      </c>
      <c r="K44" t="s">
        <v>74</v>
      </c>
      <c r="L44" t="s">
        <v>171</v>
      </c>
      <c r="M44" t="s">
        <v>230</v>
      </c>
      <c r="N44" t="s">
        <v>59</v>
      </c>
      <c r="O44">
        <v>8</v>
      </c>
      <c r="P44">
        <v>979.87</v>
      </c>
      <c r="Q44" s="11">
        <v>0.05</v>
      </c>
      <c r="R44">
        <v>7447.01</v>
      </c>
      <c r="S44">
        <v>4496.22</v>
      </c>
      <c r="T44">
        <v>2950.79</v>
      </c>
      <c r="U44" t="s">
        <v>32</v>
      </c>
      <c r="V44" t="s">
        <v>33</v>
      </c>
      <c r="X44" s="8" t="str">
        <f>IF(C44&gt;=B44,"Valid", "Invalid-Date")</f>
        <v>Valid</v>
      </c>
      <c r="Y44" s="8" t="str">
        <f t="shared" si="1"/>
        <v>Valid</v>
      </c>
      <c r="Z44" s="8" t="str">
        <f t="shared" si="2"/>
        <v>Pass</v>
      </c>
      <c r="AA44" s="8" t="str">
        <f t="shared" si="3"/>
        <v>Pass</v>
      </c>
      <c r="AB44" s="8" t="str">
        <f>TEXT(B44,"mmmm")</f>
        <v>October</v>
      </c>
      <c r="AC44" s="8" t="str">
        <f>TEXT(B44,"yyyy")</f>
        <v>2025</v>
      </c>
      <c r="AE44">
        <f t="shared" si="4"/>
        <v>7838.96</v>
      </c>
      <c r="AF44" s="11">
        <f t="shared" si="5"/>
        <v>7447.0119999999997</v>
      </c>
      <c r="AG44">
        <f t="shared" si="6"/>
        <v>3342.74</v>
      </c>
      <c r="AH44" s="11">
        <f t="shared" si="7"/>
        <v>0.42642646473511792</v>
      </c>
      <c r="AI44" s="44">
        <f t="shared" si="8"/>
        <v>0.42642646473511792</v>
      </c>
    </row>
    <row r="45" spans="1:35">
      <c r="A45" t="s">
        <v>231</v>
      </c>
      <c r="B45" s="5">
        <v>45511</v>
      </c>
      <c r="C45" s="5">
        <v>45487</v>
      </c>
      <c r="D45" s="13">
        <f t="shared" si="0"/>
        <v>-24</v>
      </c>
      <c r="E45" t="s">
        <v>232</v>
      </c>
      <c r="F45" t="s">
        <v>114</v>
      </c>
      <c r="G45" t="s">
        <v>37</v>
      </c>
      <c r="H45" t="s">
        <v>38</v>
      </c>
      <c r="I45" t="s">
        <v>39</v>
      </c>
      <c r="J45" t="s">
        <v>40</v>
      </c>
      <c r="K45" t="s">
        <v>41</v>
      </c>
      <c r="L45" t="s">
        <v>57</v>
      </c>
      <c r="M45" t="s">
        <v>233</v>
      </c>
      <c r="N45" t="s">
        <v>44</v>
      </c>
      <c r="O45">
        <v>3</v>
      </c>
      <c r="P45">
        <v>1010.23</v>
      </c>
      <c r="Q45" s="11">
        <v>0</v>
      </c>
      <c r="R45">
        <v>3030.69</v>
      </c>
      <c r="S45">
        <v>1721.08</v>
      </c>
      <c r="T45">
        <v>1309.6099999999999</v>
      </c>
      <c r="U45" t="s">
        <v>32</v>
      </c>
      <c r="V45" t="s">
        <v>33</v>
      </c>
      <c r="X45" s="8" t="str">
        <f>IF(C45&gt;=B45,"Valid", "Invalid-Date")</f>
        <v>Invalid-Date</v>
      </c>
      <c r="Y45" s="8" t="str">
        <f t="shared" si="1"/>
        <v>Valid</v>
      </c>
      <c r="Z45" s="8" t="str">
        <f t="shared" si="2"/>
        <v>Pass</v>
      </c>
      <c r="AA45" s="8" t="str">
        <f t="shared" si="3"/>
        <v>Pass</v>
      </c>
      <c r="AB45" s="8" t="str">
        <f>TEXT(B45,"mmmm")</f>
        <v>August</v>
      </c>
      <c r="AC45" s="8" t="str">
        <f>TEXT(B45,"yyyy")</f>
        <v>2024</v>
      </c>
      <c r="AE45">
        <f t="shared" si="4"/>
        <v>3030.69</v>
      </c>
      <c r="AF45" s="11">
        <f t="shared" si="5"/>
        <v>3030.69</v>
      </c>
      <c r="AG45">
        <f t="shared" si="6"/>
        <v>1309.6100000000001</v>
      </c>
      <c r="AH45" s="11">
        <f t="shared" si="7"/>
        <v>0.43211611877163292</v>
      </c>
      <c r="AI45" s="44">
        <f t="shared" si="8"/>
        <v>0.43211611877163292</v>
      </c>
    </row>
    <row r="46" spans="1:35">
      <c r="A46" t="s">
        <v>234</v>
      </c>
      <c r="B46" s="5">
        <v>45465</v>
      </c>
      <c r="C46" s="5">
        <v>45468</v>
      </c>
      <c r="D46" s="13">
        <f t="shared" si="0"/>
        <v>3</v>
      </c>
      <c r="E46" t="s">
        <v>235</v>
      </c>
      <c r="F46" t="s">
        <v>141</v>
      </c>
      <c r="G46" t="s">
        <v>37</v>
      </c>
      <c r="H46" t="s">
        <v>25</v>
      </c>
      <c r="I46" t="s">
        <v>236</v>
      </c>
      <c r="J46" t="s">
        <v>237</v>
      </c>
      <c r="K46" t="s">
        <v>41</v>
      </c>
      <c r="L46" t="s">
        <v>66</v>
      </c>
      <c r="M46" t="s">
        <v>238</v>
      </c>
      <c r="N46" t="s">
        <v>59</v>
      </c>
      <c r="O46">
        <v>9</v>
      </c>
      <c r="P46">
        <v>3329.77</v>
      </c>
      <c r="Q46" s="11">
        <v>0.1</v>
      </c>
      <c r="R46">
        <v>26971.14</v>
      </c>
      <c r="S46">
        <v>17376.2</v>
      </c>
      <c r="T46">
        <v>9594.94</v>
      </c>
      <c r="U46" t="s">
        <v>32</v>
      </c>
      <c r="V46" t="s">
        <v>33</v>
      </c>
      <c r="X46" s="8" t="str">
        <f>IF(C46&gt;=B46,"Valid", "Invalid-Date")</f>
        <v>Valid</v>
      </c>
      <c r="Y46" s="8" t="str">
        <f t="shared" si="1"/>
        <v>Valid</v>
      </c>
      <c r="Z46" s="8" t="str">
        <f t="shared" si="2"/>
        <v>Pass</v>
      </c>
      <c r="AA46" s="8" t="str">
        <f t="shared" si="3"/>
        <v>Pass</v>
      </c>
      <c r="AB46" s="8" t="str">
        <f>TEXT(B46,"mmmm")</f>
        <v>June</v>
      </c>
      <c r="AC46" s="8" t="str">
        <f>TEXT(B46,"yyyy")</f>
        <v>2024</v>
      </c>
      <c r="AE46">
        <f t="shared" si="4"/>
        <v>29967.93</v>
      </c>
      <c r="AF46" s="11">
        <f t="shared" si="5"/>
        <v>26971.137000000002</v>
      </c>
      <c r="AG46">
        <f t="shared" si="6"/>
        <v>12591.73</v>
      </c>
      <c r="AH46" s="11">
        <f t="shared" si="7"/>
        <v>0.42017349880355431</v>
      </c>
      <c r="AI46" s="44">
        <f t="shared" si="8"/>
        <v>0.42017349880355431</v>
      </c>
    </row>
    <row r="47" spans="1:35">
      <c r="A47" t="s">
        <v>239</v>
      </c>
      <c r="B47" s="5">
        <v>45309</v>
      </c>
      <c r="C47" s="5">
        <v>45315</v>
      </c>
      <c r="D47" s="13">
        <f t="shared" si="0"/>
        <v>6</v>
      </c>
      <c r="E47" t="s">
        <v>240</v>
      </c>
      <c r="F47" t="s">
        <v>47</v>
      </c>
      <c r="G47" t="s">
        <v>95</v>
      </c>
      <c r="H47" t="s">
        <v>38</v>
      </c>
      <c r="I47" t="s">
        <v>145</v>
      </c>
      <c r="J47" t="s">
        <v>146</v>
      </c>
      <c r="K47" t="s">
        <v>28</v>
      </c>
      <c r="L47" t="s">
        <v>48</v>
      </c>
      <c r="M47" t="s">
        <v>241</v>
      </c>
      <c r="N47" t="s">
        <v>31</v>
      </c>
      <c r="O47">
        <v>8</v>
      </c>
      <c r="P47">
        <v>3927.82</v>
      </c>
      <c r="Q47" s="11">
        <v>0.05</v>
      </c>
      <c r="R47">
        <v>29851.43</v>
      </c>
      <c r="S47">
        <v>17487.48</v>
      </c>
      <c r="T47">
        <v>12363.95</v>
      </c>
      <c r="U47" t="s">
        <v>111</v>
      </c>
      <c r="V47" t="s">
        <v>103</v>
      </c>
      <c r="X47" s="8" t="str">
        <f>IF(C47&gt;=B47,"Valid", "Invalid-Date")</f>
        <v>Valid</v>
      </c>
      <c r="Y47" s="8" t="str">
        <f t="shared" si="1"/>
        <v>Valid</v>
      </c>
      <c r="Z47" s="8" t="str">
        <f t="shared" si="2"/>
        <v>Pass</v>
      </c>
      <c r="AA47" s="8" t="str">
        <f t="shared" si="3"/>
        <v>Pass</v>
      </c>
      <c r="AB47" s="8" t="str">
        <f>TEXT(B47,"mmmm")</f>
        <v>January</v>
      </c>
      <c r="AC47" s="8" t="str">
        <f>TEXT(B47,"yyyy")</f>
        <v>2024</v>
      </c>
      <c r="AE47">
        <f t="shared" si="4"/>
        <v>31422.560000000001</v>
      </c>
      <c r="AF47" s="11">
        <f t="shared" si="5"/>
        <v>29851.432000000001</v>
      </c>
      <c r="AG47">
        <f t="shared" si="6"/>
        <v>13935.080000000002</v>
      </c>
      <c r="AH47" s="11">
        <f t="shared" si="7"/>
        <v>0.44347373352139358</v>
      </c>
      <c r="AI47" s="44">
        <f t="shared" si="8"/>
        <v>0.44347373352139358</v>
      </c>
    </row>
    <row r="48" spans="1:35">
      <c r="A48" t="s">
        <v>242</v>
      </c>
      <c r="B48" s="5">
        <v>45492</v>
      </c>
      <c r="C48" s="5">
        <v>45492</v>
      </c>
      <c r="D48" s="13">
        <f t="shared" si="0"/>
        <v>0</v>
      </c>
      <c r="E48" t="s">
        <v>243</v>
      </c>
      <c r="F48" t="s">
        <v>62</v>
      </c>
      <c r="G48" t="s">
        <v>37</v>
      </c>
      <c r="H48" t="s">
        <v>54</v>
      </c>
      <c r="I48" t="s">
        <v>185</v>
      </c>
      <c r="J48" t="s">
        <v>186</v>
      </c>
      <c r="K48" t="s">
        <v>41</v>
      </c>
      <c r="L48" t="s">
        <v>158</v>
      </c>
      <c r="M48" t="s">
        <v>244</v>
      </c>
      <c r="N48" t="s">
        <v>59</v>
      </c>
      <c r="O48">
        <v>9</v>
      </c>
      <c r="P48">
        <v>2386.79</v>
      </c>
      <c r="Q48" s="11">
        <v>0.25</v>
      </c>
      <c r="R48">
        <v>16110.83</v>
      </c>
      <c r="S48">
        <v>10680.03</v>
      </c>
      <c r="T48">
        <v>5430.8</v>
      </c>
      <c r="U48" t="s">
        <v>102</v>
      </c>
      <c r="V48" t="s">
        <v>103</v>
      </c>
      <c r="X48" s="8" t="str">
        <f>IF(C48&gt;=B48,"Valid", "Invalid-Date")</f>
        <v>Valid</v>
      </c>
      <c r="Y48" s="8" t="str">
        <f t="shared" si="1"/>
        <v>Valid</v>
      </c>
      <c r="Z48" s="8" t="str">
        <f t="shared" si="2"/>
        <v>Pass</v>
      </c>
      <c r="AA48" s="8" t="str">
        <f t="shared" si="3"/>
        <v>Pass</v>
      </c>
      <c r="AB48" s="8" t="str">
        <f>TEXT(B48,"mmmm")</f>
        <v>July</v>
      </c>
      <c r="AC48" s="8" t="str">
        <f>TEXT(B48,"yyyy")</f>
        <v>2024</v>
      </c>
      <c r="AE48">
        <f t="shared" si="4"/>
        <v>21481.11</v>
      </c>
      <c r="AF48" s="11">
        <f t="shared" si="5"/>
        <v>16110.8325</v>
      </c>
      <c r="AG48">
        <f t="shared" si="6"/>
        <v>10801.08</v>
      </c>
      <c r="AH48" s="11">
        <f t="shared" si="7"/>
        <v>0.50281759182835517</v>
      </c>
      <c r="AI48" s="44">
        <f t="shared" si="8"/>
        <v>0.50281759182835517</v>
      </c>
    </row>
    <row r="49" spans="1:35">
      <c r="A49" t="s">
        <v>245</v>
      </c>
      <c r="B49" s="5">
        <v>45516</v>
      </c>
      <c r="C49" s="5">
        <v>45634</v>
      </c>
      <c r="D49" s="13">
        <f t="shared" si="0"/>
        <v>118</v>
      </c>
      <c r="E49" t="s">
        <v>246</v>
      </c>
      <c r="F49" t="s">
        <v>118</v>
      </c>
      <c r="G49" t="s">
        <v>90</v>
      </c>
      <c r="H49" t="s">
        <v>54</v>
      </c>
      <c r="I49" t="s">
        <v>247</v>
      </c>
      <c r="J49" t="s">
        <v>248</v>
      </c>
      <c r="K49" t="s">
        <v>28</v>
      </c>
      <c r="L49" t="s">
        <v>124</v>
      </c>
      <c r="M49" t="s">
        <v>249</v>
      </c>
      <c r="N49" t="s">
        <v>59</v>
      </c>
      <c r="O49">
        <v>8</v>
      </c>
      <c r="P49">
        <v>2445.31</v>
      </c>
      <c r="Q49" s="11">
        <v>0.1</v>
      </c>
      <c r="R49">
        <v>17606.23</v>
      </c>
      <c r="S49">
        <v>12438.96</v>
      </c>
      <c r="T49">
        <v>5167.2700000000004</v>
      </c>
      <c r="U49" t="s">
        <v>32</v>
      </c>
      <c r="V49" t="s">
        <v>33</v>
      </c>
      <c r="X49" s="8" t="str">
        <f>IF(C49&gt;=B49,"Valid", "Invalid-Date")</f>
        <v>Valid</v>
      </c>
      <c r="Y49" s="8" t="str">
        <f t="shared" si="1"/>
        <v>Valid</v>
      </c>
      <c r="Z49" s="8" t="str">
        <f t="shared" si="2"/>
        <v>Pass</v>
      </c>
      <c r="AA49" s="8" t="str">
        <f t="shared" si="3"/>
        <v>Pass</v>
      </c>
      <c r="AB49" s="8" t="str">
        <f>TEXT(B49,"mmmm")</f>
        <v>August</v>
      </c>
      <c r="AC49" s="8" t="str">
        <f>TEXT(B49,"yyyy")</f>
        <v>2024</v>
      </c>
      <c r="AE49">
        <f t="shared" si="4"/>
        <v>19562.48</v>
      </c>
      <c r="AF49" s="11">
        <f t="shared" si="5"/>
        <v>17606.232</v>
      </c>
      <c r="AG49">
        <f t="shared" si="6"/>
        <v>7123.52</v>
      </c>
      <c r="AH49" s="11">
        <f t="shared" si="7"/>
        <v>0.36414196972980933</v>
      </c>
      <c r="AI49" s="44">
        <f t="shared" si="8"/>
        <v>0.36414196972980933</v>
      </c>
    </row>
    <row r="50" spans="1:35">
      <c r="A50" t="s">
        <v>250</v>
      </c>
      <c r="B50" s="5">
        <v>45687</v>
      </c>
      <c r="C50" s="5">
        <v>45779</v>
      </c>
      <c r="D50" s="13">
        <f t="shared" si="0"/>
        <v>92</v>
      </c>
      <c r="E50" t="s">
        <v>251</v>
      </c>
      <c r="F50" t="s">
        <v>79</v>
      </c>
      <c r="G50" t="s">
        <v>90</v>
      </c>
      <c r="H50" t="s">
        <v>63</v>
      </c>
      <c r="I50" t="s">
        <v>64</v>
      </c>
      <c r="J50" t="s">
        <v>65</v>
      </c>
      <c r="K50" t="s">
        <v>41</v>
      </c>
      <c r="L50" t="s">
        <v>66</v>
      </c>
      <c r="M50" t="s">
        <v>252</v>
      </c>
      <c r="N50" t="s">
        <v>31</v>
      </c>
      <c r="O50">
        <v>7</v>
      </c>
      <c r="P50">
        <v>4063.66</v>
      </c>
      <c r="Q50" s="11">
        <v>0</v>
      </c>
      <c r="R50">
        <v>28445.62</v>
      </c>
      <c r="S50">
        <v>20938.59</v>
      </c>
      <c r="T50">
        <v>7507.03</v>
      </c>
      <c r="U50" t="s">
        <v>32</v>
      </c>
      <c r="V50" t="s">
        <v>33</v>
      </c>
      <c r="X50" s="8" t="str">
        <f>IF(C50&gt;=B50,"Valid", "Invalid-Date")</f>
        <v>Valid</v>
      </c>
      <c r="Y50" s="8" t="str">
        <f t="shared" si="1"/>
        <v>Valid</v>
      </c>
      <c r="Z50" s="8" t="str">
        <f t="shared" si="2"/>
        <v>Pass</v>
      </c>
      <c r="AA50" s="8" t="str">
        <f t="shared" si="3"/>
        <v>Pass</v>
      </c>
      <c r="AB50" s="8" t="str">
        <f>TEXT(B50,"mmmm")</f>
        <v>January</v>
      </c>
      <c r="AC50" s="8" t="str">
        <f>TEXT(B50,"yyyy")</f>
        <v>2025</v>
      </c>
      <c r="AE50">
        <f t="shared" si="4"/>
        <v>28445.62</v>
      </c>
      <c r="AF50" s="11">
        <f t="shared" si="5"/>
        <v>28445.62</v>
      </c>
      <c r="AG50">
        <f t="shared" si="6"/>
        <v>7507.0299999999988</v>
      </c>
      <c r="AH50" s="11">
        <f t="shared" si="7"/>
        <v>0.26390811660986818</v>
      </c>
      <c r="AI50" s="44">
        <f t="shared" si="8"/>
        <v>0.26390811660986818</v>
      </c>
    </row>
    <row r="51" spans="1:35">
      <c r="A51" t="s">
        <v>253</v>
      </c>
      <c r="B51" s="5">
        <v>45388</v>
      </c>
      <c r="C51" s="5">
        <v>45395</v>
      </c>
      <c r="D51" s="13">
        <f t="shared" si="0"/>
        <v>7</v>
      </c>
      <c r="E51" t="s">
        <v>254</v>
      </c>
      <c r="F51" t="s">
        <v>128</v>
      </c>
      <c r="G51" t="s">
        <v>95</v>
      </c>
      <c r="H51" t="s">
        <v>25</v>
      </c>
      <c r="I51" t="s">
        <v>136</v>
      </c>
      <c r="J51" t="s">
        <v>137</v>
      </c>
      <c r="K51" t="s">
        <v>74</v>
      </c>
      <c r="L51" t="s">
        <v>80</v>
      </c>
      <c r="M51" t="s">
        <v>255</v>
      </c>
      <c r="N51" t="s">
        <v>31</v>
      </c>
      <c r="O51">
        <v>9</v>
      </c>
      <c r="P51">
        <v>792.11</v>
      </c>
      <c r="Q51" s="11">
        <v>0.05</v>
      </c>
      <c r="R51">
        <v>6772.54</v>
      </c>
      <c r="S51">
        <v>5755.46</v>
      </c>
      <c r="T51">
        <v>1017.08</v>
      </c>
      <c r="U51" t="s">
        <v>32</v>
      </c>
      <c r="V51" t="s">
        <v>33</v>
      </c>
      <c r="X51" s="8" t="str">
        <f>IF(C51&gt;=B51,"Valid", "Invalid-Date")</f>
        <v>Valid</v>
      </c>
      <c r="Y51" s="8" t="str">
        <f t="shared" si="1"/>
        <v>Valid</v>
      </c>
      <c r="Z51" s="8" t="str">
        <f t="shared" si="2"/>
        <v>Pass</v>
      </c>
      <c r="AA51" s="8" t="str">
        <f t="shared" si="3"/>
        <v>Pass</v>
      </c>
      <c r="AB51" s="8" t="str">
        <f>TEXT(B51,"mmmm")</f>
        <v>April</v>
      </c>
      <c r="AC51" s="8" t="str">
        <f>TEXT(B51,"yyyy")</f>
        <v>2024</v>
      </c>
      <c r="AE51">
        <f t="shared" si="4"/>
        <v>7128.99</v>
      </c>
      <c r="AF51" s="11">
        <f t="shared" si="5"/>
        <v>6772.5404999999992</v>
      </c>
      <c r="AG51">
        <f t="shared" si="6"/>
        <v>1373.5299999999997</v>
      </c>
      <c r="AH51" s="11">
        <f t="shared" si="7"/>
        <v>0.19266824613304265</v>
      </c>
      <c r="AI51" s="44">
        <f t="shared" si="8"/>
        <v>0.19266824613304265</v>
      </c>
    </row>
    <row r="52" spans="1:35">
      <c r="A52" t="s">
        <v>256</v>
      </c>
      <c r="B52" s="5">
        <v>45966</v>
      </c>
      <c r="C52" s="5">
        <v>45796</v>
      </c>
      <c r="D52" s="13">
        <f t="shared" si="0"/>
        <v>-170</v>
      </c>
      <c r="E52" t="s">
        <v>257</v>
      </c>
      <c r="F52" t="s">
        <v>132</v>
      </c>
      <c r="G52" t="s">
        <v>24</v>
      </c>
      <c r="H52" t="s">
        <v>38</v>
      </c>
      <c r="I52" t="s">
        <v>99</v>
      </c>
      <c r="J52" t="s">
        <v>100</v>
      </c>
      <c r="K52" t="s">
        <v>74</v>
      </c>
      <c r="L52" t="s">
        <v>80</v>
      </c>
      <c r="M52" t="s">
        <v>258</v>
      </c>
      <c r="N52" t="s">
        <v>59</v>
      </c>
      <c r="O52">
        <v>1</v>
      </c>
      <c r="P52">
        <v>2382.8000000000002</v>
      </c>
      <c r="Q52" s="11">
        <v>0.15</v>
      </c>
      <c r="R52">
        <v>2025.38</v>
      </c>
      <c r="S52">
        <v>1140.6500000000001</v>
      </c>
      <c r="T52">
        <v>884.73</v>
      </c>
      <c r="U52" t="s">
        <v>32</v>
      </c>
      <c r="V52" t="s">
        <v>33</v>
      </c>
      <c r="X52" s="8" t="str">
        <f>IF(C52&gt;=B52,"Valid", "Invalid-Date")</f>
        <v>Invalid-Date</v>
      </c>
      <c r="Y52" s="8" t="str">
        <f t="shared" si="1"/>
        <v>Valid</v>
      </c>
      <c r="Z52" s="8" t="str">
        <f t="shared" si="2"/>
        <v>Pass</v>
      </c>
      <c r="AA52" s="8" t="str">
        <f t="shared" si="3"/>
        <v>Pass</v>
      </c>
      <c r="AB52" s="8" t="str">
        <f>TEXT(B52,"mmmm")</f>
        <v>November</v>
      </c>
      <c r="AC52" s="8" t="str">
        <f>TEXT(B52,"yyyy")</f>
        <v>2025</v>
      </c>
      <c r="AE52">
        <f t="shared" si="4"/>
        <v>2382.8000000000002</v>
      </c>
      <c r="AF52" s="11">
        <f t="shared" si="5"/>
        <v>2025.38</v>
      </c>
      <c r="AG52">
        <f t="shared" si="6"/>
        <v>1242.1500000000001</v>
      </c>
      <c r="AH52" s="11">
        <f t="shared" si="7"/>
        <v>0.52129847238542892</v>
      </c>
      <c r="AI52" s="44">
        <f t="shared" si="8"/>
        <v>0.52129847238542892</v>
      </c>
    </row>
    <row r="53" spans="1:35">
      <c r="A53" t="s">
        <v>259</v>
      </c>
      <c r="B53" s="5">
        <v>45406</v>
      </c>
      <c r="C53" s="5">
        <v>45411</v>
      </c>
      <c r="D53" s="13">
        <f t="shared" si="0"/>
        <v>5</v>
      </c>
      <c r="E53" t="s">
        <v>260</v>
      </c>
      <c r="F53" t="s">
        <v>62</v>
      </c>
      <c r="G53" t="s">
        <v>90</v>
      </c>
      <c r="H53" t="s">
        <v>54</v>
      </c>
      <c r="I53" t="s">
        <v>55</v>
      </c>
      <c r="J53" t="s">
        <v>56</v>
      </c>
      <c r="K53" t="s">
        <v>28</v>
      </c>
      <c r="L53" t="s">
        <v>48</v>
      </c>
      <c r="M53" t="s">
        <v>261</v>
      </c>
      <c r="N53" t="s">
        <v>59</v>
      </c>
      <c r="O53">
        <v>6</v>
      </c>
      <c r="P53">
        <v>1528.08</v>
      </c>
      <c r="Q53" s="11">
        <v>0</v>
      </c>
      <c r="R53">
        <v>9168.48</v>
      </c>
      <c r="S53">
        <v>7439.77</v>
      </c>
      <c r="T53">
        <v>1728.71</v>
      </c>
      <c r="U53" t="s">
        <v>32</v>
      </c>
      <c r="V53" t="s">
        <v>33</v>
      </c>
      <c r="X53" s="8" t="str">
        <f>IF(C53&gt;=B53,"Valid", "Invalid-Date")</f>
        <v>Valid</v>
      </c>
      <c r="Y53" s="8" t="str">
        <f t="shared" si="1"/>
        <v>Valid</v>
      </c>
      <c r="Z53" s="8" t="str">
        <f t="shared" si="2"/>
        <v>Pass</v>
      </c>
      <c r="AA53" s="8" t="str">
        <f t="shared" si="3"/>
        <v>Pass</v>
      </c>
      <c r="AB53" s="8" t="str">
        <f>TEXT(B53,"mmmm")</f>
        <v>April</v>
      </c>
      <c r="AC53" s="8" t="str">
        <f>TEXT(B53,"yyyy")</f>
        <v>2024</v>
      </c>
      <c r="AE53">
        <f t="shared" si="4"/>
        <v>9168.48</v>
      </c>
      <c r="AF53" s="11">
        <f t="shared" si="5"/>
        <v>9168.48</v>
      </c>
      <c r="AG53">
        <f t="shared" si="6"/>
        <v>1728.7099999999991</v>
      </c>
      <c r="AH53" s="11">
        <f t="shared" si="7"/>
        <v>0.18854924698532355</v>
      </c>
      <c r="AI53" s="44">
        <f t="shared" si="8"/>
        <v>0.18854924698532355</v>
      </c>
    </row>
    <row r="54" spans="1:35">
      <c r="A54" t="s">
        <v>262</v>
      </c>
      <c r="B54" s="5">
        <v>45591</v>
      </c>
      <c r="C54" s="5">
        <v>45593</v>
      </c>
      <c r="D54" s="13">
        <f t="shared" si="0"/>
        <v>2</v>
      </c>
      <c r="E54" t="s">
        <v>263</v>
      </c>
      <c r="F54" t="s">
        <v>264</v>
      </c>
      <c r="G54" t="s">
        <v>37</v>
      </c>
      <c r="H54" t="s">
        <v>25</v>
      </c>
      <c r="I54" t="s">
        <v>26</v>
      </c>
      <c r="J54" t="s">
        <v>27</v>
      </c>
      <c r="K54" t="s">
        <v>41</v>
      </c>
      <c r="L54" t="s">
        <v>66</v>
      </c>
      <c r="M54" t="s">
        <v>265</v>
      </c>
      <c r="N54" t="s">
        <v>50</v>
      </c>
      <c r="O54">
        <v>9</v>
      </c>
      <c r="P54">
        <v>1399.63</v>
      </c>
      <c r="Q54" s="11">
        <v>0</v>
      </c>
      <c r="R54">
        <v>12596.67</v>
      </c>
      <c r="S54">
        <v>10603.29</v>
      </c>
      <c r="T54">
        <v>1993.38</v>
      </c>
      <c r="U54" t="s">
        <v>155</v>
      </c>
      <c r="V54" t="s">
        <v>68</v>
      </c>
      <c r="X54" s="8" t="str">
        <f>IF(C54&gt;=B54,"Valid", "Invalid-Date")</f>
        <v>Valid</v>
      </c>
      <c r="Y54" s="8" t="str">
        <f t="shared" si="1"/>
        <v>Valid</v>
      </c>
      <c r="Z54" s="8" t="str">
        <f t="shared" si="2"/>
        <v>Pass</v>
      </c>
      <c r="AA54" s="8" t="str">
        <f t="shared" si="3"/>
        <v>Pass</v>
      </c>
      <c r="AB54" s="8" t="str">
        <f>TEXT(B54,"mmmm")</f>
        <v>October</v>
      </c>
      <c r="AC54" s="8" t="str">
        <f>TEXT(B54,"yyyy")</f>
        <v>2024</v>
      </c>
      <c r="AE54">
        <f t="shared" si="4"/>
        <v>12596.670000000002</v>
      </c>
      <c r="AF54" s="11">
        <f t="shared" si="5"/>
        <v>12596.670000000002</v>
      </c>
      <c r="AG54">
        <f t="shared" si="6"/>
        <v>1993.380000000001</v>
      </c>
      <c r="AH54" s="11">
        <f t="shared" si="7"/>
        <v>0.15824658421630483</v>
      </c>
      <c r="AI54" s="44">
        <f t="shared" si="8"/>
        <v>0.15824658421630483</v>
      </c>
    </row>
    <row r="55" spans="1:35">
      <c r="A55" t="s">
        <v>266</v>
      </c>
      <c r="B55" s="5">
        <v>45747</v>
      </c>
      <c r="C55" s="5">
        <v>45747</v>
      </c>
      <c r="D55" s="13">
        <f t="shared" si="0"/>
        <v>0</v>
      </c>
      <c r="E55" t="s">
        <v>267</v>
      </c>
      <c r="F55" t="s">
        <v>264</v>
      </c>
      <c r="G55" t="s">
        <v>95</v>
      </c>
      <c r="H55" t="s">
        <v>63</v>
      </c>
      <c r="I55" t="s">
        <v>180</v>
      </c>
      <c r="J55" t="s">
        <v>181</v>
      </c>
      <c r="K55" t="s">
        <v>28</v>
      </c>
      <c r="L55" t="s">
        <v>124</v>
      </c>
      <c r="M55" t="s">
        <v>268</v>
      </c>
      <c r="N55" t="s">
        <v>50</v>
      </c>
      <c r="O55">
        <v>5</v>
      </c>
      <c r="P55">
        <v>1207.47</v>
      </c>
      <c r="Q55" s="11">
        <v>0.15</v>
      </c>
      <c r="R55">
        <v>5131.75</v>
      </c>
      <c r="S55">
        <v>2838.68</v>
      </c>
      <c r="T55">
        <v>2293.0700000000002</v>
      </c>
      <c r="U55" t="s">
        <v>32</v>
      </c>
      <c r="V55" t="s">
        <v>33</v>
      </c>
      <c r="X55" s="8" t="str">
        <f>IF(C55&gt;=B55,"Valid", "Invalid-Date")</f>
        <v>Valid</v>
      </c>
      <c r="Y55" s="8" t="str">
        <f t="shared" si="1"/>
        <v>Valid</v>
      </c>
      <c r="Z55" s="8" t="str">
        <f t="shared" si="2"/>
        <v>Pass</v>
      </c>
      <c r="AA55" s="8" t="str">
        <f t="shared" si="3"/>
        <v>Pass</v>
      </c>
      <c r="AB55" s="8" t="str">
        <f>TEXT(B55,"mmmm")</f>
        <v>March</v>
      </c>
      <c r="AC55" s="8" t="str">
        <f>TEXT(B55,"yyyy")</f>
        <v>2025</v>
      </c>
      <c r="AE55">
        <f t="shared" si="4"/>
        <v>6037.35</v>
      </c>
      <c r="AF55" s="11">
        <f t="shared" si="5"/>
        <v>5131.7475000000004</v>
      </c>
      <c r="AG55">
        <f t="shared" si="6"/>
        <v>3198.6700000000005</v>
      </c>
      <c r="AH55" s="11">
        <f t="shared" si="7"/>
        <v>0.52981357714891475</v>
      </c>
      <c r="AI55" s="44">
        <f t="shared" si="8"/>
        <v>0.52981357714891475</v>
      </c>
    </row>
    <row r="56" spans="1:35">
      <c r="A56" t="s">
        <v>269</v>
      </c>
      <c r="B56" s="5">
        <v>45807</v>
      </c>
      <c r="C56" s="5">
        <v>45694</v>
      </c>
      <c r="D56" s="13">
        <f t="shared" si="0"/>
        <v>-113</v>
      </c>
      <c r="E56" t="s">
        <v>270</v>
      </c>
      <c r="F56" t="s">
        <v>53</v>
      </c>
      <c r="G56" t="s">
        <v>90</v>
      </c>
      <c r="H56" t="s">
        <v>54</v>
      </c>
      <c r="I56" t="s">
        <v>247</v>
      </c>
      <c r="J56" t="s">
        <v>248</v>
      </c>
      <c r="K56" t="s">
        <v>28</v>
      </c>
      <c r="L56" t="s">
        <v>91</v>
      </c>
      <c r="M56" t="s">
        <v>271</v>
      </c>
      <c r="N56" t="s">
        <v>44</v>
      </c>
      <c r="O56">
        <v>8</v>
      </c>
      <c r="P56">
        <v>474.37</v>
      </c>
      <c r="Q56" s="11">
        <v>0.1</v>
      </c>
      <c r="R56">
        <v>3415.46</v>
      </c>
      <c r="S56">
        <v>1993.23</v>
      </c>
      <c r="T56">
        <v>1422.23</v>
      </c>
      <c r="U56" t="s">
        <v>155</v>
      </c>
      <c r="V56" t="s">
        <v>68</v>
      </c>
      <c r="X56" s="8" t="str">
        <f>IF(C56&gt;=B56,"Valid", "Invalid-Date")</f>
        <v>Invalid-Date</v>
      </c>
      <c r="Y56" s="8" t="str">
        <f t="shared" si="1"/>
        <v>Valid</v>
      </c>
      <c r="Z56" s="8" t="str">
        <f t="shared" si="2"/>
        <v>Pass</v>
      </c>
      <c r="AA56" s="8" t="str">
        <f t="shared" si="3"/>
        <v>Pass</v>
      </c>
      <c r="AB56" s="8" t="str">
        <f>TEXT(B56,"mmmm")</f>
        <v>May</v>
      </c>
      <c r="AC56" s="8" t="str">
        <f>TEXT(B56,"yyyy")</f>
        <v>2025</v>
      </c>
      <c r="AE56">
        <f t="shared" si="4"/>
        <v>3794.96</v>
      </c>
      <c r="AF56" s="11">
        <f t="shared" si="5"/>
        <v>3415.4639999999999</v>
      </c>
      <c r="AG56">
        <f t="shared" si="6"/>
        <v>1801.73</v>
      </c>
      <c r="AH56" s="11">
        <f t="shared" si="7"/>
        <v>0.47476916752745746</v>
      </c>
      <c r="AI56" s="44">
        <f t="shared" si="8"/>
        <v>0.47476916752745746</v>
      </c>
    </row>
    <row r="57" spans="1:35">
      <c r="A57" t="s">
        <v>272</v>
      </c>
      <c r="B57" s="5">
        <v>45839</v>
      </c>
      <c r="C57" s="5">
        <v>45841</v>
      </c>
      <c r="D57" s="13">
        <f t="shared" si="0"/>
        <v>2</v>
      </c>
      <c r="E57" t="s">
        <v>273</v>
      </c>
      <c r="F57" t="s">
        <v>36</v>
      </c>
      <c r="G57" t="s">
        <v>37</v>
      </c>
      <c r="H57" t="s">
        <v>54</v>
      </c>
      <c r="I57" t="s">
        <v>84</v>
      </c>
      <c r="J57" t="s">
        <v>85</v>
      </c>
      <c r="K57" t="s">
        <v>74</v>
      </c>
      <c r="L57" t="s">
        <v>274</v>
      </c>
      <c r="M57" t="s">
        <v>275</v>
      </c>
      <c r="N57" t="s">
        <v>44</v>
      </c>
      <c r="O57">
        <v>3</v>
      </c>
      <c r="P57">
        <v>1516.24</v>
      </c>
      <c r="Q57" s="11">
        <v>0.25</v>
      </c>
      <c r="R57">
        <v>3411.54</v>
      </c>
      <c r="S57">
        <v>2803.13</v>
      </c>
      <c r="T57">
        <v>608.41</v>
      </c>
      <c r="U57" t="s">
        <v>32</v>
      </c>
      <c r="V57" t="s">
        <v>33</v>
      </c>
      <c r="X57" s="8" t="str">
        <f>IF(C57&gt;=B57,"Valid", "Invalid-Date")</f>
        <v>Valid</v>
      </c>
      <c r="Y57" s="8" t="str">
        <f t="shared" si="1"/>
        <v>Valid</v>
      </c>
      <c r="Z57" s="8" t="str">
        <f t="shared" si="2"/>
        <v>Pass</v>
      </c>
      <c r="AA57" s="8" t="str">
        <f t="shared" si="3"/>
        <v>Pass</v>
      </c>
      <c r="AB57" s="8" t="str">
        <f>TEXT(B57,"mmmm")</f>
        <v>July</v>
      </c>
      <c r="AC57" s="8" t="str">
        <f>TEXT(B57,"yyyy")</f>
        <v>2025</v>
      </c>
      <c r="AE57">
        <f t="shared" si="4"/>
        <v>4548.72</v>
      </c>
      <c r="AF57" s="11">
        <f t="shared" si="5"/>
        <v>3411.54</v>
      </c>
      <c r="AG57">
        <f t="shared" si="6"/>
        <v>1745.5900000000001</v>
      </c>
      <c r="AH57" s="11">
        <f t="shared" si="7"/>
        <v>0.3837541110466241</v>
      </c>
      <c r="AI57" s="44">
        <f t="shared" si="8"/>
        <v>0.3837541110466241</v>
      </c>
    </row>
    <row r="58" spans="1:35">
      <c r="A58" t="s">
        <v>276</v>
      </c>
      <c r="B58" s="5">
        <v>45662</v>
      </c>
      <c r="C58" s="5">
        <v>45663</v>
      </c>
      <c r="D58" s="13">
        <f t="shared" si="0"/>
        <v>1</v>
      </c>
      <c r="E58" t="s">
        <v>277</v>
      </c>
      <c r="F58" t="s">
        <v>23</v>
      </c>
      <c r="G58" t="s">
        <v>24</v>
      </c>
      <c r="H58" t="s">
        <v>54</v>
      </c>
      <c r="I58" t="s">
        <v>175</v>
      </c>
      <c r="J58" t="s">
        <v>176</v>
      </c>
      <c r="K58" t="s">
        <v>28</v>
      </c>
      <c r="L58" t="s">
        <v>153</v>
      </c>
      <c r="M58" t="s">
        <v>278</v>
      </c>
      <c r="N58" t="s">
        <v>31</v>
      </c>
      <c r="O58">
        <v>3</v>
      </c>
      <c r="P58">
        <v>3155.61</v>
      </c>
      <c r="Q58" s="11">
        <v>0</v>
      </c>
      <c r="R58">
        <v>9466.83</v>
      </c>
      <c r="S58">
        <v>6557.83</v>
      </c>
      <c r="T58">
        <v>2909</v>
      </c>
      <c r="U58" t="s">
        <v>102</v>
      </c>
      <c r="V58" t="s">
        <v>68</v>
      </c>
      <c r="X58" s="8" t="str">
        <f>IF(C58&gt;=B58,"Valid", "Invalid-Date")</f>
        <v>Valid</v>
      </c>
      <c r="Y58" s="8" t="str">
        <f t="shared" si="1"/>
        <v>Valid</v>
      </c>
      <c r="Z58" s="8" t="str">
        <f t="shared" si="2"/>
        <v>Pass</v>
      </c>
      <c r="AA58" s="8" t="str">
        <f t="shared" si="3"/>
        <v>Pass</v>
      </c>
      <c r="AB58" s="8" t="str">
        <f>TEXT(B58,"mmmm")</f>
        <v>January</v>
      </c>
      <c r="AC58" s="8" t="str">
        <f>TEXT(B58,"yyyy")</f>
        <v>2025</v>
      </c>
      <c r="AE58">
        <f t="shared" si="4"/>
        <v>9466.83</v>
      </c>
      <c r="AF58" s="11">
        <f t="shared" si="5"/>
        <v>9466.83</v>
      </c>
      <c r="AG58">
        <f t="shared" si="6"/>
        <v>2909</v>
      </c>
      <c r="AH58" s="11">
        <f t="shared" si="7"/>
        <v>0.30728343067320318</v>
      </c>
      <c r="AI58" s="44">
        <f t="shared" si="8"/>
        <v>0.30728343067320318</v>
      </c>
    </row>
    <row r="59" spans="1:35">
      <c r="A59" t="s">
        <v>279</v>
      </c>
      <c r="B59" s="5">
        <v>45329</v>
      </c>
      <c r="C59" s="5">
        <v>45337</v>
      </c>
      <c r="D59" s="13">
        <f t="shared" si="0"/>
        <v>8</v>
      </c>
      <c r="E59" t="s">
        <v>280</v>
      </c>
      <c r="F59" t="s">
        <v>114</v>
      </c>
      <c r="G59" t="s">
        <v>24</v>
      </c>
      <c r="H59" t="s">
        <v>63</v>
      </c>
      <c r="I59" t="s">
        <v>190</v>
      </c>
      <c r="J59" t="s">
        <v>191</v>
      </c>
      <c r="K59" t="s">
        <v>41</v>
      </c>
      <c r="L59" t="s">
        <v>66</v>
      </c>
      <c r="M59" t="s">
        <v>281</v>
      </c>
      <c r="N59" t="s">
        <v>44</v>
      </c>
      <c r="O59">
        <v>5</v>
      </c>
      <c r="P59">
        <v>255.87</v>
      </c>
      <c r="Q59" s="11">
        <v>0</v>
      </c>
      <c r="R59">
        <v>1279.3499999999999</v>
      </c>
      <c r="S59">
        <v>1091.54</v>
      </c>
      <c r="T59">
        <v>187.81</v>
      </c>
      <c r="U59" t="s">
        <v>32</v>
      </c>
      <c r="V59" t="s">
        <v>33</v>
      </c>
      <c r="X59" s="8" t="str">
        <f>IF(C59&gt;=B59,"Valid", "Invalid-Date")</f>
        <v>Valid</v>
      </c>
      <c r="Y59" s="8" t="str">
        <f t="shared" si="1"/>
        <v>Valid</v>
      </c>
      <c r="Z59" s="8" t="str">
        <f t="shared" si="2"/>
        <v>Pass</v>
      </c>
      <c r="AA59" s="8" t="str">
        <f t="shared" si="3"/>
        <v>Pass</v>
      </c>
      <c r="AB59" s="8" t="str">
        <f>TEXT(B59,"mmmm")</f>
        <v>February</v>
      </c>
      <c r="AC59" s="8" t="str">
        <f>TEXT(B59,"yyyy")</f>
        <v>2024</v>
      </c>
      <c r="AE59">
        <f t="shared" si="4"/>
        <v>1279.3499999999999</v>
      </c>
      <c r="AF59" s="11">
        <f t="shared" si="5"/>
        <v>1279.3499999999999</v>
      </c>
      <c r="AG59">
        <f t="shared" si="6"/>
        <v>187.80999999999995</v>
      </c>
      <c r="AH59" s="11">
        <f t="shared" si="7"/>
        <v>0.14680110993864068</v>
      </c>
      <c r="AI59" s="44">
        <f t="shared" si="8"/>
        <v>0.14680110993864068</v>
      </c>
    </row>
    <row r="60" spans="1:35">
      <c r="A60" t="s">
        <v>282</v>
      </c>
      <c r="B60" s="5">
        <v>45536</v>
      </c>
      <c r="C60" s="5">
        <v>45482</v>
      </c>
      <c r="D60" s="13">
        <f t="shared" si="0"/>
        <v>-54</v>
      </c>
      <c r="E60" t="s">
        <v>283</v>
      </c>
      <c r="F60" t="s">
        <v>47</v>
      </c>
      <c r="G60" t="s">
        <v>95</v>
      </c>
      <c r="H60" t="s">
        <v>25</v>
      </c>
      <c r="I60" t="s">
        <v>26</v>
      </c>
      <c r="J60" t="s">
        <v>27</v>
      </c>
      <c r="K60" t="s">
        <v>28</v>
      </c>
      <c r="L60" t="s">
        <v>124</v>
      </c>
      <c r="M60" t="s">
        <v>284</v>
      </c>
      <c r="N60" t="s">
        <v>2785</v>
      </c>
      <c r="O60">
        <v>9</v>
      </c>
      <c r="P60">
        <v>1389.48</v>
      </c>
      <c r="Q60" s="11">
        <v>0.1</v>
      </c>
      <c r="R60">
        <v>11254.79</v>
      </c>
      <c r="S60">
        <v>6578.06</v>
      </c>
      <c r="T60">
        <v>4676.7299999999996</v>
      </c>
      <c r="U60" t="s">
        <v>111</v>
      </c>
      <c r="V60" t="s">
        <v>103</v>
      </c>
      <c r="X60" s="8" t="str">
        <f>IF(C60&gt;=B60,"Valid", "Invalid-Date")</f>
        <v>Invalid-Date</v>
      </c>
      <c r="Y60" s="8" t="str">
        <f t="shared" si="1"/>
        <v>Valid</v>
      </c>
      <c r="Z60" s="8" t="str">
        <f t="shared" si="2"/>
        <v>Flagged</v>
      </c>
      <c r="AA60" s="8" t="str">
        <f t="shared" si="3"/>
        <v>Pass</v>
      </c>
      <c r="AB60" s="8" t="str">
        <f>TEXT(B60,"mmmm")</f>
        <v>September</v>
      </c>
      <c r="AC60" s="8" t="str">
        <f>TEXT(B60,"yyyy")</f>
        <v>2024</v>
      </c>
      <c r="AE60">
        <f t="shared" si="4"/>
        <v>12505.32</v>
      </c>
      <c r="AF60" s="11">
        <f t="shared" si="5"/>
        <v>11254.788</v>
      </c>
      <c r="AG60">
        <f t="shared" si="6"/>
        <v>5927.2599999999993</v>
      </c>
      <c r="AH60" s="11">
        <f t="shared" si="7"/>
        <v>0.47397907450589027</v>
      </c>
      <c r="AI60" s="44">
        <f t="shared" si="8"/>
        <v>0.47397907450589027</v>
      </c>
    </row>
    <row r="61" spans="1:35">
      <c r="A61" t="s">
        <v>285</v>
      </c>
      <c r="B61" s="5">
        <v>45493</v>
      </c>
      <c r="C61" s="5">
        <v>45498</v>
      </c>
      <c r="D61" s="13">
        <f t="shared" si="0"/>
        <v>5</v>
      </c>
      <c r="E61" t="s">
        <v>286</v>
      </c>
      <c r="F61" t="s">
        <v>114</v>
      </c>
      <c r="G61" t="s">
        <v>90</v>
      </c>
      <c r="H61" t="s">
        <v>38</v>
      </c>
      <c r="I61" t="s">
        <v>166</v>
      </c>
      <c r="J61" t="s">
        <v>167</v>
      </c>
      <c r="K61" t="s">
        <v>28</v>
      </c>
      <c r="L61" t="s">
        <v>91</v>
      </c>
      <c r="M61" t="s">
        <v>287</v>
      </c>
      <c r="N61" t="s">
        <v>44</v>
      </c>
      <c r="O61">
        <v>5</v>
      </c>
      <c r="P61">
        <v>4133.8500000000004</v>
      </c>
      <c r="Q61" s="11">
        <v>0.2</v>
      </c>
      <c r="R61">
        <v>16535.400000000001</v>
      </c>
      <c r="S61">
        <v>12990.21</v>
      </c>
      <c r="T61">
        <v>3545.19</v>
      </c>
      <c r="U61" t="s">
        <v>32</v>
      </c>
      <c r="V61" t="s">
        <v>68</v>
      </c>
      <c r="X61" s="8" t="str">
        <f>IF(C61&gt;=B61,"Valid", "Invalid-Date")</f>
        <v>Valid</v>
      </c>
      <c r="Y61" s="8" t="str">
        <f t="shared" si="1"/>
        <v>Valid</v>
      </c>
      <c r="Z61" s="8" t="str">
        <f t="shared" si="2"/>
        <v>Pass</v>
      </c>
      <c r="AA61" s="8" t="str">
        <f t="shared" si="3"/>
        <v>Pass</v>
      </c>
      <c r="AB61" s="8" t="str">
        <f>TEXT(B61,"mmmm")</f>
        <v>July</v>
      </c>
      <c r="AC61" s="8" t="str">
        <f>TEXT(B61,"yyyy")</f>
        <v>2024</v>
      </c>
      <c r="AE61">
        <f t="shared" si="4"/>
        <v>20669.25</v>
      </c>
      <c r="AF61" s="11">
        <f t="shared" si="5"/>
        <v>16535.400000000001</v>
      </c>
      <c r="AG61">
        <f t="shared" si="6"/>
        <v>7679.0400000000009</v>
      </c>
      <c r="AH61" s="11">
        <f t="shared" si="7"/>
        <v>0.37152001161145182</v>
      </c>
      <c r="AI61" s="44">
        <f t="shared" si="8"/>
        <v>0.37152001161145182</v>
      </c>
    </row>
    <row r="62" spans="1:35">
      <c r="A62" t="s">
        <v>288</v>
      </c>
      <c r="B62" s="5">
        <v>45486</v>
      </c>
      <c r="C62" s="5">
        <v>45492</v>
      </c>
      <c r="D62" s="13">
        <f t="shared" si="0"/>
        <v>6</v>
      </c>
      <c r="E62" t="s">
        <v>289</v>
      </c>
      <c r="F62" t="s">
        <v>62</v>
      </c>
      <c r="G62" t="s">
        <v>90</v>
      </c>
      <c r="H62" t="s">
        <v>38</v>
      </c>
      <c r="I62" t="s">
        <v>166</v>
      </c>
      <c r="J62" t="s">
        <v>167</v>
      </c>
      <c r="K62" t="s">
        <v>28</v>
      </c>
      <c r="L62" t="s">
        <v>91</v>
      </c>
      <c r="M62" t="s">
        <v>290</v>
      </c>
      <c r="N62" t="s">
        <v>44</v>
      </c>
      <c r="O62">
        <v>3</v>
      </c>
      <c r="P62">
        <v>275.76</v>
      </c>
      <c r="Q62" s="11">
        <v>0.2</v>
      </c>
      <c r="R62">
        <v>661.82</v>
      </c>
      <c r="S62">
        <v>481.47</v>
      </c>
      <c r="T62">
        <v>180.35</v>
      </c>
      <c r="U62" t="s">
        <v>102</v>
      </c>
      <c r="V62" t="s">
        <v>68</v>
      </c>
      <c r="X62" s="8" t="str">
        <f>IF(C62&gt;=B62,"Valid", "Invalid-Date")</f>
        <v>Valid</v>
      </c>
      <c r="Y62" s="8" t="str">
        <f t="shared" si="1"/>
        <v>Valid</v>
      </c>
      <c r="Z62" s="8" t="str">
        <f t="shared" si="2"/>
        <v>Pass</v>
      </c>
      <c r="AA62" s="8" t="str">
        <f t="shared" si="3"/>
        <v>Pass</v>
      </c>
      <c r="AB62" s="8" t="str">
        <f>TEXT(B62,"mmmm")</f>
        <v>July</v>
      </c>
      <c r="AC62" s="8" t="str">
        <f>TEXT(B62,"yyyy")</f>
        <v>2024</v>
      </c>
      <c r="AE62">
        <f t="shared" si="4"/>
        <v>827.28</v>
      </c>
      <c r="AF62" s="11">
        <f t="shared" si="5"/>
        <v>661.82400000000007</v>
      </c>
      <c r="AG62">
        <f t="shared" si="6"/>
        <v>345.80999999999995</v>
      </c>
      <c r="AH62" s="11">
        <f t="shared" si="7"/>
        <v>0.4180084131128517</v>
      </c>
      <c r="AI62" s="44">
        <f t="shared" si="8"/>
        <v>0.4180084131128517</v>
      </c>
    </row>
    <row r="63" spans="1:35">
      <c r="A63" t="s">
        <v>291</v>
      </c>
      <c r="B63" s="5">
        <v>45398</v>
      </c>
      <c r="C63" s="5">
        <v>45398</v>
      </c>
      <c r="D63" s="13">
        <f t="shared" si="0"/>
        <v>0</v>
      </c>
      <c r="E63" t="s">
        <v>292</v>
      </c>
      <c r="F63" t="s">
        <v>71</v>
      </c>
      <c r="G63" t="s">
        <v>95</v>
      </c>
      <c r="H63" t="s">
        <v>38</v>
      </c>
      <c r="I63" t="s">
        <v>145</v>
      </c>
      <c r="J63" t="s">
        <v>146</v>
      </c>
      <c r="K63" t="s">
        <v>41</v>
      </c>
      <c r="L63" t="s">
        <v>158</v>
      </c>
      <c r="M63" t="s">
        <v>293</v>
      </c>
      <c r="N63" t="s">
        <v>59</v>
      </c>
      <c r="O63">
        <v>1</v>
      </c>
      <c r="P63">
        <v>949.59</v>
      </c>
      <c r="Q63" s="11">
        <v>0</v>
      </c>
      <c r="R63">
        <v>949.59</v>
      </c>
      <c r="S63">
        <v>751.25</v>
      </c>
      <c r="T63">
        <v>198.34</v>
      </c>
      <c r="U63" t="s">
        <v>32</v>
      </c>
      <c r="V63" t="s">
        <v>33</v>
      </c>
      <c r="X63" s="8" t="str">
        <f>IF(C63&gt;=B63,"Valid", "Invalid-Date")</f>
        <v>Valid</v>
      </c>
      <c r="Y63" s="8" t="str">
        <f t="shared" si="1"/>
        <v>Valid</v>
      </c>
      <c r="Z63" s="8" t="str">
        <f t="shared" si="2"/>
        <v>Pass</v>
      </c>
      <c r="AA63" s="8" t="str">
        <f t="shared" si="3"/>
        <v>Pass</v>
      </c>
      <c r="AB63" s="8" t="str">
        <f>TEXT(B63,"mmmm")</f>
        <v>April</v>
      </c>
      <c r="AC63" s="8" t="str">
        <f>TEXT(B63,"yyyy")</f>
        <v>2024</v>
      </c>
      <c r="AE63">
        <f t="shared" si="4"/>
        <v>949.59</v>
      </c>
      <c r="AF63" s="11">
        <f t="shared" si="5"/>
        <v>949.59</v>
      </c>
      <c r="AG63">
        <f t="shared" si="6"/>
        <v>198.34000000000003</v>
      </c>
      <c r="AH63" s="11">
        <f t="shared" si="7"/>
        <v>0.20886909087079689</v>
      </c>
      <c r="AI63" s="44">
        <f t="shared" si="8"/>
        <v>0.20886909087079689</v>
      </c>
    </row>
    <row r="64" spans="1:35">
      <c r="A64" t="s">
        <v>294</v>
      </c>
      <c r="B64" s="5">
        <v>45595</v>
      </c>
      <c r="C64" s="5">
        <v>45598</v>
      </c>
      <c r="D64" s="13">
        <f t="shared" si="0"/>
        <v>3</v>
      </c>
      <c r="E64" t="s">
        <v>295</v>
      </c>
      <c r="F64" t="s">
        <v>132</v>
      </c>
      <c r="G64" t="s">
        <v>95</v>
      </c>
      <c r="H64" t="s">
        <v>25</v>
      </c>
      <c r="I64" t="s">
        <v>26</v>
      </c>
      <c r="J64" t="s">
        <v>27</v>
      </c>
      <c r="K64" t="s">
        <v>74</v>
      </c>
      <c r="L64" t="s">
        <v>171</v>
      </c>
      <c r="M64" t="s">
        <v>296</v>
      </c>
      <c r="N64" t="s">
        <v>59</v>
      </c>
      <c r="O64">
        <v>9</v>
      </c>
      <c r="P64">
        <v>3042.29</v>
      </c>
      <c r="Q64" s="11">
        <v>0.2</v>
      </c>
      <c r="R64">
        <v>21904.49</v>
      </c>
      <c r="S64">
        <v>13570.55</v>
      </c>
      <c r="T64">
        <v>8333.94</v>
      </c>
      <c r="U64" t="s">
        <v>32</v>
      </c>
      <c r="V64" t="s">
        <v>33</v>
      </c>
      <c r="X64" s="8" t="str">
        <f>IF(C64&gt;=B64,"Valid", "Invalid-Date")</f>
        <v>Valid</v>
      </c>
      <c r="Y64" s="8" t="str">
        <f t="shared" si="1"/>
        <v>Valid</v>
      </c>
      <c r="Z64" s="8" t="str">
        <f t="shared" si="2"/>
        <v>Pass</v>
      </c>
      <c r="AA64" s="8" t="str">
        <f t="shared" si="3"/>
        <v>Pass</v>
      </c>
      <c r="AB64" s="8" t="str">
        <f>TEXT(B64,"mmmm")</f>
        <v>October</v>
      </c>
      <c r="AC64" s="8" t="str">
        <f>TEXT(B64,"yyyy")</f>
        <v>2024</v>
      </c>
      <c r="AE64">
        <f t="shared" si="4"/>
        <v>27380.61</v>
      </c>
      <c r="AF64" s="11">
        <f t="shared" si="5"/>
        <v>21904.488000000001</v>
      </c>
      <c r="AG64">
        <f t="shared" si="6"/>
        <v>13810.060000000001</v>
      </c>
      <c r="AH64" s="11">
        <f t="shared" si="7"/>
        <v>0.50437371556002586</v>
      </c>
      <c r="AI64" s="44">
        <f t="shared" si="8"/>
        <v>0.50437371556002586</v>
      </c>
    </row>
    <row r="65" spans="1:35">
      <c r="A65" t="s">
        <v>297</v>
      </c>
      <c r="B65" s="5">
        <v>45316</v>
      </c>
      <c r="C65" s="5">
        <v>45323</v>
      </c>
      <c r="D65" s="13">
        <f t="shared" si="0"/>
        <v>7</v>
      </c>
      <c r="E65" t="s">
        <v>298</v>
      </c>
      <c r="F65" t="s">
        <v>132</v>
      </c>
      <c r="G65" t="s">
        <v>95</v>
      </c>
      <c r="H65" t="s">
        <v>25</v>
      </c>
      <c r="I65" t="s">
        <v>236</v>
      </c>
      <c r="J65" t="s">
        <v>237</v>
      </c>
      <c r="K65" t="s">
        <v>28</v>
      </c>
      <c r="L65" t="s">
        <v>153</v>
      </c>
      <c r="M65" t="s">
        <v>299</v>
      </c>
      <c r="N65" t="s">
        <v>44</v>
      </c>
      <c r="O65">
        <v>2</v>
      </c>
      <c r="P65">
        <v>2832.77</v>
      </c>
      <c r="Q65" s="11">
        <v>0.15</v>
      </c>
      <c r="R65">
        <v>4815.71</v>
      </c>
      <c r="S65">
        <v>3027.75</v>
      </c>
      <c r="T65">
        <v>1917.47</v>
      </c>
      <c r="U65" t="s">
        <v>32</v>
      </c>
      <c r="V65" t="s">
        <v>33</v>
      </c>
      <c r="X65" s="8" t="str">
        <f>IF(C65&gt;=B65,"Valid", "Invalid-Date")</f>
        <v>Valid</v>
      </c>
      <c r="Y65" s="8" t="str">
        <f t="shared" si="1"/>
        <v>Valid</v>
      </c>
      <c r="Z65" s="8" t="str">
        <f t="shared" si="2"/>
        <v>Pass</v>
      </c>
      <c r="AA65" s="8" t="str">
        <f t="shared" si="3"/>
        <v>Pass</v>
      </c>
      <c r="AB65" s="8" t="str">
        <f>TEXT(B65,"mmmm")</f>
        <v>January</v>
      </c>
      <c r="AC65" s="8" t="str">
        <f>TEXT(B65,"yyyy")</f>
        <v>2024</v>
      </c>
      <c r="AE65">
        <f t="shared" si="4"/>
        <v>5665.54</v>
      </c>
      <c r="AF65" s="11">
        <f t="shared" si="5"/>
        <v>4815.7089999999998</v>
      </c>
      <c r="AG65">
        <f t="shared" si="6"/>
        <v>2637.79</v>
      </c>
      <c r="AH65" s="11">
        <f t="shared" si="7"/>
        <v>0.46558492217864494</v>
      </c>
      <c r="AI65" s="44">
        <f t="shared" si="8"/>
        <v>0.46558492217864494</v>
      </c>
    </row>
    <row r="66" spans="1:35">
      <c r="A66" t="s">
        <v>300</v>
      </c>
      <c r="B66" s="5">
        <v>45649</v>
      </c>
      <c r="C66" s="5">
        <v>45655</v>
      </c>
      <c r="D66" s="13">
        <f t="shared" si="0"/>
        <v>6</v>
      </c>
      <c r="E66" t="s">
        <v>301</v>
      </c>
      <c r="F66" t="s">
        <v>128</v>
      </c>
      <c r="G66" t="s">
        <v>90</v>
      </c>
      <c r="H66" t="s">
        <v>38</v>
      </c>
      <c r="I66" t="s">
        <v>228</v>
      </c>
      <c r="J66" t="s">
        <v>229</v>
      </c>
      <c r="K66" t="s">
        <v>28</v>
      </c>
      <c r="L66" t="s">
        <v>29</v>
      </c>
      <c r="M66" t="s">
        <v>302</v>
      </c>
      <c r="N66" t="s">
        <v>50</v>
      </c>
      <c r="O66">
        <v>7</v>
      </c>
      <c r="P66">
        <v>447.84</v>
      </c>
      <c r="Q66" s="11">
        <v>0</v>
      </c>
      <c r="R66">
        <v>3134.88</v>
      </c>
      <c r="S66">
        <v>2367.63</v>
      </c>
      <c r="T66">
        <v>767.25</v>
      </c>
      <c r="U66" t="s">
        <v>102</v>
      </c>
      <c r="V66" t="s">
        <v>103</v>
      </c>
      <c r="X66" s="8" t="str">
        <f>IF(C66&gt;=B66,"Valid", "Invalid-Date")</f>
        <v>Valid</v>
      </c>
      <c r="Y66" s="8" t="str">
        <f t="shared" si="1"/>
        <v>Valid</v>
      </c>
      <c r="Z66" s="8" t="str">
        <f t="shared" si="2"/>
        <v>Pass</v>
      </c>
      <c r="AA66" s="8" t="str">
        <f t="shared" si="3"/>
        <v>Pass</v>
      </c>
      <c r="AB66" s="8" t="str">
        <f>TEXT(B66,"mmmm")</f>
        <v>December</v>
      </c>
      <c r="AC66" s="8" t="str">
        <f>TEXT(B66,"yyyy")</f>
        <v>2024</v>
      </c>
      <c r="AE66">
        <f t="shared" si="4"/>
        <v>3134.8799999999997</v>
      </c>
      <c r="AF66" s="11">
        <f t="shared" si="5"/>
        <v>3134.8799999999997</v>
      </c>
      <c r="AG66">
        <f t="shared" si="6"/>
        <v>767.24999999999955</v>
      </c>
      <c r="AH66" s="11">
        <f t="shared" si="7"/>
        <v>0.24474621038125849</v>
      </c>
      <c r="AI66" s="44">
        <f t="shared" si="8"/>
        <v>0.24474621038125849</v>
      </c>
    </row>
    <row r="67" spans="1:35">
      <c r="A67" t="s">
        <v>303</v>
      </c>
      <c r="B67" s="5">
        <v>45404</v>
      </c>
      <c r="C67" s="5">
        <v>45409</v>
      </c>
      <c r="D67" s="13">
        <f t="shared" ref="D67:D130" si="9">C67-B67</f>
        <v>5</v>
      </c>
      <c r="E67" t="s">
        <v>304</v>
      </c>
      <c r="F67" t="s">
        <v>36</v>
      </c>
      <c r="G67" t="s">
        <v>95</v>
      </c>
      <c r="H67" t="s">
        <v>63</v>
      </c>
      <c r="I67" t="s">
        <v>64</v>
      </c>
      <c r="J67" t="s">
        <v>65</v>
      </c>
      <c r="K67" t="s">
        <v>28</v>
      </c>
      <c r="L67" t="s">
        <v>29</v>
      </c>
      <c r="M67" t="s">
        <v>305</v>
      </c>
      <c r="N67" t="s">
        <v>31</v>
      </c>
      <c r="O67">
        <v>1</v>
      </c>
      <c r="P67">
        <v>4280.1899999999996</v>
      </c>
      <c r="Q67" s="11">
        <v>0.05</v>
      </c>
      <c r="R67">
        <v>4066.18</v>
      </c>
      <c r="S67">
        <v>2628.92</v>
      </c>
      <c r="T67">
        <v>1437.26</v>
      </c>
      <c r="U67" t="s">
        <v>32</v>
      </c>
      <c r="V67" t="s">
        <v>33</v>
      </c>
      <c r="X67" s="8" t="str">
        <f>IF(C67&gt;=B67,"Valid", "Invalid-Date")</f>
        <v>Valid</v>
      </c>
      <c r="Y67" s="8" t="str">
        <f t="shared" ref="Y67:Y130" si="10">IF(OR(Q67&lt;0, Q67&gt;0.5), "Invalid-Discount", "Valid")</f>
        <v>Valid</v>
      </c>
      <c r="Z67" s="8" t="str">
        <f t="shared" ref="Z67:Z130" si="11">IF(N67="Unknown","Flagged","Pass")</f>
        <v>Pass</v>
      </c>
      <c r="AA67" s="8" t="str">
        <f t="shared" ref="AA67:AA130" si="12">IF(H67="Unknown","Flagged","Pass")</f>
        <v>Pass</v>
      </c>
      <c r="AB67" s="8" t="str">
        <f>TEXT(B67,"mmmm")</f>
        <v>April</v>
      </c>
      <c r="AC67" s="8" t="str">
        <f>TEXT(B67,"yyyy")</f>
        <v>2024</v>
      </c>
      <c r="AE67">
        <f t="shared" ref="AE67:AE130" si="13">O67*P67</f>
        <v>4280.1899999999996</v>
      </c>
      <c r="AF67" s="11">
        <f t="shared" ref="AF67:AF130" si="14">AE67*(1-Q67)</f>
        <v>4066.1804999999995</v>
      </c>
      <c r="AG67">
        <f t="shared" ref="AG67:AG130" si="15">AE67-S67</f>
        <v>1651.2699999999995</v>
      </c>
      <c r="AH67" s="11">
        <f t="shared" ref="AH67:AH130" si="16">AG67/AE67</f>
        <v>0.38579362131120343</v>
      </c>
      <c r="AI67" s="44">
        <f t="shared" ref="AI67:AI130" si="17">AG67/AE67</f>
        <v>0.38579362131120343</v>
      </c>
    </row>
    <row r="68" spans="1:35">
      <c r="A68" t="s">
        <v>306</v>
      </c>
      <c r="B68" s="5">
        <v>45897</v>
      </c>
      <c r="C68" s="5">
        <v>45666</v>
      </c>
      <c r="D68" s="13">
        <f t="shared" si="9"/>
        <v>-231</v>
      </c>
      <c r="E68" t="s">
        <v>307</v>
      </c>
      <c r="F68" t="s">
        <v>23</v>
      </c>
      <c r="G68" t="s">
        <v>37</v>
      </c>
      <c r="H68" t="s">
        <v>54</v>
      </c>
      <c r="I68" t="s">
        <v>247</v>
      </c>
      <c r="J68" t="s">
        <v>248</v>
      </c>
      <c r="K68" t="s">
        <v>74</v>
      </c>
      <c r="L68" t="s">
        <v>75</v>
      </c>
      <c r="M68" t="s">
        <v>308</v>
      </c>
      <c r="N68" t="s">
        <v>44</v>
      </c>
      <c r="O68">
        <v>7</v>
      </c>
      <c r="P68">
        <v>1057.46</v>
      </c>
      <c r="Q68" s="11">
        <v>0.05</v>
      </c>
      <c r="R68">
        <v>7032.11</v>
      </c>
      <c r="S68">
        <v>4610.34</v>
      </c>
      <c r="T68">
        <v>2421.77</v>
      </c>
      <c r="U68" t="s">
        <v>32</v>
      </c>
      <c r="V68" t="s">
        <v>33</v>
      </c>
      <c r="X68" s="8" t="str">
        <f>IF(C68&gt;=B68,"Valid", "Invalid-Date")</f>
        <v>Invalid-Date</v>
      </c>
      <c r="Y68" s="8" t="str">
        <f t="shared" si="10"/>
        <v>Valid</v>
      </c>
      <c r="Z68" s="8" t="str">
        <f t="shared" si="11"/>
        <v>Pass</v>
      </c>
      <c r="AA68" s="8" t="str">
        <f t="shared" si="12"/>
        <v>Pass</v>
      </c>
      <c r="AB68" s="8" t="str">
        <f>TEXT(B68,"mmmm")</f>
        <v>August</v>
      </c>
      <c r="AC68" s="8" t="str">
        <f>TEXT(B68,"yyyy")</f>
        <v>2025</v>
      </c>
      <c r="AE68">
        <f t="shared" si="13"/>
        <v>7402.22</v>
      </c>
      <c r="AF68" s="11">
        <f t="shared" si="14"/>
        <v>7032.1089999999995</v>
      </c>
      <c r="AG68">
        <f t="shared" si="15"/>
        <v>2791.88</v>
      </c>
      <c r="AH68" s="11">
        <f t="shared" si="16"/>
        <v>0.37716793070187055</v>
      </c>
      <c r="AI68" s="44">
        <f t="shared" si="17"/>
        <v>0.37716793070187055</v>
      </c>
    </row>
    <row r="69" spans="1:35">
      <c r="A69" t="s">
        <v>309</v>
      </c>
      <c r="B69" s="5">
        <v>45691</v>
      </c>
      <c r="C69" s="5">
        <v>45695</v>
      </c>
      <c r="D69" s="13">
        <f t="shared" si="9"/>
        <v>4</v>
      </c>
      <c r="E69" t="s">
        <v>310</v>
      </c>
      <c r="F69" t="s">
        <v>264</v>
      </c>
      <c r="G69" t="s">
        <v>24</v>
      </c>
      <c r="H69" t="s">
        <v>25</v>
      </c>
      <c r="I69" t="s">
        <v>236</v>
      </c>
      <c r="J69" t="s">
        <v>237</v>
      </c>
      <c r="K69" t="s">
        <v>28</v>
      </c>
      <c r="L69" t="s">
        <v>29</v>
      </c>
      <c r="M69" t="s">
        <v>311</v>
      </c>
      <c r="N69" t="s">
        <v>50</v>
      </c>
      <c r="O69">
        <v>7</v>
      </c>
      <c r="P69">
        <v>3609.34</v>
      </c>
      <c r="Q69" s="11">
        <v>0.05</v>
      </c>
      <c r="R69">
        <v>24002.11</v>
      </c>
      <c r="S69">
        <v>18707.57</v>
      </c>
      <c r="T69">
        <v>5294.54</v>
      </c>
      <c r="U69" t="s">
        <v>32</v>
      </c>
      <c r="V69" t="s">
        <v>33</v>
      </c>
      <c r="X69" s="8" t="str">
        <f>IF(C69&gt;=B69,"Valid", "Invalid-Date")</f>
        <v>Valid</v>
      </c>
      <c r="Y69" s="8" t="str">
        <f t="shared" si="10"/>
        <v>Valid</v>
      </c>
      <c r="Z69" s="8" t="str">
        <f t="shared" si="11"/>
        <v>Pass</v>
      </c>
      <c r="AA69" s="8" t="str">
        <f t="shared" si="12"/>
        <v>Pass</v>
      </c>
      <c r="AB69" s="8" t="str">
        <f>TEXT(B69,"mmmm")</f>
        <v>February</v>
      </c>
      <c r="AC69" s="8" t="str">
        <f>TEXT(B69,"yyyy")</f>
        <v>2025</v>
      </c>
      <c r="AE69">
        <f t="shared" si="13"/>
        <v>25265.38</v>
      </c>
      <c r="AF69" s="11">
        <f t="shared" si="14"/>
        <v>24002.111000000001</v>
      </c>
      <c r="AG69">
        <f t="shared" si="15"/>
        <v>6557.8100000000013</v>
      </c>
      <c r="AH69" s="11">
        <f t="shared" si="16"/>
        <v>0.25955714895244009</v>
      </c>
      <c r="AI69" s="44">
        <f t="shared" si="17"/>
        <v>0.25955714895244009</v>
      </c>
    </row>
    <row r="70" spans="1:35">
      <c r="A70" t="s">
        <v>312</v>
      </c>
      <c r="B70" s="5">
        <v>45576</v>
      </c>
      <c r="C70" s="5">
        <v>45609</v>
      </c>
      <c r="D70" s="13">
        <f t="shared" si="9"/>
        <v>33</v>
      </c>
      <c r="E70" t="s">
        <v>313</v>
      </c>
      <c r="F70" t="s">
        <v>47</v>
      </c>
      <c r="G70" t="s">
        <v>90</v>
      </c>
      <c r="H70" t="s">
        <v>38</v>
      </c>
      <c r="I70" t="s">
        <v>228</v>
      </c>
      <c r="J70" t="s">
        <v>229</v>
      </c>
      <c r="K70" t="s">
        <v>28</v>
      </c>
      <c r="L70" t="s">
        <v>124</v>
      </c>
      <c r="M70" t="s">
        <v>314</v>
      </c>
      <c r="N70" t="s">
        <v>31</v>
      </c>
      <c r="O70">
        <v>9</v>
      </c>
      <c r="P70">
        <v>2211.12</v>
      </c>
      <c r="Q70" s="11">
        <v>0</v>
      </c>
      <c r="R70">
        <v>19900.080000000002</v>
      </c>
      <c r="S70">
        <v>10962.66</v>
      </c>
      <c r="T70">
        <v>8937.42</v>
      </c>
      <c r="U70" t="s">
        <v>155</v>
      </c>
      <c r="V70" t="s">
        <v>103</v>
      </c>
      <c r="X70" s="8" t="str">
        <f>IF(C70&gt;=B70,"Valid", "Invalid-Date")</f>
        <v>Valid</v>
      </c>
      <c r="Y70" s="8" t="str">
        <f t="shared" si="10"/>
        <v>Valid</v>
      </c>
      <c r="Z70" s="8" t="str">
        <f t="shared" si="11"/>
        <v>Pass</v>
      </c>
      <c r="AA70" s="8" t="str">
        <f t="shared" si="12"/>
        <v>Pass</v>
      </c>
      <c r="AB70" s="8" t="str">
        <f>TEXT(B70,"mmmm")</f>
        <v>October</v>
      </c>
      <c r="AC70" s="8" t="str">
        <f>TEXT(B70,"yyyy")</f>
        <v>2024</v>
      </c>
      <c r="AE70">
        <f t="shared" si="13"/>
        <v>19900.079999999998</v>
      </c>
      <c r="AF70" s="11">
        <f t="shared" si="14"/>
        <v>19900.079999999998</v>
      </c>
      <c r="AG70">
        <f t="shared" si="15"/>
        <v>8937.4199999999983</v>
      </c>
      <c r="AH70" s="11">
        <f t="shared" si="16"/>
        <v>0.44911477742803041</v>
      </c>
      <c r="AI70" s="44">
        <f t="shared" si="17"/>
        <v>0.44911477742803041</v>
      </c>
    </row>
    <row r="71" spans="1:35">
      <c r="A71" t="s">
        <v>315</v>
      </c>
      <c r="B71" s="5">
        <v>45391</v>
      </c>
      <c r="C71" s="5">
        <v>45396</v>
      </c>
      <c r="D71" s="13">
        <f t="shared" si="9"/>
        <v>5</v>
      </c>
      <c r="E71" t="s">
        <v>316</v>
      </c>
      <c r="F71" t="s">
        <v>79</v>
      </c>
      <c r="G71" t="s">
        <v>37</v>
      </c>
      <c r="H71" t="s">
        <v>63</v>
      </c>
      <c r="I71" t="s">
        <v>180</v>
      </c>
      <c r="J71" t="s">
        <v>181</v>
      </c>
      <c r="K71" t="s">
        <v>74</v>
      </c>
      <c r="L71" t="s">
        <v>274</v>
      </c>
      <c r="M71" t="s">
        <v>317</v>
      </c>
      <c r="N71" t="s">
        <v>44</v>
      </c>
      <c r="O71">
        <v>7</v>
      </c>
      <c r="P71">
        <v>3417.09</v>
      </c>
      <c r="Q71" s="11">
        <v>0.1</v>
      </c>
      <c r="R71">
        <v>21527.67</v>
      </c>
      <c r="S71">
        <v>18287.580000000002</v>
      </c>
      <c r="T71">
        <v>3240.09</v>
      </c>
      <c r="U71" t="s">
        <v>102</v>
      </c>
      <c r="V71" t="s">
        <v>103</v>
      </c>
      <c r="X71" s="8" t="str">
        <f>IF(C71&gt;=B71,"Valid", "Invalid-Date")</f>
        <v>Valid</v>
      </c>
      <c r="Y71" s="8" t="str">
        <f t="shared" si="10"/>
        <v>Valid</v>
      </c>
      <c r="Z71" s="8" t="str">
        <f t="shared" si="11"/>
        <v>Pass</v>
      </c>
      <c r="AA71" s="8" t="str">
        <f t="shared" si="12"/>
        <v>Pass</v>
      </c>
      <c r="AB71" s="8" t="str">
        <f>TEXT(B71,"mmmm")</f>
        <v>April</v>
      </c>
      <c r="AC71" s="8" t="str">
        <f>TEXT(B71,"yyyy")</f>
        <v>2024</v>
      </c>
      <c r="AE71">
        <f t="shared" si="13"/>
        <v>23919.63</v>
      </c>
      <c r="AF71" s="11">
        <f t="shared" si="14"/>
        <v>21527.667000000001</v>
      </c>
      <c r="AG71">
        <f t="shared" si="15"/>
        <v>5632.0499999999993</v>
      </c>
      <c r="AH71" s="11">
        <f t="shared" si="16"/>
        <v>0.23545723742382299</v>
      </c>
      <c r="AI71" s="44">
        <f t="shared" si="17"/>
        <v>0.23545723742382299</v>
      </c>
    </row>
    <row r="72" spans="1:35">
      <c r="A72" t="s">
        <v>318</v>
      </c>
      <c r="B72" s="5">
        <v>45891</v>
      </c>
      <c r="C72" s="5">
        <v>45896</v>
      </c>
      <c r="D72" s="13">
        <f t="shared" si="9"/>
        <v>5</v>
      </c>
      <c r="E72" t="s">
        <v>319</v>
      </c>
      <c r="F72" t="s">
        <v>23</v>
      </c>
      <c r="G72" t="s">
        <v>90</v>
      </c>
      <c r="H72" t="s">
        <v>54</v>
      </c>
      <c r="I72" t="s">
        <v>84</v>
      </c>
      <c r="J72" t="s">
        <v>85</v>
      </c>
      <c r="K72" t="s">
        <v>74</v>
      </c>
      <c r="L72" t="s">
        <v>171</v>
      </c>
      <c r="M72" t="s">
        <v>320</v>
      </c>
      <c r="N72" t="s">
        <v>50</v>
      </c>
      <c r="O72">
        <v>2</v>
      </c>
      <c r="P72">
        <v>905.87</v>
      </c>
      <c r="Q72" s="11">
        <v>0.15</v>
      </c>
      <c r="R72">
        <v>1539.98</v>
      </c>
      <c r="S72">
        <v>1070.2</v>
      </c>
      <c r="T72">
        <v>469.78</v>
      </c>
      <c r="U72" t="s">
        <v>32</v>
      </c>
      <c r="V72" t="s">
        <v>33</v>
      </c>
      <c r="X72" s="8" t="str">
        <f>IF(C72&gt;=B72,"Valid", "Invalid-Date")</f>
        <v>Valid</v>
      </c>
      <c r="Y72" s="8" t="str">
        <f t="shared" si="10"/>
        <v>Valid</v>
      </c>
      <c r="Z72" s="8" t="str">
        <f t="shared" si="11"/>
        <v>Pass</v>
      </c>
      <c r="AA72" s="8" t="str">
        <f t="shared" si="12"/>
        <v>Pass</v>
      </c>
      <c r="AB72" s="8" t="str">
        <f>TEXT(B72,"mmmm")</f>
        <v>August</v>
      </c>
      <c r="AC72" s="8" t="str">
        <f>TEXT(B72,"yyyy")</f>
        <v>2025</v>
      </c>
      <c r="AE72">
        <f t="shared" si="13"/>
        <v>1811.74</v>
      </c>
      <c r="AF72" s="11">
        <f t="shared" si="14"/>
        <v>1539.979</v>
      </c>
      <c r="AG72">
        <f t="shared" si="15"/>
        <v>741.54</v>
      </c>
      <c r="AH72" s="11">
        <f t="shared" si="16"/>
        <v>0.40929713976619159</v>
      </c>
      <c r="AI72" s="44">
        <f t="shared" si="17"/>
        <v>0.40929713976619159</v>
      </c>
    </row>
    <row r="73" spans="1:35">
      <c r="A73" t="s">
        <v>321</v>
      </c>
      <c r="B73" s="5">
        <v>45763</v>
      </c>
      <c r="C73" s="5">
        <v>45770</v>
      </c>
      <c r="D73" s="13">
        <f t="shared" si="9"/>
        <v>7</v>
      </c>
      <c r="E73" t="s">
        <v>322</v>
      </c>
      <c r="F73" t="s">
        <v>36</v>
      </c>
      <c r="G73" t="s">
        <v>37</v>
      </c>
      <c r="H73" t="s">
        <v>63</v>
      </c>
      <c r="I73" t="s">
        <v>190</v>
      </c>
      <c r="J73" t="s">
        <v>191</v>
      </c>
      <c r="K73" t="s">
        <v>74</v>
      </c>
      <c r="L73" t="s">
        <v>274</v>
      </c>
      <c r="M73" t="s">
        <v>323</v>
      </c>
      <c r="N73" t="s">
        <v>59</v>
      </c>
      <c r="O73">
        <v>6</v>
      </c>
      <c r="P73">
        <v>2027.32</v>
      </c>
      <c r="Q73" s="11">
        <v>0.1</v>
      </c>
      <c r="R73">
        <v>10947.53</v>
      </c>
      <c r="S73">
        <v>6447.36</v>
      </c>
      <c r="T73">
        <v>4500.17</v>
      </c>
      <c r="U73" t="s">
        <v>32</v>
      </c>
      <c r="V73" t="s">
        <v>33</v>
      </c>
      <c r="X73" s="8" t="str">
        <f>IF(C73&gt;=B73,"Valid", "Invalid-Date")</f>
        <v>Valid</v>
      </c>
      <c r="Y73" s="8" t="str">
        <f t="shared" si="10"/>
        <v>Valid</v>
      </c>
      <c r="Z73" s="8" t="str">
        <f t="shared" si="11"/>
        <v>Pass</v>
      </c>
      <c r="AA73" s="8" t="str">
        <f t="shared" si="12"/>
        <v>Pass</v>
      </c>
      <c r="AB73" s="8" t="str">
        <f>TEXT(B73,"mmmm")</f>
        <v>April</v>
      </c>
      <c r="AC73" s="8" t="str">
        <f>TEXT(B73,"yyyy")</f>
        <v>2025</v>
      </c>
      <c r="AE73">
        <f t="shared" si="13"/>
        <v>12163.92</v>
      </c>
      <c r="AF73" s="11">
        <f t="shared" si="14"/>
        <v>10947.528</v>
      </c>
      <c r="AG73">
        <f t="shared" si="15"/>
        <v>5716.56</v>
      </c>
      <c r="AH73" s="11">
        <f t="shared" si="16"/>
        <v>0.46996034173194173</v>
      </c>
      <c r="AI73" s="44">
        <f t="shared" si="17"/>
        <v>0.46996034173194173</v>
      </c>
    </row>
    <row r="74" spans="1:35">
      <c r="A74" t="s">
        <v>324</v>
      </c>
      <c r="B74" s="5">
        <v>45333</v>
      </c>
      <c r="C74" s="5">
        <v>45475</v>
      </c>
      <c r="D74" s="13">
        <f t="shared" si="9"/>
        <v>142</v>
      </c>
      <c r="E74" t="s">
        <v>325</v>
      </c>
      <c r="F74" t="s">
        <v>23</v>
      </c>
      <c r="G74" t="s">
        <v>95</v>
      </c>
      <c r="H74" t="s">
        <v>54</v>
      </c>
      <c r="I74" t="s">
        <v>247</v>
      </c>
      <c r="J74" t="s">
        <v>248</v>
      </c>
      <c r="K74" t="s">
        <v>41</v>
      </c>
      <c r="L74" t="s">
        <v>42</v>
      </c>
      <c r="M74" t="s">
        <v>326</v>
      </c>
      <c r="N74" t="s">
        <v>50</v>
      </c>
      <c r="O74">
        <v>7</v>
      </c>
      <c r="P74">
        <v>2287.4699999999998</v>
      </c>
      <c r="Q74" s="11">
        <v>0.15</v>
      </c>
      <c r="R74">
        <v>13610.45</v>
      </c>
      <c r="S74">
        <v>10039.049999999999</v>
      </c>
      <c r="T74">
        <v>3571.4</v>
      </c>
      <c r="U74" t="s">
        <v>32</v>
      </c>
      <c r="V74" t="s">
        <v>33</v>
      </c>
      <c r="X74" s="8" t="str">
        <f>IF(C74&gt;=B74,"Valid", "Invalid-Date")</f>
        <v>Valid</v>
      </c>
      <c r="Y74" s="8" t="str">
        <f t="shared" si="10"/>
        <v>Valid</v>
      </c>
      <c r="Z74" s="8" t="str">
        <f t="shared" si="11"/>
        <v>Pass</v>
      </c>
      <c r="AA74" s="8" t="str">
        <f t="shared" si="12"/>
        <v>Pass</v>
      </c>
      <c r="AB74" s="8" t="str">
        <f>TEXT(B74,"mmmm")</f>
        <v>February</v>
      </c>
      <c r="AC74" s="8" t="str">
        <f>TEXT(B74,"yyyy")</f>
        <v>2024</v>
      </c>
      <c r="AE74">
        <f t="shared" si="13"/>
        <v>16012.289999999999</v>
      </c>
      <c r="AF74" s="11">
        <f t="shared" si="14"/>
        <v>13610.446499999998</v>
      </c>
      <c r="AG74">
        <f t="shared" si="15"/>
        <v>5973.24</v>
      </c>
      <c r="AH74" s="11">
        <f t="shared" si="16"/>
        <v>0.37304095791420216</v>
      </c>
      <c r="AI74" s="44">
        <f t="shared" si="17"/>
        <v>0.37304095791420216</v>
      </c>
    </row>
    <row r="75" spans="1:35">
      <c r="A75" t="s">
        <v>327</v>
      </c>
      <c r="B75" s="5">
        <v>45745</v>
      </c>
      <c r="C75" s="5">
        <v>45720</v>
      </c>
      <c r="D75" s="13">
        <f t="shared" si="9"/>
        <v>-25</v>
      </c>
      <c r="E75" t="s">
        <v>328</v>
      </c>
      <c r="F75" t="s">
        <v>132</v>
      </c>
      <c r="G75" t="s">
        <v>90</v>
      </c>
      <c r="H75" t="s">
        <v>38</v>
      </c>
      <c r="I75" t="s">
        <v>99</v>
      </c>
      <c r="J75" t="s">
        <v>100</v>
      </c>
      <c r="K75" t="s">
        <v>41</v>
      </c>
      <c r="L75" t="s">
        <v>158</v>
      </c>
      <c r="M75" t="s">
        <v>329</v>
      </c>
      <c r="N75" t="s">
        <v>50</v>
      </c>
      <c r="O75">
        <v>5</v>
      </c>
      <c r="P75">
        <v>1425.74</v>
      </c>
      <c r="Q75" s="11">
        <v>0</v>
      </c>
      <c r="R75">
        <v>7128.7</v>
      </c>
      <c r="S75">
        <v>4382.1499999999996</v>
      </c>
      <c r="T75">
        <v>2746.55</v>
      </c>
      <c r="U75" t="s">
        <v>32</v>
      </c>
      <c r="V75" t="s">
        <v>33</v>
      </c>
      <c r="X75" s="8" t="str">
        <f>IF(C75&gt;=B75,"Valid", "Invalid-Date")</f>
        <v>Invalid-Date</v>
      </c>
      <c r="Y75" s="8" t="str">
        <f t="shared" si="10"/>
        <v>Valid</v>
      </c>
      <c r="Z75" s="8" t="str">
        <f t="shared" si="11"/>
        <v>Pass</v>
      </c>
      <c r="AA75" s="8" t="str">
        <f t="shared" si="12"/>
        <v>Pass</v>
      </c>
      <c r="AB75" s="8" t="str">
        <f>TEXT(B75,"mmmm")</f>
        <v>March</v>
      </c>
      <c r="AC75" s="8" t="str">
        <f>TEXT(B75,"yyyy")</f>
        <v>2025</v>
      </c>
      <c r="AE75">
        <f t="shared" si="13"/>
        <v>7128.7</v>
      </c>
      <c r="AF75" s="11">
        <f t="shared" si="14"/>
        <v>7128.7</v>
      </c>
      <c r="AG75">
        <f t="shared" si="15"/>
        <v>2746.55</v>
      </c>
      <c r="AH75" s="11">
        <f t="shared" si="16"/>
        <v>0.38528062620113068</v>
      </c>
      <c r="AI75" s="44">
        <f t="shared" si="17"/>
        <v>0.38528062620113068</v>
      </c>
    </row>
    <row r="76" spans="1:35">
      <c r="A76" t="s">
        <v>330</v>
      </c>
      <c r="B76" s="5">
        <v>45715</v>
      </c>
      <c r="C76" s="5">
        <v>45660</v>
      </c>
      <c r="D76" s="13">
        <f t="shared" si="9"/>
        <v>-55</v>
      </c>
      <c r="E76" t="s">
        <v>331</v>
      </c>
      <c r="F76" t="s">
        <v>71</v>
      </c>
      <c r="G76" t="s">
        <v>37</v>
      </c>
      <c r="H76" t="s">
        <v>38</v>
      </c>
      <c r="I76" t="s">
        <v>99</v>
      </c>
      <c r="J76" t="s">
        <v>100</v>
      </c>
      <c r="K76" t="s">
        <v>41</v>
      </c>
      <c r="L76" t="s">
        <v>66</v>
      </c>
      <c r="M76" t="s">
        <v>332</v>
      </c>
      <c r="N76" t="s">
        <v>59</v>
      </c>
      <c r="O76">
        <v>6</v>
      </c>
      <c r="P76">
        <v>551.64</v>
      </c>
      <c r="Q76" s="11">
        <v>0</v>
      </c>
      <c r="R76">
        <v>3309.84</v>
      </c>
      <c r="S76">
        <v>2671.08</v>
      </c>
      <c r="T76">
        <v>638.76</v>
      </c>
      <c r="U76" t="s">
        <v>32</v>
      </c>
      <c r="V76" t="s">
        <v>33</v>
      </c>
      <c r="X76" s="8" t="str">
        <f>IF(C76&gt;=B76,"Valid", "Invalid-Date")</f>
        <v>Invalid-Date</v>
      </c>
      <c r="Y76" s="8" t="str">
        <f t="shared" si="10"/>
        <v>Valid</v>
      </c>
      <c r="Z76" s="8" t="str">
        <f t="shared" si="11"/>
        <v>Pass</v>
      </c>
      <c r="AA76" s="8" t="str">
        <f t="shared" si="12"/>
        <v>Pass</v>
      </c>
      <c r="AB76" s="8" t="str">
        <f>TEXT(B76,"mmmm")</f>
        <v>February</v>
      </c>
      <c r="AC76" s="8" t="str">
        <f>TEXT(B76,"yyyy")</f>
        <v>2025</v>
      </c>
      <c r="AE76">
        <f t="shared" si="13"/>
        <v>3309.84</v>
      </c>
      <c r="AF76" s="11">
        <f t="shared" si="14"/>
        <v>3309.84</v>
      </c>
      <c r="AG76">
        <f t="shared" si="15"/>
        <v>638.76000000000022</v>
      </c>
      <c r="AH76" s="11">
        <f t="shared" si="16"/>
        <v>0.19298818069755644</v>
      </c>
      <c r="AI76" s="44">
        <f t="shared" si="17"/>
        <v>0.19298818069755644</v>
      </c>
    </row>
    <row r="77" spans="1:35">
      <c r="A77" t="s">
        <v>333</v>
      </c>
      <c r="B77" s="5">
        <v>45891</v>
      </c>
      <c r="C77" s="5">
        <v>45896</v>
      </c>
      <c r="D77" s="13">
        <f t="shared" si="9"/>
        <v>5</v>
      </c>
      <c r="E77" t="s">
        <v>334</v>
      </c>
      <c r="F77" t="s">
        <v>114</v>
      </c>
      <c r="G77" t="s">
        <v>37</v>
      </c>
      <c r="H77" t="s">
        <v>38</v>
      </c>
      <c r="I77" t="s">
        <v>39</v>
      </c>
      <c r="J77" t="s">
        <v>40</v>
      </c>
      <c r="K77" t="s">
        <v>28</v>
      </c>
      <c r="L77" t="s">
        <v>91</v>
      </c>
      <c r="M77" t="s">
        <v>335</v>
      </c>
      <c r="N77" t="s">
        <v>50</v>
      </c>
      <c r="O77">
        <v>3</v>
      </c>
      <c r="P77">
        <v>3294.82</v>
      </c>
      <c r="Q77" s="11">
        <v>0.2</v>
      </c>
      <c r="R77">
        <v>7907.57</v>
      </c>
      <c r="S77">
        <v>5391.18</v>
      </c>
      <c r="T77">
        <v>2516.39</v>
      </c>
      <c r="U77" t="s">
        <v>32</v>
      </c>
      <c r="V77" t="s">
        <v>33</v>
      </c>
      <c r="X77" s="8" t="str">
        <f>IF(C77&gt;=B77,"Valid", "Invalid-Date")</f>
        <v>Valid</v>
      </c>
      <c r="Y77" s="8" t="str">
        <f t="shared" si="10"/>
        <v>Valid</v>
      </c>
      <c r="Z77" s="8" t="str">
        <f t="shared" si="11"/>
        <v>Pass</v>
      </c>
      <c r="AA77" s="8" t="str">
        <f t="shared" si="12"/>
        <v>Pass</v>
      </c>
      <c r="AB77" s="8" t="str">
        <f>TEXT(B77,"mmmm")</f>
        <v>August</v>
      </c>
      <c r="AC77" s="8" t="str">
        <f>TEXT(B77,"yyyy")</f>
        <v>2025</v>
      </c>
      <c r="AE77">
        <f t="shared" si="13"/>
        <v>9884.4600000000009</v>
      </c>
      <c r="AF77" s="11">
        <f t="shared" si="14"/>
        <v>7907.5680000000011</v>
      </c>
      <c r="AG77">
        <f t="shared" si="15"/>
        <v>4493.2800000000007</v>
      </c>
      <c r="AH77" s="11">
        <f t="shared" si="16"/>
        <v>0.45458021986026553</v>
      </c>
      <c r="AI77" s="44">
        <f t="shared" si="17"/>
        <v>0.45458021986026553</v>
      </c>
    </row>
    <row r="78" spans="1:35">
      <c r="A78" t="s">
        <v>336</v>
      </c>
      <c r="B78" s="5">
        <v>45599</v>
      </c>
      <c r="C78" s="5">
        <v>45607</v>
      </c>
      <c r="D78" s="13">
        <f t="shared" si="9"/>
        <v>8</v>
      </c>
      <c r="E78" t="s">
        <v>337</v>
      </c>
      <c r="F78" t="s">
        <v>62</v>
      </c>
      <c r="G78" t="s">
        <v>90</v>
      </c>
      <c r="H78" t="s">
        <v>38</v>
      </c>
      <c r="I78" t="s">
        <v>228</v>
      </c>
      <c r="J78" t="s">
        <v>229</v>
      </c>
      <c r="K78" t="s">
        <v>28</v>
      </c>
      <c r="L78" t="s">
        <v>91</v>
      </c>
      <c r="M78" t="s">
        <v>338</v>
      </c>
      <c r="N78" t="s">
        <v>31</v>
      </c>
      <c r="O78">
        <v>3</v>
      </c>
      <c r="P78">
        <v>3406.27</v>
      </c>
      <c r="Q78" s="11">
        <v>0</v>
      </c>
      <c r="R78">
        <v>10218.81</v>
      </c>
      <c r="S78">
        <v>7616.97</v>
      </c>
      <c r="T78">
        <v>2601.84</v>
      </c>
      <c r="U78" t="s">
        <v>32</v>
      </c>
      <c r="V78" t="s">
        <v>33</v>
      </c>
      <c r="X78" s="8" t="str">
        <f>IF(C78&gt;=B78,"Valid", "Invalid-Date")</f>
        <v>Valid</v>
      </c>
      <c r="Y78" s="8" t="str">
        <f t="shared" si="10"/>
        <v>Valid</v>
      </c>
      <c r="Z78" s="8" t="str">
        <f t="shared" si="11"/>
        <v>Pass</v>
      </c>
      <c r="AA78" s="8" t="str">
        <f t="shared" si="12"/>
        <v>Pass</v>
      </c>
      <c r="AB78" s="8" t="str">
        <f>TEXT(B78,"mmmm")</f>
        <v>November</v>
      </c>
      <c r="AC78" s="8" t="str">
        <f>TEXT(B78,"yyyy")</f>
        <v>2024</v>
      </c>
      <c r="AE78">
        <f t="shared" si="13"/>
        <v>10218.81</v>
      </c>
      <c r="AF78" s="11">
        <f t="shared" si="14"/>
        <v>10218.81</v>
      </c>
      <c r="AG78">
        <f t="shared" si="15"/>
        <v>2601.8399999999992</v>
      </c>
      <c r="AH78" s="11">
        <f t="shared" si="16"/>
        <v>0.2546128169522674</v>
      </c>
      <c r="AI78" s="44">
        <f t="shared" si="17"/>
        <v>0.2546128169522674</v>
      </c>
    </row>
    <row r="79" spans="1:35">
      <c r="A79" t="s">
        <v>339</v>
      </c>
      <c r="B79" s="5">
        <v>45876</v>
      </c>
      <c r="C79" s="5">
        <v>45850</v>
      </c>
      <c r="D79" s="13">
        <f t="shared" si="9"/>
        <v>-26</v>
      </c>
      <c r="E79" t="s">
        <v>340</v>
      </c>
      <c r="F79" t="s">
        <v>141</v>
      </c>
      <c r="G79" t="s">
        <v>95</v>
      </c>
      <c r="H79" t="s">
        <v>25</v>
      </c>
      <c r="I79" t="s">
        <v>136</v>
      </c>
      <c r="J79" t="s">
        <v>137</v>
      </c>
      <c r="K79" t="s">
        <v>41</v>
      </c>
      <c r="L79" t="s">
        <v>57</v>
      </c>
      <c r="M79" t="s">
        <v>341</v>
      </c>
      <c r="N79" t="s">
        <v>59</v>
      </c>
      <c r="O79">
        <v>1</v>
      </c>
      <c r="P79">
        <v>2582.1999999999998</v>
      </c>
      <c r="Q79" s="11">
        <v>0.15</v>
      </c>
      <c r="R79">
        <v>2194.87</v>
      </c>
      <c r="S79">
        <v>1223.17</v>
      </c>
      <c r="T79">
        <v>971.7</v>
      </c>
      <c r="U79" t="s">
        <v>102</v>
      </c>
      <c r="V79" t="s">
        <v>68</v>
      </c>
      <c r="X79" s="8" t="str">
        <f>IF(C79&gt;=B79,"Valid", "Invalid-Date")</f>
        <v>Invalid-Date</v>
      </c>
      <c r="Y79" s="8" t="str">
        <f t="shared" si="10"/>
        <v>Valid</v>
      </c>
      <c r="Z79" s="8" t="str">
        <f t="shared" si="11"/>
        <v>Pass</v>
      </c>
      <c r="AA79" s="8" t="str">
        <f t="shared" si="12"/>
        <v>Pass</v>
      </c>
      <c r="AB79" s="8" t="str">
        <f>TEXT(B79,"mmmm")</f>
        <v>August</v>
      </c>
      <c r="AC79" s="8" t="str">
        <f>TEXT(B79,"yyyy")</f>
        <v>2025</v>
      </c>
      <c r="AE79">
        <f t="shared" si="13"/>
        <v>2582.1999999999998</v>
      </c>
      <c r="AF79" s="11">
        <f t="shared" si="14"/>
        <v>2194.87</v>
      </c>
      <c r="AG79">
        <f t="shared" si="15"/>
        <v>1359.0299999999997</v>
      </c>
      <c r="AH79" s="11">
        <f t="shared" si="16"/>
        <v>0.52630702501742699</v>
      </c>
      <c r="AI79" s="44">
        <f t="shared" si="17"/>
        <v>0.52630702501742699</v>
      </c>
    </row>
    <row r="80" spans="1:35">
      <c r="A80" t="s">
        <v>342</v>
      </c>
      <c r="B80" s="5">
        <v>45854</v>
      </c>
      <c r="C80" s="5">
        <v>45859</v>
      </c>
      <c r="D80" s="13">
        <f t="shared" si="9"/>
        <v>5</v>
      </c>
      <c r="E80" t="s">
        <v>343</v>
      </c>
      <c r="F80" t="s">
        <v>132</v>
      </c>
      <c r="G80" t="s">
        <v>90</v>
      </c>
      <c r="H80" t="s">
        <v>38</v>
      </c>
      <c r="I80" t="s">
        <v>99</v>
      </c>
      <c r="J80" t="s">
        <v>100</v>
      </c>
      <c r="K80" t="s">
        <v>41</v>
      </c>
      <c r="L80" t="s">
        <v>42</v>
      </c>
      <c r="M80" t="s">
        <v>344</v>
      </c>
      <c r="N80" t="s">
        <v>50</v>
      </c>
      <c r="O80">
        <v>5</v>
      </c>
      <c r="P80">
        <v>2129.5100000000002</v>
      </c>
      <c r="Q80" s="11">
        <v>0.15</v>
      </c>
      <c r="R80">
        <v>9050.42</v>
      </c>
      <c r="S80">
        <v>6778.85</v>
      </c>
      <c r="T80">
        <v>2271.5700000000002</v>
      </c>
      <c r="U80" t="s">
        <v>32</v>
      </c>
      <c r="V80" t="s">
        <v>33</v>
      </c>
      <c r="X80" s="8" t="str">
        <f>IF(C80&gt;=B80,"Valid", "Invalid-Date")</f>
        <v>Valid</v>
      </c>
      <c r="Y80" s="8" t="str">
        <f t="shared" si="10"/>
        <v>Valid</v>
      </c>
      <c r="Z80" s="8" t="str">
        <f t="shared" si="11"/>
        <v>Pass</v>
      </c>
      <c r="AA80" s="8" t="str">
        <f t="shared" si="12"/>
        <v>Pass</v>
      </c>
      <c r="AB80" s="8" t="str">
        <f>TEXT(B80,"mmmm")</f>
        <v>July</v>
      </c>
      <c r="AC80" s="8" t="str">
        <f>TEXT(B80,"yyyy")</f>
        <v>2025</v>
      </c>
      <c r="AE80">
        <f t="shared" si="13"/>
        <v>10647.550000000001</v>
      </c>
      <c r="AF80" s="11">
        <f t="shared" si="14"/>
        <v>9050.4175000000014</v>
      </c>
      <c r="AG80">
        <f t="shared" si="15"/>
        <v>3868.7000000000007</v>
      </c>
      <c r="AH80" s="11">
        <f t="shared" si="16"/>
        <v>0.36334180163511798</v>
      </c>
      <c r="AI80" s="44">
        <f t="shared" si="17"/>
        <v>0.36334180163511798</v>
      </c>
    </row>
    <row r="81" spans="1:35">
      <c r="A81" t="s">
        <v>345</v>
      </c>
      <c r="B81" s="5">
        <v>45927</v>
      </c>
      <c r="C81" s="5">
        <v>45726</v>
      </c>
      <c r="D81" s="13">
        <f t="shared" si="9"/>
        <v>-201</v>
      </c>
      <c r="E81" t="s">
        <v>346</v>
      </c>
      <c r="F81" t="s">
        <v>162</v>
      </c>
      <c r="G81" t="s">
        <v>95</v>
      </c>
      <c r="H81" t="s">
        <v>54</v>
      </c>
      <c r="I81" t="s">
        <v>247</v>
      </c>
      <c r="J81" t="s">
        <v>248</v>
      </c>
      <c r="K81" t="s">
        <v>41</v>
      </c>
      <c r="L81" t="s">
        <v>66</v>
      </c>
      <c r="M81" t="s">
        <v>347</v>
      </c>
      <c r="N81" t="s">
        <v>44</v>
      </c>
      <c r="O81">
        <v>9</v>
      </c>
      <c r="P81">
        <v>4131.5200000000004</v>
      </c>
      <c r="Q81" s="11">
        <v>0.1</v>
      </c>
      <c r="R81">
        <v>33465.31</v>
      </c>
      <c r="S81">
        <v>24781.26</v>
      </c>
      <c r="T81">
        <v>8684.0499999999993</v>
      </c>
      <c r="U81" t="s">
        <v>32</v>
      </c>
      <c r="V81" t="s">
        <v>33</v>
      </c>
      <c r="X81" s="8" t="str">
        <f>IF(C81&gt;=B81,"Valid", "Invalid-Date")</f>
        <v>Invalid-Date</v>
      </c>
      <c r="Y81" s="8" t="str">
        <f t="shared" si="10"/>
        <v>Valid</v>
      </c>
      <c r="Z81" s="8" t="str">
        <f t="shared" si="11"/>
        <v>Pass</v>
      </c>
      <c r="AA81" s="8" t="str">
        <f t="shared" si="12"/>
        <v>Pass</v>
      </c>
      <c r="AB81" s="8" t="str">
        <f>TEXT(B81,"mmmm")</f>
        <v>September</v>
      </c>
      <c r="AC81" s="8" t="str">
        <f>TEXT(B81,"yyyy")</f>
        <v>2025</v>
      </c>
      <c r="AE81">
        <f t="shared" si="13"/>
        <v>37183.680000000008</v>
      </c>
      <c r="AF81" s="11">
        <f t="shared" si="14"/>
        <v>33465.312000000005</v>
      </c>
      <c r="AG81">
        <f t="shared" si="15"/>
        <v>12402.420000000009</v>
      </c>
      <c r="AH81" s="11">
        <f t="shared" si="16"/>
        <v>0.33354471639170752</v>
      </c>
      <c r="AI81" s="44">
        <f t="shared" si="17"/>
        <v>0.33354471639170752</v>
      </c>
    </row>
    <row r="82" spans="1:35">
      <c r="A82" t="s">
        <v>348</v>
      </c>
      <c r="B82" s="5">
        <v>45514</v>
      </c>
      <c r="C82" s="5">
        <v>45518</v>
      </c>
      <c r="D82" s="13">
        <f t="shared" si="9"/>
        <v>4</v>
      </c>
      <c r="E82" t="s">
        <v>349</v>
      </c>
      <c r="F82" t="s">
        <v>128</v>
      </c>
      <c r="G82" t="s">
        <v>37</v>
      </c>
      <c r="H82" t="s">
        <v>25</v>
      </c>
      <c r="I82" t="s">
        <v>350</v>
      </c>
      <c r="J82" t="s">
        <v>351</v>
      </c>
      <c r="K82" t="s">
        <v>28</v>
      </c>
      <c r="L82" t="s">
        <v>124</v>
      </c>
      <c r="M82" t="s">
        <v>352</v>
      </c>
      <c r="N82" t="s">
        <v>31</v>
      </c>
      <c r="O82">
        <v>4</v>
      </c>
      <c r="P82">
        <v>1182.32</v>
      </c>
      <c r="Q82" s="11">
        <v>0.1</v>
      </c>
      <c r="R82">
        <v>4256.3500000000004</v>
      </c>
      <c r="S82">
        <v>2495.33</v>
      </c>
      <c r="T82">
        <v>1761.02</v>
      </c>
      <c r="U82" t="s">
        <v>111</v>
      </c>
      <c r="V82" t="s">
        <v>103</v>
      </c>
      <c r="X82" s="8" t="str">
        <f>IF(C82&gt;=B82,"Valid", "Invalid-Date")</f>
        <v>Valid</v>
      </c>
      <c r="Y82" s="8" t="str">
        <f t="shared" si="10"/>
        <v>Valid</v>
      </c>
      <c r="Z82" s="8" t="str">
        <f t="shared" si="11"/>
        <v>Pass</v>
      </c>
      <c r="AA82" s="8" t="str">
        <f t="shared" si="12"/>
        <v>Pass</v>
      </c>
      <c r="AB82" s="8" t="str">
        <f>TEXT(B82,"mmmm")</f>
        <v>August</v>
      </c>
      <c r="AC82" s="8" t="str">
        <f>TEXT(B82,"yyyy")</f>
        <v>2024</v>
      </c>
      <c r="AE82">
        <f t="shared" si="13"/>
        <v>4729.28</v>
      </c>
      <c r="AF82" s="11">
        <f t="shared" si="14"/>
        <v>4256.3519999999999</v>
      </c>
      <c r="AG82">
        <f t="shared" si="15"/>
        <v>2233.9499999999998</v>
      </c>
      <c r="AH82" s="11">
        <f t="shared" si="16"/>
        <v>0.47236577237972799</v>
      </c>
      <c r="AI82" s="44">
        <f t="shared" si="17"/>
        <v>0.47236577237972799</v>
      </c>
    </row>
    <row r="83" spans="1:35">
      <c r="A83" t="s">
        <v>353</v>
      </c>
      <c r="B83" s="5">
        <v>45732</v>
      </c>
      <c r="C83" s="5">
        <v>45733</v>
      </c>
      <c r="D83" s="13">
        <f t="shared" si="9"/>
        <v>1</v>
      </c>
      <c r="E83" t="s">
        <v>354</v>
      </c>
      <c r="F83" t="s">
        <v>23</v>
      </c>
      <c r="G83" t="s">
        <v>95</v>
      </c>
      <c r="H83" t="s">
        <v>63</v>
      </c>
      <c r="I83" t="s">
        <v>190</v>
      </c>
      <c r="J83" t="s">
        <v>191</v>
      </c>
      <c r="K83" t="s">
        <v>28</v>
      </c>
      <c r="L83" t="s">
        <v>91</v>
      </c>
      <c r="M83" t="s">
        <v>355</v>
      </c>
      <c r="N83" t="s">
        <v>44</v>
      </c>
      <c r="O83">
        <v>3</v>
      </c>
      <c r="P83">
        <v>1841.91</v>
      </c>
      <c r="Q83" s="11">
        <v>0</v>
      </c>
      <c r="R83">
        <v>5525.73</v>
      </c>
      <c r="S83">
        <v>3093.42</v>
      </c>
      <c r="T83">
        <v>2432.31</v>
      </c>
      <c r="U83" t="s">
        <v>32</v>
      </c>
      <c r="V83" t="s">
        <v>33</v>
      </c>
      <c r="X83" s="8" t="str">
        <f>IF(C83&gt;=B83,"Valid", "Invalid-Date")</f>
        <v>Valid</v>
      </c>
      <c r="Y83" s="8" t="str">
        <f t="shared" si="10"/>
        <v>Valid</v>
      </c>
      <c r="Z83" s="8" t="str">
        <f t="shared" si="11"/>
        <v>Pass</v>
      </c>
      <c r="AA83" s="8" t="str">
        <f t="shared" si="12"/>
        <v>Pass</v>
      </c>
      <c r="AB83" s="8" t="str">
        <f>TEXT(B83,"mmmm")</f>
        <v>March</v>
      </c>
      <c r="AC83" s="8" t="str">
        <f>TEXT(B83,"yyyy")</f>
        <v>2025</v>
      </c>
      <c r="AE83">
        <f t="shared" si="13"/>
        <v>5525.7300000000005</v>
      </c>
      <c r="AF83" s="11">
        <f t="shared" si="14"/>
        <v>5525.7300000000005</v>
      </c>
      <c r="AG83">
        <f t="shared" si="15"/>
        <v>2432.3100000000004</v>
      </c>
      <c r="AH83" s="11">
        <f t="shared" si="16"/>
        <v>0.44017894468242208</v>
      </c>
      <c r="AI83" s="44">
        <f t="shared" si="17"/>
        <v>0.44017894468242208</v>
      </c>
    </row>
    <row r="84" spans="1:35">
      <c r="A84" t="s">
        <v>356</v>
      </c>
      <c r="B84" s="5">
        <v>45507</v>
      </c>
      <c r="C84" s="5">
        <v>45508</v>
      </c>
      <c r="D84" s="13">
        <f t="shared" si="9"/>
        <v>1</v>
      </c>
      <c r="E84" t="s">
        <v>357</v>
      </c>
      <c r="F84" t="s">
        <v>53</v>
      </c>
      <c r="G84" t="s">
        <v>24</v>
      </c>
      <c r="H84" t="s">
        <v>25</v>
      </c>
      <c r="I84" t="s">
        <v>136</v>
      </c>
      <c r="J84" t="s">
        <v>137</v>
      </c>
      <c r="K84" t="s">
        <v>74</v>
      </c>
      <c r="L84" t="s">
        <v>80</v>
      </c>
      <c r="M84" t="s">
        <v>358</v>
      </c>
      <c r="N84" t="s">
        <v>31</v>
      </c>
      <c r="O84">
        <v>6</v>
      </c>
      <c r="P84">
        <v>1001.73</v>
      </c>
      <c r="Q84" s="11">
        <v>0</v>
      </c>
      <c r="R84">
        <v>6010.38</v>
      </c>
      <c r="S84">
        <v>3762.85</v>
      </c>
      <c r="T84">
        <v>2247.5300000000002</v>
      </c>
      <c r="U84" t="s">
        <v>155</v>
      </c>
      <c r="V84" t="s">
        <v>103</v>
      </c>
      <c r="X84" s="8" t="str">
        <f>IF(C84&gt;=B84,"Valid", "Invalid-Date")</f>
        <v>Valid</v>
      </c>
      <c r="Y84" s="8" t="str">
        <f t="shared" si="10"/>
        <v>Valid</v>
      </c>
      <c r="Z84" s="8" t="str">
        <f t="shared" si="11"/>
        <v>Pass</v>
      </c>
      <c r="AA84" s="8" t="str">
        <f t="shared" si="12"/>
        <v>Pass</v>
      </c>
      <c r="AB84" s="8" t="str">
        <f>TEXT(B84,"mmmm")</f>
        <v>August</v>
      </c>
      <c r="AC84" s="8" t="str">
        <f>TEXT(B84,"yyyy")</f>
        <v>2024</v>
      </c>
      <c r="AE84">
        <f t="shared" si="13"/>
        <v>6010.38</v>
      </c>
      <c r="AF84" s="11">
        <f t="shared" si="14"/>
        <v>6010.38</v>
      </c>
      <c r="AG84">
        <f t="shared" si="15"/>
        <v>2247.5300000000002</v>
      </c>
      <c r="AH84" s="11">
        <f t="shared" si="16"/>
        <v>0.37394141468592673</v>
      </c>
      <c r="AI84" s="44">
        <f t="shared" si="17"/>
        <v>0.37394141468592673</v>
      </c>
    </row>
    <row r="85" spans="1:35">
      <c r="A85" t="s">
        <v>359</v>
      </c>
      <c r="B85" s="5">
        <v>45591</v>
      </c>
      <c r="C85" s="5">
        <v>45594</v>
      </c>
      <c r="D85" s="13">
        <f t="shared" si="9"/>
        <v>3</v>
      </c>
      <c r="E85" t="s">
        <v>360</v>
      </c>
      <c r="F85" t="s">
        <v>89</v>
      </c>
      <c r="G85" t="s">
        <v>95</v>
      </c>
      <c r="H85" t="s">
        <v>63</v>
      </c>
      <c r="I85" t="s">
        <v>64</v>
      </c>
      <c r="J85" t="s">
        <v>65</v>
      </c>
      <c r="K85" t="s">
        <v>41</v>
      </c>
      <c r="L85" t="s">
        <v>42</v>
      </c>
      <c r="M85" t="s">
        <v>361</v>
      </c>
      <c r="N85" t="s">
        <v>31</v>
      </c>
      <c r="O85">
        <v>9</v>
      </c>
      <c r="P85">
        <v>131.74</v>
      </c>
      <c r="Q85" s="11">
        <v>0.2</v>
      </c>
      <c r="R85">
        <v>948.53</v>
      </c>
      <c r="S85">
        <v>674.62</v>
      </c>
      <c r="T85">
        <v>273.91000000000003</v>
      </c>
      <c r="U85" t="s">
        <v>32</v>
      </c>
      <c r="V85" t="s">
        <v>33</v>
      </c>
      <c r="X85" s="8" t="str">
        <f>IF(C85&gt;=B85,"Valid", "Invalid-Date")</f>
        <v>Valid</v>
      </c>
      <c r="Y85" s="8" t="str">
        <f t="shared" si="10"/>
        <v>Valid</v>
      </c>
      <c r="Z85" s="8" t="str">
        <f t="shared" si="11"/>
        <v>Pass</v>
      </c>
      <c r="AA85" s="8" t="str">
        <f t="shared" si="12"/>
        <v>Pass</v>
      </c>
      <c r="AB85" s="8" t="str">
        <f>TEXT(B85,"mmmm")</f>
        <v>October</v>
      </c>
      <c r="AC85" s="8" t="str">
        <f>TEXT(B85,"yyyy")</f>
        <v>2024</v>
      </c>
      <c r="AE85">
        <f t="shared" si="13"/>
        <v>1185.6600000000001</v>
      </c>
      <c r="AF85" s="11">
        <f t="shared" si="14"/>
        <v>948.52800000000013</v>
      </c>
      <c r="AG85">
        <f t="shared" si="15"/>
        <v>511.04000000000008</v>
      </c>
      <c r="AH85" s="11">
        <f t="shared" si="16"/>
        <v>0.43101732368469886</v>
      </c>
      <c r="AI85" s="44">
        <f t="shared" si="17"/>
        <v>0.43101732368469886</v>
      </c>
    </row>
    <row r="86" spans="1:35">
      <c r="A86" t="s">
        <v>362</v>
      </c>
      <c r="B86" s="5">
        <v>45566</v>
      </c>
      <c r="C86" s="5">
        <v>45361</v>
      </c>
      <c r="D86" s="13">
        <f t="shared" si="9"/>
        <v>-205</v>
      </c>
      <c r="E86" t="s">
        <v>363</v>
      </c>
      <c r="F86" t="s">
        <v>141</v>
      </c>
      <c r="G86" t="s">
        <v>90</v>
      </c>
      <c r="H86" t="s">
        <v>54</v>
      </c>
      <c r="I86" t="s">
        <v>247</v>
      </c>
      <c r="J86" t="s">
        <v>248</v>
      </c>
      <c r="K86" t="s">
        <v>74</v>
      </c>
      <c r="L86" t="s">
        <v>171</v>
      </c>
      <c r="M86" t="s">
        <v>364</v>
      </c>
      <c r="N86" t="s">
        <v>31</v>
      </c>
      <c r="O86">
        <v>6</v>
      </c>
      <c r="P86">
        <v>570.28</v>
      </c>
      <c r="Q86" s="11">
        <v>0.2</v>
      </c>
      <c r="R86">
        <v>2737.34</v>
      </c>
      <c r="S86">
        <v>2085.44</v>
      </c>
      <c r="T86">
        <v>651.9</v>
      </c>
      <c r="U86" t="s">
        <v>32</v>
      </c>
      <c r="V86" t="s">
        <v>33</v>
      </c>
      <c r="X86" s="8" t="str">
        <f>IF(C86&gt;=B86,"Valid", "Invalid-Date")</f>
        <v>Invalid-Date</v>
      </c>
      <c r="Y86" s="8" t="str">
        <f t="shared" si="10"/>
        <v>Valid</v>
      </c>
      <c r="Z86" s="8" t="str">
        <f t="shared" si="11"/>
        <v>Pass</v>
      </c>
      <c r="AA86" s="8" t="str">
        <f t="shared" si="12"/>
        <v>Pass</v>
      </c>
      <c r="AB86" s="8" t="str">
        <f>TEXT(B86,"mmmm")</f>
        <v>October</v>
      </c>
      <c r="AC86" s="8" t="str">
        <f>TEXT(B86,"yyyy")</f>
        <v>2024</v>
      </c>
      <c r="AE86">
        <f t="shared" si="13"/>
        <v>3421.68</v>
      </c>
      <c r="AF86" s="11">
        <f t="shared" si="14"/>
        <v>2737.3440000000001</v>
      </c>
      <c r="AG86">
        <f t="shared" si="15"/>
        <v>1336.2399999999998</v>
      </c>
      <c r="AH86" s="11">
        <f t="shared" si="16"/>
        <v>0.39052161511304384</v>
      </c>
      <c r="AI86" s="44">
        <f t="shared" si="17"/>
        <v>0.39052161511304384</v>
      </c>
    </row>
    <row r="87" spans="1:35">
      <c r="A87" t="s">
        <v>365</v>
      </c>
      <c r="B87" s="5">
        <v>45503</v>
      </c>
      <c r="C87" s="5">
        <v>45420</v>
      </c>
      <c r="D87" s="13">
        <f t="shared" si="9"/>
        <v>-83</v>
      </c>
      <c r="E87" t="s">
        <v>366</v>
      </c>
      <c r="F87" t="s">
        <v>264</v>
      </c>
      <c r="G87" t="s">
        <v>90</v>
      </c>
      <c r="H87" t="s">
        <v>25</v>
      </c>
      <c r="I87" t="s">
        <v>350</v>
      </c>
      <c r="J87" t="s">
        <v>351</v>
      </c>
      <c r="K87" t="s">
        <v>28</v>
      </c>
      <c r="L87" t="s">
        <v>153</v>
      </c>
      <c r="M87" t="s">
        <v>367</v>
      </c>
      <c r="N87" t="s">
        <v>59</v>
      </c>
      <c r="O87">
        <v>1</v>
      </c>
      <c r="P87">
        <v>608.64</v>
      </c>
      <c r="Q87" s="11">
        <v>0</v>
      </c>
      <c r="R87">
        <v>608.64</v>
      </c>
      <c r="S87">
        <v>343.99</v>
      </c>
      <c r="T87">
        <v>264.64999999999998</v>
      </c>
      <c r="U87" t="s">
        <v>32</v>
      </c>
      <c r="V87" t="s">
        <v>68</v>
      </c>
      <c r="X87" s="8" t="str">
        <f>IF(C87&gt;=B87,"Valid", "Invalid-Date")</f>
        <v>Invalid-Date</v>
      </c>
      <c r="Y87" s="8" t="str">
        <f t="shared" si="10"/>
        <v>Valid</v>
      </c>
      <c r="Z87" s="8" t="str">
        <f t="shared" si="11"/>
        <v>Pass</v>
      </c>
      <c r="AA87" s="8" t="str">
        <f t="shared" si="12"/>
        <v>Pass</v>
      </c>
      <c r="AB87" s="8" t="str">
        <f>TEXT(B87,"mmmm")</f>
        <v>July</v>
      </c>
      <c r="AC87" s="8" t="str">
        <f>TEXT(B87,"yyyy")</f>
        <v>2024</v>
      </c>
      <c r="AE87">
        <f t="shared" si="13"/>
        <v>608.64</v>
      </c>
      <c r="AF87" s="11">
        <f t="shared" si="14"/>
        <v>608.64</v>
      </c>
      <c r="AG87">
        <f t="shared" si="15"/>
        <v>264.64999999999998</v>
      </c>
      <c r="AH87" s="11">
        <f t="shared" si="16"/>
        <v>0.43482189800210302</v>
      </c>
      <c r="AI87" s="44">
        <f t="shared" si="17"/>
        <v>0.43482189800210302</v>
      </c>
    </row>
    <row r="88" spans="1:35">
      <c r="A88" t="s">
        <v>368</v>
      </c>
      <c r="B88" s="5">
        <v>45474</v>
      </c>
      <c r="C88" s="5">
        <v>45298</v>
      </c>
      <c r="D88" s="13">
        <f t="shared" si="9"/>
        <v>-176</v>
      </c>
      <c r="E88" t="s">
        <v>369</v>
      </c>
      <c r="F88" t="s">
        <v>62</v>
      </c>
      <c r="G88" t="s">
        <v>37</v>
      </c>
      <c r="H88" t="s">
        <v>25</v>
      </c>
      <c r="I88" t="s">
        <v>350</v>
      </c>
      <c r="J88" t="s">
        <v>351</v>
      </c>
      <c r="K88" t="s">
        <v>74</v>
      </c>
      <c r="L88" t="s">
        <v>80</v>
      </c>
      <c r="M88" t="s">
        <v>370</v>
      </c>
      <c r="N88" t="s">
        <v>31</v>
      </c>
      <c r="O88">
        <v>3</v>
      </c>
      <c r="P88">
        <v>885.28</v>
      </c>
      <c r="Q88" s="11">
        <v>0.1</v>
      </c>
      <c r="R88">
        <v>2390.2600000000002</v>
      </c>
      <c r="S88">
        <v>1495.94</v>
      </c>
      <c r="T88">
        <v>894.32</v>
      </c>
      <c r="U88" t="s">
        <v>102</v>
      </c>
      <c r="V88" t="s">
        <v>68</v>
      </c>
      <c r="X88" s="8" t="str">
        <f>IF(C88&gt;=B88,"Valid", "Invalid-Date")</f>
        <v>Invalid-Date</v>
      </c>
      <c r="Y88" s="8" t="str">
        <f t="shared" si="10"/>
        <v>Valid</v>
      </c>
      <c r="Z88" s="8" t="str">
        <f t="shared" si="11"/>
        <v>Pass</v>
      </c>
      <c r="AA88" s="8" t="str">
        <f t="shared" si="12"/>
        <v>Pass</v>
      </c>
      <c r="AB88" s="8" t="str">
        <f>TEXT(B88,"mmmm")</f>
        <v>July</v>
      </c>
      <c r="AC88" s="8" t="str">
        <f>TEXT(B88,"yyyy")</f>
        <v>2024</v>
      </c>
      <c r="AE88">
        <f t="shared" si="13"/>
        <v>2655.84</v>
      </c>
      <c r="AF88" s="11">
        <f t="shared" si="14"/>
        <v>2390.2560000000003</v>
      </c>
      <c r="AG88">
        <f t="shared" si="15"/>
        <v>1159.9000000000001</v>
      </c>
      <c r="AH88" s="11">
        <f t="shared" si="16"/>
        <v>0.43673564672570636</v>
      </c>
      <c r="AI88" s="44">
        <f t="shared" si="17"/>
        <v>0.43673564672570636</v>
      </c>
    </row>
    <row r="89" spans="1:35">
      <c r="A89" t="s">
        <v>371</v>
      </c>
      <c r="B89" s="5">
        <v>45506</v>
      </c>
      <c r="C89" s="5">
        <v>45359</v>
      </c>
      <c r="D89" s="13">
        <f t="shared" si="9"/>
        <v>-147</v>
      </c>
      <c r="E89" t="s">
        <v>372</v>
      </c>
      <c r="F89" t="s">
        <v>71</v>
      </c>
      <c r="G89" t="s">
        <v>24</v>
      </c>
      <c r="H89" t="s">
        <v>38</v>
      </c>
      <c r="I89" t="s">
        <v>166</v>
      </c>
      <c r="J89" t="s">
        <v>167</v>
      </c>
      <c r="K89" t="s">
        <v>28</v>
      </c>
      <c r="L89" t="s">
        <v>153</v>
      </c>
      <c r="M89" t="s">
        <v>373</v>
      </c>
      <c r="N89" t="s">
        <v>59</v>
      </c>
      <c r="O89">
        <v>7</v>
      </c>
      <c r="P89">
        <v>3345.22</v>
      </c>
      <c r="Q89" s="11">
        <v>0</v>
      </c>
      <c r="R89">
        <v>23416.54</v>
      </c>
      <c r="S89">
        <v>15490.89</v>
      </c>
      <c r="T89">
        <v>7925.65</v>
      </c>
      <c r="U89" t="s">
        <v>32</v>
      </c>
      <c r="V89" t="s">
        <v>33</v>
      </c>
      <c r="X89" s="8" t="str">
        <f>IF(C89&gt;=B89,"Valid", "Invalid-Date")</f>
        <v>Invalid-Date</v>
      </c>
      <c r="Y89" s="8" t="str">
        <f t="shared" si="10"/>
        <v>Valid</v>
      </c>
      <c r="Z89" s="8" t="str">
        <f t="shared" si="11"/>
        <v>Pass</v>
      </c>
      <c r="AA89" s="8" t="str">
        <f t="shared" si="12"/>
        <v>Pass</v>
      </c>
      <c r="AB89" s="8" t="str">
        <f>TEXT(B89,"mmmm")</f>
        <v>August</v>
      </c>
      <c r="AC89" s="8" t="str">
        <f>TEXT(B89,"yyyy")</f>
        <v>2024</v>
      </c>
      <c r="AE89">
        <f t="shared" si="13"/>
        <v>23416.539999999997</v>
      </c>
      <c r="AF89" s="11">
        <f t="shared" si="14"/>
        <v>23416.539999999997</v>
      </c>
      <c r="AG89">
        <f t="shared" si="15"/>
        <v>7925.6499999999978</v>
      </c>
      <c r="AH89" s="11">
        <f t="shared" si="16"/>
        <v>0.33846375254414185</v>
      </c>
      <c r="AI89" s="44">
        <f t="shared" si="17"/>
        <v>0.33846375254414185</v>
      </c>
    </row>
    <row r="90" spans="1:35">
      <c r="A90" t="s">
        <v>374</v>
      </c>
      <c r="B90" s="5">
        <v>45375</v>
      </c>
      <c r="C90" s="5">
        <v>45378</v>
      </c>
      <c r="D90" s="13">
        <f t="shared" si="9"/>
        <v>3</v>
      </c>
      <c r="E90" t="s">
        <v>375</v>
      </c>
      <c r="F90" t="s">
        <v>141</v>
      </c>
      <c r="G90" t="s">
        <v>37</v>
      </c>
      <c r="H90" t="s">
        <v>63</v>
      </c>
      <c r="I90" t="s">
        <v>64</v>
      </c>
      <c r="J90" t="s">
        <v>65</v>
      </c>
      <c r="K90" t="s">
        <v>41</v>
      </c>
      <c r="L90" t="s">
        <v>158</v>
      </c>
      <c r="M90" t="s">
        <v>376</v>
      </c>
      <c r="N90" t="s">
        <v>59</v>
      </c>
      <c r="O90">
        <v>2</v>
      </c>
      <c r="P90">
        <v>3284.75</v>
      </c>
      <c r="Q90" s="11">
        <v>0.05</v>
      </c>
      <c r="R90">
        <v>6241.02</v>
      </c>
      <c r="S90">
        <v>5345.88</v>
      </c>
      <c r="T90">
        <v>895.14</v>
      </c>
      <c r="U90" t="s">
        <v>32</v>
      </c>
      <c r="V90" t="s">
        <v>33</v>
      </c>
      <c r="X90" s="8" t="str">
        <f>IF(C90&gt;=B90,"Valid", "Invalid-Date")</f>
        <v>Valid</v>
      </c>
      <c r="Y90" s="8" t="str">
        <f t="shared" si="10"/>
        <v>Valid</v>
      </c>
      <c r="Z90" s="8" t="str">
        <f t="shared" si="11"/>
        <v>Pass</v>
      </c>
      <c r="AA90" s="8" t="str">
        <f t="shared" si="12"/>
        <v>Pass</v>
      </c>
      <c r="AB90" s="8" t="str">
        <f>TEXT(B90,"mmmm")</f>
        <v>March</v>
      </c>
      <c r="AC90" s="8" t="str">
        <f>TEXT(B90,"yyyy")</f>
        <v>2024</v>
      </c>
      <c r="AE90">
        <f t="shared" si="13"/>
        <v>6569.5</v>
      </c>
      <c r="AF90" s="11">
        <f t="shared" si="14"/>
        <v>6241.0249999999996</v>
      </c>
      <c r="AG90">
        <f t="shared" si="15"/>
        <v>1223.6199999999999</v>
      </c>
      <c r="AH90" s="11">
        <f t="shared" si="16"/>
        <v>0.18625770606591063</v>
      </c>
      <c r="AI90" s="44">
        <f t="shared" si="17"/>
        <v>0.18625770606591063</v>
      </c>
    </row>
    <row r="91" spans="1:35">
      <c r="A91" t="s">
        <v>377</v>
      </c>
      <c r="B91" s="5">
        <v>45540</v>
      </c>
      <c r="C91" s="5">
        <v>45421</v>
      </c>
      <c r="D91" s="13">
        <f t="shared" si="9"/>
        <v>-119</v>
      </c>
      <c r="E91" t="s">
        <v>378</v>
      </c>
      <c r="F91" t="s">
        <v>264</v>
      </c>
      <c r="G91" t="s">
        <v>24</v>
      </c>
      <c r="H91" t="s">
        <v>54</v>
      </c>
      <c r="I91" t="s">
        <v>84</v>
      </c>
      <c r="J91" t="s">
        <v>85</v>
      </c>
      <c r="K91" t="s">
        <v>41</v>
      </c>
      <c r="L91" t="s">
        <v>158</v>
      </c>
      <c r="M91" t="s">
        <v>379</v>
      </c>
      <c r="N91" t="s">
        <v>59</v>
      </c>
      <c r="O91">
        <v>7</v>
      </c>
      <c r="P91">
        <v>3761.09</v>
      </c>
      <c r="Q91" s="11">
        <v>0.2</v>
      </c>
      <c r="R91">
        <v>21062.1</v>
      </c>
      <c r="S91">
        <v>12057.13</v>
      </c>
      <c r="T91">
        <v>9004.9699999999993</v>
      </c>
      <c r="U91" t="s">
        <v>111</v>
      </c>
      <c r="V91" t="s">
        <v>68</v>
      </c>
      <c r="X91" s="8" t="str">
        <f>IF(C91&gt;=B91,"Valid", "Invalid-Date")</f>
        <v>Invalid-Date</v>
      </c>
      <c r="Y91" s="8" t="str">
        <f t="shared" si="10"/>
        <v>Valid</v>
      </c>
      <c r="Z91" s="8" t="str">
        <f t="shared" si="11"/>
        <v>Pass</v>
      </c>
      <c r="AA91" s="8" t="str">
        <f t="shared" si="12"/>
        <v>Pass</v>
      </c>
      <c r="AB91" s="8" t="str">
        <f>TEXT(B91,"mmmm")</f>
        <v>September</v>
      </c>
      <c r="AC91" s="8" t="str">
        <f>TEXT(B91,"yyyy")</f>
        <v>2024</v>
      </c>
      <c r="AE91">
        <f t="shared" si="13"/>
        <v>26327.63</v>
      </c>
      <c r="AF91" s="11">
        <f t="shared" si="14"/>
        <v>21062.104000000003</v>
      </c>
      <c r="AG91">
        <f t="shared" si="15"/>
        <v>14270.500000000002</v>
      </c>
      <c r="AH91" s="11">
        <f t="shared" si="16"/>
        <v>0.54203511671958327</v>
      </c>
      <c r="AI91" s="44">
        <f t="shared" si="17"/>
        <v>0.54203511671958327</v>
      </c>
    </row>
    <row r="92" spans="1:35" s="15" customFormat="1">
      <c r="A92" s="15" t="s">
        <v>380</v>
      </c>
      <c r="B92" s="16">
        <v>45893</v>
      </c>
      <c r="C92" s="16">
        <v>45898</v>
      </c>
      <c r="D92" s="17">
        <f t="shared" si="9"/>
        <v>5</v>
      </c>
      <c r="E92" s="15" t="s">
        <v>381</v>
      </c>
      <c r="F92" s="15" t="s">
        <v>128</v>
      </c>
      <c r="G92" s="15" t="s">
        <v>37</v>
      </c>
      <c r="H92" s="15" t="s">
        <v>38</v>
      </c>
      <c r="I92" s="15" t="s">
        <v>145</v>
      </c>
      <c r="J92" s="15" t="s">
        <v>146</v>
      </c>
      <c r="K92" s="15" t="s">
        <v>74</v>
      </c>
      <c r="L92" s="15" t="s">
        <v>80</v>
      </c>
      <c r="M92" s="15" t="s">
        <v>382</v>
      </c>
      <c r="N92" s="15" t="s">
        <v>50</v>
      </c>
      <c r="O92" s="15">
        <v>3</v>
      </c>
      <c r="P92" s="15">
        <v>3703.96</v>
      </c>
      <c r="Q92" s="18">
        <v>0.15</v>
      </c>
      <c r="R92" s="15">
        <v>9445.1</v>
      </c>
      <c r="S92" s="15">
        <v>5586.28</v>
      </c>
      <c r="T92" s="15">
        <v>3858.82</v>
      </c>
      <c r="U92" s="15" t="s">
        <v>32</v>
      </c>
      <c r="V92" s="15" t="s">
        <v>33</v>
      </c>
      <c r="W92" s="25"/>
      <c r="X92" s="8" t="str">
        <f>IF(C92&gt;=B92,"Valid", "Invalid-Date")</f>
        <v>Valid</v>
      </c>
      <c r="Y92" s="8" t="str">
        <f t="shared" si="10"/>
        <v>Valid</v>
      </c>
      <c r="Z92" s="19" t="str">
        <f t="shared" si="11"/>
        <v>Pass</v>
      </c>
      <c r="AA92" s="19" t="str">
        <f t="shared" si="12"/>
        <v>Pass</v>
      </c>
      <c r="AB92" s="19" t="str">
        <f>TEXT(B92,"mmmm")</f>
        <v>August</v>
      </c>
      <c r="AC92" s="19" t="str">
        <f>TEXT(B92,"yyyy")</f>
        <v>2025</v>
      </c>
      <c r="AD92" s="20"/>
      <c r="AE92" s="15">
        <f t="shared" si="13"/>
        <v>11111.880000000001</v>
      </c>
      <c r="AF92" s="11">
        <f t="shared" si="14"/>
        <v>9445.098</v>
      </c>
      <c r="AG92" s="15">
        <f t="shared" si="15"/>
        <v>5525.6000000000013</v>
      </c>
      <c r="AH92" s="18">
        <f t="shared" si="16"/>
        <v>0.49726958894444512</v>
      </c>
      <c r="AI92" s="45">
        <f t="shared" si="17"/>
        <v>0.49726958894444512</v>
      </c>
    </row>
    <row r="93" spans="1:35">
      <c r="A93" t="s">
        <v>383</v>
      </c>
      <c r="B93" s="5">
        <v>45718</v>
      </c>
      <c r="C93" s="5">
        <v>45872</v>
      </c>
      <c r="D93" s="13">
        <f t="shared" si="9"/>
        <v>154</v>
      </c>
      <c r="E93" t="s">
        <v>384</v>
      </c>
      <c r="F93" t="s">
        <v>132</v>
      </c>
      <c r="G93" t="s">
        <v>90</v>
      </c>
      <c r="H93" t="s">
        <v>63</v>
      </c>
      <c r="I93" t="s">
        <v>72</v>
      </c>
      <c r="J93" t="s">
        <v>73</v>
      </c>
      <c r="K93" t="s">
        <v>74</v>
      </c>
      <c r="L93" t="s">
        <v>80</v>
      </c>
      <c r="M93" t="s">
        <v>385</v>
      </c>
      <c r="N93" t="s">
        <v>31</v>
      </c>
      <c r="O93">
        <v>9</v>
      </c>
      <c r="P93">
        <v>269.68</v>
      </c>
      <c r="Q93" s="11">
        <v>0</v>
      </c>
      <c r="R93">
        <v>2427.12</v>
      </c>
      <c r="S93">
        <v>1538.35</v>
      </c>
      <c r="T93">
        <v>804.53</v>
      </c>
      <c r="U93" t="s">
        <v>32</v>
      </c>
      <c r="V93" t="s">
        <v>33</v>
      </c>
      <c r="X93" s="8" t="str">
        <f>IF(C93&gt;=B93,"Valid", "Invalid-Date")</f>
        <v>Valid</v>
      </c>
      <c r="Y93" s="8" t="str">
        <f t="shared" si="10"/>
        <v>Valid</v>
      </c>
      <c r="Z93" s="8" t="str">
        <f t="shared" si="11"/>
        <v>Pass</v>
      </c>
      <c r="AA93" s="8" t="str">
        <f t="shared" si="12"/>
        <v>Pass</v>
      </c>
      <c r="AB93" s="8" t="str">
        <f>TEXT(B93,"mmmm")</f>
        <v>March</v>
      </c>
      <c r="AC93" s="8" t="str">
        <f>TEXT(B93,"yyyy")</f>
        <v>2025</v>
      </c>
      <c r="AE93">
        <f t="shared" si="13"/>
        <v>2427.12</v>
      </c>
      <c r="AF93" s="11">
        <f t="shared" si="14"/>
        <v>2427.12</v>
      </c>
      <c r="AG93">
        <f t="shared" si="15"/>
        <v>888.77</v>
      </c>
      <c r="AH93" s="11">
        <f t="shared" si="16"/>
        <v>0.36618296581957216</v>
      </c>
      <c r="AI93" s="44">
        <f t="shared" si="17"/>
        <v>0.36618296581957216</v>
      </c>
    </row>
    <row r="94" spans="1:35">
      <c r="A94" t="s">
        <v>386</v>
      </c>
      <c r="B94" s="5">
        <v>45680</v>
      </c>
      <c r="C94" s="5">
        <v>45683</v>
      </c>
      <c r="D94" s="13">
        <f t="shared" si="9"/>
        <v>3</v>
      </c>
      <c r="E94" t="s">
        <v>387</v>
      </c>
      <c r="F94" t="s">
        <v>128</v>
      </c>
      <c r="G94" t="s">
        <v>24</v>
      </c>
      <c r="H94" t="s">
        <v>63</v>
      </c>
      <c r="I94" t="s">
        <v>72</v>
      </c>
      <c r="J94" t="s">
        <v>73</v>
      </c>
      <c r="K94" t="s">
        <v>28</v>
      </c>
      <c r="L94" t="s">
        <v>29</v>
      </c>
      <c r="M94" t="s">
        <v>388</v>
      </c>
      <c r="N94" t="s">
        <v>59</v>
      </c>
      <c r="O94">
        <v>9</v>
      </c>
      <c r="P94">
        <v>4458.26</v>
      </c>
      <c r="Q94" s="11">
        <v>0.1</v>
      </c>
      <c r="R94">
        <v>36111.910000000003</v>
      </c>
      <c r="S94">
        <v>29194.5</v>
      </c>
      <c r="T94">
        <v>6917.41</v>
      </c>
      <c r="U94" t="s">
        <v>32</v>
      </c>
      <c r="V94" t="s">
        <v>33</v>
      </c>
      <c r="X94" s="8" t="str">
        <f>IF(C94&gt;=B94,"Valid", "Invalid-Date")</f>
        <v>Valid</v>
      </c>
      <c r="Y94" s="8" t="str">
        <f t="shared" si="10"/>
        <v>Valid</v>
      </c>
      <c r="Z94" s="8" t="str">
        <f t="shared" si="11"/>
        <v>Pass</v>
      </c>
      <c r="AA94" s="8" t="str">
        <f t="shared" si="12"/>
        <v>Pass</v>
      </c>
      <c r="AB94" s="8" t="str">
        <f>TEXT(B94,"mmmm")</f>
        <v>January</v>
      </c>
      <c r="AC94" s="8" t="str">
        <f>TEXT(B94,"yyyy")</f>
        <v>2025</v>
      </c>
      <c r="AE94">
        <f t="shared" si="13"/>
        <v>40124.340000000004</v>
      </c>
      <c r="AF94" s="11">
        <f t="shared" si="14"/>
        <v>36111.906000000003</v>
      </c>
      <c r="AG94">
        <f t="shared" si="15"/>
        <v>10929.840000000004</v>
      </c>
      <c r="AH94" s="11">
        <f t="shared" si="16"/>
        <v>0.27239924694088435</v>
      </c>
      <c r="AI94" s="44">
        <f t="shared" si="17"/>
        <v>0.27239924694088435</v>
      </c>
    </row>
    <row r="95" spans="1:35">
      <c r="A95" t="s">
        <v>389</v>
      </c>
      <c r="B95" s="5">
        <v>45474</v>
      </c>
      <c r="C95" s="5">
        <v>45304</v>
      </c>
      <c r="D95" s="13">
        <f t="shared" si="9"/>
        <v>-170</v>
      </c>
      <c r="E95" t="s">
        <v>390</v>
      </c>
      <c r="F95" t="s">
        <v>141</v>
      </c>
      <c r="G95" t="s">
        <v>90</v>
      </c>
      <c r="H95" t="s">
        <v>25</v>
      </c>
      <c r="I95" t="s">
        <v>136</v>
      </c>
      <c r="J95" t="s">
        <v>137</v>
      </c>
      <c r="K95" t="s">
        <v>28</v>
      </c>
      <c r="L95" t="s">
        <v>153</v>
      </c>
      <c r="M95" t="s">
        <v>391</v>
      </c>
      <c r="N95" t="s">
        <v>59</v>
      </c>
      <c r="O95">
        <v>7</v>
      </c>
      <c r="P95">
        <v>2788.97</v>
      </c>
      <c r="Q95" s="11">
        <v>-0.09</v>
      </c>
      <c r="R95">
        <v>19522.79</v>
      </c>
      <c r="S95">
        <v>12455.78</v>
      </c>
      <c r="T95">
        <v>7067.01</v>
      </c>
      <c r="U95" t="s">
        <v>32</v>
      </c>
      <c r="V95" t="s">
        <v>33</v>
      </c>
      <c r="X95" s="8" t="str">
        <f>IF(C95&gt;=B95,"Valid", "Invalid-Date")</f>
        <v>Invalid-Date</v>
      </c>
      <c r="Y95" s="8" t="str">
        <f t="shared" si="10"/>
        <v>Invalid-Discount</v>
      </c>
      <c r="Z95" s="8" t="str">
        <f t="shared" si="11"/>
        <v>Pass</v>
      </c>
      <c r="AA95" s="8" t="str">
        <f t="shared" si="12"/>
        <v>Pass</v>
      </c>
      <c r="AB95" s="8" t="str">
        <f>TEXT(B95,"mmmm")</f>
        <v>July</v>
      </c>
      <c r="AC95" s="8" t="str">
        <f>TEXT(B95,"yyyy")</f>
        <v>2024</v>
      </c>
      <c r="AE95">
        <f t="shared" si="13"/>
        <v>19522.789999999997</v>
      </c>
      <c r="AF95" s="11">
        <f t="shared" si="14"/>
        <v>21279.841099999998</v>
      </c>
      <c r="AG95">
        <f t="shared" si="15"/>
        <v>7067.0099999999966</v>
      </c>
      <c r="AH95" s="11">
        <f t="shared" si="16"/>
        <v>0.36198770769956534</v>
      </c>
      <c r="AI95" s="44">
        <f t="shared" si="17"/>
        <v>0.36198770769956534</v>
      </c>
    </row>
    <row r="96" spans="1:35">
      <c r="A96" t="s">
        <v>392</v>
      </c>
      <c r="B96" s="5">
        <v>45452</v>
      </c>
      <c r="C96" s="5">
        <v>45544</v>
      </c>
      <c r="D96" s="13">
        <f t="shared" si="9"/>
        <v>92</v>
      </c>
      <c r="E96" t="s">
        <v>393</v>
      </c>
      <c r="F96" t="s">
        <v>162</v>
      </c>
      <c r="G96" t="s">
        <v>24</v>
      </c>
      <c r="H96" t="s">
        <v>25</v>
      </c>
      <c r="I96" t="s">
        <v>236</v>
      </c>
      <c r="J96" t="s">
        <v>237</v>
      </c>
      <c r="K96" t="s">
        <v>74</v>
      </c>
      <c r="L96" t="s">
        <v>171</v>
      </c>
      <c r="M96" t="s">
        <v>394</v>
      </c>
      <c r="N96" t="s">
        <v>31</v>
      </c>
      <c r="O96">
        <v>7</v>
      </c>
      <c r="P96">
        <v>3781.53</v>
      </c>
      <c r="Q96" s="11">
        <v>0</v>
      </c>
      <c r="R96">
        <v>26470.71</v>
      </c>
      <c r="S96">
        <v>21367.599999999999</v>
      </c>
      <c r="T96">
        <v>5103.1099999999997</v>
      </c>
      <c r="U96" t="s">
        <v>111</v>
      </c>
      <c r="V96" t="s">
        <v>68</v>
      </c>
      <c r="X96" s="8" t="str">
        <f>IF(C96&gt;=B96,"Valid", "Invalid-Date")</f>
        <v>Valid</v>
      </c>
      <c r="Y96" s="8" t="str">
        <f t="shared" si="10"/>
        <v>Valid</v>
      </c>
      <c r="Z96" s="8" t="str">
        <f t="shared" si="11"/>
        <v>Pass</v>
      </c>
      <c r="AA96" s="8" t="str">
        <f t="shared" si="12"/>
        <v>Pass</v>
      </c>
      <c r="AB96" s="8" t="str">
        <f>TEXT(B96,"mmmm")</f>
        <v>June</v>
      </c>
      <c r="AC96" s="8" t="str">
        <f>TEXT(B96,"yyyy")</f>
        <v>2024</v>
      </c>
      <c r="AE96">
        <f t="shared" si="13"/>
        <v>26470.710000000003</v>
      </c>
      <c r="AF96" s="11">
        <f t="shared" si="14"/>
        <v>26470.710000000003</v>
      </c>
      <c r="AG96">
        <f t="shared" si="15"/>
        <v>5103.1100000000042</v>
      </c>
      <c r="AH96" s="11">
        <f t="shared" si="16"/>
        <v>0.19278326875251944</v>
      </c>
      <c r="AI96" s="44">
        <f t="shared" si="17"/>
        <v>0.19278326875251944</v>
      </c>
    </row>
    <row r="97" spans="1:35">
      <c r="A97" t="s">
        <v>395</v>
      </c>
      <c r="B97" s="5">
        <v>45905</v>
      </c>
      <c r="C97" s="5">
        <v>45939</v>
      </c>
      <c r="D97" s="13">
        <f t="shared" si="9"/>
        <v>34</v>
      </c>
      <c r="E97" t="s">
        <v>396</v>
      </c>
      <c r="F97" t="s">
        <v>132</v>
      </c>
      <c r="G97" t="s">
        <v>90</v>
      </c>
      <c r="H97" t="s">
        <v>63</v>
      </c>
      <c r="I97" t="s">
        <v>190</v>
      </c>
      <c r="J97" t="s">
        <v>191</v>
      </c>
      <c r="K97" t="s">
        <v>41</v>
      </c>
      <c r="L97" t="s">
        <v>158</v>
      </c>
      <c r="M97" t="s">
        <v>397</v>
      </c>
      <c r="N97" t="s">
        <v>44</v>
      </c>
      <c r="O97">
        <v>6</v>
      </c>
      <c r="P97">
        <v>1754.13</v>
      </c>
      <c r="Q97" s="11">
        <v>0</v>
      </c>
      <c r="R97">
        <v>10524.78</v>
      </c>
      <c r="S97">
        <v>8841.0499999999993</v>
      </c>
      <c r="T97">
        <v>1683.73</v>
      </c>
      <c r="U97" t="s">
        <v>32</v>
      </c>
      <c r="V97" t="s">
        <v>33</v>
      </c>
      <c r="X97" s="8" t="str">
        <f>IF(C97&gt;=B97,"Valid", "Invalid-Date")</f>
        <v>Valid</v>
      </c>
      <c r="Y97" s="8" t="str">
        <f t="shared" si="10"/>
        <v>Valid</v>
      </c>
      <c r="Z97" s="8" t="str">
        <f t="shared" si="11"/>
        <v>Pass</v>
      </c>
      <c r="AA97" s="8" t="str">
        <f t="shared" si="12"/>
        <v>Pass</v>
      </c>
      <c r="AB97" s="8" t="str">
        <f>TEXT(B97,"mmmm")</f>
        <v>September</v>
      </c>
      <c r="AC97" s="8" t="str">
        <f>TEXT(B97,"yyyy")</f>
        <v>2025</v>
      </c>
      <c r="AE97">
        <f t="shared" si="13"/>
        <v>10524.78</v>
      </c>
      <c r="AF97" s="11">
        <f t="shared" si="14"/>
        <v>10524.78</v>
      </c>
      <c r="AG97">
        <f t="shared" si="15"/>
        <v>1683.7300000000014</v>
      </c>
      <c r="AH97" s="11">
        <f t="shared" si="16"/>
        <v>0.15997769074507984</v>
      </c>
      <c r="AI97" s="44">
        <f t="shared" si="17"/>
        <v>0.15997769074507984</v>
      </c>
    </row>
    <row r="98" spans="1:35">
      <c r="A98" t="s">
        <v>398</v>
      </c>
      <c r="B98" s="5">
        <v>45448</v>
      </c>
      <c r="C98" s="5">
        <v>45450</v>
      </c>
      <c r="D98" s="13">
        <f t="shared" si="9"/>
        <v>2</v>
      </c>
      <c r="E98" t="s">
        <v>399</v>
      </c>
      <c r="F98" t="s">
        <v>118</v>
      </c>
      <c r="G98" t="s">
        <v>95</v>
      </c>
      <c r="H98" t="s">
        <v>38</v>
      </c>
      <c r="I98" t="s">
        <v>39</v>
      </c>
      <c r="J98" t="s">
        <v>40</v>
      </c>
      <c r="K98" t="s">
        <v>74</v>
      </c>
      <c r="L98" t="s">
        <v>80</v>
      </c>
      <c r="M98" t="s">
        <v>400</v>
      </c>
      <c r="N98" t="s">
        <v>31</v>
      </c>
      <c r="O98">
        <v>2</v>
      </c>
      <c r="P98">
        <v>2259.2399999999998</v>
      </c>
      <c r="Q98" s="11">
        <v>0.15</v>
      </c>
      <c r="R98">
        <v>3840.71</v>
      </c>
      <c r="S98">
        <v>2516.29</v>
      </c>
      <c r="T98">
        <v>1324.42</v>
      </c>
      <c r="U98" t="s">
        <v>32</v>
      </c>
      <c r="V98" t="s">
        <v>33</v>
      </c>
      <c r="X98" s="8" t="str">
        <f>IF(C98&gt;=B98,"Valid", "Invalid-Date")</f>
        <v>Valid</v>
      </c>
      <c r="Y98" s="8" t="str">
        <f t="shared" si="10"/>
        <v>Valid</v>
      </c>
      <c r="Z98" s="8" t="str">
        <f t="shared" si="11"/>
        <v>Pass</v>
      </c>
      <c r="AA98" s="8" t="str">
        <f t="shared" si="12"/>
        <v>Pass</v>
      </c>
      <c r="AB98" s="8" t="str">
        <f>TEXT(B98,"mmmm")</f>
        <v>June</v>
      </c>
      <c r="AC98" s="8" t="str">
        <f>TEXT(B98,"yyyy")</f>
        <v>2024</v>
      </c>
      <c r="AE98">
        <f t="shared" si="13"/>
        <v>4518.4799999999996</v>
      </c>
      <c r="AF98" s="11">
        <f t="shared" si="14"/>
        <v>3840.7079999999996</v>
      </c>
      <c r="AG98">
        <f t="shared" si="15"/>
        <v>2002.1899999999996</v>
      </c>
      <c r="AH98" s="11">
        <f t="shared" si="16"/>
        <v>0.44311140029390411</v>
      </c>
      <c r="AI98" s="44">
        <f t="shared" si="17"/>
        <v>0.44311140029390411</v>
      </c>
    </row>
    <row r="99" spans="1:35">
      <c r="A99" t="s">
        <v>401</v>
      </c>
      <c r="B99" s="5">
        <v>45877</v>
      </c>
      <c r="C99" s="5">
        <v>45969</v>
      </c>
      <c r="D99" s="13">
        <f t="shared" si="9"/>
        <v>92</v>
      </c>
      <c r="E99" t="s">
        <v>402</v>
      </c>
      <c r="F99" t="s">
        <v>162</v>
      </c>
      <c r="G99" t="s">
        <v>37</v>
      </c>
      <c r="H99" t="s">
        <v>63</v>
      </c>
      <c r="I99" t="s">
        <v>180</v>
      </c>
      <c r="J99" t="s">
        <v>181</v>
      </c>
      <c r="K99" t="s">
        <v>28</v>
      </c>
      <c r="L99" t="s">
        <v>124</v>
      </c>
      <c r="M99" t="s">
        <v>403</v>
      </c>
      <c r="N99" t="s">
        <v>44</v>
      </c>
      <c r="O99">
        <v>5</v>
      </c>
      <c r="P99">
        <v>3602.36</v>
      </c>
      <c r="Q99" s="11">
        <v>0.2</v>
      </c>
      <c r="R99">
        <v>14409.44</v>
      </c>
      <c r="S99">
        <v>8809.9699999999993</v>
      </c>
      <c r="T99">
        <v>5599.47</v>
      </c>
      <c r="U99" t="s">
        <v>111</v>
      </c>
      <c r="V99" t="s">
        <v>103</v>
      </c>
      <c r="X99" s="8" t="str">
        <f>IF(C99&gt;=B99,"Valid", "Invalid-Date")</f>
        <v>Valid</v>
      </c>
      <c r="Y99" s="8" t="str">
        <f t="shared" si="10"/>
        <v>Valid</v>
      </c>
      <c r="Z99" s="8" t="str">
        <f t="shared" si="11"/>
        <v>Pass</v>
      </c>
      <c r="AA99" s="8" t="str">
        <f t="shared" si="12"/>
        <v>Pass</v>
      </c>
      <c r="AB99" s="8" t="str">
        <f>TEXT(B99,"mmmm")</f>
        <v>August</v>
      </c>
      <c r="AC99" s="8" t="str">
        <f>TEXT(B99,"yyyy")</f>
        <v>2025</v>
      </c>
      <c r="AE99">
        <f t="shared" si="13"/>
        <v>18011.8</v>
      </c>
      <c r="AF99" s="11">
        <f t="shared" si="14"/>
        <v>14409.44</v>
      </c>
      <c r="AG99">
        <f t="shared" si="15"/>
        <v>9201.83</v>
      </c>
      <c r="AH99" s="11">
        <f t="shared" si="16"/>
        <v>0.51087786895257559</v>
      </c>
      <c r="AI99" s="44">
        <f t="shared" si="17"/>
        <v>0.51087786895257559</v>
      </c>
    </row>
    <row r="100" spans="1:35">
      <c r="A100" t="s">
        <v>404</v>
      </c>
      <c r="B100" s="5">
        <v>45317</v>
      </c>
      <c r="C100" s="5">
        <v>45293</v>
      </c>
      <c r="D100" s="13">
        <f t="shared" si="9"/>
        <v>-24</v>
      </c>
      <c r="E100" t="s">
        <v>405</v>
      </c>
      <c r="F100" t="s">
        <v>141</v>
      </c>
      <c r="G100" t="s">
        <v>95</v>
      </c>
      <c r="H100" t="s">
        <v>54</v>
      </c>
      <c r="I100" t="s">
        <v>185</v>
      </c>
      <c r="J100" t="s">
        <v>186</v>
      </c>
      <c r="K100" t="s">
        <v>74</v>
      </c>
      <c r="L100" t="s">
        <v>80</v>
      </c>
      <c r="M100" t="s">
        <v>406</v>
      </c>
      <c r="N100" t="s">
        <v>2785</v>
      </c>
      <c r="O100">
        <v>8</v>
      </c>
      <c r="P100">
        <v>2108.9299999999998</v>
      </c>
      <c r="Q100" s="11">
        <v>0.1</v>
      </c>
      <c r="R100">
        <v>15184.3</v>
      </c>
      <c r="S100">
        <v>11270.74</v>
      </c>
      <c r="T100">
        <v>3913.56</v>
      </c>
      <c r="U100" t="s">
        <v>32</v>
      </c>
      <c r="V100" t="s">
        <v>33</v>
      </c>
      <c r="X100" s="8" t="str">
        <f>IF(C100&gt;=B100,"Valid", "Invalid-Date")</f>
        <v>Invalid-Date</v>
      </c>
      <c r="Y100" s="8" t="str">
        <f t="shared" si="10"/>
        <v>Valid</v>
      </c>
      <c r="Z100" s="8" t="str">
        <f t="shared" si="11"/>
        <v>Flagged</v>
      </c>
      <c r="AA100" s="8" t="str">
        <f t="shared" si="12"/>
        <v>Pass</v>
      </c>
      <c r="AB100" s="8" t="str">
        <f>TEXT(B100,"mmmm")</f>
        <v>January</v>
      </c>
      <c r="AC100" s="8" t="str">
        <f>TEXT(B100,"yyyy")</f>
        <v>2024</v>
      </c>
      <c r="AE100">
        <f t="shared" si="13"/>
        <v>16871.439999999999</v>
      </c>
      <c r="AF100" s="11">
        <f t="shared" si="14"/>
        <v>15184.295999999998</v>
      </c>
      <c r="AG100">
        <f t="shared" si="15"/>
        <v>5600.6999999999989</v>
      </c>
      <c r="AH100" s="11">
        <f t="shared" si="16"/>
        <v>0.33196336530847392</v>
      </c>
      <c r="AI100" s="44">
        <f t="shared" si="17"/>
        <v>0.33196336530847392</v>
      </c>
    </row>
    <row r="101" spans="1:35">
      <c r="A101" t="s">
        <v>407</v>
      </c>
      <c r="B101" s="5">
        <v>45668</v>
      </c>
      <c r="C101" s="5">
        <v>45668</v>
      </c>
      <c r="D101" s="13">
        <f t="shared" si="9"/>
        <v>0</v>
      </c>
      <c r="E101" t="s">
        <v>408</v>
      </c>
      <c r="F101" t="s">
        <v>89</v>
      </c>
      <c r="G101" t="s">
        <v>37</v>
      </c>
      <c r="H101" t="s">
        <v>63</v>
      </c>
      <c r="I101" t="s">
        <v>26</v>
      </c>
      <c r="J101" t="s">
        <v>109</v>
      </c>
      <c r="K101" t="s">
        <v>74</v>
      </c>
      <c r="L101" t="s">
        <v>75</v>
      </c>
      <c r="M101" t="s">
        <v>409</v>
      </c>
      <c r="N101" t="s">
        <v>44</v>
      </c>
      <c r="O101">
        <v>3</v>
      </c>
      <c r="P101">
        <v>2165.29</v>
      </c>
      <c r="Q101" s="11">
        <v>0</v>
      </c>
      <c r="R101">
        <v>6495.87</v>
      </c>
      <c r="S101">
        <v>4700.8900000000003</v>
      </c>
      <c r="T101">
        <v>1794.98</v>
      </c>
      <c r="U101" t="s">
        <v>32</v>
      </c>
      <c r="V101" t="s">
        <v>33</v>
      </c>
      <c r="X101" s="8" t="str">
        <f>IF(C101&gt;=B101,"Valid", "Invalid-Date")</f>
        <v>Valid</v>
      </c>
      <c r="Y101" s="8" t="str">
        <f t="shared" si="10"/>
        <v>Valid</v>
      </c>
      <c r="Z101" s="8" t="str">
        <f t="shared" si="11"/>
        <v>Pass</v>
      </c>
      <c r="AA101" s="8" t="str">
        <f t="shared" si="12"/>
        <v>Pass</v>
      </c>
      <c r="AB101" s="8" t="str">
        <f>TEXT(B101,"mmmm")</f>
        <v>January</v>
      </c>
      <c r="AC101" s="8" t="str">
        <f>TEXT(B101,"yyyy")</f>
        <v>2025</v>
      </c>
      <c r="AE101">
        <f t="shared" si="13"/>
        <v>6495.87</v>
      </c>
      <c r="AF101" s="11">
        <f t="shared" si="14"/>
        <v>6495.87</v>
      </c>
      <c r="AG101">
        <f t="shared" si="15"/>
        <v>1794.9799999999996</v>
      </c>
      <c r="AH101" s="11">
        <f t="shared" si="16"/>
        <v>0.27632634273777024</v>
      </c>
      <c r="AI101" s="44">
        <f t="shared" si="17"/>
        <v>0.27632634273777024</v>
      </c>
    </row>
    <row r="102" spans="1:35">
      <c r="A102" t="s">
        <v>410</v>
      </c>
      <c r="B102" s="5">
        <v>45912</v>
      </c>
      <c r="C102" s="5">
        <v>45918</v>
      </c>
      <c r="D102" s="13">
        <f t="shared" si="9"/>
        <v>6</v>
      </c>
      <c r="E102" t="s">
        <v>411</v>
      </c>
      <c r="F102" t="s">
        <v>128</v>
      </c>
      <c r="G102" t="s">
        <v>95</v>
      </c>
      <c r="H102" t="s">
        <v>54</v>
      </c>
      <c r="I102" t="s">
        <v>185</v>
      </c>
      <c r="J102" t="s">
        <v>186</v>
      </c>
      <c r="K102" t="s">
        <v>28</v>
      </c>
      <c r="L102" t="s">
        <v>124</v>
      </c>
      <c r="M102" t="s">
        <v>412</v>
      </c>
      <c r="N102" t="s">
        <v>59</v>
      </c>
      <c r="O102">
        <v>6</v>
      </c>
      <c r="P102">
        <v>1673.8</v>
      </c>
      <c r="Q102" s="11">
        <v>0.05</v>
      </c>
      <c r="R102">
        <v>9540.66</v>
      </c>
      <c r="S102">
        <v>5561.49</v>
      </c>
      <c r="T102">
        <v>3979.17</v>
      </c>
      <c r="U102" t="s">
        <v>32</v>
      </c>
      <c r="V102" t="s">
        <v>33</v>
      </c>
      <c r="X102" s="8" t="str">
        <f>IF(C102&gt;=B102,"Valid", "Invalid-Date")</f>
        <v>Valid</v>
      </c>
      <c r="Y102" s="8" t="str">
        <f t="shared" si="10"/>
        <v>Valid</v>
      </c>
      <c r="Z102" s="8" t="str">
        <f t="shared" si="11"/>
        <v>Pass</v>
      </c>
      <c r="AA102" s="8" t="str">
        <f t="shared" si="12"/>
        <v>Pass</v>
      </c>
      <c r="AB102" s="8" t="str">
        <f>TEXT(B102,"mmmm")</f>
        <v>September</v>
      </c>
      <c r="AC102" s="8" t="str">
        <f>TEXT(B102,"yyyy")</f>
        <v>2025</v>
      </c>
      <c r="AE102">
        <f t="shared" si="13"/>
        <v>10042.799999999999</v>
      </c>
      <c r="AF102" s="11">
        <f t="shared" si="14"/>
        <v>9540.659999999998</v>
      </c>
      <c r="AG102">
        <f t="shared" si="15"/>
        <v>4481.3099999999995</v>
      </c>
      <c r="AH102" s="11">
        <f t="shared" si="16"/>
        <v>0.44622117337794237</v>
      </c>
      <c r="AI102" s="44">
        <f t="shared" si="17"/>
        <v>0.44622117337794237</v>
      </c>
    </row>
    <row r="103" spans="1:35">
      <c r="A103" t="s">
        <v>413</v>
      </c>
      <c r="B103" s="5">
        <v>45465</v>
      </c>
      <c r="C103" s="5">
        <v>45469</v>
      </c>
      <c r="D103" s="13">
        <f t="shared" si="9"/>
        <v>4</v>
      </c>
      <c r="E103" t="s">
        <v>414</v>
      </c>
      <c r="F103" t="s">
        <v>141</v>
      </c>
      <c r="G103" t="s">
        <v>95</v>
      </c>
      <c r="H103" t="s">
        <v>38</v>
      </c>
      <c r="I103" t="s">
        <v>145</v>
      </c>
      <c r="J103" t="s">
        <v>146</v>
      </c>
      <c r="K103" t="s">
        <v>41</v>
      </c>
      <c r="L103" t="s">
        <v>57</v>
      </c>
      <c r="M103" t="s">
        <v>415</v>
      </c>
      <c r="N103" t="s">
        <v>50</v>
      </c>
      <c r="O103">
        <v>5</v>
      </c>
      <c r="P103">
        <v>4396.5200000000004</v>
      </c>
      <c r="Q103" s="11">
        <v>0.25</v>
      </c>
      <c r="R103">
        <v>16486.95</v>
      </c>
      <c r="S103">
        <v>12054.14</v>
      </c>
      <c r="T103">
        <v>4432.8100000000004</v>
      </c>
      <c r="U103" t="s">
        <v>32</v>
      </c>
      <c r="V103" t="s">
        <v>33</v>
      </c>
      <c r="X103" s="8" t="str">
        <f>IF(C103&gt;=B103,"Valid", "Invalid-Date")</f>
        <v>Valid</v>
      </c>
      <c r="Y103" s="8" t="str">
        <f t="shared" si="10"/>
        <v>Valid</v>
      </c>
      <c r="Z103" s="8" t="str">
        <f t="shared" si="11"/>
        <v>Pass</v>
      </c>
      <c r="AA103" s="8" t="str">
        <f t="shared" si="12"/>
        <v>Pass</v>
      </c>
      <c r="AB103" s="8" t="str">
        <f>TEXT(B103,"mmmm")</f>
        <v>June</v>
      </c>
      <c r="AC103" s="8" t="str">
        <f>TEXT(B103,"yyyy")</f>
        <v>2024</v>
      </c>
      <c r="AE103">
        <f t="shared" si="13"/>
        <v>21982.600000000002</v>
      </c>
      <c r="AF103" s="11">
        <f t="shared" si="14"/>
        <v>16486.95</v>
      </c>
      <c r="AG103">
        <f t="shared" si="15"/>
        <v>9928.4600000000028</v>
      </c>
      <c r="AH103" s="11">
        <f t="shared" si="16"/>
        <v>0.4516508511277102</v>
      </c>
      <c r="AI103" s="44">
        <f t="shared" si="17"/>
        <v>0.4516508511277102</v>
      </c>
    </row>
    <row r="104" spans="1:35">
      <c r="A104" t="s">
        <v>416</v>
      </c>
      <c r="B104" s="5">
        <v>45850</v>
      </c>
      <c r="C104" s="5">
        <v>45854</v>
      </c>
      <c r="D104" s="13">
        <f t="shared" si="9"/>
        <v>4</v>
      </c>
      <c r="E104" t="s">
        <v>417</v>
      </c>
      <c r="F104" t="s">
        <v>71</v>
      </c>
      <c r="G104" t="s">
        <v>24</v>
      </c>
      <c r="H104" t="s">
        <v>54</v>
      </c>
      <c r="I104" t="s">
        <v>175</v>
      </c>
      <c r="J104" t="s">
        <v>176</v>
      </c>
      <c r="K104" t="s">
        <v>41</v>
      </c>
      <c r="L104" t="s">
        <v>66</v>
      </c>
      <c r="M104" t="s">
        <v>418</v>
      </c>
      <c r="N104" t="s">
        <v>50</v>
      </c>
      <c r="O104">
        <v>4</v>
      </c>
      <c r="P104">
        <v>2865.71</v>
      </c>
      <c r="Q104" s="11">
        <v>0</v>
      </c>
      <c r="R104">
        <v>11462.84</v>
      </c>
      <c r="S104">
        <v>8979.7800000000007</v>
      </c>
      <c r="T104">
        <v>2483.06</v>
      </c>
      <c r="U104" t="s">
        <v>102</v>
      </c>
      <c r="V104" t="s">
        <v>68</v>
      </c>
      <c r="X104" s="8" t="str">
        <f>IF(C104&gt;=B104,"Valid", "Invalid-Date")</f>
        <v>Valid</v>
      </c>
      <c r="Y104" s="8" t="str">
        <f t="shared" si="10"/>
        <v>Valid</v>
      </c>
      <c r="Z104" s="8" t="str">
        <f t="shared" si="11"/>
        <v>Pass</v>
      </c>
      <c r="AA104" s="8" t="str">
        <f t="shared" si="12"/>
        <v>Pass</v>
      </c>
      <c r="AB104" s="8" t="str">
        <f>TEXT(B104,"mmmm")</f>
        <v>July</v>
      </c>
      <c r="AC104" s="8" t="str">
        <f>TEXT(B104,"yyyy")</f>
        <v>2025</v>
      </c>
      <c r="AE104">
        <f t="shared" si="13"/>
        <v>11462.84</v>
      </c>
      <c r="AF104" s="11">
        <f t="shared" si="14"/>
        <v>11462.84</v>
      </c>
      <c r="AG104">
        <f t="shared" si="15"/>
        <v>2483.0599999999995</v>
      </c>
      <c r="AH104" s="11">
        <f t="shared" si="16"/>
        <v>0.21661822026653077</v>
      </c>
      <c r="AI104" s="44">
        <f t="shared" si="17"/>
        <v>0.21661822026653077</v>
      </c>
    </row>
    <row r="105" spans="1:35">
      <c r="A105" t="s">
        <v>419</v>
      </c>
      <c r="B105" s="5">
        <v>45693</v>
      </c>
      <c r="C105" s="5">
        <v>45935</v>
      </c>
      <c r="D105" s="13">
        <f t="shared" si="9"/>
        <v>242</v>
      </c>
      <c r="E105" t="s">
        <v>420</v>
      </c>
      <c r="F105" t="s">
        <v>264</v>
      </c>
      <c r="G105" t="s">
        <v>90</v>
      </c>
      <c r="H105" t="s">
        <v>63</v>
      </c>
      <c r="I105" t="s">
        <v>64</v>
      </c>
      <c r="J105" t="s">
        <v>65</v>
      </c>
      <c r="K105" t="s">
        <v>41</v>
      </c>
      <c r="L105" t="s">
        <v>42</v>
      </c>
      <c r="M105" t="s">
        <v>421</v>
      </c>
      <c r="N105" t="s">
        <v>50</v>
      </c>
      <c r="O105">
        <v>4</v>
      </c>
      <c r="P105">
        <v>2440.34</v>
      </c>
      <c r="Q105" s="11">
        <v>0.2</v>
      </c>
      <c r="R105">
        <v>7809.09</v>
      </c>
      <c r="S105">
        <v>6657.75</v>
      </c>
      <c r="T105">
        <v>1151.3399999999999</v>
      </c>
      <c r="U105" t="s">
        <v>32</v>
      </c>
      <c r="V105" t="s">
        <v>33</v>
      </c>
      <c r="X105" s="8" t="str">
        <f>IF(C105&gt;=B105,"Valid", "Invalid-Date")</f>
        <v>Valid</v>
      </c>
      <c r="Y105" s="8" t="str">
        <f t="shared" si="10"/>
        <v>Valid</v>
      </c>
      <c r="Z105" s="8" t="str">
        <f t="shared" si="11"/>
        <v>Pass</v>
      </c>
      <c r="AA105" s="8" t="str">
        <f t="shared" si="12"/>
        <v>Pass</v>
      </c>
      <c r="AB105" s="8" t="str">
        <f>TEXT(B105,"mmmm")</f>
        <v>February</v>
      </c>
      <c r="AC105" s="8" t="str">
        <f>TEXT(B105,"yyyy")</f>
        <v>2025</v>
      </c>
      <c r="AE105">
        <f t="shared" si="13"/>
        <v>9761.36</v>
      </c>
      <c r="AF105" s="11">
        <f t="shared" si="14"/>
        <v>7809.0880000000006</v>
      </c>
      <c r="AG105">
        <f t="shared" si="15"/>
        <v>3103.6100000000006</v>
      </c>
      <c r="AH105" s="11">
        <f t="shared" si="16"/>
        <v>0.31794852356638831</v>
      </c>
      <c r="AI105" s="44">
        <f t="shared" si="17"/>
        <v>0.31794852356638831</v>
      </c>
    </row>
    <row r="106" spans="1:35">
      <c r="A106" t="s">
        <v>422</v>
      </c>
      <c r="B106" s="5">
        <v>45689</v>
      </c>
      <c r="C106" s="5">
        <v>45871</v>
      </c>
      <c r="D106" s="13">
        <f t="shared" si="9"/>
        <v>182</v>
      </c>
      <c r="E106" t="s">
        <v>423</v>
      </c>
      <c r="F106" t="s">
        <v>62</v>
      </c>
      <c r="G106" t="s">
        <v>24</v>
      </c>
      <c r="H106" t="s">
        <v>54</v>
      </c>
      <c r="I106" t="s">
        <v>175</v>
      </c>
      <c r="J106" t="s">
        <v>176</v>
      </c>
      <c r="K106" t="s">
        <v>28</v>
      </c>
      <c r="L106" t="s">
        <v>91</v>
      </c>
      <c r="M106" t="s">
        <v>424</v>
      </c>
      <c r="N106" t="s">
        <v>44</v>
      </c>
      <c r="O106">
        <v>5</v>
      </c>
      <c r="P106">
        <v>2112.54</v>
      </c>
      <c r="Q106" s="11">
        <v>0.25</v>
      </c>
      <c r="R106">
        <v>8260.4599999999991</v>
      </c>
      <c r="S106">
        <v>5619.95</v>
      </c>
      <c r="T106">
        <v>2302.08</v>
      </c>
      <c r="U106" t="s">
        <v>32</v>
      </c>
      <c r="V106" t="s">
        <v>68</v>
      </c>
      <c r="X106" s="8" t="str">
        <f>IF(C106&gt;=B106,"Valid", "Invalid-Date")</f>
        <v>Valid</v>
      </c>
      <c r="Y106" s="8" t="str">
        <f t="shared" si="10"/>
        <v>Valid</v>
      </c>
      <c r="Z106" s="8" t="str">
        <f t="shared" si="11"/>
        <v>Pass</v>
      </c>
      <c r="AA106" s="8" t="str">
        <f t="shared" si="12"/>
        <v>Pass</v>
      </c>
      <c r="AB106" s="8" t="str">
        <f>TEXT(B106,"mmmm")</f>
        <v>February</v>
      </c>
      <c r="AC106" s="8" t="str">
        <f>TEXT(B106,"yyyy")</f>
        <v>2025</v>
      </c>
      <c r="AE106">
        <f t="shared" si="13"/>
        <v>10562.7</v>
      </c>
      <c r="AF106" s="11">
        <f t="shared" si="14"/>
        <v>7922.0250000000005</v>
      </c>
      <c r="AG106">
        <f t="shared" si="15"/>
        <v>4942.7500000000009</v>
      </c>
      <c r="AH106" s="11">
        <f t="shared" si="16"/>
        <v>0.46794380224753146</v>
      </c>
      <c r="AI106" s="44">
        <f t="shared" si="17"/>
        <v>0.46794380224753146</v>
      </c>
    </row>
    <row r="107" spans="1:35">
      <c r="A107" t="s">
        <v>425</v>
      </c>
      <c r="B107" s="5">
        <v>45467</v>
      </c>
      <c r="C107" s="5">
        <v>45472</v>
      </c>
      <c r="D107" s="13">
        <f t="shared" si="9"/>
        <v>5</v>
      </c>
      <c r="E107" t="s">
        <v>426</v>
      </c>
      <c r="F107" t="s">
        <v>36</v>
      </c>
      <c r="G107" t="s">
        <v>95</v>
      </c>
      <c r="H107" t="s">
        <v>38</v>
      </c>
      <c r="I107" t="s">
        <v>99</v>
      </c>
      <c r="J107" t="s">
        <v>100</v>
      </c>
      <c r="K107" t="s">
        <v>41</v>
      </c>
      <c r="L107" t="s">
        <v>42</v>
      </c>
      <c r="M107" t="s">
        <v>427</v>
      </c>
      <c r="N107" t="s">
        <v>31</v>
      </c>
      <c r="O107">
        <v>2</v>
      </c>
      <c r="P107">
        <v>685</v>
      </c>
      <c r="Q107" s="11">
        <v>0.1</v>
      </c>
      <c r="R107">
        <v>1233</v>
      </c>
      <c r="S107">
        <v>1006.9</v>
      </c>
      <c r="T107">
        <v>226.1</v>
      </c>
      <c r="U107" t="s">
        <v>32</v>
      </c>
      <c r="V107" t="s">
        <v>33</v>
      </c>
      <c r="X107" s="8" t="str">
        <f>IF(C107&gt;=B107,"Valid", "Invalid-Date")</f>
        <v>Valid</v>
      </c>
      <c r="Y107" s="8" t="str">
        <f t="shared" si="10"/>
        <v>Valid</v>
      </c>
      <c r="Z107" s="8" t="str">
        <f t="shared" si="11"/>
        <v>Pass</v>
      </c>
      <c r="AA107" s="8" t="str">
        <f t="shared" si="12"/>
        <v>Pass</v>
      </c>
      <c r="AB107" s="8" t="str">
        <f>TEXT(B107,"mmmm")</f>
        <v>June</v>
      </c>
      <c r="AC107" s="8" t="str">
        <f>TEXT(B107,"yyyy")</f>
        <v>2024</v>
      </c>
      <c r="AE107">
        <f t="shared" si="13"/>
        <v>1370</v>
      </c>
      <c r="AF107" s="11">
        <f t="shared" si="14"/>
        <v>1233</v>
      </c>
      <c r="AG107">
        <f t="shared" si="15"/>
        <v>363.1</v>
      </c>
      <c r="AH107" s="11">
        <f t="shared" si="16"/>
        <v>0.26503649635036497</v>
      </c>
      <c r="AI107" s="44">
        <f t="shared" si="17"/>
        <v>0.26503649635036497</v>
      </c>
    </row>
    <row r="108" spans="1:35">
      <c r="A108" t="s">
        <v>428</v>
      </c>
      <c r="B108" s="5">
        <v>45342</v>
      </c>
      <c r="C108" s="5">
        <v>45350</v>
      </c>
      <c r="D108" s="13">
        <f t="shared" si="9"/>
        <v>8</v>
      </c>
      <c r="E108" t="s">
        <v>429</v>
      </c>
      <c r="F108" t="s">
        <v>53</v>
      </c>
      <c r="G108" t="s">
        <v>95</v>
      </c>
      <c r="H108" t="s">
        <v>38</v>
      </c>
      <c r="I108" t="s">
        <v>99</v>
      </c>
      <c r="J108" t="s">
        <v>100</v>
      </c>
      <c r="K108" t="s">
        <v>28</v>
      </c>
      <c r="L108" t="s">
        <v>29</v>
      </c>
      <c r="M108" t="s">
        <v>430</v>
      </c>
      <c r="N108" t="s">
        <v>59</v>
      </c>
      <c r="O108">
        <v>2</v>
      </c>
      <c r="P108">
        <v>4004.04</v>
      </c>
      <c r="Q108" s="11">
        <v>0</v>
      </c>
      <c r="R108">
        <v>7207.27</v>
      </c>
      <c r="S108">
        <v>5709.39</v>
      </c>
      <c r="T108">
        <v>1497.88</v>
      </c>
      <c r="U108" t="s">
        <v>32</v>
      </c>
      <c r="V108" t="s">
        <v>68</v>
      </c>
      <c r="X108" s="8" t="str">
        <f>IF(C108&gt;=B108,"Valid", "Invalid-Date")</f>
        <v>Valid</v>
      </c>
      <c r="Y108" s="8" t="str">
        <f t="shared" si="10"/>
        <v>Valid</v>
      </c>
      <c r="Z108" s="8" t="str">
        <f t="shared" si="11"/>
        <v>Pass</v>
      </c>
      <c r="AA108" s="8" t="str">
        <f t="shared" si="12"/>
        <v>Pass</v>
      </c>
      <c r="AB108" s="8" t="str">
        <f>TEXT(B108,"mmmm")</f>
        <v>February</v>
      </c>
      <c r="AC108" s="8" t="str">
        <f>TEXT(B108,"yyyy")</f>
        <v>2024</v>
      </c>
      <c r="AE108">
        <f t="shared" si="13"/>
        <v>8008.08</v>
      </c>
      <c r="AF108" s="11">
        <f t="shared" si="14"/>
        <v>8008.08</v>
      </c>
      <c r="AG108">
        <f t="shared" si="15"/>
        <v>2298.6899999999996</v>
      </c>
      <c r="AH108" s="11">
        <f t="shared" si="16"/>
        <v>0.28704633320346445</v>
      </c>
      <c r="AI108" s="44">
        <f t="shared" si="17"/>
        <v>0.28704633320346445</v>
      </c>
    </row>
    <row r="109" spans="1:35">
      <c r="A109" t="s">
        <v>431</v>
      </c>
      <c r="B109" s="5">
        <v>45594</v>
      </c>
      <c r="C109" s="5">
        <v>45393</v>
      </c>
      <c r="D109" s="13">
        <f t="shared" si="9"/>
        <v>-201</v>
      </c>
      <c r="E109" t="s">
        <v>432</v>
      </c>
      <c r="F109" t="s">
        <v>141</v>
      </c>
      <c r="G109" t="s">
        <v>95</v>
      </c>
      <c r="H109" t="s">
        <v>38</v>
      </c>
      <c r="I109" t="s">
        <v>99</v>
      </c>
      <c r="J109" t="s">
        <v>100</v>
      </c>
      <c r="K109" t="s">
        <v>41</v>
      </c>
      <c r="L109" t="s">
        <v>57</v>
      </c>
      <c r="M109" t="s">
        <v>433</v>
      </c>
      <c r="N109" t="s">
        <v>50</v>
      </c>
      <c r="O109">
        <v>3</v>
      </c>
      <c r="P109">
        <v>4302.8900000000003</v>
      </c>
      <c r="Q109" s="11">
        <v>0.05</v>
      </c>
      <c r="R109">
        <v>12263.24</v>
      </c>
      <c r="S109">
        <v>8925.57</v>
      </c>
      <c r="T109">
        <v>3337.67</v>
      </c>
      <c r="U109" t="s">
        <v>32</v>
      </c>
      <c r="V109" t="s">
        <v>33</v>
      </c>
      <c r="X109" s="8" t="str">
        <f>IF(C109&gt;=B109,"Valid", "Invalid-Date")</f>
        <v>Invalid-Date</v>
      </c>
      <c r="Y109" s="8" t="str">
        <f t="shared" si="10"/>
        <v>Valid</v>
      </c>
      <c r="Z109" s="8" t="str">
        <f t="shared" si="11"/>
        <v>Pass</v>
      </c>
      <c r="AA109" s="8" t="str">
        <f t="shared" si="12"/>
        <v>Pass</v>
      </c>
      <c r="AB109" s="8" t="str">
        <f>TEXT(B109,"mmmm")</f>
        <v>October</v>
      </c>
      <c r="AC109" s="8" t="str">
        <f>TEXT(B109,"yyyy")</f>
        <v>2024</v>
      </c>
      <c r="AE109">
        <f t="shared" si="13"/>
        <v>12908.670000000002</v>
      </c>
      <c r="AF109" s="11">
        <f t="shared" si="14"/>
        <v>12263.236500000001</v>
      </c>
      <c r="AG109">
        <f t="shared" si="15"/>
        <v>3983.1000000000022</v>
      </c>
      <c r="AH109" s="11">
        <f t="shared" si="16"/>
        <v>0.30856006079634862</v>
      </c>
      <c r="AI109" s="44">
        <f t="shared" si="17"/>
        <v>0.30856006079634862</v>
      </c>
    </row>
    <row r="110" spans="1:35">
      <c r="A110" t="s">
        <v>434</v>
      </c>
      <c r="B110" s="5">
        <v>45519</v>
      </c>
      <c r="C110" s="5">
        <v>45527</v>
      </c>
      <c r="D110" s="13">
        <f t="shared" si="9"/>
        <v>8</v>
      </c>
      <c r="E110" t="s">
        <v>435</v>
      </c>
      <c r="F110" t="s">
        <v>89</v>
      </c>
      <c r="G110" t="s">
        <v>37</v>
      </c>
      <c r="H110" t="s">
        <v>38</v>
      </c>
      <c r="I110" t="s">
        <v>39</v>
      </c>
      <c r="J110" t="s">
        <v>40</v>
      </c>
      <c r="K110" t="s">
        <v>41</v>
      </c>
      <c r="L110" t="s">
        <v>158</v>
      </c>
      <c r="M110" t="s">
        <v>436</v>
      </c>
      <c r="N110" t="s">
        <v>44</v>
      </c>
      <c r="O110">
        <v>2</v>
      </c>
      <c r="P110">
        <v>537.54</v>
      </c>
      <c r="Q110" s="11">
        <v>0.25</v>
      </c>
      <c r="R110">
        <v>806.31</v>
      </c>
      <c r="S110">
        <v>498.5</v>
      </c>
      <c r="T110">
        <v>307.81</v>
      </c>
      <c r="U110" t="s">
        <v>32</v>
      </c>
      <c r="V110" t="s">
        <v>33</v>
      </c>
      <c r="X110" s="8" t="str">
        <f>IF(C110&gt;=B110,"Valid", "Invalid-Date")</f>
        <v>Valid</v>
      </c>
      <c r="Y110" s="8" t="str">
        <f t="shared" si="10"/>
        <v>Valid</v>
      </c>
      <c r="Z110" s="8" t="str">
        <f t="shared" si="11"/>
        <v>Pass</v>
      </c>
      <c r="AA110" s="8" t="str">
        <f t="shared" si="12"/>
        <v>Pass</v>
      </c>
      <c r="AB110" s="8" t="str">
        <f>TEXT(B110,"mmmm")</f>
        <v>August</v>
      </c>
      <c r="AC110" s="8" t="str">
        <f>TEXT(B110,"yyyy")</f>
        <v>2024</v>
      </c>
      <c r="AE110">
        <f t="shared" si="13"/>
        <v>1075.08</v>
      </c>
      <c r="AF110" s="11">
        <f t="shared" si="14"/>
        <v>806.31</v>
      </c>
      <c r="AG110">
        <f t="shared" si="15"/>
        <v>576.57999999999993</v>
      </c>
      <c r="AH110" s="11">
        <f t="shared" si="16"/>
        <v>0.53631357666406221</v>
      </c>
      <c r="AI110" s="44">
        <f t="shared" si="17"/>
        <v>0.53631357666406221</v>
      </c>
    </row>
    <row r="111" spans="1:35">
      <c r="A111" t="s">
        <v>437</v>
      </c>
      <c r="B111" s="5">
        <v>45892</v>
      </c>
      <c r="C111" s="5">
        <v>45896</v>
      </c>
      <c r="D111" s="13">
        <f t="shared" si="9"/>
        <v>4</v>
      </c>
      <c r="E111" t="s">
        <v>438</v>
      </c>
      <c r="F111" t="s">
        <v>132</v>
      </c>
      <c r="G111" t="s">
        <v>24</v>
      </c>
      <c r="H111" t="s">
        <v>25</v>
      </c>
      <c r="I111" t="s">
        <v>350</v>
      </c>
      <c r="J111" t="s">
        <v>351</v>
      </c>
      <c r="K111" t="s">
        <v>28</v>
      </c>
      <c r="L111" t="s">
        <v>153</v>
      </c>
      <c r="M111" t="s">
        <v>439</v>
      </c>
      <c r="N111" t="s">
        <v>31</v>
      </c>
      <c r="O111">
        <v>1</v>
      </c>
      <c r="P111">
        <v>2788.62</v>
      </c>
      <c r="Q111" s="11">
        <v>0.25</v>
      </c>
      <c r="R111">
        <v>2091.4699999999998</v>
      </c>
      <c r="S111">
        <v>1317.22</v>
      </c>
      <c r="T111">
        <v>774.25</v>
      </c>
      <c r="U111" t="s">
        <v>32</v>
      </c>
      <c r="V111" t="s">
        <v>33</v>
      </c>
      <c r="X111" s="8" t="str">
        <f>IF(C111&gt;=B111,"Valid", "Invalid-Date")</f>
        <v>Valid</v>
      </c>
      <c r="Y111" s="8" t="str">
        <f t="shared" si="10"/>
        <v>Valid</v>
      </c>
      <c r="Z111" s="8" t="str">
        <f t="shared" si="11"/>
        <v>Pass</v>
      </c>
      <c r="AA111" s="8" t="str">
        <f t="shared" si="12"/>
        <v>Pass</v>
      </c>
      <c r="AB111" s="8" t="str">
        <f>TEXT(B111,"mmmm")</f>
        <v>August</v>
      </c>
      <c r="AC111" s="8" t="str">
        <f>TEXT(B111,"yyyy")</f>
        <v>2025</v>
      </c>
      <c r="AE111">
        <f t="shared" si="13"/>
        <v>2788.62</v>
      </c>
      <c r="AF111" s="11">
        <f t="shared" si="14"/>
        <v>2091.4650000000001</v>
      </c>
      <c r="AG111">
        <f t="shared" si="15"/>
        <v>1471.3999999999999</v>
      </c>
      <c r="AH111" s="11">
        <f t="shared" si="16"/>
        <v>0.52764449799542423</v>
      </c>
      <c r="AI111" s="44">
        <f t="shared" si="17"/>
        <v>0.52764449799542423</v>
      </c>
    </row>
    <row r="112" spans="1:35">
      <c r="A112" t="s">
        <v>440</v>
      </c>
      <c r="B112" s="5">
        <v>45583</v>
      </c>
      <c r="C112" s="5">
        <v>45589</v>
      </c>
      <c r="D112" s="13">
        <f t="shared" si="9"/>
        <v>6</v>
      </c>
      <c r="E112" t="s">
        <v>441</v>
      </c>
      <c r="F112" t="s">
        <v>71</v>
      </c>
      <c r="G112" t="s">
        <v>90</v>
      </c>
      <c r="H112" t="s">
        <v>54</v>
      </c>
      <c r="I112" t="s">
        <v>185</v>
      </c>
      <c r="J112" t="s">
        <v>186</v>
      </c>
      <c r="K112" t="s">
        <v>28</v>
      </c>
      <c r="L112" t="s">
        <v>91</v>
      </c>
      <c r="M112" t="s">
        <v>442</v>
      </c>
      <c r="N112" t="s">
        <v>50</v>
      </c>
      <c r="O112">
        <v>2</v>
      </c>
      <c r="P112">
        <v>2250.4699999999998</v>
      </c>
      <c r="Q112" s="11">
        <v>0</v>
      </c>
      <c r="R112">
        <v>4500.9399999999996</v>
      </c>
      <c r="S112">
        <v>2607.73</v>
      </c>
      <c r="T112">
        <v>1893.21</v>
      </c>
      <c r="U112" t="s">
        <v>102</v>
      </c>
      <c r="V112" t="s">
        <v>68</v>
      </c>
      <c r="X112" s="8" t="str">
        <f>IF(C112&gt;=B112,"Valid", "Invalid-Date")</f>
        <v>Valid</v>
      </c>
      <c r="Y112" s="8" t="str">
        <f t="shared" si="10"/>
        <v>Valid</v>
      </c>
      <c r="Z112" s="8" t="str">
        <f t="shared" si="11"/>
        <v>Pass</v>
      </c>
      <c r="AA112" s="8" t="str">
        <f t="shared" si="12"/>
        <v>Pass</v>
      </c>
      <c r="AB112" s="8" t="str">
        <f>TEXT(B112,"mmmm")</f>
        <v>October</v>
      </c>
      <c r="AC112" s="8" t="str">
        <f>TEXT(B112,"yyyy")</f>
        <v>2024</v>
      </c>
      <c r="AE112">
        <f t="shared" si="13"/>
        <v>4500.9399999999996</v>
      </c>
      <c r="AF112" s="11">
        <f t="shared" si="14"/>
        <v>4500.9399999999996</v>
      </c>
      <c r="AG112">
        <f t="shared" si="15"/>
        <v>1893.2099999999996</v>
      </c>
      <c r="AH112" s="11">
        <f t="shared" si="16"/>
        <v>0.42062546934640316</v>
      </c>
      <c r="AI112" s="44">
        <f t="shared" si="17"/>
        <v>0.42062546934640316</v>
      </c>
    </row>
    <row r="113" spans="1:35">
      <c r="A113" t="s">
        <v>443</v>
      </c>
      <c r="B113" s="5">
        <v>45835</v>
      </c>
      <c r="C113" s="5">
        <v>45838</v>
      </c>
      <c r="D113" s="13">
        <f t="shared" si="9"/>
        <v>3</v>
      </c>
      <c r="E113" t="s">
        <v>444</v>
      </c>
      <c r="F113" t="s">
        <v>79</v>
      </c>
      <c r="G113" t="s">
        <v>90</v>
      </c>
      <c r="H113" t="s">
        <v>38</v>
      </c>
      <c r="I113" t="s">
        <v>145</v>
      </c>
      <c r="J113" t="s">
        <v>146</v>
      </c>
      <c r="K113" t="s">
        <v>74</v>
      </c>
      <c r="L113" t="s">
        <v>75</v>
      </c>
      <c r="M113" t="s">
        <v>445</v>
      </c>
      <c r="N113" t="s">
        <v>50</v>
      </c>
      <c r="O113">
        <v>1</v>
      </c>
      <c r="P113">
        <v>1708.44</v>
      </c>
      <c r="Q113" s="11">
        <v>0.05</v>
      </c>
      <c r="R113">
        <v>1623.02</v>
      </c>
      <c r="S113">
        <v>1077.46</v>
      </c>
      <c r="T113">
        <v>545.55999999999995</v>
      </c>
      <c r="U113" t="s">
        <v>111</v>
      </c>
      <c r="V113" t="s">
        <v>68</v>
      </c>
      <c r="X113" s="8" t="str">
        <f>IF(C113&gt;=B113,"Valid", "Invalid-Date")</f>
        <v>Valid</v>
      </c>
      <c r="Y113" s="8" t="str">
        <f t="shared" si="10"/>
        <v>Valid</v>
      </c>
      <c r="Z113" s="8" t="str">
        <f t="shared" si="11"/>
        <v>Pass</v>
      </c>
      <c r="AA113" s="8" t="str">
        <f t="shared" si="12"/>
        <v>Pass</v>
      </c>
      <c r="AB113" s="8" t="str">
        <f>TEXT(B113,"mmmm")</f>
        <v>June</v>
      </c>
      <c r="AC113" s="8" t="str">
        <f>TEXT(B113,"yyyy")</f>
        <v>2025</v>
      </c>
      <c r="AE113">
        <f t="shared" si="13"/>
        <v>1708.44</v>
      </c>
      <c r="AF113" s="11">
        <f t="shared" si="14"/>
        <v>1623.018</v>
      </c>
      <c r="AG113">
        <f t="shared" si="15"/>
        <v>630.98</v>
      </c>
      <c r="AH113" s="11">
        <f t="shared" si="16"/>
        <v>0.36933108566879724</v>
      </c>
      <c r="AI113" s="44">
        <f t="shared" si="17"/>
        <v>0.36933108566879724</v>
      </c>
    </row>
    <row r="114" spans="1:35">
      <c r="A114" t="s">
        <v>446</v>
      </c>
      <c r="B114" s="5">
        <v>45301</v>
      </c>
      <c r="C114" s="5">
        <v>45305</v>
      </c>
      <c r="D114" s="13">
        <f t="shared" si="9"/>
        <v>4</v>
      </c>
      <c r="E114" t="s">
        <v>447</v>
      </c>
      <c r="F114" t="s">
        <v>132</v>
      </c>
      <c r="G114" t="s">
        <v>24</v>
      </c>
      <c r="H114" t="s">
        <v>2785</v>
      </c>
      <c r="I114" t="s">
        <v>180</v>
      </c>
      <c r="J114" t="s">
        <v>181</v>
      </c>
      <c r="K114" t="s">
        <v>74</v>
      </c>
      <c r="L114" t="s">
        <v>75</v>
      </c>
      <c r="M114" t="s">
        <v>448</v>
      </c>
      <c r="N114" t="s">
        <v>59</v>
      </c>
      <c r="O114">
        <v>3</v>
      </c>
      <c r="P114">
        <v>3829.48</v>
      </c>
      <c r="Q114" s="11">
        <v>0.05</v>
      </c>
      <c r="R114">
        <v>10914.02</v>
      </c>
      <c r="S114">
        <v>6548.74</v>
      </c>
      <c r="T114">
        <v>4365.28</v>
      </c>
      <c r="U114" t="s">
        <v>32</v>
      </c>
      <c r="V114" t="s">
        <v>33</v>
      </c>
      <c r="X114" s="8" t="str">
        <f>IF(C114&gt;=B114,"Valid", "Invalid-Date")</f>
        <v>Valid</v>
      </c>
      <c r="Y114" s="8" t="str">
        <f t="shared" si="10"/>
        <v>Valid</v>
      </c>
      <c r="Z114" s="8" t="str">
        <f t="shared" si="11"/>
        <v>Pass</v>
      </c>
      <c r="AA114" s="8" t="str">
        <f t="shared" si="12"/>
        <v>Flagged</v>
      </c>
      <c r="AB114" s="8" t="str">
        <f>TEXT(B114,"mmmm")</f>
        <v>January</v>
      </c>
      <c r="AC114" s="8" t="str">
        <f>TEXT(B114,"yyyy")</f>
        <v>2024</v>
      </c>
      <c r="AE114">
        <f t="shared" si="13"/>
        <v>11488.44</v>
      </c>
      <c r="AF114" s="11">
        <f t="shared" si="14"/>
        <v>10914.018</v>
      </c>
      <c r="AG114">
        <f t="shared" si="15"/>
        <v>4939.7000000000007</v>
      </c>
      <c r="AH114" s="11">
        <f t="shared" si="16"/>
        <v>0.42997134510864837</v>
      </c>
      <c r="AI114" s="44">
        <f t="shared" si="17"/>
        <v>0.42997134510864837</v>
      </c>
    </row>
    <row r="115" spans="1:35">
      <c r="A115" t="s">
        <v>449</v>
      </c>
      <c r="B115" s="5">
        <v>45334</v>
      </c>
      <c r="C115" s="5">
        <v>45334</v>
      </c>
      <c r="D115" s="13">
        <f t="shared" si="9"/>
        <v>0</v>
      </c>
      <c r="E115" t="s">
        <v>360</v>
      </c>
      <c r="F115" t="s">
        <v>47</v>
      </c>
      <c r="G115" t="s">
        <v>95</v>
      </c>
      <c r="H115" t="s">
        <v>54</v>
      </c>
      <c r="I115" t="s">
        <v>247</v>
      </c>
      <c r="J115" t="s">
        <v>248</v>
      </c>
      <c r="K115" t="s">
        <v>41</v>
      </c>
      <c r="L115" t="s">
        <v>42</v>
      </c>
      <c r="M115" t="s">
        <v>450</v>
      </c>
      <c r="N115" t="s">
        <v>59</v>
      </c>
      <c r="O115">
        <v>3</v>
      </c>
      <c r="P115">
        <v>1089.1500000000001</v>
      </c>
      <c r="Q115" s="11">
        <v>0.25</v>
      </c>
      <c r="R115">
        <v>2450.59</v>
      </c>
      <c r="S115">
        <v>1639.89</v>
      </c>
      <c r="T115">
        <v>810.7</v>
      </c>
      <c r="U115" t="s">
        <v>32</v>
      </c>
      <c r="V115" t="s">
        <v>33</v>
      </c>
      <c r="X115" s="8" t="str">
        <f>IF(C115&gt;=B115,"Valid", "Invalid-Date")</f>
        <v>Valid</v>
      </c>
      <c r="Y115" s="8" t="str">
        <f t="shared" si="10"/>
        <v>Valid</v>
      </c>
      <c r="Z115" s="8" t="str">
        <f t="shared" si="11"/>
        <v>Pass</v>
      </c>
      <c r="AA115" s="8" t="str">
        <f t="shared" si="12"/>
        <v>Pass</v>
      </c>
      <c r="AB115" s="8" t="str">
        <f>TEXT(B115,"mmmm")</f>
        <v>February</v>
      </c>
      <c r="AC115" s="8" t="str">
        <f>TEXT(B115,"yyyy")</f>
        <v>2024</v>
      </c>
      <c r="AE115">
        <f t="shared" si="13"/>
        <v>3267.4500000000003</v>
      </c>
      <c r="AF115" s="11">
        <f t="shared" si="14"/>
        <v>2450.5875000000001</v>
      </c>
      <c r="AG115">
        <f t="shared" si="15"/>
        <v>1627.5600000000002</v>
      </c>
      <c r="AH115" s="11">
        <f t="shared" si="16"/>
        <v>0.49811320754716981</v>
      </c>
      <c r="AI115" s="44">
        <f t="shared" si="17"/>
        <v>0.49811320754716981</v>
      </c>
    </row>
    <row r="116" spans="1:35">
      <c r="A116" t="s">
        <v>451</v>
      </c>
      <c r="B116" s="5">
        <v>45560</v>
      </c>
      <c r="C116" s="5">
        <v>45565</v>
      </c>
      <c r="D116" s="13">
        <f t="shared" si="9"/>
        <v>5</v>
      </c>
      <c r="E116" t="s">
        <v>452</v>
      </c>
      <c r="F116" t="s">
        <v>79</v>
      </c>
      <c r="G116" t="s">
        <v>37</v>
      </c>
      <c r="H116" t="s">
        <v>25</v>
      </c>
      <c r="I116" t="s">
        <v>26</v>
      </c>
      <c r="J116" t="s">
        <v>27</v>
      </c>
      <c r="K116" t="s">
        <v>74</v>
      </c>
      <c r="L116" t="s">
        <v>75</v>
      </c>
      <c r="M116" t="s">
        <v>453</v>
      </c>
      <c r="N116" t="s">
        <v>31</v>
      </c>
      <c r="O116">
        <v>1</v>
      </c>
      <c r="P116">
        <v>4388.3999999999996</v>
      </c>
      <c r="Q116" s="11">
        <v>0.1</v>
      </c>
      <c r="R116">
        <v>3949.56</v>
      </c>
      <c r="S116">
        <v>3186.73</v>
      </c>
      <c r="T116">
        <v>762.83</v>
      </c>
      <c r="U116" t="s">
        <v>111</v>
      </c>
      <c r="V116" t="s">
        <v>68</v>
      </c>
      <c r="X116" s="8" t="str">
        <f>IF(C116&gt;=B116,"Valid", "Invalid-Date")</f>
        <v>Valid</v>
      </c>
      <c r="Y116" s="8" t="str">
        <f t="shared" si="10"/>
        <v>Valid</v>
      </c>
      <c r="Z116" s="8" t="str">
        <f t="shared" si="11"/>
        <v>Pass</v>
      </c>
      <c r="AA116" s="8" t="str">
        <f t="shared" si="12"/>
        <v>Pass</v>
      </c>
      <c r="AB116" s="8" t="str">
        <f>TEXT(B116,"mmmm")</f>
        <v>September</v>
      </c>
      <c r="AC116" s="8" t="str">
        <f>TEXT(B116,"yyyy")</f>
        <v>2024</v>
      </c>
      <c r="AE116">
        <f t="shared" si="13"/>
        <v>4388.3999999999996</v>
      </c>
      <c r="AF116" s="11">
        <f t="shared" si="14"/>
        <v>3949.56</v>
      </c>
      <c r="AG116">
        <f t="shared" si="15"/>
        <v>1201.6699999999996</v>
      </c>
      <c r="AH116" s="11">
        <f t="shared" si="16"/>
        <v>0.2738287302889435</v>
      </c>
      <c r="AI116" s="44">
        <f t="shared" si="17"/>
        <v>0.2738287302889435</v>
      </c>
    </row>
    <row r="117" spans="1:35">
      <c r="A117" t="s">
        <v>454</v>
      </c>
      <c r="B117" s="5">
        <v>45653</v>
      </c>
      <c r="C117" s="5">
        <v>45658</v>
      </c>
      <c r="D117" s="13">
        <f t="shared" si="9"/>
        <v>5</v>
      </c>
      <c r="E117" t="s">
        <v>455</v>
      </c>
      <c r="F117" t="s">
        <v>264</v>
      </c>
      <c r="G117" t="s">
        <v>90</v>
      </c>
      <c r="H117" t="s">
        <v>54</v>
      </c>
      <c r="I117" t="s">
        <v>247</v>
      </c>
      <c r="J117" t="s">
        <v>248</v>
      </c>
      <c r="K117" t="s">
        <v>28</v>
      </c>
      <c r="L117" t="s">
        <v>153</v>
      </c>
      <c r="M117" t="s">
        <v>456</v>
      </c>
      <c r="N117" t="s">
        <v>44</v>
      </c>
      <c r="O117">
        <v>2</v>
      </c>
      <c r="P117">
        <v>446.34</v>
      </c>
      <c r="Q117" s="11">
        <v>0.15</v>
      </c>
      <c r="R117">
        <v>758.78</v>
      </c>
      <c r="S117">
        <v>490.74</v>
      </c>
      <c r="T117">
        <v>268.04000000000002</v>
      </c>
      <c r="U117" t="s">
        <v>32</v>
      </c>
      <c r="V117" t="s">
        <v>68</v>
      </c>
      <c r="X117" s="8" t="str">
        <f>IF(C117&gt;=B117,"Valid", "Invalid-Date")</f>
        <v>Valid</v>
      </c>
      <c r="Y117" s="8" t="str">
        <f t="shared" si="10"/>
        <v>Valid</v>
      </c>
      <c r="Z117" s="8" t="str">
        <f t="shared" si="11"/>
        <v>Pass</v>
      </c>
      <c r="AA117" s="8" t="str">
        <f t="shared" si="12"/>
        <v>Pass</v>
      </c>
      <c r="AB117" s="8" t="str">
        <f>TEXT(B117,"mmmm")</f>
        <v>December</v>
      </c>
      <c r="AC117" s="8" t="str">
        <f>TEXT(B117,"yyyy")</f>
        <v>2024</v>
      </c>
      <c r="AE117">
        <f t="shared" si="13"/>
        <v>892.68</v>
      </c>
      <c r="AF117" s="11">
        <f t="shared" si="14"/>
        <v>758.77799999999991</v>
      </c>
      <c r="AG117">
        <f t="shared" si="15"/>
        <v>401.93999999999994</v>
      </c>
      <c r="AH117" s="11">
        <f t="shared" si="16"/>
        <v>0.45026213200699017</v>
      </c>
      <c r="AI117" s="44">
        <f t="shared" si="17"/>
        <v>0.45026213200699017</v>
      </c>
    </row>
    <row r="118" spans="1:35">
      <c r="A118" t="s">
        <v>457</v>
      </c>
      <c r="B118" s="5">
        <v>45703</v>
      </c>
      <c r="C118" s="5">
        <v>45707</v>
      </c>
      <c r="D118" s="13">
        <f t="shared" si="9"/>
        <v>4</v>
      </c>
      <c r="E118" t="s">
        <v>458</v>
      </c>
      <c r="F118" t="s">
        <v>62</v>
      </c>
      <c r="G118" t="s">
        <v>37</v>
      </c>
      <c r="H118" t="s">
        <v>2785</v>
      </c>
      <c r="I118" t="s">
        <v>72</v>
      </c>
      <c r="J118" t="s">
        <v>73</v>
      </c>
      <c r="K118" t="s">
        <v>28</v>
      </c>
      <c r="L118" t="s">
        <v>153</v>
      </c>
      <c r="M118" t="s">
        <v>459</v>
      </c>
      <c r="N118" t="s">
        <v>50</v>
      </c>
      <c r="O118">
        <v>9</v>
      </c>
      <c r="P118">
        <v>531.99</v>
      </c>
      <c r="Q118" s="11">
        <v>0.25</v>
      </c>
      <c r="R118">
        <v>3590.93</v>
      </c>
      <c r="S118">
        <v>3061.39</v>
      </c>
      <c r="T118">
        <v>529.54</v>
      </c>
      <c r="U118" t="s">
        <v>155</v>
      </c>
      <c r="V118" t="s">
        <v>68</v>
      </c>
      <c r="X118" s="8" t="str">
        <f>IF(C118&gt;=B118,"Valid", "Invalid-Date")</f>
        <v>Valid</v>
      </c>
      <c r="Y118" s="8" t="str">
        <f t="shared" si="10"/>
        <v>Valid</v>
      </c>
      <c r="Z118" s="8" t="str">
        <f t="shared" si="11"/>
        <v>Pass</v>
      </c>
      <c r="AA118" s="8" t="str">
        <f t="shared" si="12"/>
        <v>Flagged</v>
      </c>
      <c r="AB118" s="8" t="str">
        <f>TEXT(B118,"mmmm")</f>
        <v>February</v>
      </c>
      <c r="AC118" s="8" t="str">
        <f>TEXT(B118,"yyyy")</f>
        <v>2025</v>
      </c>
      <c r="AE118">
        <f t="shared" si="13"/>
        <v>4787.91</v>
      </c>
      <c r="AF118" s="11">
        <f t="shared" si="14"/>
        <v>3590.9324999999999</v>
      </c>
      <c r="AG118">
        <f t="shared" si="15"/>
        <v>1726.52</v>
      </c>
      <c r="AH118" s="11">
        <f t="shared" si="16"/>
        <v>0.36059992773464833</v>
      </c>
      <c r="AI118" s="44">
        <f t="shared" si="17"/>
        <v>0.36059992773464833</v>
      </c>
    </row>
    <row r="119" spans="1:35">
      <c r="A119" t="s">
        <v>460</v>
      </c>
      <c r="B119" s="5">
        <v>45337</v>
      </c>
      <c r="C119" s="5">
        <v>45339</v>
      </c>
      <c r="D119" s="13">
        <f t="shared" si="9"/>
        <v>2</v>
      </c>
      <c r="E119" t="s">
        <v>461</v>
      </c>
      <c r="F119" t="s">
        <v>36</v>
      </c>
      <c r="G119" t="s">
        <v>95</v>
      </c>
      <c r="H119" t="s">
        <v>54</v>
      </c>
      <c r="I119" t="s">
        <v>247</v>
      </c>
      <c r="J119" t="s">
        <v>248</v>
      </c>
      <c r="K119" t="s">
        <v>74</v>
      </c>
      <c r="L119" t="s">
        <v>274</v>
      </c>
      <c r="M119" t="s">
        <v>462</v>
      </c>
      <c r="N119" t="s">
        <v>59</v>
      </c>
      <c r="O119">
        <v>9</v>
      </c>
      <c r="P119">
        <v>3324.55</v>
      </c>
      <c r="Q119" s="10">
        <v>0.7</v>
      </c>
      <c r="R119">
        <v>25432.81</v>
      </c>
      <c r="S119">
        <v>20370.16</v>
      </c>
      <c r="T119">
        <v>5062.6499999999996</v>
      </c>
      <c r="U119" t="s">
        <v>32</v>
      </c>
      <c r="V119" t="s">
        <v>33</v>
      </c>
      <c r="X119" s="8" t="str">
        <f>IF(C119&gt;=B119,"Valid", "Invalid-Date")</f>
        <v>Valid</v>
      </c>
      <c r="Y119" s="8" t="str">
        <f t="shared" si="10"/>
        <v>Invalid-Discount</v>
      </c>
      <c r="Z119" s="8" t="str">
        <f t="shared" si="11"/>
        <v>Pass</v>
      </c>
      <c r="AA119" s="8" t="str">
        <f t="shared" si="12"/>
        <v>Pass</v>
      </c>
      <c r="AB119" s="8" t="str">
        <f>TEXT(B119,"mmmm")</f>
        <v>February</v>
      </c>
      <c r="AC119" s="8" t="str">
        <f>TEXT(B119,"yyyy")</f>
        <v>2024</v>
      </c>
      <c r="AE119">
        <f t="shared" si="13"/>
        <v>29920.95</v>
      </c>
      <c r="AF119" s="11">
        <f t="shared" si="14"/>
        <v>8976.2850000000017</v>
      </c>
      <c r="AG119">
        <f t="shared" si="15"/>
        <v>9550.7900000000009</v>
      </c>
      <c r="AH119" s="11">
        <f t="shared" si="16"/>
        <v>0.31920076067103487</v>
      </c>
      <c r="AI119" s="44">
        <f t="shared" si="17"/>
        <v>0.31920076067103487</v>
      </c>
    </row>
    <row r="120" spans="1:35">
      <c r="A120" t="s">
        <v>463</v>
      </c>
      <c r="B120" s="5">
        <v>45571</v>
      </c>
      <c r="C120" s="5">
        <v>45461</v>
      </c>
      <c r="D120" s="13">
        <f t="shared" si="9"/>
        <v>-110</v>
      </c>
      <c r="E120" t="s">
        <v>464</v>
      </c>
      <c r="F120" t="s">
        <v>71</v>
      </c>
      <c r="G120" t="s">
        <v>95</v>
      </c>
      <c r="H120" t="s">
        <v>54</v>
      </c>
      <c r="I120" t="s">
        <v>84</v>
      </c>
      <c r="J120" t="s">
        <v>85</v>
      </c>
      <c r="K120" t="s">
        <v>74</v>
      </c>
      <c r="L120" t="s">
        <v>80</v>
      </c>
      <c r="M120" t="s">
        <v>465</v>
      </c>
      <c r="N120" t="s">
        <v>44</v>
      </c>
      <c r="O120">
        <v>5</v>
      </c>
      <c r="P120">
        <v>1580.27</v>
      </c>
      <c r="Q120" s="11">
        <v>0.2</v>
      </c>
      <c r="R120">
        <v>6321.08</v>
      </c>
      <c r="S120">
        <v>4407.22</v>
      </c>
      <c r="T120">
        <v>1913.86</v>
      </c>
      <c r="U120" t="s">
        <v>32</v>
      </c>
      <c r="V120" t="s">
        <v>33</v>
      </c>
      <c r="X120" s="8" t="str">
        <f>IF(C120&gt;=B120,"Valid", "Invalid-Date")</f>
        <v>Invalid-Date</v>
      </c>
      <c r="Y120" s="8" t="str">
        <f t="shared" si="10"/>
        <v>Valid</v>
      </c>
      <c r="Z120" s="8" t="str">
        <f t="shared" si="11"/>
        <v>Pass</v>
      </c>
      <c r="AA120" s="8" t="str">
        <f t="shared" si="12"/>
        <v>Pass</v>
      </c>
      <c r="AB120" s="8" t="str">
        <f>TEXT(B120,"mmmm")</f>
        <v>October</v>
      </c>
      <c r="AC120" s="8" t="str">
        <f>TEXT(B120,"yyyy")</f>
        <v>2024</v>
      </c>
      <c r="AE120">
        <f t="shared" si="13"/>
        <v>7901.35</v>
      </c>
      <c r="AF120" s="11">
        <f t="shared" si="14"/>
        <v>6321.0800000000008</v>
      </c>
      <c r="AG120">
        <f t="shared" si="15"/>
        <v>3494.13</v>
      </c>
      <c r="AH120" s="11">
        <f t="shared" si="16"/>
        <v>0.44221936757642683</v>
      </c>
      <c r="AI120" s="44">
        <f t="shared" si="17"/>
        <v>0.44221936757642683</v>
      </c>
    </row>
    <row r="121" spans="1:35">
      <c r="A121" t="s">
        <v>466</v>
      </c>
      <c r="B121" s="5">
        <v>45455</v>
      </c>
      <c r="C121" s="5">
        <v>45462</v>
      </c>
      <c r="D121" s="13">
        <f t="shared" si="9"/>
        <v>7</v>
      </c>
      <c r="E121" t="s">
        <v>467</v>
      </c>
      <c r="F121" t="s">
        <v>89</v>
      </c>
      <c r="G121" t="s">
        <v>37</v>
      </c>
      <c r="H121" t="s">
        <v>54</v>
      </c>
      <c r="I121" t="s">
        <v>185</v>
      </c>
      <c r="J121" t="s">
        <v>186</v>
      </c>
      <c r="K121" t="s">
        <v>41</v>
      </c>
      <c r="L121" t="s">
        <v>66</v>
      </c>
      <c r="M121" t="s">
        <v>468</v>
      </c>
      <c r="N121" t="s">
        <v>59</v>
      </c>
      <c r="O121">
        <v>8</v>
      </c>
      <c r="P121">
        <v>314.05</v>
      </c>
      <c r="Q121" s="11">
        <v>0.25</v>
      </c>
      <c r="R121">
        <v>1884.3</v>
      </c>
      <c r="S121">
        <v>1517.69</v>
      </c>
      <c r="T121">
        <v>366.61</v>
      </c>
      <c r="U121" t="s">
        <v>102</v>
      </c>
      <c r="V121" t="s">
        <v>103</v>
      </c>
      <c r="X121" s="8" t="str">
        <f>IF(C121&gt;=B121,"Valid", "Invalid-Date")</f>
        <v>Valid</v>
      </c>
      <c r="Y121" s="8" t="str">
        <f t="shared" si="10"/>
        <v>Valid</v>
      </c>
      <c r="Z121" s="8" t="str">
        <f t="shared" si="11"/>
        <v>Pass</v>
      </c>
      <c r="AA121" s="8" t="str">
        <f t="shared" si="12"/>
        <v>Pass</v>
      </c>
      <c r="AB121" s="8" t="str">
        <f>TEXT(B121,"mmmm")</f>
        <v>June</v>
      </c>
      <c r="AC121" s="8" t="str">
        <f>TEXT(B121,"yyyy")</f>
        <v>2024</v>
      </c>
      <c r="AE121">
        <f t="shared" si="13"/>
        <v>2512.4</v>
      </c>
      <c r="AF121" s="11">
        <f t="shared" si="14"/>
        <v>1884.3000000000002</v>
      </c>
      <c r="AG121">
        <f t="shared" si="15"/>
        <v>994.71</v>
      </c>
      <c r="AH121" s="11">
        <f t="shared" si="16"/>
        <v>0.39592023563126888</v>
      </c>
      <c r="AI121" s="44">
        <f t="shared" si="17"/>
        <v>0.39592023563126888</v>
      </c>
    </row>
    <row r="122" spans="1:35">
      <c r="A122" t="s">
        <v>469</v>
      </c>
      <c r="B122" s="5">
        <v>45514</v>
      </c>
      <c r="C122" s="5">
        <v>45522</v>
      </c>
      <c r="D122" s="13">
        <f t="shared" si="9"/>
        <v>8</v>
      </c>
      <c r="E122" t="s">
        <v>470</v>
      </c>
      <c r="F122" t="s">
        <v>132</v>
      </c>
      <c r="G122" t="s">
        <v>37</v>
      </c>
      <c r="H122" t="s">
        <v>38</v>
      </c>
      <c r="I122" t="s">
        <v>145</v>
      </c>
      <c r="J122" t="s">
        <v>146</v>
      </c>
      <c r="K122" t="s">
        <v>74</v>
      </c>
      <c r="L122" t="s">
        <v>171</v>
      </c>
      <c r="M122" t="s">
        <v>471</v>
      </c>
      <c r="N122" t="s">
        <v>59</v>
      </c>
      <c r="O122">
        <v>1</v>
      </c>
      <c r="P122">
        <v>1823.67</v>
      </c>
      <c r="Q122" s="11">
        <v>0.2</v>
      </c>
      <c r="R122">
        <v>1458.94</v>
      </c>
      <c r="S122">
        <v>893.2</v>
      </c>
      <c r="T122">
        <v>565.74</v>
      </c>
      <c r="U122" t="s">
        <v>32</v>
      </c>
      <c r="V122" t="s">
        <v>103</v>
      </c>
      <c r="X122" s="8" t="str">
        <f>IF(C122&gt;=B122,"Valid", "Invalid-Date")</f>
        <v>Valid</v>
      </c>
      <c r="Y122" s="8" t="str">
        <f t="shared" si="10"/>
        <v>Valid</v>
      </c>
      <c r="Z122" s="8" t="str">
        <f t="shared" si="11"/>
        <v>Pass</v>
      </c>
      <c r="AA122" s="8" t="str">
        <f t="shared" si="12"/>
        <v>Pass</v>
      </c>
      <c r="AB122" s="8" t="str">
        <f>TEXT(B122,"mmmm")</f>
        <v>August</v>
      </c>
      <c r="AC122" s="8" t="str">
        <f>TEXT(B122,"yyyy")</f>
        <v>2024</v>
      </c>
      <c r="AE122">
        <f t="shared" si="13"/>
        <v>1823.67</v>
      </c>
      <c r="AF122" s="11">
        <f t="shared" si="14"/>
        <v>1458.9360000000001</v>
      </c>
      <c r="AG122">
        <f t="shared" si="15"/>
        <v>930.47</v>
      </c>
      <c r="AH122" s="11">
        <f t="shared" si="16"/>
        <v>0.51021840574226696</v>
      </c>
      <c r="AI122" s="44">
        <f t="shared" si="17"/>
        <v>0.51021840574226696</v>
      </c>
    </row>
    <row r="123" spans="1:35">
      <c r="A123" t="s">
        <v>472</v>
      </c>
      <c r="B123" s="5">
        <v>45891</v>
      </c>
      <c r="C123" s="5">
        <v>45895</v>
      </c>
      <c r="D123" s="13">
        <f t="shared" si="9"/>
        <v>4</v>
      </c>
      <c r="E123" t="s">
        <v>473</v>
      </c>
      <c r="F123" t="s">
        <v>264</v>
      </c>
      <c r="G123" t="s">
        <v>37</v>
      </c>
      <c r="H123" t="s">
        <v>54</v>
      </c>
      <c r="I123" t="s">
        <v>84</v>
      </c>
      <c r="J123" t="s">
        <v>85</v>
      </c>
      <c r="K123" t="s">
        <v>74</v>
      </c>
      <c r="L123" t="s">
        <v>274</v>
      </c>
      <c r="M123" t="s">
        <v>474</v>
      </c>
      <c r="N123" t="s">
        <v>31</v>
      </c>
      <c r="O123">
        <v>5</v>
      </c>
      <c r="P123">
        <v>3482.92</v>
      </c>
      <c r="Q123" s="11">
        <v>0</v>
      </c>
      <c r="R123">
        <v>17414.599999999999</v>
      </c>
      <c r="S123">
        <v>11760.91</v>
      </c>
      <c r="T123">
        <v>5653.69</v>
      </c>
      <c r="U123" t="s">
        <v>102</v>
      </c>
      <c r="V123" t="s">
        <v>68</v>
      </c>
      <c r="X123" s="8" t="str">
        <f>IF(C123&gt;=B123,"Valid", "Invalid-Date")</f>
        <v>Valid</v>
      </c>
      <c r="Y123" s="8" t="str">
        <f t="shared" si="10"/>
        <v>Valid</v>
      </c>
      <c r="Z123" s="8" t="str">
        <f t="shared" si="11"/>
        <v>Pass</v>
      </c>
      <c r="AA123" s="8" t="str">
        <f t="shared" si="12"/>
        <v>Pass</v>
      </c>
      <c r="AB123" s="8" t="str">
        <f>TEXT(B123,"mmmm")</f>
        <v>August</v>
      </c>
      <c r="AC123" s="8" t="str">
        <f>TEXT(B123,"yyyy")</f>
        <v>2025</v>
      </c>
      <c r="AE123">
        <f t="shared" si="13"/>
        <v>17414.599999999999</v>
      </c>
      <c r="AF123" s="11">
        <f t="shared" si="14"/>
        <v>17414.599999999999</v>
      </c>
      <c r="AG123">
        <f t="shared" si="15"/>
        <v>5653.6899999999987</v>
      </c>
      <c r="AH123" s="11">
        <f t="shared" si="16"/>
        <v>0.3246523032398102</v>
      </c>
      <c r="AI123" s="44">
        <f t="shared" si="17"/>
        <v>0.3246523032398102</v>
      </c>
    </row>
    <row r="124" spans="1:35">
      <c r="A124" t="s">
        <v>475</v>
      </c>
      <c r="B124" s="5">
        <v>45626</v>
      </c>
      <c r="C124" s="5">
        <v>45630</v>
      </c>
      <c r="D124" s="13">
        <f t="shared" si="9"/>
        <v>4</v>
      </c>
      <c r="E124" t="s">
        <v>476</v>
      </c>
      <c r="F124" t="s">
        <v>62</v>
      </c>
      <c r="G124" t="s">
        <v>37</v>
      </c>
      <c r="H124" t="s">
        <v>38</v>
      </c>
      <c r="I124" t="s">
        <v>166</v>
      </c>
      <c r="J124" t="s">
        <v>167</v>
      </c>
      <c r="K124" t="s">
        <v>41</v>
      </c>
      <c r="L124" t="s">
        <v>66</v>
      </c>
      <c r="M124" t="s">
        <v>477</v>
      </c>
      <c r="N124" t="s">
        <v>31</v>
      </c>
      <c r="O124">
        <v>3</v>
      </c>
      <c r="P124">
        <v>170.35</v>
      </c>
      <c r="Q124" s="11">
        <v>0</v>
      </c>
      <c r="R124">
        <v>511.05</v>
      </c>
      <c r="S124">
        <v>367.18</v>
      </c>
      <c r="T124">
        <v>143.87</v>
      </c>
      <c r="U124" t="s">
        <v>32</v>
      </c>
      <c r="V124" t="s">
        <v>33</v>
      </c>
      <c r="X124" s="8" t="str">
        <f>IF(C124&gt;=B124,"Valid", "Invalid-Date")</f>
        <v>Valid</v>
      </c>
      <c r="Y124" s="8" t="str">
        <f t="shared" si="10"/>
        <v>Valid</v>
      </c>
      <c r="Z124" s="8" t="str">
        <f t="shared" si="11"/>
        <v>Pass</v>
      </c>
      <c r="AA124" s="8" t="str">
        <f t="shared" si="12"/>
        <v>Pass</v>
      </c>
      <c r="AB124" s="8" t="str">
        <f>TEXT(B124,"mmmm")</f>
        <v>November</v>
      </c>
      <c r="AC124" s="8" t="str">
        <f>TEXT(B124,"yyyy")</f>
        <v>2024</v>
      </c>
      <c r="AE124">
        <f t="shared" si="13"/>
        <v>511.04999999999995</v>
      </c>
      <c r="AF124" s="11">
        <f t="shared" si="14"/>
        <v>511.04999999999995</v>
      </c>
      <c r="AG124">
        <f t="shared" si="15"/>
        <v>143.86999999999995</v>
      </c>
      <c r="AH124" s="11">
        <f t="shared" si="16"/>
        <v>0.28151844242246349</v>
      </c>
      <c r="AI124" s="44">
        <f t="shared" si="17"/>
        <v>0.28151844242246349</v>
      </c>
    </row>
    <row r="125" spans="1:35" s="15" customFormat="1">
      <c r="A125" s="15" t="s">
        <v>478</v>
      </c>
      <c r="B125" s="16">
        <v>45436</v>
      </c>
      <c r="C125" s="16">
        <v>45437</v>
      </c>
      <c r="D125" s="17">
        <f t="shared" si="9"/>
        <v>1</v>
      </c>
      <c r="E125" s="15" t="s">
        <v>479</v>
      </c>
      <c r="F125" s="15" t="s">
        <v>132</v>
      </c>
      <c r="G125" s="15" t="s">
        <v>37</v>
      </c>
      <c r="H125" s="15" t="s">
        <v>25</v>
      </c>
      <c r="I125" s="15" t="s">
        <v>122</v>
      </c>
      <c r="J125" s="15" t="s">
        <v>123</v>
      </c>
      <c r="K125" s="15" t="s">
        <v>74</v>
      </c>
      <c r="L125" s="15" t="s">
        <v>80</v>
      </c>
      <c r="M125" s="15" t="s">
        <v>480</v>
      </c>
      <c r="N125" s="15" t="s">
        <v>44</v>
      </c>
      <c r="O125" s="15">
        <v>1</v>
      </c>
      <c r="P125" s="15">
        <v>634.13</v>
      </c>
      <c r="Q125" s="18">
        <v>0</v>
      </c>
      <c r="R125" s="15">
        <v>634.13</v>
      </c>
      <c r="S125" s="15">
        <v>453.35</v>
      </c>
      <c r="T125" s="15">
        <v>180.78</v>
      </c>
      <c r="U125" s="15" t="s">
        <v>102</v>
      </c>
      <c r="V125" s="15" t="s">
        <v>68</v>
      </c>
      <c r="W125" s="25"/>
      <c r="X125" s="8" t="str">
        <f>IF(C125&gt;=B125,"Valid", "Invalid-Date")</f>
        <v>Valid</v>
      </c>
      <c r="Y125" s="8" t="str">
        <f t="shared" si="10"/>
        <v>Valid</v>
      </c>
      <c r="Z125" s="19" t="str">
        <f t="shared" si="11"/>
        <v>Pass</v>
      </c>
      <c r="AA125" s="19" t="str">
        <f t="shared" si="12"/>
        <v>Pass</v>
      </c>
      <c r="AB125" s="19" t="str">
        <f>TEXT(B125,"mmmm")</f>
        <v>May</v>
      </c>
      <c r="AC125" s="19" t="str">
        <f>TEXT(B125,"yyyy")</f>
        <v>2024</v>
      </c>
      <c r="AD125" s="20"/>
      <c r="AE125" s="15">
        <f t="shared" si="13"/>
        <v>634.13</v>
      </c>
      <c r="AF125" s="11">
        <f t="shared" si="14"/>
        <v>634.13</v>
      </c>
      <c r="AG125" s="15">
        <f t="shared" si="15"/>
        <v>180.77999999999997</v>
      </c>
      <c r="AH125" s="18">
        <f t="shared" si="16"/>
        <v>0.28508350022865969</v>
      </c>
      <c r="AI125" s="45">
        <f t="shared" si="17"/>
        <v>0.28508350022865969</v>
      </c>
    </row>
    <row r="126" spans="1:35">
      <c r="A126" t="s">
        <v>481</v>
      </c>
      <c r="B126" s="5">
        <v>45494</v>
      </c>
      <c r="C126" s="5">
        <v>45497</v>
      </c>
      <c r="D126" s="13">
        <f t="shared" si="9"/>
        <v>3</v>
      </c>
      <c r="E126" t="s">
        <v>482</v>
      </c>
      <c r="F126" t="s">
        <v>47</v>
      </c>
      <c r="G126" t="s">
        <v>90</v>
      </c>
      <c r="H126" t="s">
        <v>54</v>
      </c>
      <c r="I126" t="s">
        <v>175</v>
      </c>
      <c r="J126" t="s">
        <v>176</v>
      </c>
      <c r="K126" t="s">
        <v>74</v>
      </c>
      <c r="L126" t="s">
        <v>80</v>
      </c>
      <c r="M126" t="s">
        <v>483</v>
      </c>
      <c r="N126" t="s">
        <v>59</v>
      </c>
      <c r="O126">
        <v>9</v>
      </c>
      <c r="P126">
        <v>465.06</v>
      </c>
      <c r="Q126" s="11">
        <v>-0.15</v>
      </c>
      <c r="R126">
        <v>4185.54</v>
      </c>
      <c r="S126">
        <v>3443.74</v>
      </c>
      <c r="T126">
        <v>741.8</v>
      </c>
      <c r="U126" t="s">
        <v>32</v>
      </c>
      <c r="V126" t="s">
        <v>33</v>
      </c>
      <c r="X126" s="8" t="str">
        <f>IF(C126&gt;=B126,"Valid", "Invalid-Date")</f>
        <v>Valid</v>
      </c>
      <c r="Y126" s="8" t="str">
        <f t="shared" si="10"/>
        <v>Invalid-Discount</v>
      </c>
      <c r="Z126" s="8" t="str">
        <f t="shared" si="11"/>
        <v>Pass</v>
      </c>
      <c r="AA126" s="8" t="str">
        <f t="shared" si="12"/>
        <v>Pass</v>
      </c>
      <c r="AB126" s="8" t="str">
        <f>TEXT(B126,"mmmm")</f>
        <v>July</v>
      </c>
      <c r="AC126" s="8" t="str">
        <f>TEXT(B126,"yyyy")</f>
        <v>2024</v>
      </c>
      <c r="AE126">
        <f t="shared" si="13"/>
        <v>4185.54</v>
      </c>
      <c r="AF126" s="11">
        <f t="shared" si="14"/>
        <v>4813.3709999999992</v>
      </c>
      <c r="AG126">
        <f t="shared" si="15"/>
        <v>741.80000000000018</v>
      </c>
      <c r="AH126" s="11">
        <f t="shared" si="16"/>
        <v>0.17722922251370199</v>
      </c>
      <c r="AI126" s="44">
        <f t="shared" si="17"/>
        <v>0.17722922251370199</v>
      </c>
    </row>
    <row r="127" spans="1:35">
      <c r="A127" t="s">
        <v>484</v>
      </c>
      <c r="B127" s="5">
        <v>45855</v>
      </c>
      <c r="C127" s="5">
        <v>45856</v>
      </c>
      <c r="D127" s="13">
        <f t="shared" si="9"/>
        <v>1</v>
      </c>
      <c r="E127" t="s">
        <v>485</v>
      </c>
      <c r="F127" t="s">
        <v>79</v>
      </c>
      <c r="G127" t="s">
        <v>37</v>
      </c>
      <c r="H127" t="s">
        <v>63</v>
      </c>
      <c r="I127" t="s">
        <v>26</v>
      </c>
      <c r="J127" t="s">
        <v>109</v>
      </c>
      <c r="K127" t="s">
        <v>41</v>
      </c>
      <c r="L127" t="s">
        <v>42</v>
      </c>
      <c r="M127" t="s">
        <v>486</v>
      </c>
      <c r="N127" t="s">
        <v>44</v>
      </c>
      <c r="O127">
        <v>6</v>
      </c>
      <c r="P127">
        <v>3235.27</v>
      </c>
      <c r="Q127" s="11">
        <v>0.25</v>
      </c>
      <c r="R127">
        <v>14558.72</v>
      </c>
      <c r="S127">
        <v>9591.48</v>
      </c>
      <c r="T127">
        <v>4967.24</v>
      </c>
      <c r="U127" t="s">
        <v>102</v>
      </c>
      <c r="V127" t="s">
        <v>103</v>
      </c>
      <c r="X127" s="8" t="str">
        <f>IF(C127&gt;=B127,"Valid", "Invalid-Date")</f>
        <v>Valid</v>
      </c>
      <c r="Y127" s="8" t="str">
        <f t="shared" si="10"/>
        <v>Valid</v>
      </c>
      <c r="Z127" s="8" t="str">
        <f t="shared" si="11"/>
        <v>Pass</v>
      </c>
      <c r="AA127" s="8" t="str">
        <f t="shared" si="12"/>
        <v>Pass</v>
      </c>
      <c r="AB127" s="8" t="str">
        <f>TEXT(B127,"mmmm")</f>
        <v>July</v>
      </c>
      <c r="AC127" s="8" t="str">
        <f>TEXT(B127,"yyyy")</f>
        <v>2025</v>
      </c>
      <c r="AE127">
        <f t="shared" si="13"/>
        <v>19411.62</v>
      </c>
      <c r="AF127" s="11">
        <f t="shared" si="14"/>
        <v>14558.715</v>
      </c>
      <c r="AG127">
        <f t="shared" si="15"/>
        <v>9820.14</v>
      </c>
      <c r="AH127" s="11">
        <f t="shared" si="16"/>
        <v>0.50588977117829426</v>
      </c>
      <c r="AI127" s="44">
        <f t="shared" si="17"/>
        <v>0.50588977117829426</v>
      </c>
    </row>
    <row r="128" spans="1:35">
      <c r="A128" t="s">
        <v>487</v>
      </c>
      <c r="B128" s="5">
        <v>45924</v>
      </c>
      <c r="C128" s="5">
        <v>45926</v>
      </c>
      <c r="D128" s="13">
        <f t="shared" si="9"/>
        <v>2</v>
      </c>
      <c r="E128" t="s">
        <v>488</v>
      </c>
      <c r="F128" t="s">
        <v>114</v>
      </c>
      <c r="G128" t="s">
        <v>90</v>
      </c>
      <c r="H128" t="s">
        <v>25</v>
      </c>
      <c r="I128" t="s">
        <v>350</v>
      </c>
      <c r="J128" t="s">
        <v>351</v>
      </c>
      <c r="K128" t="s">
        <v>74</v>
      </c>
      <c r="L128" t="s">
        <v>80</v>
      </c>
      <c r="M128" t="s">
        <v>489</v>
      </c>
      <c r="N128" t="s">
        <v>59</v>
      </c>
      <c r="O128">
        <v>3</v>
      </c>
      <c r="P128">
        <v>1593.86</v>
      </c>
      <c r="Q128" s="11">
        <v>0.1</v>
      </c>
      <c r="R128">
        <v>4303.42</v>
      </c>
      <c r="S128">
        <v>2568.5700000000002</v>
      </c>
      <c r="T128">
        <v>1734.85</v>
      </c>
      <c r="U128" t="s">
        <v>32</v>
      </c>
      <c r="V128" t="s">
        <v>33</v>
      </c>
      <c r="X128" s="8" t="str">
        <f>IF(C128&gt;=B128,"Valid", "Invalid-Date")</f>
        <v>Valid</v>
      </c>
      <c r="Y128" s="8" t="str">
        <f t="shared" si="10"/>
        <v>Valid</v>
      </c>
      <c r="Z128" s="8" t="str">
        <f t="shared" si="11"/>
        <v>Pass</v>
      </c>
      <c r="AA128" s="8" t="str">
        <f t="shared" si="12"/>
        <v>Pass</v>
      </c>
      <c r="AB128" s="8" t="str">
        <f>TEXT(B128,"mmmm")</f>
        <v>September</v>
      </c>
      <c r="AC128" s="8" t="str">
        <f>TEXT(B128,"yyyy")</f>
        <v>2025</v>
      </c>
      <c r="AE128">
        <f t="shared" si="13"/>
        <v>4781.58</v>
      </c>
      <c r="AF128" s="11">
        <f t="shared" si="14"/>
        <v>4303.4220000000005</v>
      </c>
      <c r="AG128">
        <f t="shared" si="15"/>
        <v>2213.0099999999998</v>
      </c>
      <c r="AH128" s="11">
        <f t="shared" si="16"/>
        <v>0.46281982106333047</v>
      </c>
      <c r="AI128" s="44">
        <f t="shared" si="17"/>
        <v>0.46281982106333047</v>
      </c>
    </row>
    <row r="129" spans="1:35" s="15" customFormat="1">
      <c r="A129" s="15" t="s">
        <v>490</v>
      </c>
      <c r="B129" s="16">
        <v>45687</v>
      </c>
      <c r="C129" s="16">
        <v>45683</v>
      </c>
      <c r="D129" s="17">
        <f t="shared" si="9"/>
        <v>-4</v>
      </c>
      <c r="E129" s="15" t="s">
        <v>491</v>
      </c>
      <c r="F129" s="15" t="s">
        <v>114</v>
      </c>
      <c r="G129" s="15" t="s">
        <v>90</v>
      </c>
      <c r="H129" s="15" t="s">
        <v>63</v>
      </c>
      <c r="I129" s="15" t="s">
        <v>72</v>
      </c>
      <c r="J129" s="15" t="s">
        <v>73</v>
      </c>
      <c r="K129" s="15" t="s">
        <v>28</v>
      </c>
      <c r="L129" s="15" t="s">
        <v>124</v>
      </c>
      <c r="M129" s="15" t="s">
        <v>492</v>
      </c>
      <c r="N129" s="15" t="s">
        <v>31</v>
      </c>
      <c r="O129" s="22">
        <v>2</v>
      </c>
      <c r="P129" s="22">
        <v>3039.3</v>
      </c>
      <c r="Q129" s="18">
        <v>0.05</v>
      </c>
      <c r="R129" s="15">
        <v>5774.67</v>
      </c>
      <c r="S129" s="15">
        <v>3518.36</v>
      </c>
      <c r="T129" s="15">
        <v>2256.31</v>
      </c>
      <c r="U129" s="15" t="s">
        <v>32</v>
      </c>
      <c r="V129" s="15" t="s">
        <v>33</v>
      </c>
      <c r="W129" s="25"/>
      <c r="X129" s="8" t="str">
        <f>IF(C129&gt;=B129,"Valid", "Invalid-Date")</f>
        <v>Invalid-Date</v>
      </c>
      <c r="Y129" s="8" t="str">
        <f t="shared" si="10"/>
        <v>Valid</v>
      </c>
      <c r="Z129" s="19" t="str">
        <f t="shared" si="11"/>
        <v>Pass</v>
      </c>
      <c r="AA129" s="19" t="str">
        <f t="shared" si="12"/>
        <v>Pass</v>
      </c>
      <c r="AB129" s="19" t="str">
        <f>TEXT(B129,"mmmm")</f>
        <v>January</v>
      </c>
      <c r="AC129" s="19" t="str">
        <f>TEXT(B129,"yyyy")</f>
        <v>2025</v>
      </c>
      <c r="AD129" s="20"/>
      <c r="AE129" s="15">
        <f t="shared" si="13"/>
        <v>6078.6</v>
      </c>
      <c r="AF129" s="11">
        <f t="shared" si="14"/>
        <v>5774.67</v>
      </c>
      <c r="AG129" s="15">
        <f t="shared" si="15"/>
        <v>2560.2400000000002</v>
      </c>
      <c r="AH129" s="18">
        <f t="shared" si="16"/>
        <v>0.42118908959299839</v>
      </c>
      <c r="AI129" s="45">
        <f t="shared" si="17"/>
        <v>0.42118908959299839</v>
      </c>
    </row>
    <row r="130" spans="1:35">
      <c r="A130" t="s">
        <v>493</v>
      </c>
      <c r="B130" s="5">
        <v>45639</v>
      </c>
      <c r="C130" s="5">
        <v>45642</v>
      </c>
      <c r="D130" s="13">
        <f t="shared" si="9"/>
        <v>3</v>
      </c>
      <c r="E130" t="s">
        <v>494</v>
      </c>
      <c r="F130" t="s">
        <v>79</v>
      </c>
      <c r="G130" t="s">
        <v>37</v>
      </c>
      <c r="H130" t="s">
        <v>38</v>
      </c>
      <c r="I130" t="s">
        <v>39</v>
      </c>
      <c r="J130" t="s">
        <v>40</v>
      </c>
      <c r="K130" t="s">
        <v>41</v>
      </c>
      <c r="L130" t="s">
        <v>57</v>
      </c>
      <c r="M130" t="s">
        <v>495</v>
      </c>
      <c r="N130" t="s">
        <v>59</v>
      </c>
      <c r="O130">
        <v>5</v>
      </c>
      <c r="P130">
        <v>923.45</v>
      </c>
      <c r="Q130" s="11">
        <v>0.05</v>
      </c>
      <c r="R130">
        <v>4386.3900000000003</v>
      </c>
      <c r="S130">
        <v>3366.88</v>
      </c>
      <c r="T130">
        <v>1019.51</v>
      </c>
      <c r="U130" t="s">
        <v>32</v>
      </c>
      <c r="V130" t="s">
        <v>103</v>
      </c>
      <c r="X130" s="8" t="str">
        <f>IF(C130&gt;=B130,"Valid", "Invalid-Date")</f>
        <v>Valid</v>
      </c>
      <c r="Y130" s="8" t="str">
        <f t="shared" si="10"/>
        <v>Valid</v>
      </c>
      <c r="Z130" s="8" t="str">
        <f t="shared" si="11"/>
        <v>Pass</v>
      </c>
      <c r="AA130" s="8" t="str">
        <f t="shared" si="12"/>
        <v>Pass</v>
      </c>
      <c r="AB130" s="8" t="str">
        <f>TEXT(B130,"mmmm")</f>
        <v>December</v>
      </c>
      <c r="AC130" s="8" t="str">
        <f>TEXT(B130,"yyyy")</f>
        <v>2024</v>
      </c>
      <c r="AE130">
        <f t="shared" si="13"/>
        <v>4617.25</v>
      </c>
      <c r="AF130" s="11">
        <f t="shared" si="14"/>
        <v>4386.3874999999998</v>
      </c>
      <c r="AG130">
        <f t="shared" si="15"/>
        <v>1250.3699999999999</v>
      </c>
      <c r="AH130" s="11">
        <f t="shared" si="16"/>
        <v>0.27080405002977959</v>
      </c>
      <c r="AI130" s="44">
        <f t="shared" si="17"/>
        <v>0.27080405002977959</v>
      </c>
    </row>
    <row r="131" spans="1:35">
      <c r="A131" t="s">
        <v>496</v>
      </c>
      <c r="B131" s="5">
        <v>45492</v>
      </c>
      <c r="C131" s="5">
        <v>45498</v>
      </c>
      <c r="D131" s="13">
        <f t="shared" ref="D131:D194" si="18">C131-B131</f>
        <v>6</v>
      </c>
      <c r="E131" t="s">
        <v>497</v>
      </c>
      <c r="F131" t="s">
        <v>47</v>
      </c>
      <c r="G131" t="s">
        <v>37</v>
      </c>
      <c r="H131" t="s">
        <v>63</v>
      </c>
      <c r="I131" t="s">
        <v>190</v>
      </c>
      <c r="J131" t="s">
        <v>191</v>
      </c>
      <c r="K131" t="s">
        <v>28</v>
      </c>
      <c r="L131" t="s">
        <v>153</v>
      </c>
      <c r="M131" t="s">
        <v>498</v>
      </c>
      <c r="N131" t="s">
        <v>59</v>
      </c>
      <c r="O131">
        <v>7</v>
      </c>
      <c r="P131">
        <v>2741.29</v>
      </c>
      <c r="Q131" s="11">
        <v>0.05</v>
      </c>
      <c r="R131">
        <v>18229.580000000002</v>
      </c>
      <c r="S131">
        <v>15139.15</v>
      </c>
      <c r="T131">
        <v>3090.43</v>
      </c>
      <c r="U131" t="s">
        <v>32</v>
      </c>
      <c r="V131" t="s">
        <v>33</v>
      </c>
      <c r="X131" s="8" t="str">
        <f>IF(C131&gt;=B131,"Valid", "Invalid-Date")</f>
        <v>Valid</v>
      </c>
      <c r="Y131" s="8" t="str">
        <f t="shared" ref="Y131:Y194" si="19">IF(OR(Q131&lt;0, Q131&gt;0.5), "Invalid-Discount", "Valid")</f>
        <v>Valid</v>
      </c>
      <c r="Z131" s="8" t="str">
        <f t="shared" ref="Z131:Z194" si="20">IF(N131="Unknown","Flagged","Pass")</f>
        <v>Pass</v>
      </c>
      <c r="AA131" s="8" t="str">
        <f t="shared" ref="AA131:AA194" si="21">IF(H131="Unknown","Flagged","Pass")</f>
        <v>Pass</v>
      </c>
      <c r="AB131" s="8" t="str">
        <f>TEXT(B131,"mmmm")</f>
        <v>July</v>
      </c>
      <c r="AC131" s="8" t="str">
        <f>TEXT(B131,"yyyy")</f>
        <v>2024</v>
      </c>
      <c r="AE131">
        <f t="shared" ref="AE131:AE194" si="22">O131*P131</f>
        <v>19189.03</v>
      </c>
      <c r="AF131" s="11">
        <f t="shared" ref="AF131:AF194" si="23">AE131*(1-Q131)</f>
        <v>18229.5785</v>
      </c>
      <c r="AG131">
        <f t="shared" ref="AG131:AG194" si="24">AE131-S131</f>
        <v>4049.8799999999992</v>
      </c>
      <c r="AH131" s="11">
        <f t="shared" ref="AH131:AH194" si="25">AG131/AE131</f>
        <v>0.21105183534550728</v>
      </c>
      <c r="AI131" s="44">
        <f t="shared" ref="AI131:AI194" si="26">AG131/AE131</f>
        <v>0.21105183534550728</v>
      </c>
    </row>
    <row r="132" spans="1:35">
      <c r="A132" t="s">
        <v>499</v>
      </c>
      <c r="B132" s="5">
        <v>45318</v>
      </c>
      <c r="C132" s="5">
        <v>45324</v>
      </c>
      <c r="D132" s="13">
        <f t="shared" si="18"/>
        <v>6</v>
      </c>
      <c r="E132" t="s">
        <v>500</v>
      </c>
      <c r="F132" t="s">
        <v>53</v>
      </c>
      <c r="G132" t="s">
        <v>24</v>
      </c>
      <c r="H132" t="s">
        <v>63</v>
      </c>
      <c r="I132" t="s">
        <v>180</v>
      </c>
      <c r="J132" t="s">
        <v>181</v>
      </c>
      <c r="K132" t="s">
        <v>28</v>
      </c>
      <c r="L132" t="s">
        <v>91</v>
      </c>
      <c r="M132" t="s">
        <v>501</v>
      </c>
      <c r="N132" t="s">
        <v>44</v>
      </c>
      <c r="O132">
        <v>5</v>
      </c>
      <c r="P132">
        <v>218.42</v>
      </c>
      <c r="Q132" s="11">
        <v>0.2</v>
      </c>
      <c r="R132">
        <v>873.68</v>
      </c>
      <c r="S132">
        <v>661.72</v>
      </c>
      <c r="T132">
        <v>211.96</v>
      </c>
      <c r="U132" t="s">
        <v>111</v>
      </c>
      <c r="V132" t="s">
        <v>68</v>
      </c>
      <c r="X132" s="8" t="str">
        <f>IF(C132&gt;=B132,"Valid", "Invalid-Date")</f>
        <v>Valid</v>
      </c>
      <c r="Y132" s="8" t="str">
        <f t="shared" si="19"/>
        <v>Valid</v>
      </c>
      <c r="Z132" s="8" t="str">
        <f t="shared" si="20"/>
        <v>Pass</v>
      </c>
      <c r="AA132" s="8" t="str">
        <f t="shared" si="21"/>
        <v>Pass</v>
      </c>
      <c r="AB132" s="8" t="str">
        <f>TEXT(B132,"mmmm")</f>
        <v>January</v>
      </c>
      <c r="AC132" s="8" t="str">
        <f>TEXT(B132,"yyyy")</f>
        <v>2024</v>
      </c>
      <c r="AE132">
        <f t="shared" si="22"/>
        <v>1092.0999999999999</v>
      </c>
      <c r="AF132" s="11">
        <f t="shared" si="23"/>
        <v>873.68</v>
      </c>
      <c r="AG132">
        <f t="shared" si="24"/>
        <v>430.37999999999988</v>
      </c>
      <c r="AH132" s="11">
        <f t="shared" si="25"/>
        <v>0.39408479077007591</v>
      </c>
      <c r="AI132" s="44">
        <f t="shared" si="26"/>
        <v>0.39408479077007591</v>
      </c>
    </row>
    <row r="133" spans="1:35">
      <c r="A133" t="s">
        <v>502</v>
      </c>
      <c r="B133" s="5">
        <v>45929</v>
      </c>
      <c r="C133" s="5">
        <v>45757</v>
      </c>
      <c r="D133" s="13">
        <f t="shared" si="18"/>
        <v>-172</v>
      </c>
      <c r="E133" t="s">
        <v>503</v>
      </c>
      <c r="F133" t="s">
        <v>62</v>
      </c>
      <c r="G133" t="s">
        <v>95</v>
      </c>
      <c r="H133" t="s">
        <v>38</v>
      </c>
      <c r="I133" t="s">
        <v>228</v>
      </c>
      <c r="J133" t="s">
        <v>229</v>
      </c>
      <c r="K133" t="s">
        <v>28</v>
      </c>
      <c r="L133" t="s">
        <v>29</v>
      </c>
      <c r="M133" t="s">
        <v>504</v>
      </c>
      <c r="N133" t="s">
        <v>44</v>
      </c>
      <c r="O133">
        <v>9</v>
      </c>
      <c r="P133">
        <v>373.91</v>
      </c>
      <c r="Q133" s="11">
        <v>0.2</v>
      </c>
      <c r="R133">
        <v>2692.15</v>
      </c>
      <c r="S133">
        <v>2044.49</v>
      </c>
      <c r="T133">
        <v>647.66</v>
      </c>
      <c r="U133" t="s">
        <v>32</v>
      </c>
      <c r="V133" t="s">
        <v>33</v>
      </c>
      <c r="X133" s="8" t="str">
        <f>IF(C133&gt;=B133,"Valid", "Invalid-Date")</f>
        <v>Invalid-Date</v>
      </c>
      <c r="Y133" s="8" t="str">
        <f t="shared" si="19"/>
        <v>Valid</v>
      </c>
      <c r="Z133" s="8" t="str">
        <f t="shared" si="20"/>
        <v>Pass</v>
      </c>
      <c r="AA133" s="8" t="str">
        <f t="shared" si="21"/>
        <v>Pass</v>
      </c>
      <c r="AB133" s="8" t="str">
        <f>TEXT(B133,"mmmm")</f>
        <v>September</v>
      </c>
      <c r="AC133" s="8" t="str">
        <f>TEXT(B133,"yyyy")</f>
        <v>2025</v>
      </c>
      <c r="AE133">
        <f t="shared" si="22"/>
        <v>3365.19</v>
      </c>
      <c r="AF133" s="11">
        <f t="shared" si="23"/>
        <v>2692.152</v>
      </c>
      <c r="AG133">
        <f t="shared" si="24"/>
        <v>1320.7</v>
      </c>
      <c r="AH133" s="11">
        <f t="shared" si="25"/>
        <v>0.39245926678731363</v>
      </c>
      <c r="AI133" s="44">
        <f t="shared" si="26"/>
        <v>0.39245926678731363</v>
      </c>
    </row>
    <row r="134" spans="1:35">
      <c r="A134" t="s">
        <v>505</v>
      </c>
      <c r="B134" s="5">
        <v>45600</v>
      </c>
      <c r="C134" s="5">
        <v>45393</v>
      </c>
      <c r="D134" s="13">
        <f t="shared" si="18"/>
        <v>-207</v>
      </c>
      <c r="E134" t="s">
        <v>506</v>
      </c>
      <c r="F134" t="s">
        <v>264</v>
      </c>
      <c r="G134" t="s">
        <v>90</v>
      </c>
      <c r="H134" t="s">
        <v>38</v>
      </c>
      <c r="I134" t="s">
        <v>166</v>
      </c>
      <c r="J134" t="s">
        <v>167</v>
      </c>
      <c r="K134" t="s">
        <v>74</v>
      </c>
      <c r="L134" t="s">
        <v>274</v>
      </c>
      <c r="M134" t="s">
        <v>507</v>
      </c>
      <c r="N134" t="s">
        <v>50</v>
      </c>
      <c r="O134">
        <v>2</v>
      </c>
      <c r="P134">
        <v>533.08000000000004</v>
      </c>
      <c r="Q134" s="11">
        <v>0</v>
      </c>
      <c r="R134">
        <v>1066.1600000000001</v>
      </c>
      <c r="S134">
        <v>656.3</v>
      </c>
      <c r="T134">
        <v>409.86</v>
      </c>
      <c r="U134" t="s">
        <v>155</v>
      </c>
      <c r="V134" t="s">
        <v>68</v>
      </c>
      <c r="X134" s="8" t="str">
        <f>IF(C134&gt;=B134,"Valid", "Invalid-Date")</f>
        <v>Invalid-Date</v>
      </c>
      <c r="Y134" s="8" t="str">
        <f t="shared" si="19"/>
        <v>Valid</v>
      </c>
      <c r="Z134" s="8" t="str">
        <f t="shared" si="20"/>
        <v>Pass</v>
      </c>
      <c r="AA134" s="8" t="str">
        <f t="shared" si="21"/>
        <v>Pass</v>
      </c>
      <c r="AB134" s="8" t="str">
        <f>TEXT(B134,"mmmm")</f>
        <v>November</v>
      </c>
      <c r="AC134" s="8" t="str">
        <f>TEXT(B134,"yyyy")</f>
        <v>2024</v>
      </c>
      <c r="AE134">
        <f t="shared" si="22"/>
        <v>1066.1600000000001</v>
      </c>
      <c r="AF134" s="11">
        <f t="shared" si="23"/>
        <v>1066.1600000000001</v>
      </c>
      <c r="AG134">
        <f t="shared" si="24"/>
        <v>409.86000000000013</v>
      </c>
      <c r="AH134" s="11">
        <f t="shared" si="25"/>
        <v>0.38442635251744589</v>
      </c>
      <c r="AI134" s="44">
        <f t="shared" si="26"/>
        <v>0.38442635251744589</v>
      </c>
    </row>
    <row r="135" spans="1:35" s="15" customFormat="1">
      <c r="A135" s="15" t="s">
        <v>508</v>
      </c>
      <c r="B135" s="16">
        <v>45639</v>
      </c>
      <c r="C135" s="16">
        <v>45644</v>
      </c>
      <c r="D135" s="17">
        <f t="shared" si="18"/>
        <v>5</v>
      </c>
      <c r="E135" s="15" t="s">
        <v>509</v>
      </c>
      <c r="F135" s="15" t="s">
        <v>23</v>
      </c>
      <c r="G135" s="15" t="s">
        <v>24</v>
      </c>
      <c r="H135" s="15" t="s">
        <v>63</v>
      </c>
      <c r="I135" s="15" t="s">
        <v>190</v>
      </c>
      <c r="J135" s="15" t="s">
        <v>191</v>
      </c>
      <c r="K135" s="15" t="s">
        <v>74</v>
      </c>
      <c r="L135" s="15" t="s">
        <v>171</v>
      </c>
      <c r="M135" s="15" t="s">
        <v>510</v>
      </c>
      <c r="N135" s="15" t="s">
        <v>31</v>
      </c>
      <c r="O135" s="15">
        <v>8</v>
      </c>
      <c r="P135" s="15">
        <v>3372.15</v>
      </c>
      <c r="Q135" s="18">
        <v>0.15</v>
      </c>
      <c r="R135" s="15">
        <v>22930.62</v>
      </c>
      <c r="S135" s="15">
        <v>16875.55</v>
      </c>
      <c r="T135" s="15">
        <v>6055.07</v>
      </c>
      <c r="U135" s="15" t="s">
        <v>32</v>
      </c>
      <c r="V135" s="15" t="s">
        <v>33</v>
      </c>
      <c r="W135" s="25"/>
      <c r="X135" s="8" t="str">
        <f>IF(C135&gt;=B135,"Valid", "Invalid-Date")</f>
        <v>Valid</v>
      </c>
      <c r="Y135" s="8" t="str">
        <f t="shared" si="19"/>
        <v>Valid</v>
      </c>
      <c r="Z135" s="19" t="str">
        <f t="shared" si="20"/>
        <v>Pass</v>
      </c>
      <c r="AA135" s="19" t="str">
        <f t="shared" si="21"/>
        <v>Pass</v>
      </c>
      <c r="AB135" s="19" t="str">
        <f>TEXT(B135,"mmmm")</f>
        <v>December</v>
      </c>
      <c r="AC135" s="19" t="str">
        <f>TEXT(B135,"yyyy")</f>
        <v>2024</v>
      </c>
      <c r="AD135" s="20"/>
      <c r="AE135" s="15">
        <f t="shared" si="22"/>
        <v>26977.200000000001</v>
      </c>
      <c r="AF135" s="11">
        <f t="shared" si="23"/>
        <v>22930.62</v>
      </c>
      <c r="AG135" s="15">
        <f t="shared" si="24"/>
        <v>10101.650000000001</v>
      </c>
      <c r="AH135" s="18">
        <f t="shared" si="25"/>
        <v>0.37445138857998611</v>
      </c>
      <c r="AI135" s="45">
        <f t="shared" si="26"/>
        <v>0.37445138857998611</v>
      </c>
    </row>
    <row r="136" spans="1:35">
      <c r="A136" t="s">
        <v>511</v>
      </c>
      <c r="B136" s="5">
        <v>45852</v>
      </c>
      <c r="C136" s="5">
        <v>45852</v>
      </c>
      <c r="D136" s="13">
        <f t="shared" si="18"/>
        <v>0</v>
      </c>
      <c r="E136" t="s">
        <v>512</v>
      </c>
      <c r="F136" t="s">
        <v>71</v>
      </c>
      <c r="G136" t="s">
        <v>95</v>
      </c>
      <c r="H136" t="s">
        <v>38</v>
      </c>
      <c r="I136" t="s">
        <v>99</v>
      </c>
      <c r="J136" t="s">
        <v>100</v>
      </c>
      <c r="K136" t="s">
        <v>41</v>
      </c>
      <c r="L136" t="s">
        <v>158</v>
      </c>
      <c r="M136" t="s">
        <v>513</v>
      </c>
      <c r="N136" t="s">
        <v>2785</v>
      </c>
      <c r="O136">
        <v>5</v>
      </c>
      <c r="P136">
        <v>383.1</v>
      </c>
      <c r="Q136" s="11">
        <v>0.25</v>
      </c>
      <c r="R136">
        <v>1436.62</v>
      </c>
      <c r="S136">
        <v>912.52</v>
      </c>
      <c r="T136">
        <v>524.1</v>
      </c>
      <c r="U136" t="s">
        <v>111</v>
      </c>
      <c r="V136" t="s">
        <v>68</v>
      </c>
      <c r="X136" s="8" t="str">
        <f>IF(C136&gt;=B136,"Valid", "Invalid-Date")</f>
        <v>Valid</v>
      </c>
      <c r="Y136" s="8" t="str">
        <f t="shared" si="19"/>
        <v>Valid</v>
      </c>
      <c r="Z136" s="8" t="str">
        <f t="shared" si="20"/>
        <v>Flagged</v>
      </c>
      <c r="AA136" s="8" t="str">
        <f t="shared" si="21"/>
        <v>Pass</v>
      </c>
      <c r="AB136" s="8" t="str">
        <f>TEXT(B136,"mmmm")</f>
        <v>July</v>
      </c>
      <c r="AC136" s="8" t="str">
        <f>TEXT(B136,"yyyy")</f>
        <v>2025</v>
      </c>
      <c r="AE136">
        <f t="shared" si="22"/>
        <v>1915.5</v>
      </c>
      <c r="AF136" s="11">
        <f t="shared" si="23"/>
        <v>1436.625</v>
      </c>
      <c r="AG136">
        <f t="shared" si="24"/>
        <v>1002.98</v>
      </c>
      <c r="AH136" s="11">
        <f t="shared" si="25"/>
        <v>0.52361263377708167</v>
      </c>
      <c r="AI136" s="44">
        <f t="shared" si="26"/>
        <v>0.52361263377708167</v>
      </c>
    </row>
    <row r="137" spans="1:35">
      <c r="A137" t="s">
        <v>514</v>
      </c>
      <c r="B137" s="5">
        <v>45893</v>
      </c>
      <c r="C137" s="5">
        <v>45893</v>
      </c>
      <c r="D137" s="13">
        <f t="shared" si="18"/>
        <v>0</v>
      </c>
      <c r="E137" t="s">
        <v>515</v>
      </c>
      <c r="F137" t="s">
        <v>162</v>
      </c>
      <c r="G137" t="s">
        <v>37</v>
      </c>
      <c r="H137" t="s">
        <v>54</v>
      </c>
      <c r="I137" t="s">
        <v>185</v>
      </c>
      <c r="J137" t="s">
        <v>186</v>
      </c>
      <c r="K137" t="s">
        <v>41</v>
      </c>
      <c r="L137" t="s">
        <v>158</v>
      </c>
      <c r="M137" t="s">
        <v>516</v>
      </c>
      <c r="N137" t="s">
        <v>59</v>
      </c>
      <c r="O137">
        <v>1</v>
      </c>
      <c r="P137">
        <v>3424.78</v>
      </c>
      <c r="Q137" s="11">
        <v>0</v>
      </c>
      <c r="R137">
        <v>3424.78</v>
      </c>
      <c r="S137">
        <v>1951.45</v>
      </c>
      <c r="T137">
        <v>1473.33</v>
      </c>
      <c r="U137" t="s">
        <v>32</v>
      </c>
      <c r="V137" t="s">
        <v>33</v>
      </c>
      <c r="X137" s="8" t="str">
        <f>IF(C137&gt;=B137,"Valid", "Invalid-Date")</f>
        <v>Valid</v>
      </c>
      <c r="Y137" s="8" t="str">
        <f t="shared" si="19"/>
        <v>Valid</v>
      </c>
      <c r="Z137" s="8" t="str">
        <f t="shared" si="20"/>
        <v>Pass</v>
      </c>
      <c r="AA137" s="8" t="str">
        <f t="shared" si="21"/>
        <v>Pass</v>
      </c>
      <c r="AB137" s="8" t="str">
        <f>TEXT(B137,"mmmm")</f>
        <v>August</v>
      </c>
      <c r="AC137" s="8" t="str">
        <f>TEXT(B137,"yyyy")</f>
        <v>2025</v>
      </c>
      <c r="AE137">
        <f t="shared" si="22"/>
        <v>3424.78</v>
      </c>
      <c r="AF137" s="11">
        <f t="shared" si="23"/>
        <v>3424.78</v>
      </c>
      <c r="AG137">
        <f t="shared" si="24"/>
        <v>1473.3300000000002</v>
      </c>
      <c r="AH137" s="11">
        <f t="shared" si="25"/>
        <v>0.43019697615613267</v>
      </c>
      <c r="AI137" s="44">
        <f t="shared" si="26"/>
        <v>0.43019697615613267</v>
      </c>
    </row>
    <row r="138" spans="1:35">
      <c r="A138" t="s">
        <v>517</v>
      </c>
      <c r="B138" s="5">
        <v>45697</v>
      </c>
      <c r="C138" s="5">
        <v>45703</v>
      </c>
      <c r="D138" s="13">
        <f t="shared" si="18"/>
        <v>6</v>
      </c>
      <c r="E138" t="s">
        <v>518</v>
      </c>
      <c r="F138" t="s">
        <v>36</v>
      </c>
      <c r="G138" t="s">
        <v>95</v>
      </c>
      <c r="H138" t="s">
        <v>38</v>
      </c>
      <c r="I138" t="s">
        <v>228</v>
      </c>
      <c r="J138" t="s">
        <v>229</v>
      </c>
      <c r="K138" t="s">
        <v>28</v>
      </c>
      <c r="L138" t="s">
        <v>153</v>
      </c>
      <c r="M138" t="s">
        <v>519</v>
      </c>
      <c r="N138" t="s">
        <v>59</v>
      </c>
      <c r="O138">
        <v>9</v>
      </c>
      <c r="P138">
        <v>4330.33</v>
      </c>
      <c r="Q138" s="11">
        <v>0.2</v>
      </c>
      <c r="R138">
        <v>31178.38</v>
      </c>
      <c r="S138">
        <v>21421.09</v>
      </c>
      <c r="T138">
        <v>9757.2900000000009</v>
      </c>
      <c r="U138" t="s">
        <v>32</v>
      </c>
      <c r="V138" t="s">
        <v>33</v>
      </c>
      <c r="X138" s="8" t="str">
        <f>IF(C138&gt;=B138,"Valid", "Invalid-Date")</f>
        <v>Valid</v>
      </c>
      <c r="Y138" s="8" t="str">
        <f t="shared" si="19"/>
        <v>Valid</v>
      </c>
      <c r="Z138" s="8" t="str">
        <f t="shared" si="20"/>
        <v>Pass</v>
      </c>
      <c r="AA138" s="8" t="str">
        <f t="shared" si="21"/>
        <v>Pass</v>
      </c>
      <c r="AB138" s="8" t="str">
        <f>TEXT(B138,"mmmm")</f>
        <v>February</v>
      </c>
      <c r="AC138" s="8" t="str">
        <f>TEXT(B138,"yyyy")</f>
        <v>2025</v>
      </c>
      <c r="AE138">
        <f t="shared" si="22"/>
        <v>38972.97</v>
      </c>
      <c r="AF138" s="11">
        <f t="shared" si="23"/>
        <v>31178.376000000004</v>
      </c>
      <c r="AG138">
        <f t="shared" si="24"/>
        <v>17551.88</v>
      </c>
      <c r="AH138" s="11">
        <f t="shared" si="25"/>
        <v>0.45036033948657239</v>
      </c>
      <c r="AI138" s="44">
        <f t="shared" si="26"/>
        <v>0.45036033948657239</v>
      </c>
    </row>
    <row r="139" spans="1:35">
      <c r="A139" t="s">
        <v>520</v>
      </c>
      <c r="B139" s="5">
        <v>45901</v>
      </c>
      <c r="C139" s="5">
        <v>45901</v>
      </c>
      <c r="D139" s="13">
        <f t="shared" si="18"/>
        <v>0</v>
      </c>
      <c r="E139" t="s">
        <v>521</v>
      </c>
      <c r="F139" t="s">
        <v>132</v>
      </c>
      <c r="G139" t="s">
        <v>37</v>
      </c>
      <c r="H139" t="s">
        <v>25</v>
      </c>
      <c r="I139" t="s">
        <v>26</v>
      </c>
      <c r="J139" t="s">
        <v>27</v>
      </c>
      <c r="K139" t="s">
        <v>41</v>
      </c>
      <c r="L139" t="s">
        <v>66</v>
      </c>
      <c r="M139" t="s">
        <v>522</v>
      </c>
      <c r="N139" t="s">
        <v>44</v>
      </c>
      <c r="O139">
        <v>8</v>
      </c>
      <c r="P139">
        <v>2667.07</v>
      </c>
      <c r="Q139" s="11">
        <v>0.1</v>
      </c>
      <c r="R139">
        <v>19202.900000000001</v>
      </c>
      <c r="S139">
        <v>15526.62</v>
      </c>
      <c r="T139">
        <v>3676.28</v>
      </c>
      <c r="U139" t="s">
        <v>32</v>
      </c>
      <c r="V139" t="s">
        <v>33</v>
      </c>
      <c r="X139" s="8" t="str">
        <f>IF(C139&gt;=B139,"Valid", "Invalid-Date")</f>
        <v>Valid</v>
      </c>
      <c r="Y139" s="8" t="str">
        <f t="shared" si="19"/>
        <v>Valid</v>
      </c>
      <c r="Z139" s="8" t="str">
        <f t="shared" si="20"/>
        <v>Pass</v>
      </c>
      <c r="AA139" s="8" t="str">
        <f t="shared" si="21"/>
        <v>Pass</v>
      </c>
      <c r="AB139" s="8" t="str">
        <f>TEXT(B139,"mmmm")</f>
        <v>September</v>
      </c>
      <c r="AC139" s="8" t="str">
        <f>TEXT(B139,"yyyy")</f>
        <v>2025</v>
      </c>
      <c r="AE139">
        <f t="shared" si="22"/>
        <v>21336.560000000001</v>
      </c>
      <c r="AF139" s="11">
        <f t="shared" si="23"/>
        <v>19202.904000000002</v>
      </c>
      <c r="AG139">
        <f t="shared" si="24"/>
        <v>5809.9400000000005</v>
      </c>
      <c r="AH139" s="11">
        <f t="shared" si="25"/>
        <v>0.27229975216248542</v>
      </c>
      <c r="AI139" s="44">
        <f t="shared" si="26"/>
        <v>0.27229975216248542</v>
      </c>
    </row>
    <row r="140" spans="1:35">
      <c r="A140" t="s">
        <v>523</v>
      </c>
      <c r="B140" s="5">
        <v>45311</v>
      </c>
      <c r="C140" s="5">
        <v>45317</v>
      </c>
      <c r="D140" s="13">
        <f t="shared" si="18"/>
        <v>6</v>
      </c>
      <c r="E140" t="s">
        <v>524</v>
      </c>
      <c r="F140" t="s">
        <v>162</v>
      </c>
      <c r="G140" t="s">
        <v>95</v>
      </c>
      <c r="H140" t="s">
        <v>38</v>
      </c>
      <c r="I140" t="s">
        <v>228</v>
      </c>
      <c r="J140" t="s">
        <v>229</v>
      </c>
      <c r="K140" t="s">
        <v>74</v>
      </c>
      <c r="L140" t="s">
        <v>274</v>
      </c>
      <c r="M140" t="s">
        <v>525</v>
      </c>
      <c r="N140" t="s">
        <v>59</v>
      </c>
      <c r="O140">
        <v>8</v>
      </c>
      <c r="P140">
        <v>4003.05</v>
      </c>
      <c r="Q140" s="11">
        <v>0.25</v>
      </c>
      <c r="R140">
        <v>24018.3</v>
      </c>
      <c r="S140">
        <v>14070.78</v>
      </c>
      <c r="T140">
        <v>9947.52</v>
      </c>
      <c r="U140" t="s">
        <v>32</v>
      </c>
      <c r="V140" t="s">
        <v>33</v>
      </c>
      <c r="X140" s="8" t="str">
        <f>IF(C140&gt;=B140,"Valid", "Invalid-Date")</f>
        <v>Valid</v>
      </c>
      <c r="Y140" s="8" t="str">
        <f t="shared" si="19"/>
        <v>Valid</v>
      </c>
      <c r="Z140" s="8" t="str">
        <f t="shared" si="20"/>
        <v>Pass</v>
      </c>
      <c r="AA140" s="8" t="str">
        <f t="shared" si="21"/>
        <v>Pass</v>
      </c>
      <c r="AB140" s="8" t="str">
        <f>TEXT(B140,"mmmm")</f>
        <v>January</v>
      </c>
      <c r="AC140" s="8" t="str">
        <f>TEXT(B140,"yyyy")</f>
        <v>2024</v>
      </c>
      <c r="AE140">
        <f t="shared" si="22"/>
        <v>32024.400000000001</v>
      </c>
      <c r="AF140" s="11">
        <f t="shared" si="23"/>
        <v>24018.300000000003</v>
      </c>
      <c r="AG140">
        <f t="shared" si="24"/>
        <v>17953.620000000003</v>
      </c>
      <c r="AH140" s="11">
        <f t="shared" si="25"/>
        <v>0.5606231498482408</v>
      </c>
      <c r="AI140" s="44">
        <f t="shared" si="26"/>
        <v>0.5606231498482408</v>
      </c>
    </row>
    <row r="141" spans="1:35">
      <c r="A141" t="s">
        <v>526</v>
      </c>
      <c r="B141" s="5">
        <v>45691</v>
      </c>
      <c r="C141" s="5">
        <v>45723</v>
      </c>
      <c r="D141" s="13">
        <f t="shared" si="18"/>
        <v>32</v>
      </c>
      <c r="E141" t="s">
        <v>527</v>
      </c>
      <c r="F141" t="s">
        <v>79</v>
      </c>
      <c r="G141" t="s">
        <v>95</v>
      </c>
      <c r="H141" t="s">
        <v>54</v>
      </c>
      <c r="I141" t="s">
        <v>175</v>
      </c>
      <c r="J141" t="s">
        <v>176</v>
      </c>
      <c r="K141" t="s">
        <v>28</v>
      </c>
      <c r="L141" t="s">
        <v>91</v>
      </c>
      <c r="M141" t="s">
        <v>528</v>
      </c>
      <c r="N141" t="s">
        <v>59</v>
      </c>
      <c r="O141">
        <v>8</v>
      </c>
      <c r="P141">
        <v>1287.6300000000001</v>
      </c>
      <c r="Q141" s="11">
        <v>0</v>
      </c>
      <c r="R141">
        <v>10301.040000000001</v>
      </c>
      <c r="S141">
        <v>6564.06</v>
      </c>
      <c r="T141">
        <v>3736.98</v>
      </c>
      <c r="U141" t="s">
        <v>32</v>
      </c>
      <c r="V141" t="s">
        <v>33</v>
      </c>
      <c r="X141" s="8" t="str">
        <f>IF(C141&gt;=B141,"Valid", "Invalid-Date")</f>
        <v>Valid</v>
      </c>
      <c r="Y141" s="8" t="str">
        <f t="shared" si="19"/>
        <v>Valid</v>
      </c>
      <c r="Z141" s="8" t="str">
        <f t="shared" si="20"/>
        <v>Pass</v>
      </c>
      <c r="AA141" s="8" t="str">
        <f t="shared" si="21"/>
        <v>Pass</v>
      </c>
      <c r="AB141" s="8" t="str">
        <f>TEXT(B141,"mmmm")</f>
        <v>February</v>
      </c>
      <c r="AC141" s="8" t="str">
        <f>TEXT(B141,"yyyy")</f>
        <v>2025</v>
      </c>
      <c r="AE141">
        <f t="shared" si="22"/>
        <v>10301.040000000001</v>
      </c>
      <c r="AF141" s="11">
        <f t="shared" si="23"/>
        <v>10301.040000000001</v>
      </c>
      <c r="AG141">
        <f t="shared" si="24"/>
        <v>3736.9800000000005</v>
      </c>
      <c r="AH141" s="11">
        <f t="shared" si="25"/>
        <v>0.3627769623261341</v>
      </c>
      <c r="AI141" s="44">
        <f t="shared" si="26"/>
        <v>0.3627769623261341</v>
      </c>
    </row>
    <row r="142" spans="1:35">
      <c r="A142" t="s">
        <v>529</v>
      </c>
      <c r="B142" s="5">
        <v>45443</v>
      </c>
      <c r="C142" s="5">
        <v>45297</v>
      </c>
      <c r="D142" s="13">
        <f t="shared" si="18"/>
        <v>-146</v>
      </c>
      <c r="E142" t="s">
        <v>530</v>
      </c>
      <c r="F142" t="s">
        <v>36</v>
      </c>
      <c r="G142" t="s">
        <v>90</v>
      </c>
      <c r="H142" t="s">
        <v>54</v>
      </c>
      <c r="I142" t="s">
        <v>175</v>
      </c>
      <c r="J142" t="s">
        <v>176</v>
      </c>
      <c r="K142" t="s">
        <v>41</v>
      </c>
      <c r="L142" t="s">
        <v>158</v>
      </c>
      <c r="M142" t="s">
        <v>531</v>
      </c>
      <c r="N142" t="s">
        <v>44</v>
      </c>
      <c r="O142">
        <v>3</v>
      </c>
      <c r="P142">
        <v>2914.55</v>
      </c>
      <c r="Q142" s="11">
        <v>0</v>
      </c>
      <c r="R142">
        <v>8743.65</v>
      </c>
      <c r="S142">
        <v>6603.76</v>
      </c>
      <c r="T142">
        <v>2139.89</v>
      </c>
      <c r="U142" t="s">
        <v>32</v>
      </c>
      <c r="V142" t="s">
        <v>33</v>
      </c>
      <c r="X142" s="8" t="str">
        <f>IF(C142&gt;=B142,"Valid", "Invalid-Date")</f>
        <v>Invalid-Date</v>
      </c>
      <c r="Y142" s="8" t="str">
        <f t="shared" si="19"/>
        <v>Valid</v>
      </c>
      <c r="Z142" s="8" t="str">
        <f t="shared" si="20"/>
        <v>Pass</v>
      </c>
      <c r="AA142" s="8" t="str">
        <f t="shared" si="21"/>
        <v>Pass</v>
      </c>
      <c r="AB142" s="8" t="str">
        <f>TEXT(B142,"mmmm")</f>
        <v>May</v>
      </c>
      <c r="AC142" s="8" t="str">
        <f>TEXT(B142,"yyyy")</f>
        <v>2024</v>
      </c>
      <c r="AE142">
        <f t="shared" si="22"/>
        <v>8743.6500000000015</v>
      </c>
      <c r="AF142" s="11">
        <f t="shared" si="23"/>
        <v>8743.6500000000015</v>
      </c>
      <c r="AG142">
        <f t="shared" si="24"/>
        <v>2139.8900000000012</v>
      </c>
      <c r="AH142" s="11">
        <f t="shared" si="25"/>
        <v>0.24473646589239059</v>
      </c>
      <c r="AI142" s="44">
        <f t="shared" si="26"/>
        <v>0.24473646589239059</v>
      </c>
    </row>
    <row r="143" spans="1:35">
      <c r="A143" t="s">
        <v>532</v>
      </c>
      <c r="B143" s="5">
        <v>45374</v>
      </c>
      <c r="C143" s="5">
        <v>45380</v>
      </c>
      <c r="D143" s="13">
        <f t="shared" si="18"/>
        <v>6</v>
      </c>
      <c r="E143" t="s">
        <v>533</v>
      </c>
      <c r="F143" t="s">
        <v>114</v>
      </c>
      <c r="G143" t="s">
        <v>90</v>
      </c>
      <c r="H143" t="s">
        <v>25</v>
      </c>
      <c r="I143" t="s">
        <v>350</v>
      </c>
      <c r="J143" t="s">
        <v>351</v>
      </c>
      <c r="K143" t="s">
        <v>41</v>
      </c>
      <c r="L143" t="s">
        <v>158</v>
      </c>
      <c r="M143" t="s">
        <v>534</v>
      </c>
      <c r="N143" t="s">
        <v>44</v>
      </c>
      <c r="O143">
        <v>7</v>
      </c>
      <c r="P143">
        <v>634.29</v>
      </c>
      <c r="Q143" s="11">
        <v>0.1</v>
      </c>
      <c r="R143">
        <v>3996.03</v>
      </c>
      <c r="S143">
        <v>2859.51</v>
      </c>
      <c r="T143">
        <v>1136.52</v>
      </c>
      <c r="U143" t="s">
        <v>32</v>
      </c>
      <c r="V143" t="s">
        <v>103</v>
      </c>
      <c r="X143" s="8" t="str">
        <f>IF(C143&gt;=B143,"Valid", "Invalid-Date")</f>
        <v>Valid</v>
      </c>
      <c r="Y143" s="8" t="str">
        <f t="shared" si="19"/>
        <v>Valid</v>
      </c>
      <c r="Z143" s="8" t="str">
        <f t="shared" si="20"/>
        <v>Pass</v>
      </c>
      <c r="AA143" s="8" t="str">
        <f t="shared" si="21"/>
        <v>Pass</v>
      </c>
      <c r="AB143" s="8" t="str">
        <f>TEXT(B143,"mmmm")</f>
        <v>March</v>
      </c>
      <c r="AC143" s="8" t="str">
        <f>TEXT(B143,"yyyy")</f>
        <v>2024</v>
      </c>
      <c r="AE143">
        <f t="shared" si="22"/>
        <v>4440.03</v>
      </c>
      <c r="AF143" s="11">
        <f t="shared" si="23"/>
        <v>3996.027</v>
      </c>
      <c r="AG143">
        <f t="shared" si="24"/>
        <v>1580.5199999999995</v>
      </c>
      <c r="AH143" s="11">
        <f t="shared" si="25"/>
        <v>0.35597056776643393</v>
      </c>
      <c r="AI143" s="44">
        <f t="shared" si="26"/>
        <v>0.35597056776643393</v>
      </c>
    </row>
    <row r="144" spans="1:35" s="15" customFormat="1">
      <c r="A144" s="15" t="s">
        <v>535</v>
      </c>
      <c r="B144" s="16">
        <v>45381</v>
      </c>
      <c r="C144" s="16">
        <v>45377</v>
      </c>
      <c r="D144" s="17">
        <f t="shared" si="18"/>
        <v>-4</v>
      </c>
      <c r="E144" s="15" t="s">
        <v>536</v>
      </c>
      <c r="F144" s="15" t="s">
        <v>89</v>
      </c>
      <c r="G144" s="15" t="s">
        <v>95</v>
      </c>
      <c r="H144" s="15" t="s">
        <v>25</v>
      </c>
      <c r="I144" s="15" t="s">
        <v>26</v>
      </c>
      <c r="J144" s="15" t="s">
        <v>27</v>
      </c>
      <c r="K144" s="15" t="s">
        <v>74</v>
      </c>
      <c r="L144" s="15" t="s">
        <v>171</v>
      </c>
      <c r="M144" s="15" t="s">
        <v>537</v>
      </c>
      <c r="N144" s="15" t="s">
        <v>31</v>
      </c>
      <c r="O144" s="15">
        <v>5</v>
      </c>
      <c r="P144" s="15">
        <v>907.54</v>
      </c>
      <c r="Q144" s="18">
        <v>0.15</v>
      </c>
      <c r="R144" s="15">
        <v>3857.04</v>
      </c>
      <c r="S144" s="15">
        <v>2769.26</v>
      </c>
      <c r="T144" s="15">
        <v>1087.78</v>
      </c>
      <c r="U144" s="15" t="s">
        <v>32</v>
      </c>
      <c r="V144" s="15" t="s">
        <v>33</v>
      </c>
      <c r="W144" s="25"/>
      <c r="X144" s="8" t="str">
        <f>IF(C144&gt;=B144,"Valid", "Invalid-Date")</f>
        <v>Invalid-Date</v>
      </c>
      <c r="Y144" s="8" t="str">
        <f t="shared" si="19"/>
        <v>Valid</v>
      </c>
      <c r="Z144" s="19" t="str">
        <f t="shared" si="20"/>
        <v>Pass</v>
      </c>
      <c r="AA144" s="19" t="str">
        <f t="shared" si="21"/>
        <v>Pass</v>
      </c>
      <c r="AB144" s="19" t="str">
        <f>TEXT(B144,"mmmm")</f>
        <v>March</v>
      </c>
      <c r="AC144" s="19" t="str">
        <f>TEXT(B144,"yyyy")</f>
        <v>2024</v>
      </c>
      <c r="AD144" s="20"/>
      <c r="AE144" s="15">
        <f t="shared" si="22"/>
        <v>4537.7</v>
      </c>
      <c r="AF144" s="11">
        <f t="shared" si="23"/>
        <v>3857.0449999999996</v>
      </c>
      <c r="AG144" s="15">
        <f t="shared" si="24"/>
        <v>1768.4399999999996</v>
      </c>
      <c r="AH144" s="18">
        <f t="shared" si="25"/>
        <v>0.38972166516076417</v>
      </c>
      <c r="AI144" s="45">
        <f t="shared" si="26"/>
        <v>0.38972166516076417</v>
      </c>
    </row>
    <row r="145" spans="1:35">
      <c r="A145" t="s">
        <v>538</v>
      </c>
      <c r="B145" s="5">
        <v>45375</v>
      </c>
      <c r="C145" s="5">
        <v>45377</v>
      </c>
      <c r="D145" s="13">
        <f t="shared" si="18"/>
        <v>2</v>
      </c>
      <c r="E145" t="s">
        <v>539</v>
      </c>
      <c r="F145" t="s">
        <v>114</v>
      </c>
      <c r="G145" t="s">
        <v>24</v>
      </c>
      <c r="H145" t="s">
        <v>63</v>
      </c>
      <c r="I145" t="s">
        <v>180</v>
      </c>
      <c r="J145" t="s">
        <v>181</v>
      </c>
      <c r="K145" t="s">
        <v>28</v>
      </c>
      <c r="L145" t="s">
        <v>29</v>
      </c>
      <c r="M145" t="s">
        <v>540</v>
      </c>
      <c r="N145" t="s">
        <v>31</v>
      </c>
      <c r="O145">
        <v>1</v>
      </c>
      <c r="P145">
        <v>3409.5</v>
      </c>
      <c r="Q145" s="11">
        <v>0.1</v>
      </c>
      <c r="R145">
        <v>3068.55</v>
      </c>
      <c r="S145">
        <v>1916.16</v>
      </c>
      <c r="T145">
        <v>1152.3900000000001</v>
      </c>
      <c r="U145" t="s">
        <v>32</v>
      </c>
      <c r="V145" t="s">
        <v>103</v>
      </c>
      <c r="X145" s="8" t="str">
        <f>IF(C145&gt;=B145,"Valid", "Invalid-Date")</f>
        <v>Valid</v>
      </c>
      <c r="Y145" s="8" t="str">
        <f t="shared" si="19"/>
        <v>Valid</v>
      </c>
      <c r="Z145" s="8" t="str">
        <f t="shared" si="20"/>
        <v>Pass</v>
      </c>
      <c r="AA145" s="8" t="str">
        <f t="shared" si="21"/>
        <v>Pass</v>
      </c>
      <c r="AB145" s="8" t="str">
        <f>TEXT(B145,"mmmm")</f>
        <v>March</v>
      </c>
      <c r="AC145" s="8" t="str">
        <f>TEXT(B145,"yyyy")</f>
        <v>2024</v>
      </c>
      <c r="AE145">
        <f t="shared" si="22"/>
        <v>3409.5</v>
      </c>
      <c r="AF145" s="11">
        <f t="shared" si="23"/>
        <v>3068.55</v>
      </c>
      <c r="AG145">
        <f t="shared" si="24"/>
        <v>1493.34</v>
      </c>
      <c r="AH145" s="11">
        <f t="shared" si="25"/>
        <v>0.4379938407391113</v>
      </c>
      <c r="AI145" s="44">
        <f t="shared" si="26"/>
        <v>0.4379938407391113</v>
      </c>
    </row>
    <row r="146" spans="1:35">
      <c r="A146" t="s">
        <v>541</v>
      </c>
      <c r="B146" s="5">
        <v>45450</v>
      </c>
      <c r="C146" s="5">
        <v>45458</v>
      </c>
      <c r="D146" s="13">
        <f t="shared" si="18"/>
        <v>8</v>
      </c>
      <c r="E146" t="s">
        <v>542</v>
      </c>
      <c r="F146" t="s">
        <v>264</v>
      </c>
      <c r="G146" t="s">
        <v>37</v>
      </c>
      <c r="H146" t="s">
        <v>54</v>
      </c>
      <c r="I146" t="s">
        <v>55</v>
      </c>
      <c r="J146" t="s">
        <v>56</v>
      </c>
      <c r="K146" t="s">
        <v>74</v>
      </c>
      <c r="L146" t="s">
        <v>75</v>
      </c>
      <c r="M146" t="s">
        <v>543</v>
      </c>
      <c r="N146" t="s">
        <v>50</v>
      </c>
      <c r="O146">
        <v>7</v>
      </c>
      <c r="P146">
        <v>2147.9899999999998</v>
      </c>
      <c r="Q146" s="11">
        <v>0.25</v>
      </c>
      <c r="R146">
        <v>11276.95</v>
      </c>
      <c r="S146">
        <v>6908.76</v>
      </c>
      <c r="T146">
        <v>4368.1899999999996</v>
      </c>
      <c r="U146" t="s">
        <v>102</v>
      </c>
      <c r="V146" t="s">
        <v>103</v>
      </c>
      <c r="X146" s="8" t="str">
        <f>IF(C146&gt;=B146,"Valid", "Invalid-Date")</f>
        <v>Valid</v>
      </c>
      <c r="Y146" s="8" t="str">
        <f t="shared" si="19"/>
        <v>Valid</v>
      </c>
      <c r="Z146" s="8" t="str">
        <f t="shared" si="20"/>
        <v>Pass</v>
      </c>
      <c r="AA146" s="8" t="str">
        <f t="shared" si="21"/>
        <v>Pass</v>
      </c>
      <c r="AB146" s="8" t="str">
        <f>TEXT(B146,"mmmm")</f>
        <v>June</v>
      </c>
      <c r="AC146" s="8" t="str">
        <f>TEXT(B146,"yyyy")</f>
        <v>2024</v>
      </c>
      <c r="AE146">
        <f t="shared" si="22"/>
        <v>15035.929999999998</v>
      </c>
      <c r="AF146" s="11">
        <f t="shared" si="23"/>
        <v>11276.947499999998</v>
      </c>
      <c r="AG146">
        <f t="shared" si="24"/>
        <v>8127.1699999999983</v>
      </c>
      <c r="AH146" s="11">
        <f t="shared" si="25"/>
        <v>0.54051661586612865</v>
      </c>
      <c r="AI146" s="44">
        <f t="shared" si="26"/>
        <v>0.54051661586612865</v>
      </c>
    </row>
    <row r="147" spans="1:35">
      <c r="A147" t="s">
        <v>544</v>
      </c>
      <c r="B147" s="5">
        <v>45758</v>
      </c>
      <c r="C147" s="5">
        <v>45760</v>
      </c>
      <c r="D147" s="13">
        <f t="shared" si="18"/>
        <v>2</v>
      </c>
      <c r="E147" t="s">
        <v>545</v>
      </c>
      <c r="F147" t="s">
        <v>36</v>
      </c>
      <c r="G147" t="s">
        <v>37</v>
      </c>
      <c r="H147" t="s">
        <v>63</v>
      </c>
      <c r="I147" t="s">
        <v>190</v>
      </c>
      <c r="J147" t="s">
        <v>191</v>
      </c>
      <c r="K147" t="s">
        <v>28</v>
      </c>
      <c r="L147" t="s">
        <v>29</v>
      </c>
      <c r="M147" t="s">
        <v>546</v>
      </c>
      <c r="N147" t="s">
        <v>59</v>
      </c>
      <c r="O147">
        <v>4</v>
      </c>
      <c r="P147">
        <v>4182.1499999999996</v>
      </c>
      <c r="Q147" s="11">
        <v>0.1</v>
      </c>
      <c r="R147">
        <v>15055.74</v>
      </c>
      <c r="S147">
        <v>9808.83</v>
      </c>
      <c r="T147">
        <v>5246.91</v>
      </c>
      <c r="U147" t="s">
        <v>32</v>
      </c>
      <c r="V147" t="s">
        <v>33</v>
      </c>
      <c r="X147" s="8" t="str">
        <f>IF(C147&gt;=B147,"Valid", "Invalid-Date")</f>
        <v>Valid</v>
      </c>
      <c r="Y147" s="8" t="str">
        <f t="shared" si="19"/>
        <v>Valid</v>
      </c>
      <c r="Z147" s="8" t="str">
        <f t="shared" si="20"/>
        <v>Pass</v>
      </c>
      <c r="AA147" s="8" t="str">
        <f t="shared" si="21"/>
        <v>Pass</v>
      </c>
      <c r="AB147" s="8" t="str">
        <f>TEXT(B147,"mmmm")</f>
        <v>April</v>
      </c>
      <c r="AC147" s="8" t="str">
        <f>TEXT(B147,"yyyy")</f>
        <v>2025</v>
      </c>
      <c r="AE147">
        <f t="shared" si="22"/>
        <v>16728.599999999999</v>
      </c>
      <c r="AF147" s="11">
        <f t="shared" si="23"/>
        <v>15055.74</v>
      </c>
      <c r="AG147">
        <f t="shared" si="24"/>
        <v>6919.7699999999986</v>
      </c>
      <c r="AH147" s="11">
        <f t="shared" si="25"/>
        <v>0.41364908001865064</v>
      </c>
      <c r="AI147" s="44">
        <f t="shared" si="26"/>
        <v>0.41364908001865064</v>
      </c>
    </row>
    <row r="148" spans="1:35">
      <c r="A148" t="s">
        <v>547</v>
      </c>
      <c r="B148" s="5">
        <v>45868</v>
      </c>
      <c r="C148" s="5">
        <v>45665</v>
      </c>
      <c r="D148" s="13">
        <f t="shared" si="18"/>
        <v>-203</v>
      </c>
      <c r="E148" t="s">
        <v>548</v>
      </c>
      <c r="F148" t="s">
        <v>132</v>
      </c>
      <c r="G148" t="s">
        <v>37</v>
      </c>
      <c r="H148" t="s">
        <v>54</v>
      </c>
      <c r="I148" t="s">
        <v>247</v>
      </c>
      <c r="J148" t="s">
        <v>248</v>
      </c>
      <c r="K148" t="s">
        <v>28</v>
      </c>
      <c r="L148" t="s">
        <v>124</v>
      </c>
      <c r="M148" t="s">
        <v>549</v>
      </c>
      <c r="N148" t="s">
        <v>44</v>
      </c>
      <c r="O148">
        <v>9</v>
      </c>
      <c r="P148">
        <v>3165.43</v>
      </c>
      <c r="Q148" s="11">
        <v>0.1</v>
      </c>
      <c r="R148">
        <v>25639.98</v>
      </c>
      <c r="S148">
        <v>21635.08</v>
      </c>
      <c r="T148">
        <v>4004.9</v>
      </c>
      <c r="U148" t="s">
        <v>32</v>
      </c>
      <c r="V148" t="s">
        <v>33</v>
      </c>
      <c r="X148" s="8" t="str">
        <f>IF(C148&gt;=B148,"Valid", "Invalid-Date")</f>
        <v>Invalid-Date</v>
      </c>
      <c r="Y148" s="8" t="str">
        <f t="shared" si="19"/>
        <v>Valid</v>
      </c>
      <c r="Z148" s="8" t="str">
        <f t="shared" si="20"/>
        <v>Pass</v>
      </c>
      <c r="AA148" s="8" t="str">
        <f t="shared" si="21"/>
        <v>Pass</v>
      </c>
      <c r="AB148" s="8" t="str">
        <f>TEXT(B148,"mmmm")</f>
        <v>July</v>
      </c>
      <c r="AC148" s="8" t="str">
        <f>TEXT(B148,"yyyy")</f>
        <v>2025</v>
      </c>
      <c r="AE148">
        <f t="shared" si="22"/>
        <v>28488.87</v>
      </c>
      <c r="AF148" s="11">
        <f t="shared" si="23"/>
        <v>25639.983</v>
      </c>
      <c r="AG148">
        <f t="shared" si="24"/>
        <v>6853.7899999999972</v>
      </c>
      <c r="AH148" s="11">
        <f t="shared" si="25"/>
        <v>0.24057781161555364</v>
      </c>
      <c r="AI148" s="44">
        <f t="shared" si="26"/>
        <v>0.24057781161555364</v>
      </c>
    </row>
    <row r="149" spans="1:35">
      <c r="A149" t="s">
        <v>550</v>
      </c>
      <c r="B149" s="5">
        <v>45649</v>
      </c>
      <c r="C149" s="5">
        <v>45656</v>
      </c>
      <c r="D149" s="13">
        <f t="shared" si="18"/>
        <v>7</v>
      </c>
      <c r="E149" t="s">
        <v>551</v>
      </c>
      <c r="F149" t="s">
        <v>114</v>
      </c>
      <c r="G149" t="s">
        <v>95</v>
      </c>
      <c r="H149" t="s">
        <v>63</v>
      </c>
      <c r="I149" t="s">
        <v>190</v>
      </c>
      <c r="J149" t="s">
        <v>191</v>
      </c>
      <c r="K149" t="s">
        <v>41</v>
      </c>
      <c r="L149" t="s">
        <v>57</v>
      </c>
      <c r="M149" t="s">
        <v>552</v>
      </c>
      <c r="N149" t="s">
        <v>50</v>
      </c>
      <c r="O149">
        <v>8</v>
      </c>
      <c r="P149">
        <v>386.1</v>
      </c>
      <c r="Q149" s="11">
        <v>0.1</v>
      </c>
      <c r="R149">
        <v>2779.92</v>
      </c>
      <c r="S149">
        <v>1744.05</v>
      </c>
      <c r="T149">
        <v>1035.8699999999999</v>
      </c>
      <c r="U149" t="s">
        <v>32</v>
      </c>
      <c r="V149" t="s">
        <v>33</v>
      </c>
      <c r="X149" s="8" t="str">
        <f>IF(C149&gt;=B149,"Valid", "Invalid-Date")</f>
        <v>Valid</v>
      </c>
      <c r="Y149" s="8" t="str">
        <f t="shared" si="19"/>
        <v>Valid</v>
      </c>
      <c r="Z149" s="8" t="str">
        <f t="shared" si="20"/>
        <v>Pass</v>
      </c>
      <c r="AA149" s="8" t="str">
        <f t="shared" si="21"/>
        <v>Pass</v>
      </c>
      <c r="AB149" s="8" t="str">
        <f>TEXT(B149,"mmmm")</f>
        <v>December</v>
      </c>
      <c r="AC149" s="8" t="str">
        <f>TEXT(B149,"yyyy")</f>
        <v>2024</v>
      </c>
      <c r="AE149">
        <f t="shared" si="22"/>
        <v>3088.8</v>
      </c>
      <c r="AF149" s="11">
        <f t="shared" si="23"/>
        <v>2779.92</v>
      </c>
      <c r="AG149">
        <f t="shared" si="24"/>
        <v>1344.7500000000002</v>
      </c>
      <c r="AH149" s="11">
        <f t="shared" si="25"/>
        <v>0.43536324786324793</v>
      </c>
      <c r="AI149" s="44">
        <f t="shared" si="26"/>
        <v>0.43536324786324793</v>
      </c>
    </row>
    <row r="150" spans="1:35">
      <c r="A150" t="s">
        <v>553</v>
      </c>
      <c r="B150" s="5">
        <v>45697</v>
      </c>
      <c r="C150" s="5">
        <v>45701</v>
      </c>
      <c r="D150" s="13">
        <f t="shared" si="18"/>
        <v>4</v>
      </c>
      <c r="E150" t="s">
        <v>554</v>
      </c>
      <c r="F150" t="s">
        <v>36</v>
      </c>
      <c r="G150" t="s">
        <v>95</v>
      </c>
      <c r="H150" t="s">
        <v>63</v>
      </c>
      <c r="I150" t="s">
        <v>72</v>
      </c>
      <c r="J150" t="s">
        <v>73</v>
      </c>
      <c r="K150" t="s">
        <v>74</v>
      </c>
      <c r="L150" t="s">
        <v>171</v>
      </c>
      <c r="M150" t="s">
        <v>555</v>
      </c>
      <c r="N150" t="s">
        <v>2785</v>
      </c>
      <c r="O150">
        <v>8</v>
      </c>
      <c r="P150">
        <v>1696.07</v>
      </c>
      <c r="Q150" s="11">
        <v>0.25</v>
      </c>
      <c r="R150">
        <v>10176.42</v>
      </c>
      <c r="S150">
        <v>7604.47</v>
      </c>
      <c r="T150">
        <v>2571.9499999999998</v>
      </c>
      <c r="U150" t="s">
        <v>32</v>
      </c>
      <c r="V150" t="s">
        <v>33</v>
      </c>
      <c r="X150" s="8" t="str">
        <f>IF(C150&gt;=B150,"Valid", "Invalid-Date")</f>
        <v>Valid</v>
      </c>
      <c r="Y150" s="8" t="str">
        <f t="shared" si="19"/>
        <v>Valid</v>
      </c>
      <c r="Z150" s="8" t="str">
        <f t="shared" si="20"/>
        <v>Flagged</v>
      </c>
      <c r="AA150" s="8" t="str">
        <f t="shared" si="21"/>
        <v>Pass</v>
      </c>
      <c r="AB150" s="8" t="str">
        <f>TEXT(B150,"mmmm")</f>
        <v>February</v>
      </c>
      <c r="AC150" s="8" t="str">
        <f>TEXT(B150,"yyyy")</f>
        <v>2025</v>
      </c>
      <c r="AE150">
        <f t="shared" si="22"/>
        <v>13568.56</v>
      </c>
      <c r="AF150" s="11">
        <f t="shared" si="23"/>
        <v>10176.42</v>
      </c>
      <c r="AG150">
        <f t="shared" si="24"/>
        <v>5964.0899999999992</v>
      </c>
      <c r="AH150" s="11">
        <f t="shared" si="25"/>
        <v>0.43955217060616597</v>
      </c>
      <c r="AI150" s="44">
        <f t="shared" si="26"/>
        <v>0.43955217060616597</v>
      </c>
    </row>
    <row r="151" spans="1:35">
      <c r="A151" t="s">
        <v>556</v>
      </c>
      <c r="B151" s="5">
        <v>45321</v>
      </c>
      <c r="C151" s="5">
        <v>45321</v>
      </c>
      <c r="D151" s="13">
        <f t="shared" si="18"/>
        <v>0</v>
      </c>
      <c r="E151" t="s">
        <v>557</v>
      </c>
      <c r="F151" t="s">
        <v>128</v>
      </c>
      <c r="G151" t="s">
        <v>37</v>
      </c>
      <c r="H151" t="s">
        <v>63</v>
      </c>
      <c r="I151" t="s">
        <v>26</v>
      </c>
      <c r="J151" t="s">
        <v>109</v>
      </c>
      <c r="K151" t="s">
        <v>74</v>
      </c>
      <c r="L151" t="s">
        <v>80</v>
      </c>
      <c r="M151" t="s">
        <v>558</v>
      </c>
      <c r="N151" t="s">
        <v>44</v>
      </c>
      <c r="O151">
        <v>7</v>
      </c>
      <c r="P151">
        <v>2527.61</v>
      </c>
      <c r="Q151" s="11">
        <v>0.25</v>
      </c>
      <c r="R151">
        <v>13269.95</v>
      </c>
      <c r="S151">
        <v>8977.1</v>
      </c>
      <c r="T151">
        <v>4292.8500000000004</v>
      </c>
      <c r="U151" t="s">
        <v>32</v>
      </c>
      <c r="V151" t="s">
        <v>33</v>
      </c>
      <c r="X151" s="8" t="str">
        <f>IF(C151&gt;=B151,"Valid", "Invalid-Date")</f>
        <v>Valid</v>
      </c>
      <c r="Y151" s="8" t="str">
        <f t="shared" si="19"/>
        <v>Valid</v>
      </c>
      <c r="Z151" s="8" t="str">
        <f t="shared" si="20"/>
        <v>Pass</v>
      </c>
      <c r="AA151" s="8" t="str">
        <f t="shared" si="21"/>
        <v>Pass</v>
      </c>
      <c r="AB151" s="8" t="str">
        <f>TEXT(B151,"mmmm")</f>
        <v>January</v>
      </c>
      <c r="AC151" s="8" t="str">
        <f>TEXT(B151,"yyyy")</f>
        <v>2024</v>
      </c>
      <c r="AE151">
        <f t="shared" si="22"/>
        <v>17693.27</v>
      </c>
      <c r="AF151" s="11">
        <f t="shared" si="23"/>
        <v>13269.952499999999</v>
      </c>
      <c r="AG151">
        <f t="shared" si="24"/>
        <v>8716.17</v>
      </c>
      <c r="AH151" s="11">
        <f t="shared" si="25"/>
        <v>0.49262629236992372</v>
      </c>
      <c r="AI151" s="44">
        <f t="shared" si="26"/>
        <v>0.49262629236992372</v>
      </c>
    </row>
    <row r="152" spans="1:35">
      <c r="A152" t="s">
        <v>559</v>
      </c>
      <c r="B152" s="5">
        <v>45355</v>
      </c>
      <c r="C152" s="5">
        <v>45629</v>
      </c>
      <c r="D152" s="13">
        <f t="shared" si="18"/>
        <v>274</v>
      </c>
      <c r="E152" t="s">
        <v>560</v>
      </c>
      <c r="F152" t="s">
        <v>53</v>
      </c>
      <c r="G152" t="s">
        <v>24</v>
      </c>
      <c r="H152" t="s">
        <v>2785</v>
      </c>
      <c r="I152" t="s">
        <v>180</v>
      </c>
      <c r="J152" t="s">
        <v>181</v>
      </c>
      <c r="K152" t="s">
        <v>41</v>
      </c>
      <c r="L152" t="s">
        <v>158</v>
      </c>
      <c r="M152" t="s">
        <v>561</v>
      </c>
      <c r="N152" t="s">
        <v>50</v>
      </c>
      <c r="O152">
        <v>1</v>
      </c>
      <c r="P152">
        <v>1554.12</v>
      </c>
      <c r="Q152" s="11">
        <v>0.1</v>
      </c>
      <c r="R152">
        <v>1398.71</v>
      </c>
      <c r="S152">
        <v>1056.92</v>
      </c>
      <c r="T152">
        <v>341.79</v>
      </c>
      <c r="U152" t="s">
        <v>32</v>
      </c>
      <c r="V152" t="s">
        <v>33</v>
      </c>
      <c r="X152" s="8" t="str">
        <f>IF(C152&gt;=B152,"Valid", "Invalid-Date")</f>
        <v>Valid</v>
      </c>
      <c r="Y152" s="8" t="str">
        <f t="shared" si="19"/>
        <v>Valid</v>
      </c>
      <c r="Z152" s="8" t="str">
        <f t="shared" si="20"/>
        <v>Pass</v>
      </c>
      <c r="AA152" s="8" t="str">
        <f t="shared" si="21"/>
        <v>Flagged</v>
      </c>
      <c r="AB152" s="8" t="str">
        <f>TEXT(B152,"mmmm")</f>
        <v>March</v>
      </c>
      <c r="AC152" s="8" t="str">
        <f>TEXT(B152,"yyyy")</f>
        <v>2024</v>
      </c>
      <c r="AE152">
        <f t="shared" si="22"/>
        <v>1554.12</v>
      </c>
      <c r="AF152" s="11">
        <f t="shared" si="23"/>
        <v>1398.7079999999999</v>
      </c>
      <c r="AG152">
        <f t="shared" si="24"/>
        <v>497.19999999999982</v>
      </c>
      <c r="AH152" s="11">
        <f t="shared" si="25"/>
        <v>0.3199238154067896</v>
      </c>
      <c r="AI152" s="44">
        <f t="shared" si="26"/>
        <v>0.3199238154067896</v>
      </c>
    </row>
    <row r="153" spans="1:35">
      <c r="A153" t="s">
        <v>562</v>
      </c>
      <c r="B153" s="5">
        <v>45470</v>
      </c>
      <c r="C153" s="5">
        <v>45470</v>
      </c>
      <c r="D153" s="13">
        <f t="shared" si="18"/>
        <v>0</v>
      </c>
      <c r="E153" t="s">
        <v>563</v>
      </c>
      <c r="F153" t="s">
        <v>79</v>
      </c>
      <c r="G153" t="s">
        <v>95</v>
      </c>
      <c r="H153" t="s">
        <v>2785</v>
      </c>
      <c r="I153" t="s">
        <v>72</v>
      </c>
      <c r="J153" t="s">
        <v>73</v>
      </c>
      <c r="K153" t="s">
        <v>74</v>
      </c>
      <c r="L153" t="s">
        <v>80</v>
      </c>
      <c r="M153" t="s">
        <v>564</v>
      </c>
      <c r="N153" t="s">
        <v>59</v>
      </c>
      <c r="O153">
        <v>2</v>
      </c>
      <c r="P153">
        <v>3859.11</v>
      </c>
      <c r="Q153" s="11">
        <v>0</v>
      </c>
      <c r="R153">
        <v>7718.22</v>
      </c>
      <c r="S153">
        <v>5355.93</v>
      </c>
      <c r="T153">
        <v>2362.29</v>
      </c>
      <c r="U153" t="s">
        <v>111</v>
      </c>
      <c r="V153" t="s">
        <v>103</v>
      </c>
      <c r="X153" s="8" t="str">
        <f>IF(C153&gt;=B153,"Valid", "Invalid-Date")</f>
        <v>Valid</v>
      </c>
      <c r="Y153" s="8" t="str">
        <f t="shared" si="19"/>
        <v>Valid</v>
      </c>
      <c r="Z153" s="8" t="str">
        <f t="shared" si="20"/>
        <v>Pass</v>
      </c>
      <c r="AA153" s="8" t="str">
        <f t="shared" si="21"/>
        <v>Flagged</v>
      </c>
      <c r="AB153" s="8" t="str">
        <f>TEXT(B153,"mmmm")</f>
        <v>June</v>
      </c>
      <c r="AC153" s="8" t="str">
        <f>TEXT(B153,"yyyy")</f>
        <v>2024</v>
      </c>
      <c r="AE153">
        <f t="shared" si="22"/>
        <v>7718.22</v>
      </c>
      <c r="AF153" s="11">
        <f t="shared" si="23"/>
        <v>7718.22</v>
      </c>
      <c r="AG153">
        <f t="shared" si="24"/>
        <v>2362.29</v>
      </c>
      <c r="AH153" s="11">
        <f t="shared" si="25"/>
        <v>0.30606668376905555</v>
      </c>
      <c r="AI153" s="44">
        <f t="shared" si="26"/>
        <v>0.30606668376905555</v>
      </c>
    </row>
    <row r="154" spans="1:35">
      <c r="A154" t="s">
        <v>565</v>
      </c>
      <c r="B154" s="5">
        <v>45457</v>
      </c>
      <c r="C154" s="5">
        <v>45460</v>
      </c>
      <c r="D154" s="13">
        <f t="shared" si="18"/>
        <v>3</v>
      </c>
      <c r="E154" t="s">
        <v>566</v>
      </c>
      <c r="F154" t="s">
        <v>264</v>
      </c>
      <c r="G154" t="s">
        <v>37</v>
      </c>
      <c r="H154" t="s">
        <v>54</v>
      </c>
      <c r="I154" t="s">
        <v>185</v>
      </c>
      <c r="J154" t="s">
        <v>186</v>
      </c>
      <c r="K154" t="s">
        <v>41</v>
      </c>
      <c r="L154" t="s">
        <v>42</v>
      </c>
      <c r="M154" t="s">
        <v>567</v>
      </c>
      <c r="N154" t="s">
        <v>31</v>
      </c>
      <c r="O154">
        <v>6</v>
      </c>
      <c r="P154">
        <v>1088.04</v>
      </c>
      <c r="Q154" s="11">
        <v>0.1</v>
      </c>
      <c r="R154">
        <v>5875.42</v>
      </c>
      <c r="S154">
        <v>4380.55</v>
      </c>
      <c r="T154">
        <v>1494.87</v>
      </c>
      <c r="U154" t="s">
        <v>111</v>
      </c>
      <c r="V154" t="s">
        <v>103</v>
      </c>
      <c r="X154" s="8" t="str">
        <f>IF(C154&gt;=B154,"Valid", "Invalid-Date")</f>
        <v>Valid</v>
      </c>
      <c r="Y154" s="8" t="str">
        <f t="shared" si="19"/>
        <v>Valid</v>
      </c>
      <c r="Z154" s="8" t="str">
        <f t="shared" si="20"/>
        <v>Pass</v>
      </c>
      <c r="AA154" s="8" t="str">
        <f t="shared" si="21"/>
        <v>Pass</v>
      </c>
      <c r="AB154" s="8" t="str">
        <f>TEXT(B154,"mmmm")</f>
        <v>June</v>
      </c>
      <c r="AC154" s="8" t="str">
        <f>TEXT(B154,"yyyy")</f>
        <v>2024</v>
      </c>
      <c r="AE154">
        <f t="shared" si="22"/>
        <v>6528.24</v>
      </c>
      <c r="AF154" s="11">
        <f t="shared" si="23"/>
        <v>5875.4160000000002</v>
      </c>
      <c r="AG154">
        <f t="shared" si="24"/>
        <v>2147.6899999999996</v>
      </c>
      <c r="AH154" s="11">
        <f t="shared" si="25"/>
        <v>0.32898453488229595</v>
      </c>
      <c r="AI154" s="44">
        <f t="shared" si="26"/>
        <v>0.32898453488229595</v>
      </c>
    </row>
    <row r="155" spans="1:35">
      <c r="A155" t="s">
        <v>568</v>
      </c>
      <c r="B155" s="5">
        <v>45923</v>
      </c>
      <c r="C155" s="5">
        <v>45925</v>
      </c>
      <c r="D155" s="13">
        <f t="shared" si="18"/>
        <v>2</v>
      </c>
      <c r="E155" t="s">
        <v>569</v>
      </c>
      <c r="F155" t="s">
        <v>89</v>
      </c>
      <c r="G155" t="s">
        <v>24</v>
      </c>
      <c r="H155" t="s">
        <v>38</v>
      </c>
      <c r="I155" t="s">
        <v>39</v>
      </c>
      <c r="J155" t="s">
        <v>40</v>
      </c>
      <c r="K155" t="s">
        <v>28</v>
      </c>
      <c r="L155" t="s">
        <v>91</v>
      </c>
      <c r="M155" t="s">
        <v>570</v>
      </c>
      <c r="N155" t="s">
        <v>59</v>
      </c>
      <c r="O155">
        <v>7</v>
      </c>
      <c r="P155">
        <v>3280.31</v>
      </c>
      <c r="Q155" s="11">
        <v>0</v>
      </c>
      <c r="R155">
        <v>22962.17</v>
      </c>
      <c r="S155">
        <v>15716.5</v>
      </c>
      <c r="T155">
        <v>7245.67</v>
      </c>
      <c r="U155" t="s">
        <v>102</v>
      </c>
      <c r="V155" t="s">
        <v>103</v>
      </c>
      <c r="X155" s="8" t="str">
        <f>IF(C155&gt;=B155,"Valid", "Invalid-Date")</f>
        <v>Valid</v>
      </c>
      <c r="Y155" s="8" t="str">
        <f t="shared" si="19"/>
        <v>Valid</v>
      </c>
      <c r="Z155" s="8" t="str">
        <f t="shared" si="20"/>
        <v>Pass</v>
      </c>
      <c r="AA155" s="8" t="str">
        <f t="shared" si="21"/>
        <v>Pass</v>
      </c>
      <c r="AB155" s="8" t="str">
        <f>TEXT(B155,"mmmm")</f>
        <v>September</v>
      </c>
      <c r="AC155" s="8" t="str">
        <f>TEXT(B155,"yyyy")</f>
        <v>2025</v>
      </c>
      <c r="AE155">
        <f t="shared" si="22"/>
        <v>22962.17</v>
      </c>
      <c r="AF155" s="11">
        <f t="shared" si="23"/>
        <v>22962.17</v>
      </c>
      <c r="AG155">
        <f t="shared" si="24"/>
        <v>7245.6699999999983</v>
      </c>
      <c r="AH155" s="11">
        <f t="shared" si="25"/>
        <v>0.31554813852523517</v>
      </c>
      <c r="AI155" s="44">
        <f t="shared" si="26"/>
        <v>0.31554813852523517</v>
      </c>
    </row>
    <row r="156" spans="1:35">
      <c r="A156" t="s">
        <v>571</v>
      </c>
      <c r="B156" s="5">
        <v>45334</v>
      </c>
      <c r="C156" s="5">
        <v>45598</v>
      </c>
      <c r="D156" s="13">
        <f t="shared" si="18"/>
        <v>264</v>
      </c>
      <c r="E156" t="s">
        <v>455</v>
      </c>
      <c r="F156" t="s">
        <v>114</v>
      </c>
      <c r="G156" t="s">
        <v>24</v>
      </c>
      <c r="H156" t="s">
        <v>54</v>
      </c>
      <c r="I156" t="s">
        <v>247</v>
      </c>
      <c r="J156" t="s">
        <v>248</v>
      </c>
      <c r="K156" t="s">
        <v>41</v>
      </c>
      <c r="L156" t="s">
        <v>158</v>
      </c>
      <c r="M156" t="s">
        <v>572</v>
      </c>
      <c r="N156" t="s">
        <v>44</v>
      </c>
      <c r="O156">
        <v>1</v>
      </c>
      <c r="P156">
        <v>2599.12</v>
      </c>
      <c r="Q156" s="11">
        <v>0.15</v>
      </c>
      <c r="R156">
        <v>2209.25</v>
      </c>
      <c r="S156">
        <v>1523.78</v>
      </c>
      <c r="T156">
        <v>685.47</v>
      </c>
      <c r="U156" t="s">
        <v>32</v>
      </c>
      <c r="V156" t="s">
        <v>33</v>
      </c>
      <c r="X156" s="8" t="str">
        <f>IF(C156&gt;=B156,"Valid", "Invalid-Date")</f>
        <v>Valid</v>
      </c>
      <c r="Y156" s="8" t="str">
        <f t="shared" si="19"/>
        <v>Valid</v>
      </c>
      <c r="Z156" s="8" t="str">
        <f t="shared" si="20"/>
        <v>Pass</v>
      </c>
      <c r="AA156" s="8" t="str">
        <f t="shared" si="21"/>
        <v>Pass</v>
      </c>
      <c r="AB156" s="8" t="str">
        <f>TEXT(B156,"mmmm")</f>
        <v>February</v>
      </c>
      <c r="AC156" s="8" t="str">
        <f>TEXT(B156,"yyyy")</f>
        <v>2024</v>
      </c>
      <c r="AE156">
        <f t="shared" si="22"/>
        <v>2599.12</v>
      </c>
      <c r="AF156" s="11">
        <f t="shared" si="23"/>
        <v>2209.252</v>
      </c>
      <c r="AG156">
        <f t="shared" si="24"/>
        <v>1075.3399999999999</v>
      </c>
      <c r="AH156" s="11">
        <f t="shared" si="25"/>
        <v>0.41373234017667515</v>
      </c>
      <c r="AI156" s="44">
        <f t="shared" si="26"/>
        <v>0.41373234017667515</v>
      </c>
    </row>
    <row r="157" spans="1:35">
      <c r="A157" t="s">
        <v>573</v>
      </c>
      <c r="B157" s="5">
        <v>45683</v>
      </c>
      <c r="C157" s="5">
        <v>45718</v>
      </c>
      <c r="D157" s="13">
        <f t="shared" si="18"/>
        <v>35</v>
      </c>
      <c r="E157" t="s">
        <v>574</v>
      </c>
      <c r="F157" t="s">
        <v>23</v>
      </c>
      <c r="G157" t="s">
        <v>90</v>
      </c>
      <c r="H157" t="s">
        <v>63</v>
      </c>
      <c r="I157" t="s">
        <v>26</v>
      </c>
      <c r="J157" t="s">
        <v>109</v>
      </c>
      <c r="K157" t="s">
        <v>41</v>
      </c>
      <c r="L157" t="s">
        <v>57</v>
      </c>
      <c r="M157" t="s">
        <v>575</v>
      </c>
      <c r="N157" t="s">
        <v>44</v>
      </c>
      <c r="O157">
        <v>3</v>
      </c>
      <c r="P157">
        <v>2859.32</v>
      </c>
      <c r="Q157" s="11">
        <v>0.1</v>
      </c>
      <c r="R157">
        <v>7720.16</v>
      </c>
      <c r="S157">
        <v>5881</v>
      </c>
      <c r="T157">
        <v>1839.16</v>
      </c>
      <c r="U157" t="s">
        <v>102</v>
      </c>
      <c r="V157" t="s">
        <v>103</v>
      </c>
      <c r="X157" s="8" t="str">
        <f>IF(C157&gt;=B157,"Valid", "Invalid-Date")</f>
        <v>Valid</v>
      </c>
      <c r="Y157" s="8" t="str">
        <f t="shared" si="19"/>
        <v>Valid</v>
      </c>
      <c r="Z157" s="8" t="str">
        <f t="shared" si="20"/>
        <v>Pass</v>
      </c>
      <c r="AA157" s="8" t="str">
        <f t="shared" si="21"/>
        <v>Pass</v>
      </c>
      <c r="AB157" s="8" t="str">
        <f>TEXT(B157,"mmmm")</f>
        <v>January</v>
      </c>
      <c r="AC157" s="8" t="str">
        <f>TEXT(B157,"yyyy")</f>
        <v>2025</v>
      </c>
      <c r="AE157">
        <f t="shared" si="22"/>
        <v>8577.9600000000009</v>
      </c>
      <c r="AF157" s="11">
        <f t="shared" si="23"/>
        <v>7720.1640000000007</v>
      </c>
      <c r="AG157">
        <f t="shared" si="24"/>
        <v>2696.9600000000009</v>
      </c>
      <c r="AH157" s="11">
        <f t="shared" si="25"/>
        <v>0.31440575614714927</v>
      </c>
      <c r="AI157" s="44">
        <f t="shared" si="26"/>
        <v>0.31440575614714927</v>
      </c>
    </row>
    <row r="158" spans="1:35">
      <c r="A158" t="s">
        <v>576</v>
      </c>
      <c r="B158" s="5">
        <v>45743</v>
      </c>
      <c r="C158" s="5">
        <v>45743</v>
      </c>
      <c r="D158" s="13">
        <f t="shared" si="18"/>
        <v>0</v>
      </c>
      <c r="E158" t="s">
        <v>577</v>
      </c>
      <c r="F158" t="s">
        <v>71</v>
      </c>
      <c r="G158" t="s">
        <v>37</v>
      </c>
      <c r="H158" t="s">
        <v>38</v>
      </c>
      <c r="I158" t="s">
        <v>145</v>
      </c>
      <c r="J158" t="s">
        <v>146</v>
      </c>
      <c r="K158" t="s">
        <v>74</v>
      </c>
      <c r="L158" t="s">
        <v>274</v>
      </c>
      <c r="M158" t="s">
        <v>578</v>
      </c>
      <c r="N158" t="s">
        <v>31</v>
      </c>
      <c r="O158">
        <v>7</v>
      </c>
      <c r="P158">
        <v>2305.37</v>
      </c>
      <c r="Q158" s="11">
        <v>0.25</v>
      </c>
      <c r="R158">
        <v>12103.19</v>
      </c>
      <c r="S158">
        <v>6717.87</v>
      </c>
      <c r="T158">
        <v>5385.32</v>
      </c>
      <c r="U158" t="s">
        <v>32</v>
      </c>
      <c r="V158" t="s">
        <v>33</v>
      </c>
      <c r="X158" s="8" t="str">
        <f>IF(C158&gt;=B158,"Valid", "Invalid-Date")</f>
        <v>Valid</v>
      </c>
      <c r="Y158" s="8" t="str">
        <f t="shared" si="19"/>
        <v>Valid</v>
      </c>
      <c r="Z158" s="8" t="str">
        <f t="shared" si="20"/>
        <v>Pass</v>
      </c>
      <c r="AA158" s="8" t="str">
        <f t="shared" si="21"/>
        <v>Pass</v>
      </c>
      <c r="AB158" s="8" t="str">
        <f>TEXT(B158,"mmmm")</f>
        <v>March</v>
      </c>
      <c r="AC158" s="8" t="str">
        <f>TEXT(B158,"yyyy")</f>
        <v>2025</v>
      </c>
      <c r="AE158">
        <f t="shared" si="22"/>
        <v>16137.59</v>
      </c>
      <c r="AF158" s="11">
        <f t="shared" si="23"/>
        <v>12103.192500000001</v>
      </c>
      <c r="AG158">
        <f t="shared" si="24"/>
        <v>9419.7200000000012</v>
      </c>
      <c r="AH158" s="11">
        <f t="shared" si="25"/>
        <v>0.58371293359169496</v>
      </c>
      <c r="AI158" s="44">
        <f t="shared" si="26"/>
        <v>0.58371293359169496</v>
      </c>
    </row>
    <row r="159" spans="1:35">
      <c r="A159" t="s">
        <v>579</v>
      </c>
      <c r="B159" s="5">
        <v>45587</v>
      </c>
      <c r="C159" s="5">
        <v>45589</v>
      </c>
      <c r="D159" s="13">
        <f t="shared" si="18"/>
        <v>2</v>
      </c>
      <c r="E159" t="s">
        <v>580</v>
      </c>
      <c r="F159" t="s">
        <v>141</v>
      </c>
      <c r="G159" t="s">
        <v>37</v>
      </c>
      <c r="H159" t="s">
        <v>54</v>
      </c>
      <c r="I159" t="s">
        <v>84</v>
      </c>
      <c r="J159" t="s">
        <v>85</v>
      </c>
      <c r="K159" t="s">
        <v>41</v>
      </c>
      <c r="L159" t="s">
        <v>158</v>
      </c>
      <c r="M159" t="s">
        <v>581</v>
      </c>
      <c r="N159" t="s">
        <v>59</v>
      </c>
      <c r="O159">
        <v>3</v>
      </c>
      <c r="P159">
        <v>915.84</v>
      </c>
      <c r="Q159" s="11">
        <v>0.15</v>
      </c>
      <c r="R159">
        <v>2335.39</v>
      </c>
      <c r="S159">
        <v>1466.15</v>
      </c>
      <c r="T159">
        <v>869.24</v>
      </c>
      <c r="U159" t="s">
        <v>32</v>
      </c>
      <c r="V159" t="s">
        <v>33</v>
      </c>
      <c r="X159" s="8" t="str">
        <f>IF(C159&gt;=B159,"Valid", "Invalid-Date")</f>
        <v>Valid</v>
      </c>
      <c r="Y159" s="8" t="str">
        <f t="shared" si="19"/>
        <v>Valid</v>
      </c>
      <c r="Z159" s="8" t="str">
        <f t="shared" si="20"/>
        <v>Pass</v>
      </c>
      <c r="AA159" s="8" t="str">
        <f t="shared" si="21"/>
        <v>Pass</v>
      </c>
      <c r="AB159" s="8" t="str">
        <f>TEXT(B159,"mmmm")</f>
        <v>October</v>
      </c>
      <c r="AC159" s="8" t="str">
        <f>TEXT(B159,"yyyy")</f>
        <v>2024</v>
      </c>
      <c r="AE159">
        <f t="shared" si="22"/>
        <v>2747.52</v>
      </c>
      <c r="AF159" s="11">
        <f t="shared" si="23"/>
        <v>2335.3919999999998</v>
      </c>
      <c r="AG159">
        <f t="shared" si="24"/>
        <v>1281.3699999999999</v>
      </c>
      <c r="AH159" s="11">
        <f t="shared" si="25"/>
        <v>0.46637331120428599</v>
      </c>
      <c r="AI159" s="44">
        <f t="shared" si="26"/>
        <v>0.46637331120428599</v>
      </c>
    </row>
    <row r="160" spans="1:35">
      <c r="A160" t="s">
        <v>582</v>
      </c>
      <c r="B160" s="5">
        <v>45544</v>
      </c>
      <c r="C160" s="5">
        <v>45605</v>
      </c>
      <c r="D160" s="13">
        <f t="shared" si="18"/>
        <v>61</v>
      </c>
      <c r="E160" t="s">
        <v>583</v>
      </c>
      <c r="F160" t="s">
        <v>79</v>
      </c>
      <c r="G160" t="s">
        <v>95</v>
      </c>
      <c r="H160" t="s">
        <v>54</v>
      </c>
      <c r="I160" t="s">
        <v>55</v>
      </c>
      <c r="J160" t="s">
        <v>56</v>
      </c>
      <c r="K160" t="s">
        <v>41</v>
      </c>
      <c r="L160" t="s">
        <v>158</v>
      </c>
      <c r="M160" t="s">
        <v>584</v>
      </c>
      <c r="N160" t="s">
        <v>50</v>
      </c>
      <c r="O160">
        <v>1</v>
      </c>
      <c r="P160">
        <v>4199.54</v>
      </c>
      <c r="Q160" s="11">
        <v>0.05</v>
      </c>
      <c r="R160">
        <v>3989.56</v>
      </c>
      <c r="S160">
        <v>2381.38</v>
      </c>
      <c r="T160">
        <v>1608.18</v>
      </c>
      <c r="U160" t="s">
        <v>32</v>
      </c>
      <c r="V160" t="s">
        <v>33</v>
      </c>
      <c r="X160" s="8" t="str">
        <f>IF(C160&gt;=B160,"Valid", "Invalid-Date")</f>
        <v>Valid</v>
      </c>
      <c r="Y160" s="8" t="str">
        <f t="shared" si="19"/>
        <v>Valid</v>
      </c>
      <c r="Z160" s="8" t="str">
        <f t="shared" si="20"/>
        <v>Pass</v>
      </c>
      <c r="AA160" s="8" t="str">
        <f t="shared" si="21"/>
        <v>Pass</v>
      </c>
      <c r="AB160" s="8" t="str">
        <f>TEXT(B160,"mmmm")</f>
        <v>September</v>
      </c>
      <c r="AC160" s="8" t="str">
        <f>TEXT(B160,"yyyy")</f>
        <v>2024</v>
      </c>
      <c r="AE160">
        <f t="shared" si="22"/>
        <v>4199.54</v>
      </c>
      <c r="AF160" s="11">
        <f t="shared" si="23"/>
        <v>3989.5629999999996</v>
      </c>
      <c r="AG160">
        <f t="shared" si="24"/>
        <v>1818.1599999999999</v>
      </c>
      <c r="AH160" s="11">
        <f t="shared" si="25"/>
        <v>0.43294265562418738</v>
      </c>
      <c r="AI160" s="44">
        <f t="shared" si="26"/>
        <v>0.43294265562418738</v>
      </c>
    </row>
    <row r="161" spans="1:35">
      <c r="A161" t="s">
        <v>585</v>
      </c>
      <c r="B161" s="5">
        <v>45687</v>
      </c>
      <c r="C161" s="5">
        <v>45692</v>
      </c>
      <c r="D161" s="13">
        <f t="shared" si="18"/>
        <v>5</v>
      </c>
      <c r="E161" t="s">
        <v>586</v>
      </c>
      <c r="F161" t="s">
        <v>114</v>
      </c>
      <c r="G161" t="s">
        <v>90</v>
      </c>
      <c r="H161" t="s">
        <v>25</v>
      </c>
      <c r="I161" t="s">
        <v>236</v>
      </c>
      <c r="J161" t="s">
        <v>237</v>
      </c>
      <c r="K161" t="s">
        <v>41</v>
      </c>
      <c r="L161" t="s">
        <v>66</v>
      </c>
      <c r="M161" t="s">
        <v>587</v>
      </c>
      <c r="N161" t="s">
        <v>44</v>
      </c>
      <c r="O161">
        <v>9</v>
      </c>
      <c r="P161">
        <v>4430.5</v>
      </c>
      <c r="Q161" s="11">
        <v>0.15</v>
      </c>
      <c r="R161">
        <v>33893.32</v>
      </c>
      <c r="S161">
        <v>25750.35</v>
      </c>
      <c r="T161">
        <v>8142.97</v>
      </c>
      <c r="U161" t="s">
        <v>111</v>
      </c>
      <c r="V161" t="s">
        <v>68</v>
      </c>
      <c r="X161" s="8" t="str">
        <f>IF(C161&gt;=B161,"Valid", "Invalid-Date")</f>
        <v>Valid</v>
      </c>
      <c r="Y161" s="8" t="str">
        <f t="shared" si="19"/>
        <v>Valid</v>
      </c>
      <c r="Z161" s="8" t="str">
        <f t="shared" si="20"/>
        <v>Pass</v>
      </c>
      <c r="AA161" s="8" t="str">
        <f t="shared" si="21"/>
        <v>Pass</v>
      </c>
      <c r="AB161" s="8" t="str">
        <f>TEXT(B161,"mmmm")</f>
        <v>January</v>
      </c>
      <c r="AC161" s="8" t="str">
        <f>TEXT(B161,"yyyy")</f>
        <v>2025</v>
      </c>
      <c r="AE161">
        <f t="shared" si="22"/>
        <v>39874.5</v>
      </c>
      <c r="AF161" s="11">
        <f t="shared" si="23"/>
        <v>33893.324999999997</v>
      </c>
      <c r="AG161">
        <f t="shared" si="24"/>
        <v>14124.150000000001</v>
      </c>
      <c r="AH161" s="11">
        <f t="shared" si="25"/>
        <v>0.35421509987586053</v>
      </c>
      <c r="AI161" s="44">
        <f t="shared" si="26"/>
        <v>0.35421509987586053</v>
      </c>
    </row>
    <row r="162" spans="1:35">
      <c r="A162" t="s">
        <v>588</v>
      </c>
      <c r="B162" s="5">
        <v>45938</v>
      </c>
      <c r="C162" s="5">
        <v>45818</v>
      </c>
      <c r="D162" s="13">
        <f t="shared" si="18"/>
        <v>-120</v>
      </c>
      <c r="E162" t="s">
        <v>589</v>
      </c>
      <c r="F162" t="s">
        <v>71</v>
      </c>
      <c r="G162" t="s">
        <v>37</v>
      </c>
      <c r="H162" t="s">
        <v>63</v>
      </c>
      <c r="I162" t="s">
        <v>64</v>
      </c>
      <c r="J162" t="s">
        <v>65</v>
      </c>
      <c r="K162" t="s">
        <v>28</v>
      </c>
      <c r="L162" t="s">
        <v>29</v>
      </c>
      <c r="M162" t="s">
        <v>590</v>
      </c>
      <c r="N162" t="s">
        <v>31</v>
      </c>
      <c r="O162">
        <v>4</v>
      </c>
      <c r="P162">
        <v>1260.42</v>
      </c>
      <c r="Q162" s="11">
        <v>0.05</v>
      </c>
      <c r="R162">
        <v>4789.6000000000004</v>
      </c>
      <c r="S162">
        <v>4037.64</v>
      </c>
      <c r="T162">
        <v>751.96</v>
      </c>
      <c r="U162" t="s">
        <v>111</v>
      </c>
      <c r="V162" t="s">
        <v>68</v>
      </c>
      <c r="X162" s="8" t="str">
        <f>IF(C162&gt;=B162,"Valid", "Invalid-Date")</f>
        <v>Invalid-Date</v>
      </c>
      <c r="Y162" s="8" t="str">
        <f t="shared" si="19"/>
        <v>Valid</v>
      </c>
      <c r="Z162" s="8" t="str">
        <f t="shared" si="20"/>
        <v>Pass</v>
      </c>
      <c r="AA162" s="8" t="str">
        <f t="shared" si="21"/>
        <v>Pass</v>
      </c>
      <c r="AB162" s="8" t="str">
        <f>TEXT(B162,"mmmm")</f>
        <v>October</v>
      </c>
      <c r="AC162" s="8" t="str">
        <f>TEXT(B162,"yyyy")</f>
        <v>2025</v>
      </c>
      <c r="AE162">
        <f t="shared" si="22"/>
        <v>5041.68</v>
      </c>
      <c r="AF162" s="11">
        <f t="shared" si="23"/>
        <v>4789.5960000000005</v>
      </c>
      <c r="AG162">
        <f t="shared" si="24"/>
        <v>1004.0400000000004</v>
      </c>
      <c r="AH162" s="11">
        <f t="shared" si="25"/>
        <v>0.1991479030799258</v>
      </c>
      <c r="AI162" s="44">
        <f t="shared" si="26"/>
        <v>0.1991479030799258</v>
      </c>
    </row>
    <row r="163" spans="1:35">
      <c r="A163" t="s">
        <v>591</v>
      </c>
      <c r="B163" s="5">
        <v>45862</v>
      </c>
      <c r="C163" s="5">
        <v>45868</v>
      </c>
      <c r="D163" s="13">
        <f t="shared" si="18"/>
        <v>6</v>
      </c>
      <c r="E163" t="s">
        <v>592</v>
      </c>
      <c r="F163" t="s">
        <v>53</v>
      </c>
      <c r="G163" t="s">
        <v>24</v>
      </c>
      <c r="H163" t="s">
        <v>63</v>
      </c>
      <c r="I163" t="s">
        <v>26</v>
      </c>
      <c r="J163" t="s">
        <v>109</v>
      </c>
      <c r="K163" t="s">
        <v>28</v>
      </c>
      <c r="L163" t="s">
        <v>153</v>
      </c>
      <c r="M163" t="s">
        <v>593</v>
      </c>
      <c r="N163" t="s">
        <v>59</v>
      </c>
      <c r="O163">
        <v>1</v>
      </c>
      <c r="P163">
        <v>1643.41</v>
      </c>
      <c r="Q163" s="11">
        <v>0</v>
      </c>
      <c r="R163">
        <v>1643.41</v>
      </c>
      <c r="S163">
        <v>907.4</v>
      </c>
      <c r="T163">
        <v>736.01</v>
      </c>
      <c r="U163" t="s">
        <v>111</v>
      </c>
      <c r="V163" t="s">
        <v>68</v>
      </c>
      <c r="X163" s="8" t="str">
        <f>IF(C163&gt;=B163,"Valid", "Invalid-Date")</f>
        <v>Valid</v>
      </c>
      <c r="Y163" s="8" t="str">
        <f t="shared" si="19"/>
        <v>Valid</v>
      </c>
      <c r="Z163" s="8" t="str">
        <f t="shared" si="20"/>
        <v>Pass</v>
      </c>
      <c r="AA163" s="8" t="str">
        <f t="shared" si="21"/>
        <v>Pass</v>
      </c>
      <c r="AB163" s="8" t="str">
        <f>TEXT(B163,"mmmm")</f>
        <v>July</v>
      </c>
      <c r="AC163" s="8" t="str">
        <f>TEXT(B163,"yyyy")</f>
        <v>2025</v>
      </c>
      <c r="AE163">
        <f t="shared" si="22"/>
        <v>1643.41</v>
      </c>
      <c r="AF163" s="11">
        <f t="shared" si="23"/>
        <v>1643.41</v>
      </c>
      <c r="AG163">
        <f t="shared" si="24"/>
        <v>736.0100000000001</v>
      </c>
      <c r="AH163" s="11">
        <f t="shared" si="25"/>
        <v>0.44785537388722235</v>
      </c>
      <c r="AI163" s="44">
        <f t="shared" si="26"/>
        <v>0.44785537388722235</v>
      </c>
    </row>
    <row r="164" spans="1:35">
      <c r="A164" t="s">
        <v>594</v>
      </c>
      <c r="B164" s="5">
        <v>45360</v>
      </c>
      <c r="C164" s="5">
        <v>45365</v>
      </c>
      <c r="D164" s="13">
        <f t="shared" si="18"/>
        <v>5</v>
      </c>
      <c r="E164" t="s">
        <v>595</v>
      </c>
      <c r="F164" t="s">
        <v>79</v>
      </c>
      <c r="G164" t="s">
        <v>37</v>
      </c>
      <c r="H164" t="s">
        <v>63</v>
      </c>
      <c r="I164" t="s">
        <v>190</v>
      </c>
      <c r="J164" t="s">
        <v>191</v>
      </c>
      <c r="K164" t="s">
        <v>41</v>
      </c>
      <c r="L164" t="s">
        <v>57</v>
      </c>
      <c r="M164" t="s">
        <v>596</v>
      </c>
      <c r="N164" t="s">
        <v>31</v>
      </c>
      <c r="O164">
        <v>8</v>
      </c>
      <c r="P164">
        <v>4472.84</v>
      </c>
      <c r="Q164" s="11">
        <v>0</v>
      </c>
      <c r="R164">
        <v>35997.620000000003</v>
      </c>
      <c r="S164">
        <v>26424.41</v>
      </c>
      <c r="T164">
        <v>9358.31</v>
      </c>
      <c r="U164" t="s">
        <v>111</v>
      </c>
      <c r="V164" t="s">
        <v>103</v>
      </c>
      <c r="X164" s="8" t="str">
        <f>IF(C164&gt;=B164,"Valid", "Invalid-Date")</f>
        <v>Valid</v>
      </c>
      <c r="Y164" s="8" t="str">
        <f t="shared" si="19"/>
        <v>Valid</v>
      </c>
      <c r="Z164" s="8" t="str">
        <f t="shared" si="20"/>
        <v>Pass</v>
      </c>
      <c r="AA164" s="8" t="str">
        <f t="shared" si="21"/>
        <v>Pass</v>
      </c>
      <c r="AB164" s="8" t="str">
        <f>TEXT(B164,"mmmm")</f>
        <v>March</v>
      </c>
      <c r="AC164" s="8" t="str">
        <f>TEXT(B164,"yyyy")</f>
        <v>2024</v>
      </c>
      <c r="AE164">
        <f t="shared" si="22"/>
        <v>35782.720000000001</v>
      </c>
      <c r="AF164" s="11">
        <f t="shared" si="23"/>
        <v>35782.720000000001</v>
      </c>
      <c r="AG164">
        <f t="shared" si="24"/>
        <v>9358.3100000000013</v>
      </c>
      <c r="AH164" s="11">
        <f t="shared" si="25"/>
        <v>0.2615315437171909</v>
      </c>
      <c r="AI164" s="44">
        <f t="shared" si="26"/>
        <v>0.2615315437171909</v>
      </c>
    </row>
    <row r="165" spans="1:35">
      <c r="A165" t="s">
        <v>597</v>
      </c>
      <c r="B165" s="5">
        <v>45921</v>
      </c>
      <c r="C165" s="5">
        <v>45926</v>
      </c>
      <c r="D165" s="13">
        <f t="shared" si="18"/>
        <v>5</v>
      </c>
      <c r="E165" t="s">
        <v>598</v>
      </c>
      <c r="F165" t="s">
        <v>141</v>
      </c>
      <c r="G165" t="s">
        <v>95</v>
      </c>
      <c r="H165" t="s">
        <v>63</v>
      </c>
      <c r="I165" t="s">
        <v>180</v>
      </c>
      <c r="J165" t="s">
        <v>181</v>
      </c>
      <c r="K165" t="s">
        <v>41</v>
      </c>
      <c r="L165" t="s">
        <v>42</v>
      </c>
      <c r="M165" t="s">
        <v>599</v>
      </c>
      <c r="N165" t="s">
        <v>2785</v>
      </c>
      <c r="O165">
        <v>6</v>
      </c>
      <c r="P165">
        <v>2903.58</v>
      </c>
      <c r="Q165" s="11">
        <v>0.1</v>
      </c>
      <c r="R165">
        <v>15679.33</v>
      </c>
      <c r="S165">
        <v>12477.82</v>
      </c>
      <c r="T165">
        <v>3201.51</v>
      </c>
      <c r="U165" t="s">
        <v>111</v>
      </c>
      <c r="V165" t="s">
        <v>103</v>
      </c>
      <c r="X165" s="8" t="str">
        <f>IF(C165&gt;=B165,"Valid", "Invalid-Date")</f>
        <v>Valid</v>
      </c>
      <c r="Y165" s="8" t="str">
        <f t="shared" si="19"/>
        <v>Valid</v>
      </c>
      <c r="Z165" s="8" t="str">
        <f t="shared" si="20"/>
        <v>Flagged</v>
      </c>
      <c r="AA165" s="8" t="str">
        <f t="shared" si="21"/>
        <v>Pass</v>
      </c>
      <c r="AB165" s="8" t="str">
        <f>TEXT(B165,"mmmm")</f>
        <v>September</v>
      </c>
      <c r="AC165" s="8" t="str">
        <f>TEXT(B165,"yyyy")</f>
        <v>2025</v>
      </c>
      <c r="AE165">
        <f t="shared" si="22"/>
        <v>17421.48</v>
      </c>
      <c r="AF165" s="11">
        <f t="shared" si="23"/>
        <v>15679.332</v>
      </c>
      <c r="AG165">
        <f t="shared" si="24"/>
        <v>4943.66</v>
      </c>
      <c r="AH165" s="11">
        <f t="shared" si="25"/>
        <v>0.28376808399745601</v>
      </c>
      <c r="AI165" s="44">
        <f t="shared" si="26"/>
        <v>0.28376808399745601</v>
      </c>
    </row>
    <row r="166" spans="1:35">
      <c r="A166" t="s">
        <v>600</v>
      </c>
      <c r="B166" s="5">
        <v>45909</v>
      </c>
      <c r="C166" s="5">
        <v>45914</v>
      </c>
      <c r="D166" s="13">
        <f t="shared" si="18"/>
        <v>5</v>
      </c>
      <c r="E166" t="s">
        <v>601</v>
      </c>
      <c r="F166" t="s">
        <v>118</v>
      </c>
      <c r="G166" t="s">
        <v>37</v>
      </c>
      <c r="H166" t="s">
        <v>38</v>
      </c>
      <c r="I166" t="s">
        <v>99</v>
      </c>
      <c r="J166" t="s">
        <v>100</v>
      </c>
      <c r="K166" t="s">
        <v>41</v>
      </c>
      <c r="L166" t="s">
        <v>158</v>
      </c>
      <c r="M166" t="s">
        <v>602</v>
      </c>
      <c r="N166" t="s">
        <v>31</v>
      </c>
      <c r="O166">
        <v>1</v>
      </c>
      <c r="P166">
        <v>3154.42</v>
      </c>
      <c r="Q166" s="11">
        <v>0.25</v>
      </c>
      <c r="R166">
        <v>2365.8200000000002</v>
      </c>
      <c r="S166">
        <v>1547.99</v>
      </c>
      <c r="T166">
        <v>817.83</v>
      </c>
      <c r="U166" t="s">
        <v>32</v>
      </c>
      <c r="V166" t="s">
        <v>33</v>
      </c>
      <c r="X166" s="8" t="str">
        <f>IF(C166&gt;=B166,"Valid", "Invalid-Date")</f>
        <v>Valid</v>
      </c>
      <c r="Y166" s="8" t="str">
        <f t="shared" si="19"/>
        <v>Valid</v>
      </c>
      <c r="Z166" s="8" t="str">
        <f t="shared" si="20"/>
        <v>Pass</v>
      </c>
      <c r="AA166" s="8" t="str">
        <f t="shared" si="21"/>
        <v>Pass</v>
      </c>
      <c r="AB166" s="8" t="str">
        <f>TEXT(B166,"mmmm")</f>
        <v>September</v>
      </c>
      <c r="AC166" s="8" t="str">
        <f>TEXT(B166,"yyyy")</f>
        <v>2025</v>
      </c>
      <c r="AE166">
        <f t="shared" si="22"/>
        <v>3154.42</v>
      </c>
      <c r="AF166" s="11">
        <f t="shared" si="23"/>
        <v>2365.8150000000001</v>
      </c>
      <c r="AG166">
        <f t="shared" si="24"/>
        <v>1606.43</v>
      </c>
      <c r="AH166" s="11">
        <f t="shared" si="25"/>
        <v>0.50926319259959041</v>
      </c>
      <c r="AI166" s="44">
        <f t="shared" si="26"/>
        <v>0.50926319259959041</v>
      </c>
    </row>
    <row r="167" spans="1:35">
      <c r="A167" t="s">
        <v>603</v>
      </c>
      <c r="B167" s="5">
        <v>45618</v>
      </c>
      <c r="C167" s="5">
        <v>45625</v>
      </c>
      <c r="D167" s="13">
        <f t="shared" si="18"/>
        <v>7</v>
      </c>
      <c r="E167" t="s">
        <v>604</v>
      </c>
      <c r="F167" t="s">
        <v>36</v>
      </c>
      <c r="G167" t="s">
        <v>95</v>
      </c>
      <c r="H167" t="s">
        <v>38</v>
      </c>
      <c r="I167" t="s">
        <v>145</v>
      </c>
      <c r="J167" t="s">
        <v>146</v>
      </c>
      <c r="K167" t="s">
        <v>41</v>
      </c>
      <c r="L167" t="s">
        <v>66</v>
      </c>
      <c r="M167" t="s">
        <v>605</v>
      </c>
      <c r="N167" t="s">
        <v>59</v>
      </c>
      <c r="O167">
        <v>4</v>
      </c>
      <c r="P167">
        <v>3422.99</v>
      </c>
      <c r="Q167" s="11">
        <v>0.25</v>
      </c>
      <c r="R167">
        <v>10268.969999999999</v>
      </c>
      <c r="S167">
        <v>6470.92</v>
      </c>
      <c r="T167">
        <v>3798.05</v>
      </c>
      <c r="U167" t="s">
        <v>32</v>
      </c>
      <c r="V167" t="s">
        <v>33</v>
      </c>
      <c r="X167" s="8" t="str">
        <f>IF(C167&gt;=B167,"Valid", "Invalid-Date")</f>
        <v>Valid</v>
      </c>
      <c r="Y167" s="8" t="str">
        <f t="shared" si="19"/>
        <v>Valid</v>
      </c>
      <c r="Z167" s="8" t="str">
        <f t="shared" si="20"/>
        <v>Pass</v>
      </c>
      <c r="AA167" s="8" t="str">
        <f t="shared" si="21"/>
        <v>Pass</v>
      </c>
      <c r="AB167" s="8" t="str">
        <f>TEXT(B167,"mmmm")</f>
        <v>November</v>
      </c>
      <c r="AC167" s="8" t="str">
        <f>TEXT(B167,"yyyy")</f>
        <v>2024</v>
      </c>
      <c r="AE167">
        <f t="shared" si="22"/>
        <v>13691.96</v>
      </c>
      <c r="AF167" s="11">
        <f t="shared" si="23"/>
        <v>10268.969999999999</v>
      </c>
      <c r="AG167">
        <f t="shared" si="24"/>
        <v>7221.0399999999991</v>
      </c>
      <c r="AH167" s="11">
        <f t="shared" si="25"/>
        <v>0.52739271806227883</v>
      </c>
      <c r="AI167" s="44">
        <f t="shared" si="26"/>
        <v>0.52739271806227883</v>
      </c>
    </row>
    <row r="168" spans="1:35">
      <c r="A168" t="s">
        <v>606</v>
      </c>
      <c r="B168" s="5">
        <v>45708</v>
      </c>
      <c r="C168" s="5">
        <v>45714</v>
      </c>
      <c r="D168" s="13">
        <f t="shared" si="18"/>
        <v>6</v>
      </c>
      <c r="E168" t="s">
        <v>607</v>
      </c>
      <c r="F168" t="s">
        <v>23</v>
      </c>
      <c r="G168" t="s">
        <v>37</v>
      </c>
      <c r="H168" t="s">
        <v>63</v>
      </c>
      <c r="I168" t="s">
        <v>180</v>
      </c>
      <c r="J168" t="s">
        <v>181</v>
      </c>
      <c r="K168" t="s">
        <v>28</v>
      </c>
      <c r="L168" t="s">
        <v>91</v>
      </c>
      <c r="M168" t="s">
        <v>608</v>
      </c>
      <c r="N168" t="s">
        <v>50</v>
      </c>
      <c r="O168">
        <v>1</v>
      </c>
      <c r="P168">
        <v>2557.85</v>
      </c>
      <c r="Q168" s="11">
        <v>0.2</v>
      </c>
      <c r="R168">
        <v>2046.28</v>
      </c>
      <c r="S168">
        <v>1449.54</v>
      </c>
      <c r="T168">
        <v>596.74</v>
      </c>
      <c r="U168" t="s">
        <v>32</v>
      </c>
      <c r="V168" t="s">
        <v>33</v>
      </c>
      <c r="X168" s="8" t="str">
        <f>IF(C168&gt;=B168,"Valid", "Invalid-Date")</f>
        <v>Valid</v>
      </c>
      <c r="Y168" s="8" t="str">
        <f t="shared" si="19"/>
        <v>Valid</v>
      </c>
      <c r="Z168" s="8" t="str">
        <f t="shared" si="20"/>
        <v>Pass</v>
      </c>
      <c r="AA168" s="8" t="str">
        <f t="shared" si="21"/>
        <v>Pass</v>
      </c>
      <c r="AB168" s="8" t="str">
        <f>TEXT(B168,"mmmm")</f>
        <v>February</v>
      </c>
      <c r="AC168" s="8" t="str">
        <f>TEXT(B168,"yyyy")</f>
        <v>2025</v>
      </c>
      <c r="AE168">
        <f t="shared" si="22"/>
        <v>2557.85</v>
      </c>
      <c r="AF168" s="11">
        <f t="shared" si="23"/>
        <v>2046.28</v>
      </c>
      <c r="AG168">
        <f t="shared" si="24"/>
        <v>1108.31</v>
      </c>
      <c r="AH168" s="11">
        <f t="shared" si="25"/>
        <v>0.43329749594385908</v>
      </c>
      <c r="AI168" s="44">
        <f t="shared" si="26"/>
        <v>0.43329749594385908</v>
      </c>
    </row>
    <row r="169" spans="1:35">
      <c r="A169" t="s">
        <v>609</v>
      </c>
      <c r="B169" s="5">
        <v>45887</v>
      </c>
      <c r="C169" s="5">
        <v>45887</v>
      </c>
      <c r="D169" s="13">
        <f t="shared" si="18"/>
        <v>0</v>
      </c>
      <c r="E169" t="s">
        <v>610</v>
      </c>
      <c r="F169" t="s">
        <v>53</v>
      </c>
      <c r="G169" t="s">
        <v>95</v>
      </c>
      <c r="H169" t="s">
        <v>54</v>
      </c>
      <c r="I169" t="s">
        <v>175</v>
      </c>
      <c r="J169" t="s">
        <v>176</v>
      </c>
      <c r="K169" t="s">
        <v>28</v>
      </c>
      <c r="L169" t="s">
        <v>124</v>
      </c>
      <c r="M169" t="s">
        <v>611</v>
      </c>
      <c r="N169" t="s">
        <v>50</v>
      </c>
      <c r="O169">
        <v>9</v>
      </c>
      <c r="P169">
        <v>3030.93</v>
      </c>
      <c r="Q169" s="11">
        <v>0.15</v>
      </c>
      <c r="R169">
        <v>23186.61</v>
      </c>
      <c r="S169">
        <v>17906.54</v>
      </c>
      <c r="T169">
        <v>5280.07</v>
      </c>
      <c r="U169" t="s">
        <v>32</v>
      </c>
      <c r="V169" t="s">
        <v>103</v>
      </c>
      <c r="X169" s="8" t="str">
        <f>IF(C169&gt;=B169,"Valid", "Invalid-Date")</f>
        <v>Valid</v>
      </c>
      <c r="Y169" s="8" t="str">
        <f t="shared" si="19"/>
        <v>Valid</v>
      </c>
      <c r="Z169" s="8" t="str">
        <f t="shared" si="20"/>
        <v>Pass</v>
      </c>
      <c r="AA169" s="8" t="str">
        <f t="shared" si="21"/>
        <v>Pass</v>
      </c>
      <c r="AB169" s="8" t="str">
        <f>TEXT(B169,"mmmm")</f>
        <v>August</v>
      </c>
      <c r="AC169" s="8" t="str">
        <f>TEXT(B169,"yyyy")</f>
        <v>2025</v>
      </c>
      <c r="AE169">
        <f t="shared" si="22"/>
        <v>27278.37</v>
      </c>
      <c r="AF169" s="11">
        <f t="shared" si="23"/>
        <v>23186.6145</v>
      </c>
      <c r="AG169">
        <f t="shared" si="24"/>
        <v>9371.8299999999981</v>
      </c>
      <c r="AH169" s="11">
        <f t="shared" si="25"/>
        <v>0.34356268354744063</v>
      </c>
      <c r="AI169" s="44">
        <f t="shared" si="26"/>
        <v>0.34356268354744063</v>
      </c>
    </row>
    <row r="170" spans="1:35">
      <c r="A170" t="s">
        <v>612</v>
      </c>
      <c r="B170" s="5">
        <v>45677</v>
      </c>
      <c r="C170" s="5">
        <v>45680</v>
      </c>
      <c r="D170" s="13">
        <f t="shared" si="18"/>
        <v>3</v>
      </c>
      <c r="E170" t="s">
        <v>613</v>
      </c>
      <c r="F170" t="s">
        <v>264</v>
      </c>
      <c r="G170" t="s">
        <v>24</v>
      </c>
      <c r="H170" t="s">
        <v>63</v>
      </c>
      <c r="I170" t="s">
        <v>64</v>
      </c>
      <c r="J170" t="s">
        <v>65</v>
      </c>
      <c r="K170" t="s">
        <v>74</v>
      </c>
      <c r="L170" t="s">
        <v>75</v>
      </c>
      <c r="M170" t="s">
        <v>614</v>
      </c>
      <c r="N170" t="s">
        <v>44</v>
      </c>
      <c r="O170">
        <v>5</v>
      </c>
      <c r="P170">
        <v>639.27</v>
      </c>
      <c r="Q170" s="11">
        <v>0.2</v>
      </c>
      <c r="R170">
        <v>2557.08</v>
      </c>
      <c r="S170">
        <v>2025.69</v>
      </c>
      <c r="T170">
        <v>531.39</v>
      </c>
      <c r="U170" t="s">
        <v>32</v>
      </c>
      <c r="V170" t="s">
        <v>68</v>
      </c>
      <c r="X170" s="8" t="str">
        <f>IF(C170&gt;=B170,"Valid", "Invalid-Date")</f>
        <v>Valid</v>
      </c>
      <c r="Y170" s="8" t="str">
        <f t="shared" si="19"/>
        <v>Valid</v>
      </c>
      <c r="Z170" s="8" t="str">
        <f t="shared" si="20"/>
        <v>Pass</v>
      </c>
      <c r="AA170" s="8" t="str">
        <f t="shared" si="21"/>
        <v>Pass</v>
      </c>
      <c r="AB170" s="8" t="str">
        <f>TEXT(B170,"mmmm")</f>
        <v>January</v>
      </c>
      <c r="AC170" s="8" t="str">
        <f>TEXT(B170,"yyyy")</f>
        <v>2025</v>
      </c>
      <c r="AE170">
        <f t="shared" si="22"/>
        <v>3196.35</v>
      </c>
      <c r="AF170" s="11">
        <f t="shared" si="23"/>
        <v>2557.08</v>
      </c>
      <c r="AG170">
        <f t="shared" si="24"/>
        <v>1170.6599999999999</v>
      </c>
      <c r="AH170" s="11">
        <f t="shared" si="25"/>
        <v>0.36624900276878308</v>
      </c>
      <c r="AI170" s="44">
        <f t="shared" si="26"/>
        <v>0.36624900276878308</v>
      </c>
    </row>
    <row r="171" spans="1:35">
      <c r="A171" t="s">
        <v>615</v>
      </c>
      <c r="B171" s="5">
        <v>45913</v>
      </c>
      <c r="C171" s="5">
        <v>45913</v>
      </c>
      <c r="D171" s="13">
        <f t="shared" si="18"/>
        <v>0</v>
      </c>
      <c r="E171" t="s">
        <v>616</v>
      </c>
      <c r="F171" t="s">
        <v>162</v>
      </c>
      <c r="G171" t="s">
        <v>24</v>
      </c>
      <c r="H171" t="s">
        <v>38</v>
      </c>
      <c r="I171" t="s">
        <v>166</v>
      </c>
      <c r="J171" t="s">
        <v>167</v>
      </c>
      <c r="K171" t="s">
        <v>28</v>
      </c>
      <c r="L171" t="s">
        <v>48</v>
      </c>
      <c r="M171" t="s">
        <v>617</v>
      </c>
      <c r="N171" t="s">
        <v>59</v>
      </c>
      <c r="O171">
        <v>8</v>
      </c>
      <c r="P171">
        <v>733.9</v>
      </c>
      <c r="Q171" s="11">
        <v>0.05</v>
      </c>
      <c r="R171">
        <v>5577.64</v>
      </c>
      <c r="S171">
        <v>3541.29</v>
      </c>
      <c r="T171">
        <v>2036.35</v>
      </c>
      <c r="U171" t="s">
        <v>111</v>
      </c>
      <c r="V171" t="s">
        <v>103</v>
      </c>
      <c r="X171" s="8" t="str">
        <f>IF(C171&gt;=B171,"Valid", "Invalid-Date")</f>
        <v>Valid</v>
      </c>
      <c r="Y171" s="8" t="str">
        <f t="shared" si="19"/>
        <v>Valid</v>
      </c>
      <c r="Z171" s="8" t="str">
        <f t="shared" si="20"/>
        <v>Pass</v>
      </c>
      <c r="AA171" s="8" t="str">
        <f t="shared" si="21"/>
        <v>Pass</v>
      </c>
      <c r="AB171" s="8" t="str">
        <f>TEXT(B171,"mmmm")</f>
        <v>September</v>
      </c>
      <c r="AC171" s="8" t="str">
        <f>TEXT(B171,"yyyy")</f>
        <v>2025</v>
      </c>
      <c r="AE171">
        <f t="shared" si="22"/>
        <v>5871.2</v>
      </c>
      <c r="AF171" s="11">
        <f t="shared" si="23"/>
        <v>5577.6399999999994</v>
      </c>
      <c r="AG171">
        <f t="shared" si="24"/>
        <v>2329.91</v>
      </c>
      <c r="AH171" s="11">
        <f t="shared" si="25"/>
        <v>0.39683710314756776</v>
      </c>
      <c r="AI171" s="44">
        <f t="shared" si="26"/>
        <v>0.39683710314756776</v>
      </c>
    </row>
    <row r="172" spans="1:35" s="15" customFormat="1">
      <c r="A172" s="15" t="s">
        <v>618</v>
      </c>
      <c r="B172" s="16">
        <v>45907</v>
      </c>
      <c r="C172" s="16">
        <v>45915</v>
      </c>
      <c r="D172" s="17">
        <f t="shared" si="18"/>
        <v>8</v>
      </c>
      <c r="E172" s="15" t="s">
        <v>619</v>
      </c>
      <c r="F172" s="15" t="s">
        <v>141</v>
      </c>
      <c r="G172" s="15" t="s">
        <v>90</v>
      </c>
      <c r="H172" s="15" t="s">
        <v>38</v>
      </c>
      <c r="I172" s="15" t="s">
        <v>145</v>
      </c>
      <c r="J172" s="15" t="s">
        <v>146</v>
      </c>
      <c r="K172" s="15" t="s">
        <v>74</v>
      </c>
      <c r="L172" s="15" t="s">
        <v>80</v>
      </c>
      <c r="M172" s="15" t="s">
        <v>620</v>
      </c>
      <c r="N172" s="15" t="s">
        <v>59</v>
      </c>
      <c r="O172" s="15">
        <v>3</v>
      </c>
      <c r="P172" s="15">
        <v>1711.32</v>
      </c>
      <c r="Q172" s="18">
        <v>0</v>
      </c>
      <c r="R172" s="15">
        <v>5133.96</v>
      </c>
      <c r="S172" s="15">
        <v>3930</v>
      </c>
      <c r="T172" s="15">
        <v>1203.96</v>
      </c>
      <c r="U172" s="15" t="s">
        <v>32</v>
      </c>
      <c r="V172" s="15" t="s">
        <v>33</v>
      </c>
      <c r="W172" s="25"/>
      <c r="X172" s="8" t="str">
        <f>IF(C172&gt;=B172,"Valid", "Invalid-Date")</f>
        <v>Valid</v>
      </c>
      <c r="Y172" s="8" t="str">
        <f t="shared" si="19"/>
        <v>Valid</v>
      </c>
      <c r="Z172" s="19" t="str">
        <f t="shared" si="20"/>
        <v>Pass</v>
      </c>
      <c r="AA172" s="19" t="str">
        <f t="shared" si="21"/>
        <v>Pass</v>
      </c>
      <c r="AB172" s="19" t="str">
        <f>TEXT(B172,"mmmm")</f>
        <v>September</v>
      </c>
      <c r="AC172" s="19" t="str">
        <f>TEXT(B172,"yyyy")</f>
        <v>2025</v>
      </c>
      <c r="AD172" s="20"/>
      <c r="AE172" s="15">
        <f t="shared" si="22"/>
        <v>5133.96</v>
      </c>
      <c r="AF172" s="11">
        <f t="shared" si="23"/>
        <v>5133.96</v>
      </c>
      <c r="AG172" s="15">
        <f t="shared" si="24"/>
        <v>1203.96</v>
      </c>
      <c r="AH172" s="18">
        <f t="shared" si="25"/>
        <v>0.23450903396208775</v>
      </c>
      <c r="AI172" s="45">
        <f t="shared" si="26"/>
        <v>0.23450903396208775</v>
      </c>
    </row>
    <row r="173" spans="1:35">
      <c r="A173" t="s">
        <v>621</v>
      </c>
      <c r="B173" s="5">
        <v>45711</v>
      </c>
      <c r="C173" s="5">
        <v>45713</v>
      </c>
      <c r="D173" s="13">
        <f t="shared" si="18"/>
        <v>2</v>
      </c>
      <c r="E173" t="s">
        <v>622</v>
      </c>
      <c r="F173" t="s">
        <v>23</v>
      </c>
      <c r="G173" t="s">
        <v>90</v>
      </c>
      <c r="H173" t="s">
        <v>38</v>
      </c>
      <c r="I173" t="s">
        <v>145</v>
      </c>
      <c r="J173" t="s">
        <v>146</v>
      </c>
      <c r="K173" t="s">
        <v>28</v>
      </c>
      <c r="L173" t="s">
        <v>91</v>
      </c>
      <c r="M173" t="s">
        <v>623</v>
      </c>
      <c r="N173" t="s">
        <v>44</v>
      </c>
      <c r="O173">
        <v>5</v>
      </c>
      <c r="P173">
        <v>4246.2700000000004</v>
      </c>
      <c r="Q173" s="11">
        <v>0.25</v>
      </c>
      <c r="R173">
        <v>15923.51</v>
      </c>
      <c r="S173">
        <v>11291.8</v>
      </c>
      <c r="T173">
        <v>4631.71</v>
      </c>
      <c r="U173" t="s">
        <v>32</v>
      </c>
      <c r="V173" t="s">
        <v>33</v>
      </c>
      <c r="X173" s="8" t="str">
        <f>IF(C173&gt;=B173,"Valid", "Invalid-Date")</f>
        <v>Valid</v>
      </c>
      <c r="Y173" s="8" t="str">
        <f t="shared" si="19"/>
        <v>Valid</v>
      </c>
      <c r="Z173" s="8" t="str">
        <f t="shared" si="20"/>
        <v>Pass</v>
      </c>
      <c r="AA173" s="8" t="str">
        <f t="shared" si="21"/>
        <v>Pass</v>
      </c>
      <c r="AB173" s="8" t="str">
        <f>TEXT(B173,"mmmm")</f>
        <v>February</v>
      </c>
      <c r="AC173" s="8" t="str">
        <f>TEXT(B173,"yyyy")</f>
        <v>2025</v>
      </c>
      <c r="AE173">
        <f t="shared" si="22"/>
        <v>21231.350000000002</v>
      </c>
      <c r="AF173" s="11">
        <f t="shared" si="23"/>
        <v>15923.512500000001</v>
      </c>
      <c r="AG173">
        <f t="shared" si="24"/>
        <v>9939.5500000000029</v>
      </c>
      <c r="AH173" s="11">
        <f t="shared" si="25"/>
        <v>0.46815440374728889</v>
      </c>
      <c r="AI173" s="44">
        <f t="shared" si="26"/>
        <v>0.46815440374728889</v>
      </c>
    </row>
    <row r="174" spans="1:35">
      <c r="A174" t="s">
        <v>624</v>
      </c>
      <c r="B174" s="5">
        <v>45871</v>
      </c>
      <c r="C174" s="5">
        <v>45879</v>
      </c>
      <c r="D174" s="13">
        <f t="shared" si="18"/>
        <v>8</v>
      </c>
      <c r="E174" t="s">
        <v>625</v>
      </c>
      <c r="F174" t="s">
        <v>23</v>
      </c>
      <c r="G174" t="s">
        <v>90</v>
      </c>
      <c r="H174" t="s">
        <v>25</v>
      </c>
      <c r="I174" t="s">
        <v>350</v>
      </c>
      <c r="J174" t="s">
        <v>351</v>
      </c>
      <c r="K174" t="s">
        <v>41</v>
      </c>
      <c r="L174" t="s">
        <v>57</v>
      </c>
      <c r="M174" t="s">
        <v>626</v>
      </c>
      <c r="N174" t="s">
        <v>44</v>
      </c>
      <c r="O174">
        <v>9</v>
      </c>
      <c r="P174">
        <v>2962.62</v>
      </c>
      <c r="Q174" s="11">
        <v>0.1</v>
      </c>
      <c r="R174">
        <v>23997.22</v>
      </c>
      <c r="S174">
        <v>16134.63</v>
      </c>
      <c r="T174">
        <v>7862.59</v>
      </c>
      <c r="U174" t="s">
        <v>102</v>
      </c>
      <c r="V174" t="s">
        <v>103</v>
      </c>
      <c r="X174" s="8" t="str">
        <f>IF(C174&gt;=B174,"Valid", "Invalid-Date")</f>
        <v>Valid</v>
      </c>
      <c r="Y174" s="8" t="str">
        <f t="shared" si="19"/>
        <v>Valid</v>
      </c>
      <c r="Z174" s="8" t="str">
        <f t="shared" si="20"/>
        <v>Pass</v>
      </c>
      <c r="AA174" s="8" t="str">
        <f t="shared" si="21"/>
        <v>Pass</v>
      </c>
      <c r="AB174" s="8" t="str">
        <f>TEXT(B174,"mmmm")</f>
        <v>August</v>
      </c>
      <c r="AC174" s="8" t="str">
        <f>TEXT(B174,"yyyy")</f>
        <v>2025</v>
      </c>
      <c r="AE174">
        <f t="shared" si="22"/>
        <v>26663.579999999998</v>
      </c>
      <c r="AF174" s="11">
        <f t="shared" si="23"/>
        <v>23997.221999999998</v>
      </c>
      <c r="AG174">
        <f t="shared" si="24"/>
        <v>10528.949999999999</v>
      </c>
      <c r="AH174" s="11">
        <f t="shared" si="25"/>
        <v>0.39488133251423851</v>
      </c>
      <c r="AI174" s="44">
        <f t="shared" si="26"/>
        <v>0.39488133251423851</v>
      </c>
    </row>
    <row r="175" spans="1:35">
      <c r="A175" t="s">
        <v>627</v>
      </c>
      <c r="B175" s="5">
        <v>45414</v>
      </c>
      <c r="C175" s="5">
        <v>45509</v>
      </c>
      <c r="D175" s="13">
        <f t="shared" si="18"/>
        <v>95</v>
      </c>
      <c r="E175" t="s">
        <v>628</v>
      </c>
      <c r="F175" t="s">
        <v>629</v>
      </c>
      <c r="G175" t="s">
        <v>95</v>
      </c>
      <c r="H175" t="s">
        <v>25</v>
      </c>
      <c r="I175" t="s">
        <v>122</v>
      </c>
      <c r="J175" t="s">
        <v>123</v>
      </c>
      <c r="K175" t="s">
        <v>74</v>
      </c>
      <c r="L175" t="s">
        <v>80</v>
      </c>
      <c r="M175" t="s">
        <v>630</v>
      </c>
      <c r="N175" t="s">
        <v>31</v>
      </c>
      <c r="O175">
        <v>1</v>
      </c>
      <c r="P175">
        <v>2312.25</v>
      </c>
      <c r="Q175" s="11">
        <v>0.25</v>
      </c>
      <c r="R175">
        <v>1734.19</v>
      </c>
      <c r="S175">
        <v>1386.07</v>
      </c>
      <c r="T175">
        <v>348.12</v>
      </c>
      <c r="U175" t="s">
        <v>32</v>
      </c>
      <c r="V175" t="s">
        <v>33</v>
      </c>
      <c r="X175" s="8" t="str">
        <f>IF(C175&gt;=B175,"Valid", "Invalid-Date")</f>
        <v>Valid</v>
      </c>
      <c r="Y175" s="8" t="str">
        <f t="shared" si="19"/>
        <v>Valid</v>
      </c>
      <c r="Z175" s="8" t="str">
        <f t="shared" si="20"/>
        <v>Pass</v>
      </c>
      <c r="AA175" s="8" t="str">
        <f t="shared" si="21"/>
        <v>Pass</v>
      </c>
      <c r="AB175" s="8" t="str">
        <f>TEXT(B175,"mmmm")</f>
        <v>May</v>
      </c>
      <c r="AC175" s="8" t="str">
        <f>TEXT(B175,"yyyy")</f>
        <v>2024</v>
      </c>
      <c r="AE175">
        <f t="shared" si="22"/>
        <v>2312.25</v>
      </c>
      <c r="AF175" s="11">
        <f t="shared" si="23"/>
        <v>1734.1875</v>
      </c>
      <c r="AG175">
        <f t="shared" si="24"/>
        <v>926.18000000000006</v>
      </c>
      <c r="AH175" s="11">
        <f t="shared" si="25"/>
        <v>0.4005535733592821</v>
      </c>
      <c r="AI175" s="44">
        <f t="shared" si="26"/>
        <v>0.4005535733592821</v>
      </c>
    </row>
    <row r="176" spans="1:35">
      <c r="A176" t="s">
        <v>631</v>
      </c>
      <c r="B176" s="5">
        <v>45928</v>
      </c>
      <c r="C176" s="5">
        <v>45934</v>
      </c>
      <c r="D176" s="13">
        <f t="shared" si="18"/>
        <v>6</v>
      </c>
      <c r="E176" t="s">
        <v>632</v>
      </c>
      <c r="F176" t="s">
        <v>23</v>
      </c>
      <c r="G176" t="s">
        <v>37</v>
      </c>
      <c r="H176" t="s">
        <v>54</v>
      </c>
      <c r="I176" t="s">
        <v>175</v>
      </c>
      <c r="J176" t="s">
        <v>176</v>
      </c>
      <c r="K176" t="s">
        <v>41</v>
      </c>
      <c r="L176" t="s">
        <v>158</v>
      </c>
      <c r="M176" t="s">
        <v>633</v>
      </c>
      <c r="N176" t="s">
        <v>50</v>
      </c>
      <c r="O176">
        <v>6</v>
      </c>
      <c r="P176">
        <v>1620.53</v>
      </c>
      <c r="Q176" s="11">
        <v>0.15</v>
      </c>
      <c r="R176">
        <v>8264.7000000000007</v>
      </c>
      <c r="S176">
        <v>4768.75</v>
      </c>
      <c r="T176">
        <v>3495.95</v>
      </c>
      <c r="U176" t="s">
        <v>111</v>
      </c>
      <c r="V176" t="s">
        <v>103</v>
      </c>
      <c r="X176" s="8" t="str">
        <f>IF(C176&gt;=B176,"Valid", "Invalid-Date")</f>
        <v>Valid</v>
      </c>
      <c r="Y176" s="8" t="str">
        <f t="shared" si="19"/>
        <v>Valid</v>
      </c>
      <c r="Z176" s="8" t="str">
        <f t="shared" si="20"/>
        <v>Pass</v>
      </c>
      <c r="AA176" s="8" t="str">
        <f t="shared" si="21"/>
        <v>Pass</v>
      </c>
      <c r="AB176" s="8" t="str">
        <f>TEXT(B176,"mmmm")</f>
        <v>September</v>
      </c>
      <c r="AC176" s="8" t="str">
        <f>TEXT(B176,"yyyy")</f>
        <v>2025</v>
      </c>
      <c r="AE176">
        <f t="shared" si="22"/>
        <v>9723.18</v>
      </c>
      <c r="AF176" s="11">
        <f t="shared" si="23"/>
        <v>8264.7029999999995</v>
      </c>
      <c r="AG176">
        <f t="shared" si="24"/>
        <v>4954.43</v>
      </c>
      <c r="AH176" s="11">
        <f t="shared" si="25"/>
        <v>0.50954831649727761</v>
      </c>
      <c r="AI176" s="44">
        <f t="shared" si="26"/>
        <v>0.50954831649727761</v>
      </c>
    </row>
    <row r="177" spans="1:35">
      <c r="A177" t="s">
        <v>634</v>
      </c>
      <c r="B177" s="5">
        <v>45318</v>
      </c>
      <c r="C177" s="5">
        <v>45353</v>
      </c>
      <c r="D177" s="13">
        <f t="shared" si="18"/>
        <v>35</v>
      </c>
      <c r="E177" t="s">
        <v>635</v>
      </c>
      <c r="F177" t="s">
        <v>53</v>
      </c>
      <c r="G177" t="s">
        <v>37</v>
      </c>
      <c r="H177" t="s">
        <v>38</v>
      </c>
      <c r="I177" t="s">
        <v>145</v>
      </c>
      <c r="J177" t="s">
        <v>146</v>
      </c>
      <c r="K177" t="s">
        <v>74</v>
      </c>
      <c r="L177" t="s">
        <v>274</v>
      </c>
      <c r="M177" t="s">
        <v>636</v>
      </c>
      <c r="N177" t="s">
        <v>44</v>
      </c>
      <c r="O177">
        <v>7</v>
      </c>
      <c r="P177">
        <v>2673.42</v>
      </c>
      <c r="Q177" s="11">
        <v>0.15</v>
      </c>
      <c r="R177">
        <v>15906.85</v>
      </c>
      <c r="S177">
        <v>11014.46</v>
      </c>
      <c r="T177">
        <v>4892.3900000000003</v>
      </c>
      <c r="U177" t="s">
        <v>32</v>
      </c>
      <c r="V177" t="s">
        <v>103</v>
      </c>
      <c r="X177" s="8" t="str">
        <f>IF(C177&gt;=B177,"Valid", "Invalid-Date")</f>
        <v>Valid</v>
      </c>
      <c r="Y177" s="8" t="str">
        <f t="shared" si="19"/>
        <v>Valid</v>
      </c>
      <c r="Z177" s="8" t="str">
        <f t="shared" si="20"/>
        <v>Pass</v>
      </c>
      <c r="AA177" s="8" t="str">
        <f t="shared" si="21"/>
        <v>Pass</v>
      </c>
      <c r="AB177" s="8" t="str">
        <f>TEXT(B177,"mmmm")</f>
        <v>January</v>
      </c>
      <c r="AC177" s="8" t="str">
        <f>TEXT(B177,"yyyy")</f>
        <v>2024</v>
      </c>
      <c r="AE177">
        <f t="shared" si="22"/>
        <v>18713.940000000002</v>
      </c>
      <c r="AF177" s="11">
        <f t="shared" si="23"/>
        <v>15906.849000000002</v>
      </c>
      <c r="AG177">
        <f t="shared" si="24"/>
        <v>7699.4800000000032</v>
      </c>
      <c r="AH177" s="11">
        <f t="shared" si="25"/>
        <v>0.4114301958860615</v>
      </c>
      <c r="AI177" s="44">
        <f t="shared" si="26"/>
        <v>0.4114301958860615</v>
      </c>
    </row>
    <row r="178" spans="1:35">
      <c r="A178" t="s">
        <v>637</v>
      </c>
      <c r="B178" s="5">
        <v>45734</v>
      </c>
      <c r="C178" s="5">
        <v>45742</v>
      </c>
      <c r="D178" s="13">
        <f t="shared" si="18"/>
        <v>8</v>
      </c>
      <c r="E178" t="s">
        <v>638</v>
      </c>
      <c r="F178" t="s">
        <v>71</v>
      </c>
      <c r="G178" t="s">
        <v>90</v>
      </c>
      <c r="H178" t="s">
        <v>38</v>
      </c>
      <c r="I178" t="s">
        <v>228</v>
      </c>
      <c r="J178" t="s">
        <v>229</v>
      </c>
      <c r="K178" t="s">
        <v>41</v>
      </c>
      <c r="L178" t="s">
        <v>158</v>
      </c>
      <c r="M178" t="s">
        <v>639</v>
      </c>
      <c r="N178" t="s">
        <v>59</v>
      </c>
      <c r="O178">
        <v>8</v>
      </c>
      <c r="P178">
        <v>3563.09</v>
      </c>
      <c r="Q178" s="11">
        <v>0.15</v>
      </c>
      <c r="R178">
        <v>24229.01</v>
      </c>
      <c r="S178">
        <v>13910.64</v>
      </c>
      <c r="T178">
        <v>10318.370000000001</v>
      </c>
      <c r="U178" t="s">
        <v>32</v>
      </c>
      <c r="V178" t="s">
        <v>33</v>
      </c>
      <c r="X178" s="8" t="str">
        <f>IF(C178&gt;=B178,"Valid", "Invalid-Date")</f>
        <v>Valid</v>
      </c>
      <c r="Y178" s="8" t="str">
        <f t="shared" si="19"/>
        <v>Valid</v>
      </c>
      <c r="Z178" s="8" t="str">
        <f t="shared" si="20"/>
        <v>Pass</v>
      </c>
      <c r="AA178" s="8" t="str">
        <f t="shared" si="21"/>
        <v>Pass</v>
      </c>
      <c r="AB178" s="8" t="str">
        <f>TEXT(B178,"mmmm")</f>
        <v>March</v>
      </c>
      <c r="AC178" s="8" t="str">
        <f>TEXT(B178,"yyyy")</f>
        <v>2025</v>
      </c>
      <c r="AE178">
        <f t="shared" si="22"/>
        <v>28504.720000000001</v>
      </c>
      <c r="AF178" s="11">
        <f t="shared" si="23"/>
        <v>24229.011999999999</v>
      </c>
      <c r="AG178">
        <f t="shared" si="24"/>
        <v>14594.080000000002</v>
      </c>
      <c r="AH178" s="11">
        <f t="shared" si="25"/>
        <v>0.51198819002607288</v>
      </c>
      <c r="AI178" s="44">
        <f t="shared" si="26"/>
        <v>0.51198819002607288</v>
      </c>
    </row>
    <row r="179" spans="1:35">
      <c r="A179" t="s">
        <v>640</v>
      </c>
      <c r="B179" s="5">
        <v>45444</v>
      </c>
      <c r="C179" s="5">
        <v>45357</v>
      </c>
      <c r="D179" s="13">
        <f t="shared" si="18"/>
        <v>-87</v>
      </c>
      <c r="E179" t="s">
        <v>641</v>
      </c>
      <c r="F179" t="s">
        <v>132</v>
      </c>
      <c r="G179" t="s">
        <v>95</v>
      </c>
      <c r="H179" t="s">
        <v>2785</v>
      </c>
      <c r="I179" t="s">
        <v>145</v>
      </c>
      <c r="J179" t="s">
        <v>146</v>
      </c>
      <c r="K179" t="s">
        <v>28</v>
      </c>
      <c r="L179" t="s">
        <v>48</v>
      </c>
      <c r="M179" t="s">
        <v>642</v>
      </c>
      <c r="N179" t="s">
        <v>44</v>
      </c>
      <c r="O179">
        <v>8</v>
      </c>
      <c r="P179">
        <v>3879.95</v>
      </c>
      <c r="Q179" s="11">
        <v>0</v>
      </c>
      <c r="R179">
        <v>31039.599999999999</v>
      </c>
      <c r="S179">
        <v>20866.72</v>
      </c>
      <c r="T179">
        <v>10172.879999999999</v>
      </c>
      <c r="U179" t="s">
        <v>32</v>
      </c>
      <c r="V179" t="s">
        <v>33</v>
      </c>
      <c r="X179" s="8" t="str">
        <f>IF(C179&gt;=B179,"Valid", "Invalid-Date")</f>
        <v>Invalid-Date</v>
      </c>
      <c r="Y179" s="8" t="str">
        <f t="shared" si="19"/>
        <v>Valid</v>
      </c>
      <c r="Z179" s="8" t="str">
        <f t="shared" si="20"/>
        <v>Pass</v>
      </c>
      <c r="AA179" s="8" t="str">
        <f t="shared" si="21"/>
        <v>Flagged</v>
      </c>
      <c r="AB179" s="8" t="str">
        <f>TEXT(B179,"mmmm")</f>
        <v>June</v>
      </c>
      <c r="AC179" s="8" t="str">
        <f>TEXT(B179,"yyyy")</f>
        <v>2024</v>
      </c>
      <c r="AE179">
        <f t="shared" si="22"/>
        <v>31039.599999999999</v>
      </c>
      <c r="AF179" s="11">
        <f t="shared" si="23"/>
        <v>31039.599999999999</v>
      </c>
      <c r="AG179">
        <f t="shared" si="24"/>
        <v>10172.879999999997</v>
      </c>
      <c r="AH179" s="11">
        <f t="shared" si="25"/>
        <v>0.32773875952009685</v>
      </c>
      <c r="AI179" s="44">
        <f t="shared" si="26"/>
        <v>0.32773875952009685</v>
      </c>
    </row>
    <row r="180" spans="1:35">
      <c r="A180" t="s">
        <v>643</v>
      </c>
      <c r="B180" s="5">
        <v>45565</v>
      </c>
      <c r="C180" s="5">
        <v>45565</v>
      </c>
      <c r="D180" s="13">
        <f t="shared" si="18"/>
        <v>0</v>
      </c>
      <c r="E180" t="s">
        <v>644</v>
      </c>
      <c r="F180" t="s">
        <v>47</v>
      </c>
      <c r="G180" t="s">
        <v>90</v>
      </c>
      <c r="H180" t="s">
        <v>54</v>
      </c>
      <c r="I180" t="s">
        <v>55</v>
      </c>
      <c r="J180" t="s">
        <v>56</v>
      </c>
      <c r="K180" t="s">
        <v>28</v>
      </c>
      <c r="L180" t="s">
        <v>48</v>
      </c>
      <c r="M180" t="s">
        <v>645</v>
      </c>
      <c r="N180" t="s">
        <v>59</v>
      </c>
      <c r="O180">
        <v>4</v>
      </c>
      <c r="P180">
        <v>3281.74</v>
      </c>
      <c r="Q180" s="11">
        <v>0</v>
      </c>
      <c r="R180">
        <v>13126.96</v>
      </c>
      <c r="S180">
        <v>10732.44</v>
      </c>
      <c r="T180">
        <v>2394.52</v>
      </c>
      <c r="U180" t="s">
        <v>32</v>
      </c>
      <c r="V180" t="s">
        <v>33</v>
      </c>
      <c r="X180" s="8" t="str">
        <f>IF(C180&gt;=B180,"Valid", "Invalid-Date")</f>
        <v>Valid</v>
      </c>
      <c r="Y180" s="8" t="str">
        <f t="shared" si="19"/>
        <v>Valid</v>
      </c>
      <c r="Z180" s="8" t="str">
        <f t="shared" si="20"/>
        <v>Pass</v>
      </c>
      <c r="AA180" s="8" t="str">
        <f t="shared" si="21"/>
        <v>Pass</v>
      </c>
      <c r="AB180" s="8" t="str">
        <f>TEXT(B180,"mmmm")</f>
        <v>September</v>
      </c>
      <c r="AC180" s="8" t="str">
        <f>TEXT(B180,"yyyy")</f>
        <v>2024</v>
      </c>
      <c r="AE180">
        <f t="shared" si="22"/>
        <v>13126.96</v>
      </c>
      <c r="AF180" s="11">
        <f t="shared" si="23"/>
        <v>13126.96</v>
      </c>
      <c r="AG180">
        <f t="shared" si="24"/>
        <v>2394.5199999999986</v>
      </c>
      <c r="AH180" s="11">
        <f t="shared" si="25"/>
        <v>0.18241237879905162</v>
      </c>
      <c r="AI180" s="44">
        <f t="shared" si="26"/>
        <v>0.18241237879905162</v>
      </c>
    </row>
    <row r="181" spans="1:35">
      <c r="A181" t="s">
        <v>646</v>
      </c>
      <c r="B181" s="5">
        <v>45366</v>
      </c>
      <c r="C181" s="5">
        <v>45370</v>
      </c>
      <c r="D181" s="13">
        <f t="shared" si="18"/>
        <v>4</v>
      </c>
      <c r="E181" t="s">
        <v>647</v>
      </c>
      <c r="F181" t="s">
        <v>62</v>
      </c>
      <c r="G181" t="s">
        <v>37</v>
      </c>
      <c r="H181" t="s">
        <v>54</v>
      </c>
      <c r="I181" t="s">
        <v>247</v>
      </c>
      <c r="J181" t="s">
        <v>248</v>
      </c>
      <c r="K181" t="s">
        <v>41</v>
      </c>
      <c r="L181" t="s">
        <v>57</v>
      </c>
      <c r="M181" t="s">
        <v>648</v>
      </c>
      <c r="N181" t="s">
        <v>59</v>
      </c>
      <c r="O181">
        <v>4</v>
      </c>
      <c r="P181">
        <v>3186.3</v>
      </c>
      <c r="Q181" s="11">
        <v>0.25</v>
      </c>
      <c r="R181">
        <v>9558.9</v>
      </c>
      <c r="S181">
        <v>5516.76</v>
      </c>
      <c r="T181">
        <v>4042.14</v>
      </c>
      <c r="U181" t="s">
        <v>102</v>
      </c>
      <c r="V181" t="s">
        <v>103</v>
      </c>
      <c r="X181" s="8" t="str">
        <f>IF(C181&gt;=B181,"Valid", "Invalid-Date")</f>
        <v>Valid</v>
      </c>
      <c r="Y181" s="8" t="str">
        <f t="shared" si="19"/>
        <v>Valid</v>
      </c>
      <c r="Z181" s="8" t="str">
        <f t="shared" si="20"/>
        <v>Pass</v>
      </c>
      <c r="AA181" s="8" t="str">
        <f t="shared" si="21"/>
        <v>Pass</v>
      </c>
      <c r="AB181" s="8" t="str">
        <f>TEXT(B181,"mmmm")</f>
        <v>March</v>
      </c>
      <c r="AC181" s="8" t="str">
        <f>TEXT(B181,"yyyy")</f>
        <v>2024</v>
      </c>
      <c r="AE181">
        <f t="shared" si="22"/>
        <v>12745.2</v>
      </c>
      <c r="AF181" s="11">
        <f t="shared" si="23"/>
        <v>9558.9000000000015</v>
      </c>
      <c r="AG181">
        <f t="shared" si="24"/>
        <v>7228.4400000000005</v>
      </c>
      <c r="AH181" s="11">
        <f t="shared" si="25"/>
        <v>0.56714998587703602</v>
      </c>
      <c r="AI181" s="44">
        <f t="shared" si="26"/>
        <v>0.56714998587703602</v>
      </c>
    </row>
    <row r="182" spans="1:35">
      <c r="A182" t="s">
        <v>649</v>
      </c>
      <c r="B182" s="5">
        <v>45530</v>
      </c>
      <c r="C182" s="5">
        <v>45530</v>
      </c>
      <c r="D182" s="13">
        <f t="shared" si="18"/>
        <v>0</v>
      </c>
      <c r="E182" t="s">
        <v>650</v>
      </c>
      <c r="F182" t="s">
        <v>36</v>
      </c>
      <c r="G182" t="s">
        <v>95</v>
      </c>
      <c r="H182" t="s">
        <v>25</v>
      </c>
      <c r="I182" t="s">
        <v>136</v>
      </c>
      <c r="J182" t="s">
        <v>137</v>
      </c>
      <c r="K182" t="s">
        <v>28</v>
      </c>
      <c r="L182" t="s">
        <v>153</v>
      </c>
      <c r="M182" t="s">
        <v>651</v>
      </c>
      <c r="N182" t="s">
        <v>50</v>
      </c>
      <c r="O182">
        <v>7</v>
      </c>
      <c r="P182">
        <v>844.59</v>
      </c>
      <c r="Q182" s="11">
        <v>0.1</v>
      </c>
      <c r="R182">
        <v>5320.92</v>
      </c>
      <c r="S182">
        <v>3041.5</v>
      </c>
      <c r="T182">
        <v>2279.42</v>
      </c>
      <c r="U182" t="s">
        <v>32</v>
      </c>
      <c r="V182" t="s">
        <v>33</v>
      </c>
      <c r="X182" s="8" t="str">
        <f>IF(C182&gt;=B182,"Valid", "Invalid-Date")</f>
        <v>Valid</v>
      </c>
      <c r="Y182" s="8" t="str">
        <f t="shared" si="19"/>
        <v>Valid</v>
      </c>
      <c r="Z182" s="8" t="str">
        <f t="shared" si="20"/>
        <v>Pass</v>
      </c>
      <c r="AA182" s="8" t="str">
        <f t="shared" si="21"/>
        <v>Pass</v>
      </c>
      <c r="AB182" s="8" t="str">
        <f>TEXT(B182,"mmmm")</f>
        <v>August</v>
      </c>
      <c r="AC182" s="8" t="str">
        <f>TEXT(B182,"yyyy")</f>
        <v>2024</v>
      </c>
      <c r="AE182">
        <f t="shared" si="22"/>
        <v>5912.13</v>
      </c>
      <c r="AF182" s="11">
        <f t="shared" si="23"/>
        <v>5320.9170000000004</v>
      </c>
      <c r="AG182">
        <f t="shared" si="24"/>
        <v>2870.63</v>
      </c>
      <c r="AH182" s="11">
        <f t="shared" si="25"/>
        <v>0.48554920138765556</v>
      </c>
      <c r="AI182" s="44">
        <f t="shared" si="26"/>
        <v>0.48554920138765556</v>
      </c>
    </row>
    <row r="183" spans="1:35">
      <c r="A183" t="s">
        <v>652</v>
      </c>
      <c r="B183" s="5">
        <v>45909</v>
      </c>
      <c r="C183" s="5">
        <v>45910</v>
      </c>
      <c r="D183" s="13">
        <f t="shared" si="18"/>
        <v>1</v>
      </c>
      <c r="E183" t="s">
        <v>653</v>
      </c>
      <c r="F183" t="s">
        <v>114</v>
      </c>
      <c r="G183" t="s">
        <v>95</v>
      </c>
      <c r="H183" t="s">
        <v>54</v>
      </c>
      <c r="I183" t="s">
        <v>247</v>
      </c>
      <c r="J183" t="s">
        <v>248</v>
      </c>
      <c r="K183" t="s">
        <v>28</v>
      </c>
      <c r="L183" t="s">
        <v>48</v>
      </c>
      <c r="M183" t="s">
        <v>654</v>
      </c>
      <c r="N183" t="s">
        <v>31</v>
      </c>
      <c r="O183">
        <v>4</v>
      </c>
      <c r="P183">
        <v>2551.4499999999998</v>
      </c>
      <c r="Q183" s="11">
        <v>0</v>
      </c>
      <c r="R183">
        <v>10205.799999999999</v>
      </c>
      <c r="S183">
        <v>5986.31</v>
      </c>
      <c r="T183">
        <v>4219.49</v>
      </c>
      <c r="U183" t="s">
        <v>32</v>
      </c>
      <c r="V183" t="s">
        <v>33</v>
      </c>
      <c r="X183" s="8" t="str">
        <f>IF(C183&gt;=B183,"Valid", "Invalid-Date")</f>
        <v>Valid</v>
      </c>
      <c r="Y183" s="8" t="str">
        <f t="shared" si="19"/>
        <v>Valid</v>
      </c>
      <c r="Z183" s="8" t="str">
        <f t="shared" si="20"/>
        <v>Pass</v>
      </c>
      <c r="AA183" s="8" t="str">
        <f t="shared" si="21"/>
        <v>Pass</v>
      </c>
      <c r="AB183" s="8" t="str">
        <f>TEXT(B183,"mmmm")</f>
        <v>September</v>
      </c>
      <c r="AC183" s="8" t="str">
        <f>TEXT(B183,"yyyy")</f>
        <v>2025</v>
      </c>
      <c r="AE183">
        <f t="shared" si="22"/>
        <v>10205.799999999999</v>
      </c>
      <c r="AF183" s="11">
        <f t="shared" si="23"/>
        <v>10205.799999999999</v>
      </c>
      <c r="AG183">
        <f t="shared" si="24"/>
        <v>4219.4899999999989</v>
      </c>
      <c r="AH183" s="11">
        <f t="shared" si="25"/>
        <v>0.41344039663720622</v>
      </c>
      <c r="AI183" s="44">
        <f t="shared" si="26"/>
        <v>0.41344039663720622</v>
      </c>
    </row>
    <row r="184" spans="1:35">
      <c r="A184" t="s">
        <v>655</v>
      </c>
      <c r="B184" s="5">
        <v>45581</v>
      </c>
      <c r="C184" s="5">
        <v>45581</v>
      </c>
      <c r="D184" s="13">
        <f t="shared" si="18"/>
        <v>0</v>
      </c>
      <c r="E184" t="s">
        <v>656</v>
      </c>
      <c r="F184" t="s">
        <v>62</v>
      </c>
      <c r="G184" t="s">
        <v>95</v>
      </c>
      <c r="H184" t="s">
        <v>38</v>
      </c>
      <c r="I184" t="s">
        <v>145</v>
      </c>
      <c r="J184" t="s">
        <v>146</v>
      </c>
      <c r="K184" t="s">
        <v>74</v>
      </c>
      <c r="L184" t="s">
        <v>274</v>
      </c>
      <c r="M184" t="s">
        <v>657</v>
      </c>
      <c r="N184" t="s">
        <v>59</v>
      </c>
      <c r="O184">
        <v>7</v>
      </c>
      <c r="P184">
        <v>775.77</v>
      </c>
      <c r="Q184" s="11">
        <v>0</v>
      </c>
      <c r="R184">
        <v>5430.39</v>
      </c>
      <c r="S184">
        <v>3707.66</v>
      </c>
      <c r="T184">
        <v>1722.73</v>
      </c>
      <c r="U184" t="s">
        <v>32</v>
      </c>
      <c r="V184" t="s">
        <v>33</v>
      </c>
      <c r="X184" s="8" t="str">
        <f>IF(C184&gt;=B184,"Valid", "Invalid-Date")</f>
        <v>Valid</v>
      </c>
      <c r="Y184" s="8" t="str">
        <f t="shared" si="19"/>
        <v>Valid</v>
      </c>
      <c r="Z184" s="8" t="str">
        <f t="shared" si="20"/>
        <v>Pass</v>
      </c>
      <c r="AA184" s="8" t="str">
        <f t="shared" si="21"/>
        <v>Pass</v>
      </c>
      <c r="AB184" s="8" t="str">
        <f>TEXT(B184,"mmmm")</f>
        <v>October</v>
      </c>
      <c r="AC184" s="8" t="str">
        <f>TEXT(B184,"yyyy")</f>
        <v>2024</v>
      </c>
      <c r="AE184">
        <f t="shared" si="22"/>
        <v>5430.3899999999994</v>
      </c>
      <c r="AF184" s="11">
        <f t="shared" si="23"/>
        <v>5430.3899999999994</v>
      </c>
      <c r="AG184">
        <f t="shared" si="24"/>
        <v>1722.7299999999996</v>
      </c>
      <c r="AH184" s="11">
        <f t="shared" si="25"/>
        <v>0.31723872502711586</v>
      </c>
      <c r="AI184" s="44">
        <f t="shared" si="26"/>
        <v>0.31723872502711586</v>
      </c>
    </row>
    <row r="185" spans="1:35">
      <c r="A185" t="s">
        <v>658</v>
      </c>
      <c r="B185" s="5">
        <v>45832</v>
      </c>
      <c r="C185" s="5">
        <v>45835</v>
      </c>
      <c r="D185" s="13">
        <f t="shared" si="18"/>
        <v>3</v>
      </c>
      <c r="E185" t="s">
        <v>659</v>
      </c>
      <c r="F185" t="s">
        <v>71</v>
      </c>
      <c r="G185" t="s">
        <v>95</v>
      </c>
      <c r="H185" t="s">
        <v>54</v>
      </c>
      <c r="I185" t="s">
        <v>55</v>
      </c>
      <c r="J185" t="s">
        <v>56</v>
      </c>
      <c r="K185" t="s">
        <v>74</v>
      </c>
      <c r="L185" t="s">
        <v>80</v>
      </c>
      <c r="M185" t="s">
        <v>660</v>
      </c>
      <c r="N185" t="s">
        <v>59</v>
      </c>
      <c r="O185">
        <v>7</v>
      </c>
      <c r="P185">
        <v>2304.86</v>
      </c>
      <c r="Q185" s="11">
        <v>0.2</v>
      </c>
      <c r="R185">
        <v>12907.22</v>
      </c>
      <c r="S185">
        <v>8327.89</v>
      </c>
      <c r="T185">
        <v>4579.33</v>
      </c>
      <c r="U185" t="s">
        <v>32</v>
      </c>
      <c r="V185" t="s">
        <v>103</v>
      </c>
      <c r="X185" s="8" t="str">
        <f>IF(C185&gt;=B185,"Valid", "Invalid-Date")</f>
        <v>Valid</v>
      </c>
      <c r="Y185" s="8" t="str">
        <f t="shared" si="19"/>
        <v>Valid</v>
      </c>
      <c r="Z185" s="8" t="str">
        <f t="shared" si="20"/>
        <v>Pass</v>
      </c>
      <c r="AA185" s="8" t="str">
        <f t="shared" si="21"/>
        <v>Pass</v>
      </c>
      <c r="AB185" s="8" t="str">
        <f>TEXT(B185,"mmmm")</f>
        <v>June</v>
      </c>
      <c r="AC185" s="8" t="str">
        <f>TEXT(B185,"yyyy")</f>
        <v>2025</v>
      </c>
      <c r="AE185">
        <f t="shared" si="22"/>
        <v>16134.02</v>
      </c>
      <c r="AF185" s="11">
        <f t="shared" si="23"/>
        <v>12907.216</v>
      </c>
      <c r="AG185">
        <f t="shared" si="24"/>
        <v>7806.130000000001</v>
      </c>
      <c r="AH185" s="11">
        <f t="shared" si="25"/>
        <v>0.4838304402746495</v>
      </c>
      <c r="AI185" s="44">
        <f t="shared" si="26"/>
        <v>0.4838304402746495</v>
      </c>
    </row>
    <row r="186" spans="1:35">
      <c r="A186" t="s">
        <v>661</v>
      </c>
      <c r="B186" s="5">
        <v>45384</v>
      </c>
      <c r="C186" s="5">
        <v>45447</v>
      </c>
      <c r="D186" s="13">
        <f t="shared" si="18"/>
        <v>63</v>
      </c>
      <c r="E186" t="s">
        <v>662</v>
      </c>
      <c r="F186" t="s">
        <v>71</v>
      </c>
      <c r="G186" t="s">
        <v>90</v>
      </c>
      <c r="H186" t="s">
        <v>63</v>
      </c>
      <c r="I186" t="s">
        <v>72</v>
      </c>
      <c r="J186" t="s">
        <v>73</v>
      </c>
      <c r="K186" t="s">
        <v>41</v>
      </c>
      <c r="L186" t="s">
        <v>158</v>
      </c>
      <c r="M186" t="s">
        <v>663</v>
      </c>
      <c r="N186" t="s">
        <v>59</v>
      </c>
      <c r="O186">
        <v>2</v>
      </c>
      <c r="P186">
        <v>888.98</v>
      </c>
      <c r="Q186" s="11">
        <v>0</v>
      </c>
      <c r="R186">
        <v>1777.96</v>
      </c>
      <c r="S186">
        <v>1021.16</v>
      </c>
      <c r="T186">
        <v>756.8</v>
      </c>
      <c r="U186" t="s">
        <v>102</v>
      </c>
      <c r="V186" t="s">
        <v>103</v>
      </c>
      <c r="X186" s="8" t="str">
        <f>IF(C186&gt;=B186,"Valid", "Invalid-Date")</f>
        <v>Valid</v>
      </c>
      <c r="Y186" s="8" t="str">
        <f t="shared" si="19"/>
        <v>Valid</v>
      </c>
      <c r="Z186" s="8" t="str">
        <f t="shared" si="20"/>
        <v>Pass</v>
      </c>
      <c r="AA186" s="8" t="str">
        <f t="shared" si="21"/>
        <v>Pass</v>
      </c>
      <c r="AB186" s="8" t="str">
        <f>TEXT(B186,"mmmm")</f>
        <v>April</v>
      </c>
      <c r="AC186" s="8" t="str">
        <f>TEXT(B186,"yyyy")</f>
        <v>2024</v>
      </c>
      <c r="AE186">
        <f t="shared" si="22"/>
        <v>1777.96</v>
      </c>
      <c r="AF186" s="11">
        <f t="shared" si="23"/>
        <v>1777.96</v>
      </c>
      <c r="AG186">
        <f t="shared" si="24"/>
        <v>756.80000000000007</v>
      </c>
      <c r="AH186" s="11">
        <f t="shared" si="25"/>
        <v>0.42565637022205227</v>
      </c>
      <c r="AI186" s="44">
        <f t="shared" si="26"/>
        <v>0.42565637022205227</v>
      </c>
    </row>
    <row r="187" spans="1:35">
      <c r="A187" t="s">
        <v>664</v>
      </c>
      <c r="B187" s="5">
        <v>45423</v>
      </c>
      <c r="C187" s="5">
        <v>45609</v>
      </c>
      <c r="D187" s="13">
        <f t="shared" si="18"/>
        <v>186</v>
      </c>
      <c r="E187" t="s">
        <v>665</v>
      </c>
      <c r="F187" t="s">
        <v>53</v>
      </c>
      <c r="G187" t="s">
        <v>24</v>
      </c>
      <c r="H187" t="s">
        <v>2785</v>
      </c>
      <c r="I187" t="s">
        <v>122</v>
      </c>
      <c r="J187" t="s">
        <v>123</v>
      </c>
      <c r="K187" t="s">
        <v>28</v>
      </c>
      <c r="L187" t="s">
        <v>91</v>
      </c>
      <c r="M187" t="s">
        <v>666</v>
      </c>
      <c r="N187" t="s">
        <v>31</v>
      </c>
      <c r="O187">
        <v>2</v>
      </c>
      <c r="P187">
        <v>1003.17</v>
      </c>
      <c r="Q187" s="11">
        <v>0.2</v>
      </c>
      <c r="R187">
        <v>1605.07</v>
      </c>
      <c r="S187">
        <v>1337.28</v>
      </c>
      <c r="T187">
        <v>267.79000000000002</v>
      </c>
      <c r="U187" t="s">
        <v>32</v>
      </c>
      <c r="V187" t="s">
        <v>33</v>
      </c>
      <c r="X187" s="8" t="str">
        <f>IF(C187&gt;=B187,"Valid", "Invalid-Date")</f>
        <v>Valid</v>
      </c>
      <c r="Y187" s="8" t="str">
        <f t="shared" si="19"/>
        <v>Valid</v>
      </c>
      <c r="Z187" s="8" t="str">
        <f t="shared" si="20"/>
        <v>Pass</v>
      </c>
      <c r="AA187" s="8" t="str">
        <f t="shared" si="21"/>
        <v>Flagged</v>
      </c>
      <c r="AB187" s="8" t="str">
        <f>TEXT(B187,"mmmm")</f>
        <v>May</v>
      </c>
      <c r="AC187" s="8" t="str">
        <f>TEXT(B187,"yyyy")</f>
        <v>2024</v>
      </c>
      <c r="AE187">
        <f t="shared" si="22"/>
        <v>2006.34</v>
      </c>
      <c r="AF187" s="11">
        <f t="shared" si="23"/>
        <v>1605.0720000000001</v>
      </c>
      <c r="AG187">
        <f t="shared" si="24"/>
        <v>669.06</v>
      </c>
      <c r="AH187" s="11">
        <f t="shared" si="25"/>
        <v>0.33347289093573373</v>
      </c>
      <c r="AI187" s="44">
        <f t="shared" si="26"/>
        <v>0.33347289093573373</v>
      </c>
    </row>
    <row r="188" spans="1:35">
      <c r="A188" t="s">
        <v>667</v>
      </c>
      <c r="B188" s="5">
        <v>45492</v>
      </c>
      <c r="C188" s="5">
        <v>45493</v>
      </c>
      <c r="D188" s="13">
        <f t="shared" si="18"/>
        <v>1</v>
      </c>
      <c r="E188" t="s">
        <v>263</v>
      </c>
      <c r="F188" t="s">
        <v>71</v>
      </c>
      <c r="G188" t="s">
        <v>24</v>
      </c>
      <c r="H188" t="s">
        <v>54</v>
      </c>
      <c r="I188" t="s">
        <v>247</v>
      </c>
      <c r="J188" t="s">
        <v>248</v>
      </c>
      <c r="K188" t="s">
        <v>41</v>
      </c>
      <c r="L188" t="s">
        <v>42</v>
      </c>
      <c r="M188" t="s">
        <v>668</v>
      </c>
      <c r="N188" t="s">
        <v>50</v>
      </c>
      <c r="O188">
        <v>7</v>
      </c>
      <c r="P188">
        <v>3608.43</v>
      </c>
      <c r="Q188" s="11">
        <v>0.05</v>
      </c>
      <c r="R188">
        <v>23996.06</v>
      </c>
      <c r="S188">
        <v>20167.28</v>
      </c>
      <c r="T188">
        <v>3828.78</v>
      </c>
      <c r="U188" t="s">
        <v>32</v>
      </c>
      <c r="V188" t="s">
        <v>33</v>
      </c>
      <c r="X188" s="8" t="str">
        <f>IF(C188&gt;=B188,"Valid", "Invalid-Date")</f>
        <v>Valid</v>
      </c>
      <c r="Y188" s="8" t="str">
        <f t="shared" si="19"/>
        <v>Valid</v>
      </c>
      <c r="Z188" s="8" t="str">
        <f t="shared" si="20"/>
        <v>Pass</v>
      </c>
      <c r="AA188" s="8" t="str">
        <f t="shared" si="21"/>
        <v>Pass</v>
      </c>
      <c r="AB188" s="8" t="str">
        <f>TEXT(B188,"mmmm")</f>
        <v>July</v>
      </c>
      <c r="AC188" s="8" t="str">
        <f>TEXT(B188,"yyyy")</f>
        <v>2024</v>
      </c>
      <c r="AE188">
        <f t="shared" si="22"/>
        <v>25259.01</v>
      </c>
      <c r="AF188" s="11">
        <f t="shared" si="23"/>
        <v>23996.059499999996</v>
      </c>
      <c r="AG188">
        <f t="shared" si="24"/>
        <v>5091.7299999999996</v>
      </c>
      <c r="AH188" s="11">
        <f t="shared" si="25"/>
        <v>0.20158074287155356</v>
      </c>
      <c r="AI188" s="44">
        <f t="shared" si="26"/>
        <v>0.20158074287155356</v>
      </c>
    </row>
    <row r="189" spans="1:35">
      <c r="A189" t="s">
        <v>669</v>
      </c>
      <c r="B189" s="5">
        <v>45778</v>
      </c>
      <c r="C189" s="5">
        <v>45693</v>
      </c>
      <c r="D189" s="13">
        <f t="shared" si="18"/>
        <v>-85</v>
      </c>
      <c r="E189" t="s">
        <v>670</v>
      </c>
      <c r="F189" t="s">
        <v>36</v>
      </c>
      <c r="G189" t="s">
        <v>24</v>
      </c>
      <c r="H189" t="s">
        <v>63</v>
      </c>
      <c r="I189" t="s">
        <v>72</v>
      </c>
      <c r="J189" t="s">
        <v>73</v>
      </c>
      <c r="K189" t="s">
        <v>41</v>
      </c>
      <c r="L189" t="s">
        <v>66</v>
      </c>
      <c r="M189" t="s">
        <v>671</v>
      </c>
      <c r="N189" t="s">
        <v>44</v>
      </c>
      <c r="O189">
        <v>3</v>
      </c>
      <c r="P189">
        <v>2905.74</v>
      </c>
      <c r="Q189" s="11">
        <v>0</v>
      </c>
      <c r="R189">
        <v>8717.2199999999993</v>
      </c>
      <c r="S189">
        <v>6215.96</v>
      </c>
      <c r="T189">
        <v>2501.2600000000002</v>
      </c>
      <c r="U189" t="s">
        <v>32</v>
      </c>
      <c r="V189" t="s">
        <v>103</v>
      </c>
      <c r="X189" s="8" t="str">
        <f>IF(C189&gt;=B189,"Valid", "Invalid-Date")</f>
        <v>Invalid-Date</v>
      </c>
      <c r="Y189" s="8" t="str">
        <f t="shared" si="19"/>
        <v>Valid</v>
      </c>
      <c r="Z189" s="8" t="str">
        <f t="shared" si="20"/>
        <v>Pass</v>
      </c>
      <c r="AA189" s="8" t="str">
        <f t="shared" si="21"/>
        <v>Pass</v>
      </c>
      <c r="AB189" s="8" t="str">
        <f>TEXT(B189,"mmmm")</f>
        <v>May</v>
      </c>
      <c r="AC189" s="8" t="str">
        <f>TEXT(B189,"yyyy")</f>
        <v>2025</v>
      </c>
      <c r="AE189">
        <f t="shared" si="22"/>
        <v>8717.2199999999993</v>
      </c>
      <c r="AF189" s="11">
        <f t="shared" si="23"/>
        <v>8717.2199999999993</v>
      </c>
      <c r="AG189">
        <f t="shared" si="24"/>
        <v>2501.2599999999993</v>
      </c>
      <c r="AH189" s="11">
        <f t="shared" si="25"/>
        <v>0.28693321953558582</v>
      </c>
      <c r="AI189" s="44">
        <f t="shared" si="26"/>
        <v>0.28693321953558582</v>
      </c>
    </row>
    <row r="190" spans="1:35">
      <c r="A190" t="s">
        <v>672</v>
      </c>
      <c r="B190" s="5">
        <v>45798</v>
      </c>
      <c r="C190" s="5">
        <v>45805</v>
      </c>
      <c r="D190" s="13">
        <f t="shared" si="18"/>
        <v>7</v>
      </c>
      <c r="E190" t="s">
        <v>673</v>
      </c>
      <c r="F190" t="s">
        <v>114</v>
      </c>
      <c r="G190" t="s">
        <v>90</v>
      </c>
      <c r="H190" t="s">
        <v>38</v>
      </c>
      <c r="I190" t="s">
        <v>99</v>
      </c>
      <c r="J190" t="s">
        <v>100</v>
      </c>
      <c r="K190" t="s">
        <v>41</v>
      </c>
      <c r="L190" t="s">
        <v>158</v>
      </c>
      <c r="M190" t="s">
        <v>674</v>
      </c>
      <c r="N190" t="s">
        <v>44</v>
      </c>
      <c r="O190">
        <v>2</v>
      </c>
      <c r="P190">
        <v>3559.57</v>
      </c>
      <c r="Q190" s="11">
        <v>0.1</v>
      </c>
      <c r="R190">
        <v>6553.95</v>
      </c>
      <c r="S190">
        <v>4923.09</v>
      </c>
      <c r="T190">
        <v>1484.14</v>
      </c>
      <c r="U190" t="s">
        <v>32</v>
      </c>
      <c r="V190" t="s">
        <v>33</v>
      </c>
      <c r="X190" s="8" t="str">
        <f>IF(C190&gt;=B190,"Valid", "Invalid-Date")</f>
        <v>Valid</v>
      </c>
      <c r="Y190" s="8" t="str">
        <f t="shared" si="19"/>
        <v>Valid</v>
      </c>
      <c r="Z190" s="8" t="str">
        <f t="shared" si="20"/>
        <v>Pass</v>
      </c>
      <c r="AA190" s="8" t="str">
        <f t="shared" si="21"/>
        <v>Pass</v>
      </c>
      <c r="AB190" s="8" t="str">
        <f>TEXT(B190,"mmmm")</f>
        <v>May</v>
      </c>
      <c r="AC190" s="8" t="str">
        <f>TEXT(B190,"yyyy")</f>
        <v>2025</v>
      </c>
      <c r="AE190">
        <f t="shared" si="22"/>
        <v>7119.14</v>
      </c>
      <c r="AF190" s="11">
        <f t="shared" si="23"/>
        <v>6407.2260000000006</v>
      </c>
      <c r="AG190">
        <f t="shared" si="24"/>
        <v>2196.0500000000002</v>
      </c>
      <c r="AH190" s="11">
        <f t="shared" si="25"/>
        <v>0.30847124793163222</v>
      </c>
      <c r="AI190" s="44">
        <f t="shared" si="26"/>
        <v>0.30847124793163222</v>
      </c>
    </row>
    <row r="191" spans="1:35">
      <c r="A191" t="s">
        <v>675</v>
      </c>
      <c r="B191" s="5">
        <v>45783</v>
      </c>
      <c r="C191" s="5">
        <v>45843</v>
      </c>
      <c r="D191" s="13">
        <f t="shared" si="18"/>
        <v>60</v>
      </c>
      <c r="E191" t="s">
        <v>676</v>
      </c>
      <c r="F191" t="s">
        <v>53</v>
      </c>
      <c r="G191" t="s">
        <v>24</v>
      </c>
      <c r="H191" t="s">
        <v>63</v>
      </c>
      <c r="I191" t="s">
        <v>26</v>
      </c>
      <c r="J191" t="s">
        <v>109</v>
      </c>
      <c r="K191" t="s">
        <v>41</v>
      </c>
      <c r="L191" t="s">
        <v>158</v>
      </c>
      <c r="M191" t="s">
        <v>677</v>
      </c>
      <c r="N191" t="s">
        <v>50</v>
      </c>
      <c r="O191">
        <v>9</v>
      </c>
      <c r="P191">
        <v>3318.24</v>
      </c>
      <c r="Q191" s="11">
        <v>0</v>
      </c>
      <c r="R191">
        <v>25384.54</v>
      </c>
      <c r="S191">
        <v>16872.39</v>
      </c>
      <c r="T191">
        <v>8512.15</v>
      </c>
      <c r="U191" t="s">
        <v>32</v>
      </c>
      <c r="V191" t="s">
        <v>33</v>
      </c>
      <c r="X191" s="8" t="str">
        <f>IF(C191&gt;=B191,"Valid", "Invalid-Date")</f>
        <v>Valid</v>
      </c>
      <c r="Y191" s="8" t="str">
        <f t="shared" si="19"/>
        <v>Valid</v>
      </c>
      <c r="Z191" s="8" t="str">
        <f t="shared" si="20"/>
        <v>Pass</v>
      </c>
      <c r="AA191" s="8" t="str">
        <f t="shared" si="21"/>
        <v>Pass</v>
      </c>
      <c r="AB191" s="8" t="str">
        <f>TEXT(B191,"mmmm")</f>
        <v>May</v>
      </c>
      <c r="AC191" s="8" t="str">
        <f>TEXT(B191,"yyyy")</f>
        <v>2025</v>
      </c>
      <c r="AE191">
        <f t="shared" si="22"/>
        <v>29864.159999999996</v>
      </c>
      <c r="AF191" s="11">
        <f t="shared" si="23"/>
        <v>29864.159999999996</v>
      </c>
      <c r="AG191">
        <f t="shared" si="24"/>
        <v>12991.769999999997</v>
      </c>
      <c r="AH191" s="11">
        <f t="shared" si="25"/>
        <v>0.43502881045373448</v>
      </c>
      <c r="AI191" s="44">
        <f t="shared" si="26"/>
        <v>0.43502881045373448</v>
      </c>
    </row>
    <row r="192" spans="1:35">
      <c r="A192" t="s">
        <v>678</v>
      </c>
      <c r="B192" s="5">
        <v>45767</v>
      </c>
      <c r="C192" s="5">
        <v>45768</v>
      </c>
      <c r="D192" s="13">
        <f t="shared" si="18"/>
        <v>1</v>
      </c>
      <c r="E192" t="s">
        <v>679</v>
      </c>
      <c r="F192" t="s">
        <v>89</v>
      </c>
      <c r="G192" t="s">
        <v>24</v>
      </c>
      <c r="H192" t="s">
        <v>54</v>
      </c>
      <c r="I192" t="s">
        <v>247</v>
      </c>
      <c r="J192" t="s">
        <v>248</v>
      </c>
      <c r="K192" t="s">
        <v>28</v>
      </c>
      <c r="L192" t="s">
        <v>124</v>
      </c>
      <c r="M192" t="s">
        <v>680</v>
      </c>
      <c r="N192" t="s">
        <v>50</v>
      </c>
      <c r="O192">
        <v>3</v>
      </c>
      <c r="P192">
        <v>540.09</v>
      </c>
      <c r="Q192" s="11">
        <v>0.1</v>
      </c>
      <c r="R192">
        <v>1458.24</v>
      </c>
      <c r="S192">
        <v>943.32</v>
      </c>
      <c r="T192">
        <v>514.91999999999996</v>
      </c>
      <c r="U192" t="s">
        <v>32</v>
      </c>
      <c r="V192" t="s">
        <v>33</v>
      </c>
      <c r="X192" s="8" t="str">
        <f>IF(C192&gt;=B192,"Valid", "Invalid-Date")</f>
        <v>Valid</v>
      </c>
      <c r="Y192" s="8" t="str">
        <f t="shared" si="19"/>
        <v>Valid</v>
      </c>
      <c r="Z192" s="8" t="str">
        <f t="shared" si="20"/>
        <v>Pass</v>
      </c>
      <c r="AA192" s="8" t="str">
        <f t="shared" si="21"/>
        <v>Pass</v>
      </c>
      <c r="AB192" s="8" t="str">
        <f>TEXT(B192,"mmmm")</f>
        <v>April</v>
      </c>
      <c r="AC192" s="8" t="str">
        <f>TEXT(B192,"yyyy")</f>
        <v>2025</v>
      </c>
      <c r="AE192">
        <f t="shared" si="22"/>
        <v>1620.27</v>
      </c>
      <c r="AF192" s="11">
        <f t="shared" si="23"/>
        <v>1458.2429999999999</v>
      </c>
      <c r="AG192">
        <f t="shared" si="24"/>
        <v>676.94999999999993</v>
      </c>
      <c r="AH192" s="11">
        <f t="shared" si="25"/>
        <v>0.41780073691421798</v>
      </c>
      <c r="AI192" s="44">
        <f t="shared" si="26"/>
        <v>0.41780073691421798</v>
      </c>
    </row>
    <row r="193" spans="1:35">
      <c r="A193" t="s">
        <v>681</v>
      </c>
      <c r="B193" s="5">
        <v>45584</v>
      </c>
      <c r="C193" s="5">
        <v>45589</v>
      </c>
      <c r="D193" s="13">
        <f t="shared" si="18"/>
        <v>5</v>
      </c>
      <c r="E193" t="s">
        <v>682</v>
      </c>
      <c r="F193" t="s">
        <v>132</v>
      </c>
      <c r="G193" t="s">
        <v>37</v>
      </c>
      <c r="H193" t="s">
        <v>54</v>
      </c>
      <c r="I193" t="s">
        <v>247</v>
      </c>
      <c r="J193" t="s">
        <v>248</v>
      </c>
      <c r="K193" t="s">
        <v>41</v>
      </c>
      <c r="L193" t="s">
        <v>158</v>
      </c>
      <c r="M193" t="s">
        <v>683</v>
      </c>
      <c r="N193" t="s">
        <v>31</v>
      </c>
      <c r="O193">
        <v>6</v>
      </c>
      <c r="P193">
        <v>4308.3999999999996</v>
      </c>
      <c r="Q193" s="11">
        <v>0.65</v>
      </c>
      <c r="R193">
        <v>25850.400000000001</v>
      </c>
      <c r="S193">
        <v>19397.68</v>
      </c>
      <c r="T193">
        <v>6452.72</v>
      </c>
      <c r="U193" t="s">
        <v>32</v>
      </c>
      <c r="V193" t="s">
        <v>33</v>
      </c>
      <c r="X193" s="8" t="str">
        <f>IF(C193&gt;=B193,"Valid", "Invalid-Date")</f>
        <v>Valid</v>
      </c>
      <c r="Y193" s="8" t="str">
        <f t="shared" si="19"/>
        <v>Invalid-Discount</v>
      </c>
      <c r="Z193" s="8" t="str">
        <f t="shared" si="20"/>
        <v>Pass</v>
      </c>
      <c r="AA193" s="8" t="str">
        <f t="shared" si="21"/>
        <v>Pass</v>
      </c>
      <c r="AB193" s="8" t="str">
        <f>TEXT(B193,"mmmm")</f>
        <v>October</v>
      </c>
      <c r="AC193" s="8" t="str">
        <f>TEXT(B193,"yyyy")</f>
        <v>2024</v>
      </c>
      <c r="AE193">
        <f t="shared" si="22"/>
        <v>25850.399999999998</v>
      </c>
      <c r="AF193" s="11">
        <f t="shared" si="23"/>
        <v>9047.64</v>
      </c>
      <c r="AG193">
        <f t="shared" si="24"/>
        <v>6452.7199999999975</v>
      </c>
      <c r="AH193" s="11">
        <f t="shared" si="25"/>
        <v>0.24961780088509261</v>
      </c>
      <c r="AI193" s="44">
        <f t="shared" si="26"/>
        <v>0.24961780088509261</v>
      </c>
    </row>
    <row r="194" spans="1:35">
      <c r="A194" t="s">
        <v>684</v>
      </c>
      <c r="B194" s="5">
        <v>45635</v>
      </c>
      <c r="C194" s="5">
        <v>45642</v>
      </c>
      <c r="D194" s="13">
        <f t="shared" si="18"/>
        <v>7</v>
      </c>
      <c r="E194" t="s">
        <v>685</v>
      </c>
      <c r="F194" t="s">
        <v>47</v>
      </c>
      <c r="G194" t="s">
        <v>95</v>
      </c>
      <c r="H194" t="s">
        <v>63</v>
      </c>
      <c r="I194" t="s">
        <v>180</v>
      </c>
      <c r="J194" t="s">
        <v>181</v>
      </c>
      <c r="K194" t="s">
        <v>41</v>
      </c>
      <c r="L194" t="s">
        <v>66</v>
      </c>
      <c r="M194" t="s">
        <v>686</v>
      </c>
      <c r="N194" t="s">
        <v>50</v>
      </c>
      <c r="O194">
        <v>4</v>
      </c>
      <c r="P194">
        <v>2191.0300000000002</v>
      </c>
      <c r="Q194" s="11">
        <v>0</v>
      </c>
      <c r="R194">
        <v>8764.1200000000008</v>
      </c>
      <c r="S194">
        <v>7220.05</v>
      </c>
      <c r="T194">
        <v>1544.07</v>
      </c>
      <c r="U194" t="s">
        <v>32</v>
      </c>
      <c r="V194" t="s">
        <v>33</v>
      </c>
      <c r="X194" s="8" t="str">
        <f>IF(C194&gt;=B194,"Valid", "Invalid-Date")</f>
        <v>Valid</v>
      </c>
      <c r="Y194" s="8" t="str">
        <f t="shared" si="19"/>
        <v>Valid</v>
      </c>
      <c r="Z194" s="8" t="str">
        <f t="shared" si="20"/>
        <v>Pass</v>
      </c>
      <c r="AA194" s="8" t="str">
        <f t="shared" si="21"/>
        <v>Pass</v>
      </c>
      <c r="AB194" s="8" t="str">
        <f>TEXT(B194,"mmmm")</f>
        <v>December</v>
      </c>
      <c r="AC194" s="8" t="str">
        <f>TEXT(B194,"yyyy")</f>
        <v>2024</v>
      </c>
      <c r="AE194">
        <f t="shared" si="22"/>
        <v>8764.1200000000008</v>
      </c>
      <c r="AF194" s="11">
        <f t="shared" si="23"/>
        <v>8764.1200000000008</v>
      </c>
      <c r="AG194">
        <f t="shared" si="24"/>
        <v>1544.0700000000006</v>
      </c>
      <c r="AH194" s="11">
        <f t="shared" si="25"/>
        <v>0.17618083732308554</v>
      </c>
      <c r="AI194" s="44">
        <f t="shared" si="26"/>
        <v>0.17618083732308554</v>
      </c>
    </row>
    <row r="195" spans="1:35">
      <c r="A195" t="s">
        <v>687</v>
      </c>
      <c r="B195" s="5">
        <v>45466</v>
      </c>
      <c r="C195" s="5">
        <v>45471</v>
      </c>
      <c r="D195" s="13">
        <f t="shared" ref="D195:D258" si="27">C195-B195</f>
        <v>5</v>
      </c>
      <c r="E195" t="s">
        <v>688</v>
      </c>
      <c r="F195" t="s">
        <v>114</v>
      </c>
      <c r="G195" t="s">
        <v>37</v>
      </c>
      <c r="H195" t="s">
        <v>25</v>
      </c>
      <c r="I195" t="s">
        <v>122</v>
      </c>
      <c r="J195" t="s">
        <v>123</v>
      </c>
      <c r="K195" t="s">
        <v>74</v>
      </c>
      <c r="L195" t="s">
        <v>80</v>
      </c>
      <c r="M195" t="s">
        <v>689</v>
      </c>
      <c r="N195" t="s">
        <v>44</v>
      </c>
      <c r="O195">
        <v>6</v>
      </c>
      <c r="P195">
        <v>1956.63</v>
      </c>
      <c r="Q195" s="11">
        <v>0.2</v>
      </c>
      <c r="R195">
        <v>9391.82</v>
      </c>
      <c r="S195">
        <v>6013.22</v>
      </c>
      <c r="T195">
        <v>3378.6</v>
      </c>
      <c r="U195" t="s">
        <v>102</v>
      </c>
      <c r="V195" t="s">
        <v>103</v>
      </c>
      <c r="X195" s="8" t="str">
        <f>IF(C195&gt;=B195,"Valid", "Invalid-Date")</f>
        <v>Valid</v>
      </c>
      <c r="Y195" s="8" t="str">
        <f t="shared" ref="Y195:Y258" si="28">IF(OR(Q195&lt;0, Q195&gt;0.5), "Invalid-Discount", "Valid")</f>
        <v>Valid</v>
      </c>
      <c r="Z195" s="8" t="str">
        <f t="shared" ref="Z195:Z258" si="29">IF(N195="Unknown","Flagged","Pass")</f>
        <v>Pass</v>
      </c>
      <c r="AA195" s="8" t="str">
        <f t="shared" ref="AA195:AA258" si="30">IF(H195="Unknown","Flagged","Pass")</f>
        <v>Pass</v>
      </c>
      <c r="AB195" s="8" t="str">
        <f>TEXT(B195,"mmmm")</f>
        <v>June</v>
      </c>
      <c r="AC195" s="8" t="str">
        <f>TEXT(B195,"yyyy")</f>
        <v>2024</v>
      </c>
      <c r="AE195">
        <f t="shared" ref="AE195:AE258" si="31">O195*P195</f>
        <v>11739.78</v>
      </c>
      <c r="AF195" s="11">
        <f t="shared" ref="AF195:AF258" si="32">AE195*(1-Q195)</f>
        <v>9391.8240000000005</v>
      </c>
      <c r="AG195">
        <f t="shared" ref="AG195:AG258" si="33">AE195-S195</f>
        <v>5726.56</v>
      </c>
      <c r="AH195" s="11">
        <f t="shared" ref="AH195:AH258" si="34">AG195/AE195</f>
        <v>0.48779108296748319</v>
      </c>
      <c r="AI195" s="44">
        <f t="shared" ref="AI195:AI258" si="35">AG195/AE195</f>
        <v>0.48779108296748319</v>
      </c>
    </row>
    <row r="196" spans="1:35">
      <c r="A196" t="s">
        <v>690</v>
      </c>
      <c r="B196" s="5">
        <v>45685</v>
      </c>
      <c r="C196" s="5">
        <v>45688</v>
      </c>
      <c r="D196" s="13">
        <f t="shared" si="27"/>
        <v>3</v>
      </c>
      <c r="E196" t="s">
        <v>691</v>
      </c>
      <c r="F196" t="s">
        <v>114</v>
      </c>
      <c r="G196" t="s">
        <v>24</v>
      </c>
      <c r="H196" t="s">
        <v>63</v>
      </c>
      <c r="I196" t="s">
        <v>64</v>
      </c>
      <c r="J196" t="s">
        <v>65</v>
      </c>
      <c r="K196" t="s">
        <v>41</v>
      </c>
      <c r="L196" t="s">
        <v>57</v>
      </c>
      <c r="M196" t="s">
        <v>692</v>
      </c>
      <c r="N196" t="s">
        <v>50</v>
      </c>
      <c r="O196">
        <v>9</v>
      </c>
      <c r="P196">
        <v>858.39</v>
      </c>
      <c r="Q196" s="11">
        <v>0.05</v>
      </c>
      <c r="R196">
        <v>7339.23</v>
      </c>
      <c r="S196">
        <v>5434.12</v>
      </c>
      <c r="T196">
        <v>1905.11</v>
      </c>
      <c r="U196" t="s">
        <v>111</v>
      </c>
      <c r="V196" t="s">
        <v>103</v>
      </c>
      <c r="X196" s="8" t="str">
        <f>IF(C196&gt;=B196,"Valid", "Invalid-Date")</f>
        <v>Valid</v>
      </c>
      <c r="Y196" s="8" t="str">
        <f t="shared" si="28"/>
        <v>Valid</v>
      </c>
      <c r="Z196" s="8" t="str">
        <f t="shared" si="29"/>
        <v>Pass</v>
      </c>
      <c r="AA196" s="8" t="str">
        <f t="shared" si="30"/>
        <v>Pass</v>
      </c>
      <c r="AB196" s="8" t="str">
        <f>TEXT(B196,"mmmm")</f>
        <v>January</v>
      </c>
      <c r="AC196" s="8" t="str">
        <f>TEXT(B196,"yyyy")</f>
        <v>2025</v>
      </c>
      <c r="AE196">
        <f t="shared" si="31"/>
        <v>7725.51</v>
      </c>
      <c r="AF196" s="11">
        <f t="shared" si="32"/>
        <v>7339.2344999999996</v>
      </c>
      <c r="AG196">
        <f t="shared" si="33"/>
        <v>2291.3900000000003</v>
      </c>
      <c r="AH196" s="11">
        <f t="shared" si="34"/>
        <v>0.29660048333378641</v>
      </c>
      <c r="AI196" s="44">
        <f t="shared" si="35"/>
        <v>0.29660048333378641</v>
      </c>
    </row>
    <row r="197" spans="1:35">
      <c r="A197" t="s">
        <v>693</v>
      </c>
      <c r="B197" s="5">
        <v>45860</v>
      </c>
      <c r="C197" s="5">
        <v>45862</v>
      </c>
      <c r="D197" s="13">
        <f t="shared" si="27"/>
        <v>2</v>
      </c>
      <c r="E197" t="s">
        <v>694</v>
      </c>
      <c r="F197" t="s">
        <v>79</v>
      </c>
      <c r="G197" t="s">
        <v>95</v>
      </c>
      <c r="H197" t="s">
        <v>54</v>
      </c>
      <c r="I197" t="s">
        <v>84</v>
      </c>
      <c r="J197" t="s">
        <v>85</v>
      </c>
      <c r="K197" t="s">
        <v>41</v>
      </c>
      <c r="L197" t="s">
        <v>57</v>
      </c>
      <c r="M197" t="s">
        <v>695</v>
      </c>
      <c r="N197" t="s">
        <v>44</v>
      </c>
      <c r="O197">
        <v>5</v>
      </c>
      <c r="P197">
        <v>1922.83</v>
      </c>
      <c r="Q197" s="11">
        <v>0</v>
      </c>
      <c r="R197">
        <v>9614.15</v>
      </c>
      <c r="S197">
        <v>7576.84</v>
      </c>
      <c r="T197">
        <v>2037.31</v>
      </c>
      <c r="U197" t="s">
        <v>32</v>
      </c>
      <c r="V197" t="s">
        <v>33</v>
      </c>
      <c r="X197" s="8" t="str">
        <f>IF(C197&gt;=B197,"Valid", "Invalid-Date")</f>
        <v>Valid</v>
      </c>
      <c r="Y197" s="8" t="str">
        <f t="shared" si="28"/>
        <v>Valid</v>
      </c>
      <c r="Z197" s="8" t="str">
        <f t="shared" si="29"/>
        <v>Pass</v>
      </c>
      <c r="AA197" s="8" t="str">
        <f t="shared" si="30"/>
        <v>Pass</v>
      </c>
      <c r="AB197" s="8" t="str">
        <f>TEXT(B197,"mmmm")</f>
        <v>July</v>
      </c>
      <c r="AC197" s="8" t="str">
        <f>TEXT(B197,"yyyy")</f>
        <v>2025</v>
      </c>
      <c r="AE197">
        <f t="shared" si="31"/>
        <v>9614.15</v>
      </c>
      <c r="AF197" s="11">
        <f t="shared" si="32"/>
        <v>9614.15</v>
      </c>
      <c r="AG197">
        <f t="shared" si="33"/>
        <v>2037.3099999999995</v>
      </c>
      <c r="AH197" s="11">
        <f t="shared" si="34"/>
        <v>0.21190744891644084</v>
      </c>
      <c r="AI197" s="44">
        <f t="shared" si="35"/>
        <v>0.21190744891644084</v>
      </c>
    </row>
    <row r="198" spans="1:35">
      <c r="A198" t="s">
        <v>696</v>
      </c>
      <c r="B198" s="5">
        <v>45313</v>
      </c>
      <c r="C198" s="5">
        <v>45316</v>
      </c>
      <c r="D198" s="13">
        <f t="shared" si="27"/>
        <v>3</v>
      </c>
      <c r="E198" t="s">
        <v>697</v>
      </c>
      <c r="F198" t="s">
        <v>264</v>
      </c>
      <c r="G198" t="s">
        <v>95</v>
      </c>
      <c r="H198" t="s">
        <v>25</v>
      </c>
      <c r="I198" t="s">
        <v>136</v>
      </c>
      <c r="J198" t="s">
        <v>137</v>
      </c>
      <c r="K198" t="s">
        <v>28</v>
      </c>
      <c r="L198" t="s">
        <v>124</v>
      </c>
      <c r="M198" t="s">
        <v>698</v>
      </c>
      <c r="N198" t="s">
        <v>50</v>
      </c>
      <c r="O198">
        <v>3</v>
      </c>
      <c r="P198">
        <v>1212.03</v>
      </c>
      <c r="Q198" s="11">
        <v>0.1</v>
      </c>
      <c r="R198">
        <v>3272.48</v>
      </c>
      <c r="S198">
        <v>2517.44</v>
      </c>
      <c r="T198">
        <v>755.04</v>
      </c>
      <c r="U198" t="s">
        <v>32</v>
      </c>
      <c r="V198" t="s">
        <v>33</v>
      </c>
      <c r="X198" s="8" t="str">
        <f>IF(C198&gt;=B198,"Valid", "Invalid-Date")</f>
        <v>Valid</v>
      </c>
      <c r="Y198" s="8" t="str">
        <f t="shared" si="28"/>
        <v>Valid</v>
      </c>
      <c r="Z198" s="8" t="str">
        <f t="shared" si="29"/>
        <v>Pass</v>
      </c>
      <c r="AA198" s="8" t="str">
        <f t="shared" si="30"/>
        <v>Pass</v>
      </c>
      <c r="AB198" s="8" t="str">
        <f>TEXT(B198,"mmmm")</f>
        <v>January</v>
      </c>
      <c r="AC198" s="8" t="str">
        <f>TEXT(B198,"yyyy")</f>
        <v>2024</v>
      </c>
      <c r="AE198">
        <f t="shared" si="31"/>
        <v>3636.09</v>
      </c>
      <c r="AF198" s="11">
        <f t="shared" si="32"/>
        <v>3272.4810000000002</v>
      </c>
      <c r="AG198">
        <f t="shared" si="33"/>
        <v>1118.6500000000001</v>
      </c>
      <c r="AH198" s="11">
        <f t="shared" si="34"/>
        <v>0.30765190080553562</v>
      </c>
      <c r="AI198" s="44">
        <f t="shared" si="35"/>
        <v>0.30765190080553562</v>
      </c>
    </row>
    <row r="199" spans="1:35">
      <c r="A199" t="s">
        <v>699</v>
      </c>
      <c r="B199" s="5">
        <v>45747</v>
      </c>
      <c r="C199" s="5">
        <v>45754</v>
      </c>
      <c r="D199" s="13">
        <f t="shared" si="27"/>
        <v>7</v>
      </c>
      <c r="E199" t="s">
        <v>390</v>
      </c>
      <c r="F199" t="s">
        <v>118</v>
      </c>
      <c r="G199" t="s">
        <v>37</v>
      </c>
      <c r="H199" t="s">
        <v>38</v>
      </c>
      <c r="I199" t="s">
        <v>145</v>
      </c>
      <c r="J199" t="s">
        <v>146</v>
      </c>
      <c r="K199" t="s">
        <v>28</v>
      </c>
      <c r="L199" t="s">
        <v>124</v>
      </c>
      <c r="M199" t="s">
        <v>700</v>
      </c>
      <c r="N199" t="s">
        <v>31</v>
      </c>
      <c r="O199">
        <v>5</v>
      </c>
      <c r="P199">
        <v>4096.4399999999996</v>
      </c>
      <c r="Q199" s="11">
        <v>0.15</v>
      </c>
      <c r="R199">
        <v>17409.87</v>
      </c>
      <c r="S199">
        <v>14076.25</v>
      </c>
      <c r="T199">
        <v>3333.62</v>
      </c>
      <c r="U199" t="s">
        <v>32</v>
      </c>
      <c r="V199" t="s">
        <v>33</v>
      </c>
      <c r="X199" s="8" t="str">
        <f>IF(C199&gt;=B199,"Valid", "Invalid-Date")</f>
        <v>Valid</v>
      </c>
      <c r="Y199" s="8" t="str">
        <f t="shared" si="28"/>
        <v>Valid</v>
      </c>
      <c r="Z199" s="8" t="str">
        <f t="shared" si="29"/>
        <v>Pass</v>
      </c>
      <c r="AA199" s="8" t="str">
        <f t="shared" si="30"/>
        <v>Pass</v>
      </c>
      <c r="AB199" s="8" t="str">
        <f>TEXT(B199,"mmmm")</f>
        <v>March</v>
      </c>
      <c r="AC199" s="8" t="str">
        <f>TEXT(B199,"yyyy")</f>
        <v>2025</v>
      </c>
      <c r="AE199">
        <f t="shared" si="31"/>
        <v>20482.199999999997</v>
      </c>
      <c r="AF199" s="11">
        <f t="shared" si="32"/>
        <v>17409.869999999995</v>
      </c>
      <c r="AG199">
        <f t="shared" si="33"/>
        <v>6405.9499999999971</v>
      </c>
      <c r="AH199" s="11">
        <f t="shared" si="34"/>
        <v>0.31275693040786623</v>
      </c>
      <c r="AI199" s="44">
        <f t="shared" si="35"/>
        <v>0.31275693040786623</v>
      </c>
    </row>
    <row r="200" spans="1:35">
      <c r="A200" t="s">
        <v>701</v>
      </c>
      <c r="B200" s="5">
        <v>45448</v>
      </c>
      <c r="C200" s="5">
        <v>45449</v>
      </c>
      <c r="D200" s="13">
        <f t="shared" si="27"/>
        <v>1</v>
      </c>
      <c r="E200" t="s">
        <v>702</v>
      </c>
      <c r="F200" t="s">
        <v>132</v>
      </c>
      <c r="G200" t="s">
        <v>24</v>
      </c>
      <c r="H200" t="s">
        <v>63</v>
      </c>
      <c r="I200" t="s">
        <v>180</v>
      </c>
      <c r="J200" t="s">
        <v>181</v>
      </c>
      <c r="K200" t="s">
        <v>28</v>
      </c>
      <c r="L200" t="s">
        <v>48</v>
      </c>
      <c r="M200" t="s">
        <v>703</v>
      </c>
      <c r="N200" t="s">
        <v>31</v>
      </c>
      <c r="O200">
        <v>1</v>
      </c>
      <c r="P200">
        <v>1184.58</v>
      </c>
      <c r="Q200" s="11">
        <v>0.05</v>
      </c>
      <c r="R200">
        <v>1125.3499999999999</v>
      </c>
      <c r="S200">
        <v>676.97</v>
      </c>
      <c r="T200">
        <v>448.38</v>
      </c>
      <c r="U200" t="s">
        <v>155</v>
      </c>
      <c r="V200" t="s">
        <v>68</v>
      </c>
      <c r="X200" s="8" t="str">
        <f>IF(C200&gt;=B200,"Valid", "Invalid-Date")</f>
        <v>Valid</v>
      </c>
      <c r="Y200" s="8" t="str">
        <f t="shared" si="28"/>
        <v>Valid</v>
      </c>
      <c r="Z200" s="8" t="str">
        <f t="shared" si="29"/>
        <v>Pass</v>
      </c>
      <c r="AA200" s="8" t="str">
        <f t="shared" si="30"/>
        <v>Pass</v>
      </c>
      <c r="AB200" s="8" t="str">
        <f>TEXT(B200,"mmmm")</f>
        <v>June</v>
      </c>
      <c r="AC200" s="8" t="str">
        <f>TEXT(B200,"yyyy")</f>
        <v>2024</v>
      </c>
      <c r="AE200">
        <f t="shared" si="31"/>
        <v>1184.58</v>
      </c>
      <c r="AF200" s="11">
        <f t="shared" si="32"/>
        <v>1125.3509999999999</v>
      </c>
      <c r="AG200">
        <f t="shared" si="33"/>
        <v>507.6099999999999</v>
      </c>
      <c r="AH200" s="11">
        <f t="shared" si="34"/>
        <v>0.42851474784311733</v>
      </c>
      <c r="AI200" s="44">
        <f t="shared" si="35"/>
        <v>0.42851474784311733</v>
      </c>
    </row>
    <row r="201" spans="1:35">
      <c r="A201" t="s">
        <v>704</v>
      </c>
      <c r="B201" s="5">
        <v>45629</v>
      </c>
      <c r="C201" s="5">
        <v>45363</v>
      </c>
      <c r="D201" s="13">
        <f t="shared" si="27"/>
        <v>-266</v>
      </c>
      <c r="E201" t="s">
        <v>705</v>
      </c>
      <c r="F201" t="s">
        <v>118</v>
      </c>
      <c r="G201" t="s">
        <v>95</v>
      </c>
      <c r="H201" t="s">
        <v>38</v>
      </c>
      <c r="I201" t="s">
        <v>145</v>
      </c>
      <c r="J201" t="s">
        <v>146</v>
      </c>
      <c r="K201" t="s">
        <v>74</v>
      </c>
      <c r="L201" t="s">
        <v>274</v>
      </c>
      <c r="M201" t="s">
        <v>706</v>
      </c>
      <c r="N201" t="s">
        <v>2785</v>
      </c>
      <c r="O201">
        <v>6</v>
      </c>
      <c r="P201">
        <v>2185.58</v>
      </c>
      <c r="Q201" s="11">
        <v>0.25</v>
      </c>
      <c r="R201">
        <v>9835.11</v>
      </c>
      <c r="S201">
        <v>5437.64</v>
      </c>
      <c r="T201">
        <v>4397.47</v>
      </c>
      <c r="U201" t="s">
        <v>32</v>
      </c>
      <c r="V201" t="s">
        <v>33</v>
      </c>
      <c r="X201" s="8" t="str">
        <f>IF(C201&gt;=B201,"Valid", "Invalid-Date")</f>
        <v>Invalid-Date</v>
      </c>
      <c r="Y201" s="8" t="str">
        <f t="shared" si="28"/>
        <v>Valid</v>
      </c>
      <c r="Z201" s="8" t="str">
        <f t="shared" si="29"/>
        <v>Flagged</v>
      </c>
      <c r="AA201" s="8" t="str">
        <f t="shared" si="30"/>
        <v>Pass</v>
      </c>
      <c r="AB201" s="8" t="str">
        <f>TEXT(B201,"mmmm")</f>
        <v>December</v>
      </c>
      <c r="AC201" s="8" t="str">
        <f>TEXT(B201,"yyyy")</f>
        <v>2024</v>
      </c>
      <c r="AE201">
        <f t="shared" si="31"/>
        <v>13113.48</v>
      </c>
      <c r="AF201" s="11">
        <f t="shared" si="32"/>
        <v>9835.11</v>
      </c>
      <c r="AG201">
        <f t="shared" si="33"/>
        <v>7675.8399999999992</v>
      </c>
      <c r="AH201" s="11">
        <f t="shared" si="34"/>
        <v>0.58533966574852747</v>
      </c>
      <c r="AI201" s="44">
        <f t="shared" si="35"/>
        <v>0.58533966574852747</v>
      </c>
    </row>
    <row r="202" spans="1:35">
      <c r="A202" t="s">
        <v>707</v>
      </c>
      <c r="B202" s="5">
        <v>45835</v>
      </c>
      <c r="C202" s="5">
        <v>45784</v>
      </c>
      <c r="D202" s="13">
        <f t="shared" si="27"/>
        <v>-51</v>
      </c>
      <c r="E202" t="s">
        <v>708</v>
      </c>
      <c r="F202" t="s">
        <v>114</v>
      </c>
      <c r="G202" t="s">
        <v>37</v>
      </c>
      <c r="H202" t="s">
        <v>25</v>
      </c>
      <c r="I202" t="s">
        <v>26</v>
      </c>
      <c r="J202" t="s">
        <v>27</v>
      </c>
      <c r="K202" t="s">
        <v>74</v>
      </c>
      <c r="L202" t="s">
        <v>80</v>
      </c>
      <c r="M202" t="s">
        <v>709</v>
      </c>
      <c r="N202" t="s">
        <v>50</v>
      </c>
      <c r="O202">
        <v>5</v>
      </c>
      <c r="P202">
        <v>2868.44</v>
      </c>
      <c r="Q202" s="11">
        <v>0.1</v>
      </c>
      <c r="R202">
        <v>12907.98</v>
      </c>
      <c r="S202">
        <v>9197.08</v>
      </c>
      <c r="T202">
        <v>3710.9</v>
      </c>
      <c r="U202" t="s">
        <v>111</v>
      </c>
      <c r="V202" t="s">
        <v>68</v>
      </c>
      <c r="X202" s="8" t="str">
        <f>IF(C202&gt;=B202,"Valid", "Invalid-Date")</f>
        <v>Invalid-Date</v>
      </c>
      <c r="Y202" s="8" t="str">
        <f t="shared" si="28"/>
        <v>Valid</v>
      </c>
      <c r="Z202" s="8" t="str">
        <f t="shared" si="29"/>
        <v>Pass</v>
      </c>
      <c r="AA202" s="8" t="str">
        <f t="shared" si="30"/>
        <v>Pass</v>
      </c>
      <c r="AB202" s="8" t="str">
        <f>TEXT(B202,"mmmm")</f>
        <v>June</v>
      </c>
      <c r="AC202" s="8" t="str">
        <f>TEXT(B202,"yyyy")</f>
        <v>2025</v>
      </c>
      <c r="AE202">
        <f t="shared" si="31"/>
        <v>14342.2</v>
      </c>
      <c r="AF202" s="11">
        <f t="shared" si="32"/>
        <v>12907.980000000001</v>
      </c>
      <c r="AG202">
        <f t="shared" si="33"/>
        <v>5145.1200000000008</v>
      </c>
      <c r="AH202" s="11">
        <f t="shared" si="34"/>
        <v>0.35873994226827127</v>
      </c>
      <c r="AI202" s="44">
        <f t="shared" si="35"/>
        <v>0.35873994226827127</v>
      </c>
    </row>
    <row r="203" spans="1:35">
      <c r="A203" t="s">
        <v>710</v>
      </c>
      <c r="B203" s="5">
        <v>45864</v>
      </c>
      <c r="C203" s="5">
        <v>45724</v>
      </c>
      <c r="D203" s="13">
        <f t="shared" si="27"/>
        <v>-140</v>
      </c>
      <c r="E203" t="s">
        <v>711</v>
      </c>
      <c r="F203" t="s">
        <v>71</v>
      </c>
      <c r="G203" t="s">
        <v>24</v>
      </c>
      <c r="H203" t="s">
        <v>63</v>
      </c>
      <c r="I203" t="s">
        <v>72</v>
      </c>
      <c r="J203" t="s">
        <v>73</v>
      </c>
      <c r="K203" t="s">
        <v>28</v>
      </c>
      <c r="L203" t="s">
        <v>91</v>
      </c>
      <c r="M203" t="s">
        <v>712</v>
      </c>
      <c r="N203" t="s">
        <v>31</v>
      </c>
      <c r="O203">
        <v>2</v>
      </c>
      <c r="P203">
        <v>2503.5300000000002</v>
      </c>
      <c r="Q203" s="11">
        <v>-0.16</v>
      </c>
      <c r="R203">
        <v>4756.71</v>
      </c>
      <c r="S203">
        <v>2954.86</v>
      </c>
      <c r="T203">
        <v>1801.85</v>
      </c>
      <c r="U203" t="s">
        <v>102</v>
      </c>
      <c r="V203" t="s">
        <v>68</v>
      </c>
      <c r="X203" s="8" t="str">
        <f>IF(C203&gt;=B203,"Valid", "Invalid-Date")</f>
        <v>Invalid-Date</v>
      </c>
      <c r="Y203" s="8" t="str">
        <f t="shared" si="28"/>
        <v>Invalid-Discount</v>
      </c>
      <c r="Z203" s="8" t="str">
        <f t="shared" si="29"/>
        <v>Pass</v>
      </c>
      <c r="AA203" s="8" t="str">
        <f t="shared" si="30"/>
        <v>Pass</v>
      </c>
      <c r="AB203" s="8" t="str">
        <f>TEXT(B203,"mmmm")</f>
        <v>July</v>
      </c>
      <c r="AC203" s="8" t="str">
        <f>TEXT(B203,"yyyy")</f>
        <v>2025</v>
      </c>
      <c r="AE203">
        <f t="shared" si="31"/>
        <v>5007.0600000000004</v>
      </c>
      <c r="AF203" s="11">
        <f t="shared" si="32"/>
        <v>5808.1895999999997</v>
      </c>
      <c r="AG203">
        <f t="shared" si="33"/>
        <v>2052.2000000000003</v>
      </c>
      <c r="AH203" s="11">
        <f t="shared" si="34"/>
        <v>0.40986127587845966</v>
      </c>
      <c r="AI203" s="44">
        <f t="shared" si="35"/>
        <v>0.40986127587845966</v>
      </c>
    </row>
    <row r="204" spans="1:35">
      <c r="A204" t="s">
        <v>713</v>
      </c>
      <c r="B204" s="5">
        <v>45744</v>
      </c>
      <c r="C204" s="5">
        <v>45744</v>
      </c>
      <c r="D204" s="13">
        <f t="shared" si="27"/>
        <v>0</v>
      </c>
      <c r="E204" t="s">
        <v>714</v>
      </c>
      <c r="F204" t="s">
        <v>132</v>
      </c>
      <c r="G204" t="s">
        <v>90</v>
      </c>
      <c r="H204" t="s">
        <v>63</v>
      </c>
      <c r="I204" t="s">
        <v>190</v>
      </c>
      <c r="J204" t="s">
        <v>191</v>
      </c>
      <c r="K204" t="s">
        <v>74</v>
      </c>
      <c r="L204" t="s">
        <v>75</v>
      </c>
      <c r="M204" t="s">
        <v>715</v>
      </c>
      <c r="N204" t="s">
        <v>59</v>
      </c>
      <c r="O204">
        <v>8</v>
      </c>
      <c r="P204">
        <v>1740.94</v>
      </c>
      <c r="Q204" s="11">
        <v>0.05</v>
      </c>
      <c r="R204">
        <v>13231.14</v>
      </c>
      <c r="S204">
        <v>11290.06</v>
      </c>
      <c r="T204">
        <v>1941.08</v>
      </c>
      <c r="U204" t="s">
        <v>32</v>
      </c>
      <c r="V204" t="s">
        <v>33</v>
      </c>
      <c r="X204" s="8" t="str">
        <f>IF(C204&gt;=B204,"Valid", "Invalid-Date")</f>
        <v>Valid</v>
      </c>
      <c r="Y204" s="8" t="str">
        <f t="shared" si="28"/>
        <v>Valid</v>
      </c>
      <c r="Z204" s="8" t="str">
        <f t="shared" si="29"/>
        <v>Pass</v>
      </c>
      <c r="AA204" s="8" t="str">
        <f t="shared" si="30"/>
        <v>Pass</v>
      </c>
      <c r="AB204" s="8" t="str">
        <f>TEXT(B204,"mmmm")</f>
        <v>March</v>
      </c>
      <c r="AC204" s="8" t="str">
        <f>TEXT(B204,"yyyy")</f>
        <v>2025</v>
      </c>
      <c r="AE204">
        <f t="shared" si="31"/>
        <v>13927.52</v>
      </c>
      <c r="AF204" s="11">
        <f t="shared" si="32"/>
        <v>13231.144</v>
      </c>
      <c r="AG204">
        <f t="shared" si="33"/>
        <v>2637.4600000000009</v>
      </c>
      <c r="AH204" s="11">
        <f t="shared" si="34"/>
        <v>0.18937039760129593</v>
      </c>
      <c r="AI204" s="44">
        <f t="shared" si="35"/>
        <v>0.18937039760129593</v>
      </c>
    </row>
    <row r="205" spans="1:35">
      <c r="A205" t="s">
        <v>716</v>
      </c>
      <c r="B205" s="5">
        <v>45379</v>
      </c>
      <c r="C205" s="5">
        <v>45381</v>
      </c>
      <c r="D205" s="13">
        <f t="shared" si="27"/>
        <v>2</v>
      </c>
      <c r="E205" t="s">
        <v>717</v>
      </c>
      <c r="F205" t="s">
        <v>132</v>
      </c>
      <c r="G205" t="s">
        <v>90</v>
      </c>
      <c r="H205" t="s">
        <v>63</v>
      </c>
      <c r="I205" t="s">
        <v>26</v>
      </c>
      <c r="J205" t="s">
        <v>109</v>
      </c>
      <c r="K205" t="s">
        <v>74</v>
      </c>
      <c r="L205" t="s">
        <v>75</v>
      </c>
      <c r="M205" t="s">
        <v>718</v>
      </c>
      <c r="N205" t="s">
        <v>31</v>
      </c>
      <c r="O205">
        <v>1</v>
      </c>
      <c r="P205">
        <v>570.34</v>
      </c>
      <c r="Q205" s="11">
        <v>0.15</v>
      </c>
      <c r="R205">
        <v>484.79</v>
      </c>
      <c r="S205">
        <v>333.54</v>
      </c>
      <c r="T205">
        <v>151.25</v>
      </c>
      <c r="U205" t="s">
        <v>32</v>
      </c>
      <c r="V205" t="s">
        <v>33</v>
      </c>
      <c r="X205" s="8" t="str">
        <f>IF(C205&gt;=B205,"Valid", "Invalid-Date")</f>
        <v>Valid</v>
      </c>
      <c r="Y205" s="8" t="str">
        <f t="shared" si="28"/>
        <v>Valid</v>
      </c>
      <c r="Z205" s="8" t="str">
        <f t="shared" si="29"/>
        <v>Pass</v>
      </c>
      <c r="AA205" s="8" t="str">
        <f t="shared" si="30"/>
        <v>Pass</v>
      </c>
      <c r="AB205" s="8" t="str">
        <f>TEXT(B205,"mmmm")</f>
        <v>March</v>
      </c>
      <c r="AC205" s="8" t="str">
        <f>TEXT(B205,"yyyy")</f>
        <v>2024</v>
      </c>
      <c r="AE205">
        <f t="shared" si="31"/>
        <v>570.34</v>
      </c>
      <c r="AF205" s="11">
        <f t="shared" si="32"/>
        <v>484.78899999999999</v>
      </c>
      <c r="AG205">
        <f t="shared" si="33"/>
        <v>236.8</v>
      </c>
      <c r="AH205" s="11">
        <f t="shared" si="34"/>
        <v>0.41519093873829643</v>
      </c>
      <c r="AI205" s="44">
        <f t="shared" si="35"/>
        <v>0.41519093873829643</v>
      </c>
    </row>
    <row r="206" spans="1:35">
      <c r="A206" t="s">
        <v>719</v>
      </c>
      <c r="B206" s="5">
        <v>45858</v>
      </c>
      <c r="C206" s="5">
        <v>45861</v>
      </c>
      <c r="D206" s="13">
        <f t="shared" si="27"/>
        <v>3</v>
      </c>
      <c r="E206" t="s">
        <v>720</v>
      </c>
      <c r="F206" t="s">
        <v>36</v>
      </c>
      <c r="G206" t="s">
        <v>95</v>
      </c>
      <c r="H206" t="s">
        <v>38</v>
      </c>
      <c r="I206" t="s">
        <v>99</v>
      </c>
      <c r="J206" t="s">
        <v>100</v>
      </c>
      <c r="K206" t="s">
        <v>41</v>
      </c>
      <c r="L206" t="s">
        <v>42</v>
      </c>
      <c r="M206" t="s">
        <v>721</v>
      </c>
      <c r="N206" t="s">
        <v>31</v>
      </c>
      <c r="O206">
        <v>4</v>
      </c>
      <c r="P206">
        <v>477.69</v>
      </c>
      <c r="Q206" s="11">
        <v>0.15</v>
      </c>
      <c r="R206">
        <v>1624.15</v>
      </c>
      <c r="S206">
        <v>1217.99</v>
      </c>
      <c r="T206">
        <v>406.16</v>
      </c>
      <c r="U206" t="s">
        <v>32</v>
      </c>
      <c r="V206" t="s">
        <v>33</v>
      </c>
      <c r="X206" s="8" t="str">
        <f>IF(C206&gt;=B206,"Valid", "Invalid-Date")</f>
        <v>Valid</v>
      </c>
      <c r="Y206" s="8" t="str">
        <f t="shared" si="28"/>
        <v>Valid</v>
      </c>
      <c r="Z206" s="8" t="str">
        <f t="shared" si="29"/>
        <v>Pass</v>
      </c>
      <c r="AA206" s="8" t="str">
        <f t="shared" si="30"/>
        <v>Pass</v>
      </c>
      <c r="AB206" s="8" t="str">
        <f>TEXT(B206,"mmmm")</f>
        <v>July</v>
      </c>
      <c r="AC206" s="8" t="str">
        <f>TEXT(B206,"yyyy")</f>
        <v>2025</v>
      </c>
      <c r="AE206">
        <f t="shared" si="31"/>
        <v>1910.76</v>
      </c>
      <c r="AF206" s="11">
        <f t="shared" si="32"/>
        <v>1624.146</v>
      </c>
      <c r="AG206">
        <f t="shared" si="33"/>
        <v>692.77</v>
      </c>
      <c r="AH206" s="11">
        <f t="shared" si="34"/>
        <v>0.36256254055977727</v>
      </c>
      <c r="AI206" s="44">
        <f t="shared" si="35"/>
        <v>0.36256254055977727</v>
      </c>
    </row>
    <row r="207" spans="1:35">
      <c r="A207" t="s">
        <v>722</v>
      </c>
      <c r="B207" s="5">
        <v>45768</v>
      </c>
      <c r="C207" s="5">
        <v>45773</v>
      </c>
      <c r="D207" s="13">
        <f t="shared" si="27"/>
        <v>5</v>
      </c>
      <c r="E207" t="s">
        <v>723</v>
      </c>
      <c r="F207" t="s">
        <v>62</v>
      </c>
      <c r="G207" t="s">
        <v>24</v>
      </c>
      <c r="H207" t="s">
        <v>63</v>
      </c>
      <c r="I207" t="s">
        <v>64</v>
      </c>
      <c r="J207" t="s">
        <v>65</v>
      </c>
      <c r="K207" t="s">
        <v>28</v>
      </c>
      <c r="L207" t="s">
        <v>91</v>
      </c>
      <c r="M207" t="s">
        <v>724</v>
      </c>
      <c r="N207" t="s">
        <v>44</v>
      </c>
      <c r="O207">
        <v>6</v>
      </c>
      <c r="P207">
        <v>873.59</v>
      </c>
      <c r="Q207" s="11">
        <v>0.2</v>
      </c>
      <c r="R207">
        <v>4193.2299999999996</v>
      </c>
      <c r="S207">
        <v>3329.99</v>
      </c>
      <c r="T207">
        <v>863.24</v>
      </c>
      <c r="U207" t="s">
        <v>32</v>
      </c>
      <c r="V207" t="s">
        <v>33</v>
      </c>
      <c r="X207" s="8" t="str">
        <f>IF(C207&gt;=B207,"Valid", "Invalid-Date")</f>
        <v>Valid</v>
      </c>
      <c r="Y207" s="8" t="str">
        <f t="shared" si="28"/>
        <v>Valid</v>
      </c>
      <c r="Z207" s="8" t="str">
        <f t="shared" si="29"/>
        <v>Pass</v>
      </c>
      <c r="AA207" s="8" t="str">
        <f t="shared" si="30"/>
        <v>Pass</v>
      </c>
      <c r="AB207" s="8" t="str">
        <f>TEXT(B207,"mmmm")</f>
        <v>April</v>
      </c>
      <c r="AC207" s="8" t="str">
        <f>TEXT(B207,"yyyy")</f>
        <v>2025</v>
      </c>
      <c r="AE207">
        <f t="shared" si="31"/>
        <v>5241.54</v>
      </c>
      <c r="AF207" s="11">
        <f t="shared" si="32"/>
        <v>4193.232</v>
      </c>
      <c r="AG207">
        <f t="shared" si="33"/>
        <v>1911.5500000000002</v>
      </c>
      <c r="AH207" s="11">
        <f t="shared" si="34"/>
        <v>0.36469243771868576</v>
      </c>
      <c r="AI207" s="44">
        <f t="shared" si="35"/>
        <v>0.36469243771868576</v>
      </c>
    </row>
    <row r="208" spans="1:35">
      <c r="A208" t="s">
        <v>725</v>
      </c>
      <c r="B208" s="5">
        <v>45795</v>
      </c>
      <c r="C208" s="5">
        <v>45797</v>
      </c>
      <c r="D208" s="13">
        <f t="shared" si="27"/>
        <v>2</v>
      </c>
      <c r="E208" t="s">
        <v>726</v>
      </c>
      <c r="F208" t="s">
        <v>162</v>
      </c>
      <c r="G208" t="s">
        <v>37</v>
      </c>
      <c r="H208" t="s">
        <v>25</v>
      </c>
      <c r="I208" t="s">
        <v>136</v>
      </c>
      <c r="J208" t="s">
        <v>137</v>
      </c>
      <c r="K208" t="s">
        <v>41</v>
      </c>
      <c r="L208" t="s">
        <v>57</v>
      </c>
      <c r="M208" t="s">
        <v>727</v>
      </c>
      <c r="N208" t="s">
        <v>50</v>
      </c>
      <c r="O208">
        <v>2</v>
      </c>
      <c r="P208">
        <v>215.13</v>
      </c>
      <c r="Q208" s="11">
        <v>0</v>
      </c>
      <c r="R208">
        <v>430.26</v>
      </c>
      <c r="S208">
        <v>286.38</v>
      </c>
      <c r="T208">
        <v>143.88</v>
      </c>
      <c r="U208" t="s">
        <v>32</v>
      </c>
      <c r="V208" t="s">
        <v>33</v>
      </c>
      <c r="X208" s="8" t="str">
        <f>IF(C208&gt;=B208,"Valid", "Invalid-Date")</f>
        <v>Valid</v>
      </c>
      <c r="Y208" s="8" t="str">
        <f t="shared" si="28"/>
        <v>Valid</v>
      </c>
      <c r="Z208" s="8" t="str">
        <f t="shared" si="29"/>
        <v>Pass</v>
      </c>
      <c r="AA208" s="8" t="str">
        <f t="shared" si="30"/>
        <v>Pass</v>
      </c>
      <c r="AB208" s="8" t="str">
        <f>TEXT(B208,"mmmm")</f>
        <v>May</v>
      </c>
      <c r="AC208" s="8" t="str">
        <f>TEXT(B208,"yyyy")</f>
        <v>2025</v>
      </c>
      <c r="AE208">
        <f t="shared" si="31"/>
        <v>430.26</v>
      </c>
      <c r="AF208" s="11">
        <f t="shared" si="32"/>
        <v>430.26</v>
      </c>
      <c r="AG208">
        <f t="shared" si="33"/>
        <v>143.88</v>
      </c>
      <c r="AH208" s="11">
        <f t="shared" si="34"/>
        <v>0.33440245432994004</v>
      </c>
      <c r="AI208" s="44">
        <f t="shared" si="35"/>
        <v>0.33440245432994004</v>
      </c>
    </row>
    <row r="209" spans="1:35">
      <c r="A209" t="s">
        <v>728</v>
      </c>
      <c r="B209" s="5">
        <v>45483</v>
      </c>
      <c r="C209" s="5">
        <v>45489</v>
      </c>
      <c r="D209" s="13">
        <f t="shared" si="27"/>
        <v>6</v>
      </c>
      <c r="E209" t="s">
        <v>729</v>
      </c>
      <c r="F209" t="s">
        <v>128</v>
      </c>
      <c r="G209" t="s">
        <v>95</v>
      </c>
      <c r="H209" t="s">
        <v>63</v>
      </c>
      <c r="I209" t="s">
        <v>190</v>
      </c>
      <c r="J209" t="s">
        <v>191</v>
      </c>
      <c r="K209" t="s">
        <v>41</v>
      </c>
      <c r="L209" t="s">
        <v>158</v>
      </c>
      <c r="M209" t="s">
        <v>730</v>
      </c>
      <c r="N209" t="s">
        <v>31</v>
      </c>
      <c r="O209">
        <v>2</v>
      </c>
      <c r="P209">
        <v>1095.45</v>
      </c>
      <c r="Q209" s="11">
        <v>0.2</v>
      </c>
      <c r="R209">
        <v>1752.72</v>
      </c>
      <c r="S209">
        <v>996.41</v>
      </c>
      <c r="T209">
        <v>756.31</v>
      </c>
      <c r="U209" t="s">
        <v>32</v>
      </c>
      <c r="V209" t="s">
        <v>33</v>
      </c>
      <c r="X209" s="8" t="str">
        <f>IF(C209&gt;=B209,"Valid", "Invalid-Date")</f>
        <v>Valid</v>
      </c>
      <c r="Y209" s="8" t="str">
        <f t="shared" si="28"/>
        <v>Valid</v>
      </c>
      <c r="Z209" s="8" t="str">
        <f t="shared" si="29"/>
        <v>Pass</v>
      </c>
      <c r="AA209" s="8" t="str">
        <f t="shared" si="30"/>
        <v>Pass</v>
      </c>
      <c r="AB209" s="8" t="str">
        <f>TEXT(B209,"mmmm")</f>
        <v>July</v>
      </c>
      <c r="AC209" s="8" t="str">
        <f>TEXT(B209,"yyyy")</f>
        <v>2024</v>
      </c>
      <c r="AE209">
        <f t="shared" si="31"/>
        <v>2190.9</v>
      </c>
      <c r="AF209" s="11">
        <f t="shared" si="32"/>
        <v>1752.7200000000003</v>
      </c>
      <c r="AG209">
        <f t="shared" si="33"/>
        <v>1194.4900000000002</v>
      </c>
      <c r="AH209" s="11">
        <f t="shared" si="34"/>
        <v>0.5452051668264184</v>
      </c>
      <c r="AI209" s="44">
        <f t="shared" si="35"/>
        <v>0.5452051668264184</v>
      </c>
    </row>
    <row r="210" spans="1:35">
      <c r="A210" t="s">
        <v>731</v>
      </c>
      <c r="B210" s="5">
        <v>45837</v>
      </c>
      <c r="C210" s="5">
        <v>45843</v>
      </c>
      <c r="D210" s="13">
        <f t="shared" si="27"/>
        <v>6</v>
      </c>
      <c r="E210" t="s">
        <v>732</v>
      </c>
      <c r="F210" t="s">
        <v>162</v>
      </c>
      <c r="G210" t="s">
        <v>24</v>
      </c>
      <c r="H210" t="s">
        <v>25</v>
      </c>
      <c r="I210" t="s">
        <v>122</v>
      </c>
      <c r="J210" t="s">
        <v>123</v>
      </c>
      <c r="K210" t="s">
        <v>41</v>
      </c>
      <c r="L210" t="s">
        <v>66</v>
      </c>
      <c r="M210" t="s">
        <v>733</v>
      </c>
      <c r="N210" t="s">
        <v>44</v>
      </c>
      <c r="O210">
        <v>1</v>
      </c>
      <c r="P210">
        <v>999.83</v>
      </c>
      <c r="Q210" s="11">
        <v>0</v>
      </c>
      <c r="R210">
        <v>999.83</v>
      </c>
      <c r="S210">
        <v>634.91</v>
      </c>
      <c r="T210">
        <v>364.92</v>
      </c>
      <c r="U210" t="s">
        <v>32</v>
      </c>
      <c r="V210" t="s">
        <v>33</v>
      </c>
      <c r="X210" s="8" t="str">
        <f>IF(C210&gt;=B210,"Valid", "Invalid-Date")</f>
        <v>Valid</v>
      </c>
      <c r="Y210" s="8" t="str">
        <f t="shared" si="28"/>
        <v>Valid</v>
      </c>
      <c r="Z210" s="8" t="str">
        <f t="shared" si="29"/>
        <v>Pass</v>
      </c>
      <c r="AA210" s="8" t="str">
        <f t="shared" si="30"/>
        <v>Pass</v>
      </c>
      <c r="AB210" s="8" t="str">
        <f>TEXT(B210,"mmmm")</f>
        <v>June</v>
      </c>
      <c r="AC210" s="8" t="str">
        <f>TEXT(B210,"yyyy")</f>
        <v>2025</v>
      </c>
      <c r="AE210">
        <f t="shared" si="31"/>
        <v>999.83</v>
      </c>
      <c r="AF210" s="11">
        <f t="shared" si="32"/>
        <v>999.83</v>
      </c>
      <c r="AG210">
        <f t="shared" si="33"/>
        <v>364.92000000000007</v>
      </c>
      <c r="AH210" s="11">
        <f t="shared" si="34"/>
        <v>0.3649820469479812</v>
      </c>
      <c r="AI210" s="44">
        <f t="shared" si="35"/>
        <v>0.3649820469479812</v>
      </c>
    </row>
    <row r="211" spans="1:35">
      <c r="A211" t="s">
        <v>734</v>
      </c>
      <c r="B211" s="5">
        <v>45882</v>
      </c>
      <c r="C211" s="5">
        <v>45883</v>
      </c>
      <c r="D211" s="13">
        <f t="shared" si="27"/>
        <v>1</v>
      </c>
      <c r="E211" t="s">
        <v>735</v>
      </c>
      <c r="F211" t="s">
        <v>141</v>
      </c>
      <c r="G211" t="s">
        <v>37</v>
      </c>
      <c r="H211" t="s">
        <v>54</v>
      </c>
      <c r="I211" t="s">
        <v>84</v>
      </c>
      <c r="J211" t="s">
        <v>85</v>
      </c>
      <c r="K211" t="s">
        <v>28</v>
      </c>
      <c r="L211" t="s">
        <v>29</v>
      </c>
      <c r="M211" t="s">
        <v>736</v>
      </c>
      <c r="N211" t="s">
        <v>50</v>
      </c>
      <c r="O211">
        <v>9</v>
      </c>
      <c r="P211">
        <v>864.98</v>
      </c>
      <c r="Q211" s="11">
        <v>0.1</v>
      </c>
      <c r="R211">
        <v>7006.34</v>
      </c>
      <c r="S211">
        <v>4640.88</v>
      </c>
      <c r="T211">
        <v>2365.46</v>
      </c>
      <c r="U211" t="s">
        <v>32</v>
      </c>
      <c r="V211" t="s">
        <v>33</v>
      </c>
      <c r="X211" s="8" t="str">
        <f>IF(C211&gt;=B211,"Valid", "Invalid-Date")</f>
        <v>Valid</v>
      </c>
      <c r="Y211" s="8" t="str">
        <f t="shared" si="28"/>
        <v>Valid</v>
      </c>
      <c r="Z211" s="8" t="str">
        <f t="shared" si="29"/>
        <v>Pass</v>
      </c>
      <c r="AA211" s="8" t="str">
        <f t="shared" si="30"/>
        <v>Pass</v>
      </c>
      <c r="AB211" s="8" t="str">
        <f>TEXT(B211,"mmmm")</f>
        <v>August</v>
      </c>
      <c r="AC211" s="8" t="str">
        <f>TEXT(B211,"yyyy")</f>
        <v>2025</v>
      </c>
      <c r="AE211">
        <f t="shared" si="31"/>
        <v>7784.82</v>
      </c>
      <c r="AF211" s="11">
        <f t="shared" si="32"/>
        <v>7006.3379999999997</v>
      </c>
      <c r="AG211">
        <f t="shared" si="33"/>
        <v>3143.9399999999996</v>
      </c>
      <c r="AH211" s="11">
        <f t="shared" si="34"/>
        <v>0.40385519511048423</v>
      </c>
      <c r="AI211" s="44">
        <f t="shared" si="35"/>
        <v>0.40385519511048423</v>
      </c>
    </row>
    <row r="212" spans="1:35">
      <c r="A212" t="s">
        <v>737</v>
      </c>
      <c r="B212" s="5">
        <v>45366</v>
      </c>
      <c r="C212" s="5">
        <v>45369</v>
      </c>
      <c r="D212" s="13">
        <f t="shared" si="27"/>
        <v>3</v>
      </c>
      <c r="E212" t="s">
        <v>738</v>
      </c>
      <c r="F212" t="s">
        <v>264</v>
      </c>
      <c r="G212" t="s">
        <v>95</v>
      </c>
      <c r="H212" t="s">
        <v>54</v>
      </c>
      <c r="I212" t="s">
        <v>175</v>
      </c>
      <c r="J212" t="s">
        <v>176</v>
      </c>
      <c r="K212" t="s">
        <v>74</v>
      </c>
      <c r="L212" t="s">
        <v>274</v>
      </c>
      <c r="M212" t="s">
        <v>739</v>
      </c>
      <c r="N212" t="s">
        <v>31</v>
      </c>
      <c r="O212">
        <v>1</v>
      </c>
      <c r="P212">
        <v>4131.3599999999997</v>
      </c>
      <c r="Q212" s="11">
        <v>0</v>
      </c>
      <c r="R212">
        <v>4131.3599999999997</v>
      </c>
      <c r="S212">
        <v>2937.07</v>
      </c>
      <c r="T212">
        <v>1194.29</v>
      </c>
      <c r="U212" t="s">
        <v>155</v>
      </c>
      <c r="V212" t="s">
        <v>103</v>
      </c>
      <c r="X212" s="8" t="str">
        <f>IF(C212&gt;=B212,"Valid", "Invalid-Date")</f>
        <v>Valid</v>
      </c>
      <c r="Y212" s="8" t="str">
        <f t="shared" si="28"/>
        <v>Valid</v>
      </c>
      <c r="Z212" s="8" t="str">
        <f t="shared" si="29"/>
        <v>Pass</v>
      </c>
      <c r="AA212" s="8" t="str">
        <f t="shared" si="30"/>
        <v>Pass</v>
      </c>
      <c r="AB212" s="8" t="str">
        <f>TEXT(B212,"mmmm")</f>
        <v>March</v>
      </c>
      <c r="AC212" s="8" t="str">
        <f>TEXT(B212,"yyyy")</f>
        <v>2024</v>
      </c>
      <c r="AE212">
        <f t="shared" si="31"/>
        <v>4131.3599999999997</v>
      </c>
      <c r="AF212" s="11">
        <f t="shared" si="32"/>
        <v>4131.3599999999997</v>
      </c>
      <c r="AG212">
        <f t="shared" si="33"/>
        <v>1194.2899999999995</v>
      </c>
      <c r="AH212" s="11">
        <f t="shared" si="34"/>
        <v>0.28907914100925591</v>
      </c>
      <c r="AI212" s="44">
        <f t="shared" si="35"/>
        <v>0.28907914100925591</v>
      </c>
    </row>
    <row r="213" spans="1:35">
      <c r="A213" t="s">
        <v>740</v>
      </c>
      <c r="B213" s="5">
        <v>45428</v>
      </c>
      <c r="C213" s="5">
        <v>45429</v>
      </c>
      <c r="D213" s="13">
        <f t="shared" si="27"/>
        <v>1</v>
      </c>
      <c r="E213" t="s">
        <v>741</v>
      </c>
      <c r="F213" t="s">
        <v>141</v>
      </c>
      <c r="G213" t="s">
        <v>90</v>
      </c>
      <c r="H213" t="s">
        <v>38</v>
      </c>
      <c r="I213" t="s">
        <v>99</v>
      </c>
      <c r="J213" t="s">
        <v>100</v>
      </c>
      <c r="K213" t="s">
        <v>74</v>
      </c>
      <c r="L213" t="s">
        <v>80</v>
      </c>
      <c r="M213" t="s">
        <v>742</v>
      </c>
      <c r="N213" t="s">
        <v>31</v>
      </c>
      <c r="O213">
        <v>8</v>
      </c>
      <c r="P213">
        <v>4221.95</v>
      </c>
      <c r="Q213" s="11">
        <v>0.2</v>
      </c>
      <c r="R213">
        <v>27020.48</v>
      </c>
      <c r="S213">
        <v>22885.24</v>
      </c>
      <c r="T213">
        <v>4135.24</v>
      </c>
      <c r="U213" t="s">
        <v>32</v>
      </c>
      <c r="V213" t="s">
        <v>33</v>
      </c>
      <c r="X213" s="8" t="str">
        <f>IF(C213&gt;=B213,"Valid", "Invalid-Date")</f>
        <v>Valid</v>
      </c>
      <c r="Y213" s="8" t="str">
        <f t="shared" si="28"/>
        <v>Valid</v>
      </c>
      <c r="Z213" s="8" t="str">
        <f t="shared" si="29"/>
        <v>Pass</v>
      </c>
      <c r="AA213" s="8" t="str">
        <f t="shared" si="30"/>
        <v>Pass</v>
      </c>
      <c r="AB213" s="8" t="str">
        <f>TEXT(B213,"mmmm")</f>
        <v>May</v>
      </c>
      <c r="AC213" s="8" t="str">
        <f>TEXT(B213,"yyyy")</f>
        <v>2024</v>
      </c>
      <c r="AE213">
        <f t="shared" si="31"/>
        <v>33775.599999999999</v>
      </c>
      <c r="AF213" s="11">
        <f t="shared" si="32"/>
        <v>27020.48</v>
      </c>
      <c r="AG213">
        <f t="shared" si="33"/>
        <v>10890.359999999997</v>
      </c>
      <c r="AH213" s="11">
        <f t="shared" si="34"/>
        <v>0.32243276211229399</v>
      </c>
      <c r="AI213" s="44">
        <f t="shared" si="35"/>
        <v>0.32243276211229399</v>
      </c>
    </row>
    <row r="214" spans="1:35">
      <c r="A214" t="s">
        <v>743</v>
      </c>
      <c r="B214" s="5">
        <v>45556</v>
      </c>
      <c r="C214" s="5">
        <v>45556</v>
      </c>
      <c r="D214" s="13">
        <f t="shared" si="27"/>
        <v>0</v>
      </c>
      <c r="E214" t="s">
        <v>744</v>
      </c>
      <c r="F214" t="s">
        <v>62</v>
      </c>
      <c r="G214" t="s">
        <v>37</v>
      </c>
      <c r="H214" t="s">
        <v>38</v>
      </c>
      <c r="I214" t="s">
        <v>39</v>
      </c>
      <c r="J214" t="s">
        <v>40</v>
      </c>
      <c r="K214" t="s">
        <v>74</v>
      </c>
      <c r="L214" t="s">
        <v>171</v>
      </c>
      <c r="M214" t="s">
        <v>745</v>
      </c>
      <c r="N214" t="s">
        <v>44</v>
      </c>
      <c r="O214">
        <v>2</v>
      </c>
      <c r="P214">
        <v>214.5</v>
      </c>
      <c r="Q214" s="11">
        <v>0.15</v>
      </c>
      <c r="R214">
        <v>364.65</v>
      </c>
      <c r="S214">
        <v>280.74</v>
      </c>
      <c r="T214">
        <v>83.91</v>
      </c>
      <c r="U214" t="s">
        <v>32</v>
      </c>
      <c r="V214" t="s">
        <v>33</v>
      </c>
      <c r="X214" s="8" t="str">
        <f>IF(C214&gt;=B214,"Valid", "Invalid-Date")</f>
        <v>Valid</v>
      </c>
      <c r="Y214" s="8" t="str">
        <f t="shared" si="28"/>
        <v>Valid</v>
      </c>
      <c r="Z214" s="8" t="str">
        <f t="shared" si="29"/>
        <v>Pass</v>
      </c>
      <c r="AA214" s="8" t="str">
        <f t="shared" si="30"/>
        <v>Pass</v>
      </c>
      <c r="AB214" s="8" t="str">
        <f>TEXT(B214,"mmmm")</f>
        <v>September</v>
      </c>
      <c r="AC214" s="8" t="str">
        <f>TEXT(B214,"yyyy")</f>
        <v>2024</v>
      </c>
      <c r="AE214">
        <f t="shared" si="31"/>
        <v>429</v>
      </c>
      <c r="AF214" s="11">
        <f t="shared" si="32"/>
        <v>364.65</v>
      </c>
      <c r="AG214">
        <f t="shared" si="33"/>
        <v>148.26</v>
      </c>
      <c r="AH214" s="11">
        <f t="shared" si="34"/>
        <v>0.34559440559440557</v>
      </c>
      <c r="AI214" s="44">
        <f t="shared" si="35"/>
        <v>0.34559440559440557</v>
      </c>
    </row>
    <row r="215" spans="1:35">
      <c r="A215" t="s">
        <v>746</v>
      </c>
      <c r="B215" s="5">
        <v>45427</v>
      </c>
      <c r="C215" s="5">
        <v>45433</v>
      </c>
      <c r="D215" s="13">
        <f t="shared" si="27"/>
        <v>6</v>
      </c>
      <c r="E215" t="s">
        <v>747</v>
      </c>
      <c r="F215" t="s">
        <v>47</v>
      </c>
      <c r="G215" t="s">
        <v>37</v>
      </c>
      <c r="H215" t="s">
        <v>38</v>
      </c>
      <c r="I215" t="s">
        <v>145</v>
      </c>
      <c r="J215" t="s">
        <v>146</v>
      </c>
      <c r="K215" t="s">
        <v>74</v>
      </c>
      <c r="L215" t="s">
        <v>75</v>
      </c>
      <c r="M215" t="s">
        <v>748</v>
      </c>
      <c r="N215" t="s">
        <v>31</v>
      </c>
      <c r="O215">
        <v>4</v>
      </c>
      <c r="P215">
        <v>4332.7299999999996</v>
      </c>
      <c r="Q215" s="11">
        <v>0.2</v>
      </c>
      <c r="R215">
        <v>13864.74</v>
      </c>
      <c r="S215">
        <v>11294.06</v>
      </c>
      <c r="T215">
        <v>2570.6799999999998</v>
      </c>
      <c r="U215" t="s">
        <v>32</v>
      </c>
      <c r="V215" t="s">
        <v>33</v>
      </c>
      <c r="X215" s="8" t="str">
        <f>IF(C215&gt;=B215,"Valid", "Invalid-Date")</f>
        <v>Valid</v>
      </c>
      <c r="Y215" s="8" t="str">
        <f t="shared" si="28"/>
        <v>Valid</v>
      </c>
      <c r="Z215" s="8" t="str">
        <f t="shared" si="29"/>
        <v>Pass</v>
      </c>
      <c r="AA215" s="8" t="str">
        <f t="shared" si="30"/>
        <v>Pass</v>
      </c>
      <c r="AB215" s="8" t="str">
        <f>TEXT(B215,"mmmm")</f>
        <v>May</v>
      </c>
      <c r="AC215" s="8" t="str">
        <f>TEXT(B215,"yyyy")</f>
        <v>2024</v>
      </c>
      <c r="AE215">
        <f t="shared" si="31"/>
        <v>17330.919999999998</v>
      </c>
      <c r="AF215" s="11">
        <f t="shared" si="32"/>
        <v>13864.735999999999</v>
      </c>
      <c r="AG215">
        <f t="shared" si="33"/>
        <v>6036.8599999999988</v>
      </c>
      <c r="AH215" s="11">
        <f t="shared" si="34"/>
        <v>0.34832888271367007</v>
      </c>
      <c r="AI215" s="44">
        <f t="shared" si="35"/>
        <v>0.34832888271367007</v>
      </c>
    </row>
    <row r="216" spans="1:35">
      <c r="A216" t="s">
        <v>749</v>
      </c>
      <c r="B216" s="5">
        <v>45368</v>
      </c>
      <c r="C216" s="5">
        <v>45374</v>
      </c>
      <c r="D216" s="13">
        <f t="shared" si="27"/>
        <v>6</v>
      </c>
      <c r="E216" t="s">
        <v>750</v>
      </c>
      <c r="F216" t="s">
        <v>118</v>
      </c>
      <c r="G216" t="s">
        <v>24</v>
      </c>
      <c r="H216" t="s">
        <v>25</v>
      </c>
      <c r="I216" t="s">
        <v>236</v>
      </c>
      <c r="J216" t="s">
        <v>237</v>
      </c>
      <c r="K216" t="s">
        <v>74</v>
      </c>
      <c r="L216" t="s">
        <v>75</v>
      </c>
      <c r="M216" t="s">
        <v>751</v>
      </c>
      <c r="N216" t="s">
        <v>50</v>
      </c>
      <c r="O216">
        <v>3</v>
      </c>
      <c r="P216">
        <v>248.18</v>
      </c>
      <c r="Q216" s="11">
        <v>0.05</v>
      </c>
      <c r="R216">
        <v>707.31</v>
      </c>
      <c r="S216">
        <v>569</v>
      </c>
      <c r="T216">
        <v>138.31</v>
      </c>
      <c r="U216" t="s">
        <v>32</v>
      </c>
      <c r="V216" t="s">
        <v>33</v>
      </c>
      <c r="X216" s="8" t="str">
        <f>IF(C216&gt;=B216,"Valid", "Invalid-Date")</f>
        <v>Valid</v>
      </c>
      <c r="Y216" s="8" t="str">
        <f t="shared" si="28"/>
        <v>Valid</v>
      </c>
      <c r="Z216" s="8" t="str">
        <f t="shared" si="29"/>
        <v>Pass</v>
      </c>
      <c r="AA216" s="8" t="str">
        <f t="shared" si="30"/>
        <v>Pass</v>
      </c>
      <c r="AB216" s="8" t="str">
        <f>TEXT(B216,"mmmm")</f>
        <v>March</v>
      </c>
      <c r="AC216" s="8" t="str">
        <f>TEXT(B216,"yyyy")</f>
        <v>2024</v>
      </c>
      <c r="AE216">
        <f t="shared" si="31"/>
        <v>744.54</v>
      </c>
      <c r="AF216" s="11">
        <f t="shared" si="32"/>
        <v>707.31299999999999</v>
      </c>
      <c r="AG216">
        <f t="shared" si="33"/>
        <v>175.53999999999996</v>
      </c>
      <c r="AH216" s="11">
        <f t="shared" si="34"/>
        <v>0.23576973701883039</v>
      </c>
      <c r="AI216" s="44">
        <f t="shared" si="35"/>
        <v>0.23576973701883039</v>
      </c>
    </row>
    <row r="217" spans="1:35">
      <c r="A217" t="s">
        <v>752</v>
      </c>
      <c r="B217" s="5">
        <v>45352</v>
      </c>
      <c r="C217" s="5">
        <v>45385</v>
      </c>
      <c r="D217" s="13">
        <f t="shared" si="27"/>
        <v>33</v>
      </c>
      <c r="E217" t="s">
        <v>753</v>
      </c>
      <c r="F217" t="s">
        <v>36</v>
      </c>
      <c r="G217" t="s">
        <v>24</v>
      </c>
      <c r="H217" t="s">
        <v>63</v>
      </c>
      <c r="I217" t="s">
        <v>72</v>
      </c>
      <c r="J217" t="s">
        <v>73</v>
      </c>
      <c r="K217" t="s">
        <v>28</v>
      </c>
      <c r="L217" t="s">
        <v>29</v>
      </c>
      <c r="M217" t="s">
        <v>754</v>
      </c>
      <c r="N217" t="s">
        <v>50</v>
      </c>
      <c r="O217">
        <v>8</v>
      </c>
      <c r="P217">
        <v>3202.4</v>
      </c>
      <c r="Q217" s="11">
        <v>0.25</v>
      </c>
      <c r="R217">
        <v>19214.400000000001</v>
      </c>
      <c r="S217">
        <v>10916.01</v>
      </c>
      <c r="T217">
        <v>8298.39</v>
      </c>
      <c r="U217" t="s">
        <v>32</v>
      </c>
      <c r="V217" t="s">
        <v>33</v>
      </c>
      <c r="X217" s="8" t="str">
        <f>IF(C217&gt;=B217,"Valid", "Invalid-Date")</f>
        <v>Valid</v>
      </c>
      <c r="Y217" s="8" t="str">
        <f t="shared" si="28"/>
        <v>Valid</v>
      </c>
      <c r="Z217" s="8" t="str">
        <f t="shared" si="29"/>
        <v>Pass</v>
      </c>
      <c r="AA217" s="8" t="str">
        <f t="shared" si="30"/>
        <v>Pass</v>
      </c>
      <c r="AB217" s="8" t="str">
        <f>TEXT(B217,"mmmm")</f>
        <v>March</v>
      </c>
      <c r="AC217" s="8" t="str">
        <f>TEXT(B217,"yyyy")</f>
        <v>2024</v>
      </c>
      <c r="AE217">
        <f t="shared" si="31"/>
        <v>25619.200000000001</v>
      </c>
      <c r="AF217" s="11">
        <f t="shared" si="32"/>
        <v>19214.400000000001</v>
      </c>
      <c r="AG217">
        <f t="shared" si="33"/>
        <v>14703.19</v>
      </c>
      <c r="AH217" s="11">
        <f t="shared" si="34"/>
        <v>0.57391292468148891</v>
      </c>
      <c r="AI217" s="44">
        <f t="shared" si="35"/>
        <v>0.57391292468148891</v>
      </c>
    </row>
    <row r="218" spans="1:35">
      <c r="A218" t="s">
        <v>755</v>
      </c>
      <c r="B218" s="5">
        <v>45934</v>
      </c>
      <c r="C218" s="5">
        <v>45762</v>
      </c>
      <c r="D218" s="13">
        <f t="shared" si="27"/>
        <v>-172</v>
      </c>
      <c r="E218" t="s">
        <v>756</v>
      </c>
      <c r="F218" t="s">
        <v>47</v>
      </c>
      <c r="G218" t="s">
        <v>24</v>
      </c>
      <c r="H218" t="s">
        <v>63</v>
      </c>
      <c r="I218" t="s">
        <v>180</v>
      </c>
      <c r="J218" t="s">
        <v>181</v>
      </c>
      <c r="K218" t="s">
        <v>41</v>
      </c>
      <c r="L218" t="s">
        <v>42</v>
      </c>
      <c r="M218" t="s">
        <v>757</v>
      </c>
      <c r="N218" t="s">
        <v>59</v>
      </c>
      <c r="O218">
        <v>8</v>
      </c>
      <c r="P218">
        <v>1839.87</v>
      </c>
      <c r="Q218" s="11">
        <v>0.25</v>
      </c>
      <c r="R218">
        <v>11039.22</v>
      </c>
      <c r="S218">
        <v>7642.91</v>
      </c>
      <c r="T218">
        <v>3396.31</v>
      </c>
      <c r="U218" t="s">
        <v>155</v>
      </c>
      <c r="V218" t="s">
        <v>103</v>
      </c>
      <c r="X218" s="8" t="str">
        <f>IF(C218&gt;=B218,"Valid", "Invalid-Date")</f>
        <v>Invalid-Date</v>
      </c>
      <c r="Y218" s="8" t="str">
        <f t="shared" si="28"/>
        <v>Valid</v>
      </c>
      <c r="Z218" s="8" t="str">
        <f t="shared" si="29"/>
        <v>Pass</v>
      </c>
      <c r="AA218" s="8" t="str">
        <f t="shared" si="30"/>
        <v>Pass</v>
      </c>
      <c r="AB218" s="8" t="str">
        <f>TEXT(B218,"mmmm")</f>
        <v>October</v>
      </c>
      <c r="AC218" s="8" t="str">
        <f>TEXT(B218,"yyyy")</f>
        <v>2025</v>
      </c>
      <c r="AE218">
        <f t="shared" si="31"/>
        <v>14718.96</v>
      </c>
      <c r="AF218" s="11">
        <f t="shared" si="32"/>
        <v>11039.22</v>
      </c>
      <c r="AG218">
        <f t="shared" si="33"/>
        <v>7076.0499999999993</v>
      </c>
      <c r="AH218" s="11">
        <f t="shared" si="34"/>
        <v>0.48074388407876639</v>
      </c>
      <c r="AI218" s="44">
        <f t="shared" si="35"/>
        <v>0.48074388407876639</v>
      </c>
    </row>
    <row r="219" spans="1:35">
      <c r="A219" t="s">
        <v>758</v>
      </c>
      <c r="B219" s="5">
        <v>45748</v>
      </c>
      <c r="C219" s="5">
        <v>45873</v>
      </c>
      <c r="D219" s="13">
        <f t="shared" si="27"/>
        <v>125</v>
      </c>
      <c r="E219" t="s">
        <v>759</v>
      </c>
      <c r="F219" t="s">
        <v>89</v>
      </c>
      <c r="G219" t="s">
        <v>24</v>
      </c>
      <c r="H219" t="s">
        <v>38</v>
      </c>
      <c r="I219" t="s">
        <v>39</v>
      </c>
      <c r="J219" t="s">
        <v>40</v>
      </c>
      <c r="K219" t="s">
        <v>41</v>
      </c>
      <c r="L219" t="s">
        <v>158</v>
      </c>
      <c r="M219" t="s">
        <v>760</v>
      </c>
      <c r="N219" t="s">
        <v>31</v>
      </c>
      <c r="O219">
        <v>5</v>
      </c>
      <c r="P219">
        <v>1021.28</v>
      </c>
      <c r="Q219" s="11">
        <v>0.1</v>
      </c>
      <c r="R219">
        <v>4595.76</v>
      </c>
      <c r="S219">
        <v>3396.8</v>
      </c>
      <c r="T219">
        <v>1198.96</v>
      </c>
      <c r="U219" t="s">
        <v>102</v>
      </c>
      <c r="V219" t="s">
        <v>68</v>
      </c>
      <c r="X219" s="8" t="str">
        <f>IF(C219&gt;=B219,"Valid", "Invalid-Date")</f>
        <v>Valid</v>
      </c>
      <c r="Y219" s="8" t="str">
        <f t="shared" si="28"/>
        <v>Valid</v>
      </c>
      <c r="Z219" s="8" t="str">
        <f t="shared" si="29"/>
        <v>Pass</v>
      </c>
      <c r="AA219" s="8" t="str">
        <f t="shared" si="30"/>
        <v>Pass</v>
      </c>
      <c r="AB219" s="8" t="str">
        <f>TEXT(B219,"mmmm")</f>
        <v>April</v>
      </c>
      <c r="AC219" s="8" t="str">
        <f>TEXT(B219,"yyyy")</f>
        <v>2025</v>
      </c>
      <c r="AE219">
        <f t="shared" si="31"/>
        <v>5106.3999999999996</v>
      </c>
      <c r="AF219" s="11">
        <f t="shared" si="32"/>
        <v>4595.76</v>
      </c>
      <c r="AG219">
        <f t="shared" si="33"/>
        <v>1709.5999999999995</v>
      </c>
      <c r="AH219" s="11">
        <f t="shared" si="34"/>
        <v>0.33479555068149763</v>
      </c>
      <c r="AI219" s="44">
        <f t="shared" si="35"/>
        <v>0.33479555068149763</v>
      </c>
    </row>
    <row r="220" spans="1:35">
      <c r="A220" t="s">
        <v>761</v>
      </c>
      <c r="B220" s="5">
        <v>45714</v>
      </c>
      <c r="C220" s="5">
        <v>45715</v>
      </c>
      <c r="D220" s="13">
        <f t="shared" si="27"/>
        <v>1</v>
      </c>
      <c r="E220" t="s">
        <v>762</v>
      </c>
      <c r="F220" t="s">
        <v>114</v>
      </c>
      <c r="G220" t="s">
        <v>90</v>
      </c>
      <c r="H220" t="s">
        <v>63</v>
      </c>
      <c r="I220" t="s">
        <v>180</v>
      </c>
      <c r="J220" t="s">
        <v>181</v>
      </c>
      <c r="K220" t="s">
        <v>41</v>
      </c>
      <c r="L220" t="s">
        <v>158</v>
      </c>
      <c r="M220" t="s">
        <v>763</v>
      </c>
      <c r="N220" t="s">
        <v>59</v>
      </c>
      <c r="O220">
        <v>5</v>
      </c>
      <c r="P220">
        <v>258.27999999999997</v>
      </c>
      <c r="Q220" s="11">
        <v>0</v>
      </c>
      <c r="R220">
        <v>1291.4000000000001</v>
      </c>
      <c r="S220">
        <v>756.93</v>
      </c>
      <c r="T220">
        <v>534.47</v>
      </c>
      <c r="U220" t="s">
        <v>32</v>
      </c>
      <c r="V220" t="s">
        <v>33</v>
      </c>
      <c r="X220" s="8" t="str">
        <f>IF(C220&gt;=B220,"Valid", "Invalid-Date")</f>
        <v>Valid</v>
      </c>
      <c r="Y220" s="8" t="str">
        <f t="shared" si="28"/>
        <v>Valid</v>
      </c>
      <c r="Z220" s="8" t="str">
        <f t="shared" si="29"/>
        <v>Pass</v>
      </c>
      <c r="AA220" s="8" t="str">
        <f t="shared" si="30"/>
        <v>Pass</v>
      </c>
      <c r="AB220" s="8" t="str">
        <f>TEXT(B220,"mmmm")</f>
        <v>February</v>
      </c>
      <c r="AC220" s="8" t="str">
        <f>TEXT(B220,"yyyy")</f>
        <v>2025</v>
      </c>
      <c r="AE220">
        <f t="shared" si="31"/>
        <v>1291.3999999999999</v>
      </c>
      <c r="AF220" s="11">
        <f t="shared" si="32"/>
        <v>1291.3999999999999</v>
      </c>
      <c r="AG220">
        <f t="shared" si="33"/>
        <v>534.46999999999991</v>
      </c>
      <c r="AH220" s="11">
        <f t="shared" si="34"/>
        <v>0.41386866966083319</v>
      </c>
      <c r="AI220" s="44">
        <f t="shared" si="35"/>
        <v>0.41386866966083319</v>
      </c>
    </row>
    <row r="221" spans="1:35">
      <c r="A221" t="s">
        <v>764</v>
      </c>
      <c r="B221" s="5">
        <v>45461</v>
      </c>
      <c r="C221" s="5">
        <v>45462</v>
      </c>
      <c r="D221" s="13">
        <f t="shared" si="27"/>
        <v>1</v>
      </c>
      <c r="E221" t="s">
        <v>765</v>
      </c>
      <c r="F221" t="s">
        <v>118</v>
      </c>
      <c r="G221" t="s">
        <v>24</v>
      </c>
      <c r="H221" t="s">
        <v>38</v>
      </c>
      <c r="I221" t="s">
        <v>145</v>
      </c>
      <c r="J221" t="s">
        <v>146</v>
      </c>
      <c r="K221" t="s">
        <v>74</v>
      </c>
      <c r="L221" t="s">
        <v>274</v>
      </c>
      <c r="M221" t="s">
        <v>766</v>
      </c>
      <c r="N221" t="s">
        <v>50</v>
      </c>
      <c r="O221">
        <v>2</v>
      </c>
      <c r="P221">
        <v>121.49</v>
      </c>
      <c r="Q221" s="11">
        <v>0.85</v>
      </c>
      <c r="R221">
        <v>242.98</v>
      </c>
      <c r="S221">
        <v>161.41999999999999</v>
      </c>
      <c r="T221">
        <v>81.56</v>
      </c>
      <c r="U221" t="s">
        <v>32</v>
      </c>
      <c r="V221" t="s">
        <v>33</v>
      </c>
      <c r="X221" s="8" t="str">
        <f>IF(C221&gt;=B221,"Valid", "Invalid-Date")</f>
        <v>Valid</v>
      </c>
      <c r="Y221" s="8" t="str">
        <f t="shared" si="28"/>
        <v>Invalid-Discount</v>
      </c>
      <c r="Z221" s="8" t="str">
        <f t="shared" si="29"/>
        <v>Pass</v>
      </c>
      <c r="AA221" s="8" t="str">
        <f t="shared" si="30"/>
        <v>Pass</v>
      </c>
      <c r="AB221" s="8" t="str">
        <f>TEXT(B221,"mmmm")</f>
        <v>June</v>
      </c>
      <c r="AC221" s="8" t="str">
        <f>TEXT(B221,"yyyy")</f>
        <v>2024</v>
      </c>
      <c r="AE221">
        <f t="shared" si="31"/>
        <v>242.98</v>
      </c>
      <c r="AF221" s="11">
        <f t="shared" si="32"/>
        <v>36.447000000000003</v>
      </c>
      <c r="AG221">
        <f t="shared" si="33"/>
        <v>81.56</v>
      </c>
      <c r="AH221" s="11">
        <f t="shared" si="34"/>
        <v>0.33566548687134745</v>
      </c>
      <c r="AI221" s="44">
        <f t="shared" si="35"/>
        <v>0.33566548687134745</v>
      </c>
    </row>
    <row r="222" spans="1:35">
      <c r="A222" t="s">
        <v>767</v>
      </c>
      <c r="B222" s="5">
        <v>45360</v>
      </c>
      <c r="C222" s="5">
        <v>45360</v>
      </c>
      <c r="D222" s="13">
        <f t="shared" si="27"/>
        <v>0</v>
      </c>
      <c r="E222" t="s">
        <v>768</v>
      </c>
      <c r="F222" t="s">
        <v>132</v>
      </c>
      <c r="G222" t="s">
        <v>24</v>
      </c>
      <c r="H222" t="s">
        <v>54</v>
      </c>
      <c r="I222" t="s">
        <v>185</v>
      </c>
      <c r="J222" t="s">
        <v>186</v>
      </c>
      <c r="K222" t="s">
        <v>28</v>
      </c>
      <c r="L222" t="s">
        <v>124</v>
      </c>
      <c r="M222" t="s">
        <v>769</v>
      </c>
      <c r="N222" t="s">
        <v>50</v>
      </c>
      <c r="O222">
        <v>4</v>
      </c>
      <c r="P222">
        <v>2810.17</v>
      </c>
      <c r="Q222" s="11">
        <v>0.15</v>
      </c>
      <c r="R222">
        <v>9554.58</v>
      </c>
      <c r="S222">
        <v>6068.47</v>
      </c>
      <c r="T222">
        <v>3486.11</v>
      </c>
      <c r="U222" t="s">
        <v>102</v>
      </c>
      <c r="V222" t="s">
        <v>68</v>
      </c>
      <c r="X222" s="8" t="str">
        <f>IF(C222&gt;=B222,"Valid", "Invalid-Date")</f>
        <v>Valid</v>
      </c>
      <c r="Y222" s="8" t="str">
        <f t="shared" si="28"/>
        <v>Valid</v>
      </c>
      <c r="Z222" s="8" t="str">
        <f t="shared" si="29"/>
        <v>Pass</v>
      </c>
      <c r="AA222" s="8" t="str">
        <f t="shared" si="30"/>
        <v>Pass</v>
      </c>
      <c r="AB222" s="8" t="str">
        <f>TEXT(B222,"mmmm")</f>
        <v>March</v>
      </c>
      <c r="AC222" s="8" t="str">
        <f>TEXT(B222,"yyyy")</f>
        <v>2024</v>
      </c>
      <c r="AE222">
        <f t="shared" si="31"/>
        <v>11240.68</v>
      </c>
      <c r="AF222" s="11">
        <f t="shared" si="32"/>
        <v>9554.5779999999995</v>
      </c>
      <c r="AG222">
        <f t="shared" si="33"/>
        <v>5172.21</v>
      </c>
      <c r="AH222" s="11">
        <f t="shared" si="34"/>
        <v>0.46013319478892734</v>
      </c>
      <c r="AI222" s="44">
        <f t="shared" si="35"/>
        <v>0.46013319478892734</v>
      </c>
    </row>
    <row r="223" spans="1:35">
      <c r="A223" t="s">
        <v>770</v>
      </c>
      <c r="B223" s="5">
        <v>45669</v>
      </c>
      <c r="C223" s="5">
        <v>45672</v>
      </c>
      <c r="D223" s="13">
        <f t="shared" si="27"/>
        <v>3</v>
      </c>
      <c r="E223" t="s">
        <v>771</v>
      </c>
      <c r="F223" t="s">
        <v>36</v>
      </c>
      <c r="G223" t="s">
        <v>90</v>
      </c>
      <c r="H223" t="s">
        <v>54</v>
      </c>
      <c r="I223" t="s">
        <v>175</v>
      </c>
      <c r="J223" t="s">
        <v>176</v>
      </c>
      <c r="K223" t="s">
        <v>41</v>
      </c>
      <c r="L223" t="s">
        <v>66</v>
      </c>
      <c r="M223" t="s">
        <v>772</v>
      </c>
      <c r="N223" t="s">
        <v>44</v>
      </c>
      <c r="O223">
        <v>4</v>
      </c>
      <c r="P223">
        <v>1531.53</v>
      </c>
      <c r="Q223" s="11">
        <v>0.2</v>
      </c>
      <c r="R223">
        <v>4900.8999999999996</v>
      </c>
      <c r="S223">
        <v>3552.69</v>
      </c>
      <c r="T223">
        <v>1348.21</v>
      </c>
      <c r="U223" t="s">
        <v>32</v>
      </c>
      <c r="V223" t="s">
        <v>33</v>
      </c>
      <c r="X223" s="8" t="str">
        <f>IF(C223&gt;=B223,"Valid", "Invalid-Date")</f>
        <v>Valid</v>
      </c>
      <c r="Y223" s="8" t="str">
        <f t="shared" si="28"/>
        <v>Valid</v>
      </c>
      <c r="Z223" s="8" t="str">
        <f t="shared" si="29"/>
        <v>Pass</v>
      </c>
      <c r="AA223" s="8" t="str">
        <f t="shared" si="30"/>
        <v>Pass</v>
      </c>
      <c r="AB223" s="8" t="str">
        <f>TEXT(B223,"mmmm")</f>
        <v>January</v>
      </c>
      <c r="AC223" s="8" t="str">
        <f>TEXT(B223,"yyyy")</f>
        <v>2025</v>
      </c>
      <c r="AE223">
        <f t="shared" si="31"/>
        <v>6126.12</v>
      </c>
      <c r="AF223" s="11">
        <f t="shared" si="32"/>
        <v>4900.8959999999997</v>
      </c>
      <c r="AG223">
        <f t="shared" si="33"/>
        <v>2573.4299999999998</v>
      </c>
      <c r="AH223" s="11">
        <f t="shared" si="34"/>
        <v>0.42007502301619948</v>
      </c>
      <c r="AI223" s="44">
        <f t="shared" si="35"/>
        <v>0.42007502301619948</v>
      </c>
    </row>
    <row r="224" spans="1:35">
      <c r="A224" t="s">
        <v>773</v>
      </c>
      <c r="B224" s="5">
        <v>45776</v>
      </c>
      <c r="C224" s="5">
        <v>45693</v>
      </c>
      <c r="D224" s="13">
        <f t="shared" si="27"/>
        <v>-83</v>
      </c>
      <c r="E224" t="s">
        <v>774</v>
      </c>
      <c r="F224" t="s">
        <v>71</v>
      </c>
      <c r="G224" t="s">
        <v>37</v>
      </c>
      <c r="H224" t="s">
        <v>63</v>
      </c>
      <c r="I224" t="s">
        <v>190</v>
      </c>
      <c r="J224" t="s">
        <v>191</v>
      </c>
      <c r="K224" t="s">
        <v>28</v>
      </c>
      <c r="L224" t="s">
        <v>124</v>
      </c>
      <c r="M224" t="s">
        <v>775</v>
      </c>
      <c r="N224" t="s">
        <v>50</v>
      </c>
      <c r="O224">
        <v>6</v>
      </c>
      <c r="P224">
        <v>4308.09</v>
      </c>
      <c r="Q224" s="11">
        <v>0</v>
      </c>
      <c r="R224">
        <v>25848.54</v>
      </c>
      <c r="S224">
        <v>17729.09</v>
      </c>
      <c r="T224">
        <v>8119.45</v>
      </c>
      <c r="U224" t="s">
        <v>32</v>
      </c>
      <c r="V224" t="s">
        <v>33</v>
      </c>
      <c r="X224" s="8" t="str">
        <f>IF(C224&gt;=B224,"Valid", "Invalid-Date")</f>
        <v>Invalid-Date</v>
      </c>
      <c r="Y224" s="8" t="str">
        <f t="shared" si="28"/>
        <v>Valid</v>
      </c>
      <c r="Z224" s="8" t="str">
        <f t="shared" si="29"/>
        <v>Pass</v>
      </c>
      <c r="AA224" s="8" t="str">
        <f t="shared" si="30"/>
        <v>Pass</v>
      </c>
      <c r="AB224" s="8" t="str">
        <f>TEXT(B224,"mmmm")</f>
        <v>April</v>
      </c>
      <c r="AC224" s="8" t="str">
        <f>TEXT(B224,"yyyy")</f>
        <v>2025</v>
      </c>
      <c r="AE224">
        <f t="shared" si="31"/>
        <v>25848.54</v>
      </c>
      <c r="AF224" s="11">
        <f t="shared" si="32"/>
        <v>25848.54</v>
      </c>
      <c r="AG224">
        <f t="shared" si="33"/>
        <v>8119.4500000000007</v>
      </c>
      <c r="AH224" s="11">
        <f t="shared" si="34"/>
        <v>0.31411638723115504</v>
      </c>
      <c r="AI224" s="44">
        <f t="shared" si="35"/>
        <v>0.31411638723115504</v>
      </c>
    </row>
    <row r="225" spans="1:35">
      <c r="A225" t="s">
        <v>776</v>
      </c>
      <c r="B225" s="5">
        <v>45707</v>
      </c>
      <c r="C225" s="5">
        <v>45714</v>
      </c>
      <c r="D225" s="13">
        <f t="shared" si="27"/>
        <v>7</v>
      </c>
      <c r="E225" t="s">
        <v>777</v>
      </c>
      <c r="F225" t="s">
        <v>36</v>
      </c>
      <c r="G225" t="s">
        <v>90</v>
      </c>
      <c r="H225" t="s">
        <v>63</v>
      </c>
      <c r="I225" t="s">
        <v>64</v>
      </c>
      <c r="J225" t="s">
        <v>65</v>
      </c>
      <c r="K225" t="s">
        <v>41</v>
      </c>
      <c r="L225" t="s">
        <v>57</v>
      </c>
      <c r="M225" t="s">
        <v>778</v>
      </c>
      <c r="N225" t="s">
        <v>50</v>
      </c>
      <c r="O225">
        <v>3</v>
      </c>
      <c r="P225">
        <v>490.3</v>
      </c>
      <c r="Q225" s="11">
        <v>0.2</v>
      </c>
      <c r="R225">
        <v>1176.72</v>
      </c>
      <c r="S225">
        <v>654.33000000000004</v>
      </c>
      <c r="T225">
        <v>522.39</v>
      </c>
      <c r="U225" t="s">
        <v>111</v>
      </c>
      <c r="V225" t="s">
        <v>103</v>
      </c>
      <c r="X225" s="8" t="str">
        <f>IF(C225&gt;=B225,"Valid", "Invalid-Date")</f>
        <v>Valid</v>
      </c>
      <c r="Y225" s="8" t="str">
        <f t="shared" si="28"/>
        <v>Valid</v>
      </c>
      <c r="Z225" s="8" t="str">
        <f t="shared" si="29"/>
        <v>Pass</v>
      </c>
      <c r="AA225" s="8" t="str">
        <f t="shared" si="30"/>
        <v>Pass</v>
      </c>
      <c r="AB225" s="8" t="str">
        <f>TEXT(B225,"mmmm")</f>
        <v>February</v>
      </c>
      <c r="AC225" s="8" t="str">
        <f>TEXT(B225,"yyyy")</f>
        <v>2025</v>
      </c>
      <c r="AE225">
        <f t="shared" si="31"/>
        <v>1470.9</v>
      </c>
      <c r="AF225" s="11">
        <f t="shared" si="32"/>
        <v>1176.72</v>
      </c>
      <c r="AG225">
        <f t="shared" si="33"/>
        <v>816.57</v>
      </c>
      <c r="AH225" s="11">
        <f t="shared" si="34"/>
        <v>0.55514990821945742</v>
      </c>
      <c r="AI225" s="44">
        <f t="shared" si="35"/>
        <v>0.55514990821945742</v>
      </c>
    </row>
    <row r="226" spans="1:35" s="15" customFormat="1">
      <c r="A226" s="15" t="s">
        <v>779</v>
      </c>
      <c r="B226" s="16">
        <v>45698</v>
      </c>
      <c r="C226" s="16">
        <v>45879</v>
      </c>
      <c r="D226" s="17">
        <f t="shared" si="27"/>
        <v>181</v>
      </c>
      <c r="E226" s="15" t="s">
        <v>780</v>
      </c>
      <c r="F226" s="15" t="s">
        <v>47</v>
      </c>
      <c r="G226" s="15" t="s">
        <v>37</v>
      </c>
      <c r="H226" s="15" t="s">
        <v>25</v>
      </c>
      <c r="I226" s="15" t="s">
        <v>122</v>
      </c>
      <c r="J226" s="15" t="s">
        <v>123</v>
      </c>
      <c r="K226" s="15" t="s">
        <v>41</v>
      </c>
      <c r="L226" s="15" t="s">
        <v>57</v>
      </c>
      <c r="M226" s="15" t="s">
        <v>781</v>
      </c>
      <c r="N226" s="15" t="s">
        <v>59</v>
      </c>
      <c r="O226" s="15">
        <v>4</v>
      </c>
      <c r="P226" s="15">
        <v>3944.64</v>
      </c>
      <c r="Q226" s="18">
        <v>0.25</v>
      </c>
      <c r="R226" s="15">
        <v>11833.92</v>
      </c>
      <c r="S226" s="15">
        <v>6682.92</v>
      </c>
      <c r="T226" s="15">
        <v>5151</v>
      </c>
      <c r="U226" s="15" t="s">
        <v>32</v>
      </c>
      <c r="V226" s="15" t="s">
        <v>68</v>
      </c>
      <c r="W226" s="25"/>
      <c r="X226" s="8" t="str">
        <f>IF(C226&gt;=B226,"Valid", "Invalid-Date")</f>
        <v>Valid</v>
      </c>
      <c r="Y226" s="8" t="str">
        <f t="shared" si="28"/>
        <v>Valid</v>
      </c>
      <c r="Z226" s="19" t="str">
        <f t="shared" si="29"/>
        <v>Pass</v>
      </c>
      <c r="AA226" s="19" t="str">
        <f t="shared" si="30"/>
        <v>Pass</v>
      </c>
      <c r="AB226" s="19" t="str">
        <f>TEXT(B226,"mmmm")</f>
        <v>February</v>
      </c>
      <c r="AC226" s="19" t="str">
        <f>TEXT(B226,"yyyy")</f>
        <v>2025</v>
      </c>
      <c r="AD226" s="20"/>
      <c r="AE226" s="15">
        <f t="shared" si="31"/>
        <v>15778.56</v>
      </c>
      <c r="AF226" s="11">
        <f t="shared" si="32"/>
        <v>11833.92</v>
      </c>
      <c r="AG226" s="15">
        <f t="shared" si="33"/>
        <v>9095.64</v>
      </c>
      <c r="AH226" s="18">
        <f t="shared" si="34"/>
        <v>0.5764556461426138</v>
      </c>
      <c r="AI226" s="45">
        <f t="shared" si="35"/>
        <v>0.5764556461426138</v>
      </c>
    </row>
    <row r="227" spans="1:35">
      <c r="A227" t="s">
        <v>782</v>
      </c>
      <c r="B227" s="5">
        <v>45537</v>
      </c>
      <c r="C227" s="5">
        <v>45574</v>
      </c>
      <c r="D227" s="13">
        <f t="shared" si="27"/>
        <v>37</v>
      </c>
      <c r="E227" t="s">
        <v>783</v>
      </c>
      <c r="F227" t="s">
        <v>36</v>
      </c>
      <c r="G227" t="s">
        <v>90</v>
      </c>
      <c r="H227" t="s">
        <v>63</v>
      </c>
      <c r="I227" t="s">
        <v>190</v>
      </c>
      <c r="J227" t="s">
        <v>191</v>
      </c>
      <c r="K227" t="s">
        <v>74</v>
      </c>
      <c r="L227" t="s">
        <v>171</v>
      </c>
      <c r="M227" t="s">
        <v>784</v>
      </c>
      <c r="N227" t="s">
        <v>59</v>
      </c>
      <c r="O227">
        <v>6</v>
      </c>
      <c r="P227">
        <v>1032.47</v>
      </c>
      <c r="Q227" s="11">
        <v>0.15</v>
      </c>
      <c r="R227">
        <v>5265.6</v>
      </c>
      <c r="S227">
        <v>4293.1099999999997</v>
      </c>
      <c r="T227">
        <v>787.57</v>
      </c>
      <c r="U227" t="s">
        <v>32</v>
      </c>
      <c r="V227" t="s">
        <v>33</v>
      </c>
      <c r="X227" s="8" t="str">
        <f>IF(C227&gt;=B227,"Valid", "Invalid-Date")</f>
        <v>Valid</v>
      </c>
      <c r="Y227" s="8" t="str">
        <f t="shared" si="28"/>
        <v>Valid</v>
      </c>
      <c r="Z227" s="8" t="str">
        <f t="shared" si="29"/>
        <v>Pass</v>
      </c>
      <c r="AA227" s="8" t="str">
        <f t="shared" si="30"/>
        <v>Pass</v>
      </c>
      <c r="AB227" s="8" t="str">
        <f>TEXT(B227,"mmmm")</f>
        <v>September</v>
      </c>
      <c r="AC227" s="8" t="str">
        <f>TEXT(B227,"yyyy")</f>
        <v>2024</v>
      </c>
      <c r="AE227">
        <f t="shared" si="31"/>
        <v>6194.82</v>
      </c>
      <c r="AF227" s="11">
        <f t="shared" si="32"/>
        <v>5265.5969999999998</v>
      </c>
      <c r="AG227">
        <f t="shared" si="33"/>
        <v>1901.71</v>
      </c>
      <c r="AH227" s="11">
        <f t="shared" si="34"/>
        <v>0.30698389945147725</v>
      </c>
      <c r="AI227" s="44">
        <f t="shared" si="35"/>
        <v>0.30698389945147725</v>
      </c>
    </row>
    <row r="228" spans="1:35">
      <c r="A228" t="s">
        <v>785</v>
      </c>
      <c r="B228" s="5">
        <v>45757</v>
      </c>
      <c r="C228" s="5">
        <v>45762</v>
      </c>
      <c r="D228" s="13">
        <f t="shared" si="27"/>
        <v>5</v>
      </c>
      <c r="E228" t="s">
        <v>786</v>
      </c>
      <c r="F228" t="s">
        <v>162</v>
      </c>
      <c r="G228" t="s">
        <v>95</v>
      </c>
      <c r="H228" t="s">
        <v>2785</v>
      </c>
      <c r="I228" t="s">
        <v>185</v>
      </c>
      <c r="J228" t="s">
        <v>186</v>
      </c>
      <c r="K228" t="s">
        <v>74</v>
      </c>
      <c r="L228" t="s">
        <v>80</v>
      </c>
      <c r="M228" t="s">
        <v>787</v>
      </c>
      <c r="N228" t="s">
        <v>44</v>
      </c>
      <c r="O228">
        <v>1</v>
      </c>
      <c r="P228">
        <v>2208.27</v>
      </c>
      <c r="Q228" s="11">
        <v>0.1</v>
      </c>
      <c r="R228">
        <v>1987.44</v>
      </c>
      <c r="S228">
        <v>1110.23</v>
      </c>
      <c r="T228">
        <v>877.21</v>
      </c>
      <c r="U228" t="s">
        <v>32</v>
      </c>
      <c r="V228" t="s">
        <v>33</v>
      </c>
      <c r="X228" s="8" t="str">
        <f>IF(C228&gt;=B228,"Valid", "Invalid-Date")</f>
        <v>Valid</v>
      </c>
      <c r="Y228" s="8" t="str">
        <f t="shared" si="28"/>
        <v>Valid</v>
      </c>
      <c r="Z228" s="8" t="str">
        <f t="shared" si="29"/>
        <v>Pass</v>
      </c>
      <c r="AA228" s="8" t="str">
        <f t="shared" si="30"/>
        <v>Flagged</v>
      </c>
      <c r="AB228" s="8" t="str">
        <f>TEXT(B228,"mmmm")</f>
        <v>April</v>
      </c>
      <c r="AC228" s="8" t="str">
        <f>TEXT(B228,"yyyy")</f>
        <v>2025</v>
      </c>
      <c r="AE228">
        <f t="shared" si="31"/>
        <v>2208.27</v>
      </c>
      <c r="AF228" s="11">
        <f t="shared" si="32"/>
        <v>1987.443</v>
      </c>
      <c r="AG228">
        <f t="shared" si="33"/>
        <v>1098.04</v>
      </c>
      <c r="AH228" s="11">
        <f t="shared" si="34"/>
        <v>0.49723992084301283</v>
      </c>
      <c r="AI228" s="44">
        <f t="shared" si="35"/>
        <v>0.49723992084301283</v>
      </c>
    </row>
    <row r="229" spans="1:35">
      <c r="A229" t="s">
        <v>788</v>
      </c>
      <c r="B229" s="5">
        <v>45478</v>
      </c>
      <c r="C229" s="5">
        <v>45633</v>
      </c>
      <c r="D229" s="13">
        <f t="shared" si="27"/>
        <v>155</v>
      </c>
      <c r="E229" t="s">
        <v>789</v>
      </c>
      <c r="F229" t="s">
        <v>62</v>
      </c>
      <c r="G229" t="s">
        <v>37</v>
      </c>
      <c r="H229" t="s">
        <v>63</v>
      </c>
      <c r="I229" t="s">
        <v>190</v>
      </c>
      <c r="J229" t="s">
        <v>191</v>
      </c>
      <c r="K229" t="s">
        <v>28</v>
      </c>
      <c r="L229" t="s">
        <v>153</v>
      </c>
      <c r="M229" t="s">
        <v>790</v>
      </c>
      <c r="N229" t="s">
        <v>50</v>
      </c>
      <c r="O229">
        <v>3</v>
      </c>
      <c r="P229">
        <v>577.75</v>
      </c>
      <c r="Q229" s="11">
        <v>0.15</v>
      </c>
      <c r="R229">
        <v>1473.26</v>
      </c>
      <c r="S229">
        <v>899.86</v>
      </c>
      <c r="T229">
        <v>573.4</v>
      </c>
      <c r="U229" t="s">
        <v>32</v>
      </c>
      <c r="V229" t="s">
        <v>33</v>
      </c>
      <c r="X229" s="8" t="str">
        <f>IF(C229&gt;=B229,"Valid", "Invalid-Date")</f>
        <v>Valid</v>
      </c>
      <c r="Y229" s="8" t="str">
        <f t="shared" si="28"/>
        <v>Valid</v>
      </c>
      <c r="Z229" s="8" t="str">
        <f t="shared" si="29"/>
        <v>Pass</v>
      </c>
      <c r="AA229" s="8" t="str">
        <f t="shared" si="30"/>
        <v>Pass</v>
      </c>
      <c r="AB229" s="8" t="str">
        <f>TEXT(B229,"mmmm")</f>
        <v>July</v>
      </c>
      <c r="AC229" s="8" t="str">
        <f>TEXT(B229,"yyyy")</f>
        <v>2024</v>
      </c>
      <c r="AE229">
        <f t="shared" si="31"/>
        <v>1733.25</v>
      </c>
      <c r="AF229" s="11">
        <f t="shared" si="32"/>
        <v>1473.2625</v>
      </c>
      <c r="AG229">
        <f t="shared" si="33"/>
        <v>833.39</v>
      </c>
      <c r="AH229" s="11">
        <f t="shared" si="34"/>
        <v>0.48082503966536849</v>
      </c>
      <c r="AI229" s="44">
        <f t="shared" si="35"/>
        <v>0.48082503966536849</v>
      </c>
    </row>
    <row r="230" spans="1:35">
      <c r="A230" t="s">
        <v>791</v>
      </c>
      <c r="B230" s="5">
        <v>45406</v>
      </c>
      <c r="C230" s="5">
        <v>45410</v>
      </c>
      <c r="D230" s="13">
        <f t="shared" si="27"/>
        <v>4</v>
      </c>
      <c r="E230" t="s">
        <v>792</v>
      </c>
      <c r="F230" t="s">
        <v>23</v>
      </c>
      <c r="G230" t="s">
        <v>37</v>
      </c>
      <c r="H230" t="s">
        <v>54</v>
      </c>
      <c r="I230" t="s">
        <v>55</v>
      </c>
      <c r="J230" t="s">
        <v>56</v>
      </c>
      <c r="K230" t="s">
        <v>28</v>
      </c>
      <c r="L230" t="s">
        <v>91</v>
      </c>
      <c r="M230" t="s">
        <v>793</v>
      </c>
      <c r="N230" t="s">
        <v>31</v>
      </c>
      <c r="O230">
        <v>1</v>
      </c>
      <c r="P230">
        <v>3194.37</v>
      </c>
      <c r="Q230" s="11">
        <v>0.15</v>
      </c>
      <c r="R230">
        <v>2715.21</v>
      </c>
      <c r="S230">
        <v>1551.55</v>
      </c>
      <c r="T230">
        <v>1163.6600000000001</v>
      </c>
      <c r="U230" t="s">
        <v>32</v>
      </c>
      <c r="V230" t="s">
        <v>33</v>
      </c>
      <c r="X230" s="8" t="str">
        <f>IF(C230&gt;=B230,"Valid", "Invalid-Date")</f>
        <v>Valid</v>
      </c>
      <c r="Y230" s="8" t="str">
        <f t="shared" si="28"/>
        <v>Valid</v>
      </c>
      <c r="Z230" s="8" t="str">
        <f t="shared" si="29"/>
        <v>Pass</v>
      </c>
      <c r="AA230" s="8" t="str">
        <f t="shared" si="30"/>
        <v>Pass</v>
      </c>
      <c r="AB230" s="8" t="str">
        <f>TEXT(B230,"mmmm")</f>
        <v>April</v>
      </c>
      <c r="AC230" s="8" t="str">
        <f>TEXT(B230,"yyyy")</f>
        <v>2024</v>
      </c>
      <c r="AE230">
        <f t="shared" si="31"/>
        <v>3194.37</v>
      </c>
      <c r="AF230" s="11">
        <f t="shared" si="32"/>
        <v>2715.2145</v>
      </c>
      <c r="AG230">
        <f t="shared" si="33"/>
        <v>1642.82</v>
      </c>
      <c r="AH230" s="11">
        <f t="shared" si="34"/>
        <v>0.51428607205802712</v>
      </c>
      <c r="AI230" s="44">
        <f t="shared" si="35"/>
        <v>0.51428607205802712</v>
      </c>
    </row>
    <row r="231" spans="1:35">
      <c r="A231" t="s">
        <v>794</v>
      </c>
      <c r="B231" s="5">
        <v>45836</v>
      </c>
      <c r="C231" s="5">
        <v>45754</v>
      </c>
      <c r="D231" s="13">
        <f t="shared" si="27"/>
        <v>-82</v>
      </c>
      <c r="E231" t="s">
        <v>795</v>
      </c>
      <c r="F231" t="s">
        <v>141</v>
      </c>
      <c r="G231" t="s">
        <v>24</v>
      </c>
      <c r="H231" t="s">
        <v>54</v>
      </c>
      <c r="I231" t="s">
        <v>55</v>
      </c>
      <c r="J231" t="s">
        <v>56</v>
      </c>
      <c r="K231" t="s">
        <v>41</v>
      </c>
      <c r="L231" t="s">
        <v>158</v>
      </c>
      <c r="M231" t="s">
        <v>796</v>
      </c>
      <c r="N231" t="s">
        <v>50</v>
      </c>
      <c r="O231">
        <v>3</v>
      </c>
      <c r="P231">
        <v>2886.23</v>
      </c>
      <c r="Q231" s="11">
        <v>0</v>
      </c>
      <c r="R231">
        <v>8658.69</v>
      </c>
      <c r="S231">
        <v>5535.94</v>
      </c>
      <c r="T231">
        <v>3122.75</v>
      </c>
      <c r="U231" t="s">
        <v>102</v>
      </c>
      <c r="V231" t="s">
        <v>103</v>
      </c>
      <c r="X231" s="8" t="str">
        <f>IF(C231&gt;=B231,"Valid", "Invalid-Date")</f>
        <v>Invalid-Date</v>
      </c>
      <c r="Y231" s="8" t="str">
        <f t="shared" si="28"/>
        <v>Valid</v>
      </c>
      <c r="Z231" s="8" t="str">
        <f t="shared" si="29"/>
        <v>Pass</v>
      </c>
      <c r="AA231" s="8" t="str">
        <f t="shared" si="30"/>
        <v>Pass</v>
      </c>
      <c r="AB231" s="8" t="str">
        <f>TEXT(B231,"mmmm")</f>
        <v>June</v>
      </c>
      <c r="AC231" s="8" t="str">
        <f>TEXT(B231,"yyyy")</f>
        <v>2025</v>
      </c>
      <c r="AE231">
        <f t="shared" si="31"/>
        <v>8658.69</v>
      </c>
      <c r="AF231" s="11">
        <f t="shared" si="32"/>
        <v>8658.69</v>
      </c>
      <c r="AG231">
        <f t="shared" si="33"/>
        <v>3122.7500000000009</v>
      </c>
      <c r="AH231" s="11">
        <f t="shared" si="34"/>
        <v>0.36064924370776652</v>
      </c>
      <c r="AI231" s="44">
        <f t="shared" si="35"/>
        <v>0.36064924370776652</v>
      </c>
    </row>
    <row r="232" spans="1:35">
      <c r="A232" t="s">
        <v>797</v>
      </c>
      <c r="B232" s="5">
        <v>45440</v>
      </c>
      <c r="C232" s="5">
        <v>45446</v>
      </c>
      <c r="D232" s="13">
        <f t="shared" si="27"/>
        <v>6</v>
      </c>
      <c r="E232" t="s">
        <v>798</v>
      </c>
      <c r="F232" t="s">
        <v>79</v>
      </c>
      <c r="G232" t="s">
        <v>37</v>
      </c>
      <c r="H232" t="s">
        <v>25</v>
      </c>
      <c r="I232" t="s">
        <v>26</v>
      </c>
      <c r="J232" t="s">
        <v>27</v>
      </c>
      <c r="K232" t="s">
        <v>28</v>
      </c>
      <c r="L232" t="s">
        <v>29</v>
      </c>
      <c r="M232" t="s">
        <v>799</v>
      </c>
      <c r="N232" t="s">
        <v>59</v>
      </c>
      <c r="O232">
        <v>8</v>
      </c>
      <c r="P232">
        <v>1540.33</v>
      </c>
      <c r="Q232" s="11">
        <v>0.1</v>
      </c>
      <c r="R232">
        <v>11090.38</v>
      </c>
      <c r="S232">
        <v>8840.9500000000007</v>
      </c>
      <c r="T232">
        <v>2249.4299999999998</v>
      </c>
      <c r="U232" t="s">
        <v>32</v>
      </c>
      <c r="V232" t="s">
        <v>33</v>
      </c>
      <c r="X232" s="8" t="str">
        <f>IF(C232&gt;=B232,"Valid", "Invalid-Date")</f>
        <v>Valid</v>
      </c>
      <c r="Y232" s="8" t="str">
        <f t="shared" si="28"/>
        <v>Valid</v>
      </c>
      <c r="Z232" s="8" t="str">
        <f t="shared" si="29"/>
        <v>Pass</v>
      </c>
      <c r="AA232" s="8" t="str">
        <f t="shared" si="30"/>
        <v>Pass</v>
      </c>
      <c r="AB232" s="8" t="str">
        <f>TEXT(B232,"mmmm")</f>
        <v>May</v>
      </c>
      <c r="AC232" s="8" t="str">
        <f>TEXT(B232,"yyyy")</f>
        <v>2024</v>
      </c>
      <c r="AE232">
        <f t="shared" si="31"/>
        <v>12322.64</v>
      </c>
      <c r="AF232" s="11">
        <f t="shared" si="32"/>
        <v>11090.376</v>
      </c>
      <c r="AG232">
        <f t="shared" si="33"/>
        <v>3481.6899999999987</v>
      </c>
      <c r="AH232" s="11">
        <f t="shared" si="34"/>
        <v>0.2825441626145046</v>
      </c>
      <c r="AI232" s="44">
        <f t="shared" si="35"/>
        <v>0.2825441626145046</v>
      </c>
    </row>
    <row r="233" spans="1:35">
      <c r="A233" t="s">
        <v>800</v>
      </c>
      <c r="B233" s="5">
        <v>45414</v>
      </c>
      <c r="C233" s="5">
        <v>45327</v>
      </c>
      <c r="D233" s="13">
        <f t="shared" si="27"/>
        <v>-87</v>
      </c>
      <c r="E233" t="s">
        <v>801</v>
      </c>
      <c r="F233" t="s">
        <v>62</v>
      </c>
      <c r="G233" t="s">
        <v>90</v>
      </c>
      <c r="H233" t="s">
        <v>25</v>
      </c>
      <c r="I233" t="s">
        <v>26</v>
      </c>
      <c r="J233" t="s">
        <v>27</v>
      </c>
      <c r="K233" t="s">
        <v>28</v>
      </c>
      <c r="L233" t="s">
        <v>91</v>
      </c>
      <c r="M233" t="s">
        <v>802</v>
      </c>
      <c r="N233" t="s">
        <v>50</v>
      </c>
      <c r="O233">
        <v>7</v>
      </c>
      <c r="P233">
        <v>2183.38</v>
      </c>
      <c r="Q233" s="11">
        <v>0.25</v>
      </c>
      <c r="R233">
        <v>11462.74</v>
      </c>
      <c r="S233">
        <v>7163.54</v>
      </c>
      <c r="T233">
        <v>4299.2</v>
      </c>
      <c r="U233" t="s">
        <v>102</v>
      </c>
      <c r="V233" t="s">
        <v>68</v>
      </c>
      <c r="X233" s="8" t="str">
        <f>IF(C233&gt;=B233,"Valid", "Invalid-Date")</f>
        <v>Invalid-Date</v>
      </c>
      <c r="Y233" s="8" t="str">
        <f t="shared" si="28"/>
        <v>Valid</v>
      </c>
      <c r="Z233" s="8" t="str">
        <f t="shared" si="29"/>
        <v>Pass</v>
      </c>
      <c r="AA233" s="8" t="str">
        <f t="shared" si="30"/>
        <v>Pass</v>
      </c>
      <c r="AB233" s="8" t="str">
        <f>TEXT(B233,"mmmm")</f>
        <v>May</v>
      </c>
      <c r="AC233" s="8" t="str">
        <f>TEXT(B233,"yyyy")</f>
        <v>2024</v>
      </c>
      <c r="AE233">
        <f t="shared" si="31"/>
        <v>15283.66</v>
      </c>
      <c r="AF233" s="11">
        <f t="shared" si="32"/>
        <v>11462.744999999999</v>
      </c>
      <c r="AG233">
        <f t="shared" si="33"/>
        <v>8120.12</v>
      </c>
      <c r="AH233" s="11">
        <f t="shared" si="34"/>
        <v>0.53129420570727171</v>
      </c>
      <c r="AI233" s="44">
        <f t="shared" si="35"/>
        <v>0.53129420570727171</v>
      </c>
    </row>
    <row r="234" spans="1:35">
      <c r="A234" t="s">
        <v>803</v>
      </c>
      <c r="B234" s="5">
        <v>45812</v>
      </c>
      <c r="C234" s="5">
        <v>45936</v>
      </c>
      <c r="D234" s="13">
        <f t="shared" si="27"/>
        <v>124</v>
      </c>
      <c r="E234" t="s">
        <v>804</v>
      </c>
      <c r="F234" t="s">
        <v>118</v>
      </c>
      <c r="G234" t="s">
        <v>24</v>
      </c>
      <c r="H234" t="s">
        <v>54</v>
      </c>
      <c r="I234" t="s">
        <v>84</v>
      </c>
      <c r="J234" t="s">
        <v>85</v>
      </c>
      <c r="K234" t="s">
        <v>74</v>
      </c>
      <c r="L234" t="s">
        <v>171</v>
      </c>
      <c r="M234" t="s">
        <v>805</v>
      </c>
      <c r="N234" t="s">
        <v>59</v>
      </c>
      <c r="O234">
        <v>4</v>
      </c>
      <c r="P234">
        <v>223.37</v>
      </c>
      <c r="Q234" s="11">
        <v>0.25</v>
      </c>
      <c r="R234">
        <v>670.11</v>
      </c>
      <c r="S234">
        <v>559.57000000000005</v>
      </c>
      <c r="T234">
        <v>110.54</v>
      </c>
      <c r="U234" t="s">
        <v>32</v>
      </c>
      <c r="V234" t="s">
        <v>33</v>
      </c>
      <c r="X234" s="8" t="str">
        <f>IF(C234&gt;=B234,"Valid", "Invalid-Date")</f>
        <v>Valid</v>
      </c>
      <c r="Y234" s="8" t="str">
        <f t="shared" si="28"/>
        <v>Valid</v>
      </c>
      <c r="Z234" s="8" t="str">
        <f t="shared" si="29"/>
        <v>Pass</v>
      </c>
      <c r="AA234" s="8" t="str">
        <f t="shared" si="30"/>
        <v>Pass</v>
      </c>
      <c r="AB234" s="8" t="str">
        <f>TEXT(B234,"mmmm")</f>
        <v>June</v>
      </c>
      <c r="AC234" s="8" t="str">
        <f>TEXT(B234,"yyyy")</f>
        <v>2025</v>
      </c>
      <c r="AE234">
        <f t="shared" si="31"/>
        <v>893.48</v>
      </c>
      <c r="AF234" s="11">
        <f t="shared" si="32"/>
        <v>670.11</v>
      </c>
      <c r="AG234">
        <f t="shared" si="33"/>
        <v>333.90999999999997</v>
      </c>
      <c r="AH234" s="11">
        <f t="shared" si="34"/>
        <v>0.37371849397860046</v>
      </c>
      <c r="AI234" s="44">
        <f t="shared" si="35"/>
        <v>0.37371849397860046</v>
      </c>
    </row>
    <row r="235" spans="1:35">
      <c r="A235" t="s">
        <v>806</v>
      </c>
      <c r="B235" s="5">
        <v>45579</v>
      </c>
      <c r="C235" s="5">
        <v>45579</v>
      </c>
      <c r="D235" s="13">
        <f t="shared" si="27"/>
        <v>0</v>
      </c>
      <c r="E235" t="s">
        <v>807</v>
      </c>
      <c r="F235" t="s">
        <v>71</v>
      </c>
      <c r="G235" t="s">
        <v>90</v>
      </c>
      <c r="H235" t="s">
        <v>54</v>
      </c>
      <c r="I235" t="s">
        <v>175</v>
      </c>
      <c r="J235" t="s">
        <v>176</v>
      </c>
      <c r="K235" t="s">
        <v>41</v>
      </c>
      <c r="L235" t="s">
        <v>158</v>
      </c>
      <c r="M235" t="s">
        <v>808</v>
      </c>
      <c r="N235" t="s">
        <v>2785</v>
      </c>
      <c r="O235">
        <v>8</v>
      </c>
      <c r="P235">
        <v>3904.59</v>
      </c>
      <c r="Q235" s="11">
        <v>0</v>
      </c>
      <c r="R235">
        <v>31236.720000000001</v>
      </c>
      <c r="S235">
        <v>26377.7</v>
      </c>
      <c r="T235">
        <v>4859.0200000000004</v>
      </c>
      <c r="U235" t="s">
        <v>32</v>
      </c>
      <c r="V235" t="s">
        <v>33</v>
      </c>
      <c r="X235" s="8" t="str">
        <f>IF(C235&gt;=B235,"Valid", "Invalid-Date")</f>
        <v>Valid</v>
      </c>
      <c r="Y235" s="8" t="str">
        <f t="shared" si="28"/>
        <v>Valid</v>
      </c>
      <c r="Z235" s="8" t="str">
        <f t="shared" si="29"/>
        <v>Flagged</v>
      </c>
      <c r="AA235" s="8" t="str">
        <f t="shared" si="30"/>
        <v>Pass</v>
      </c>
      <c r="AB235" s="8" t="str">
        <f>TEXT(B235,"mmmm")</f>
        <v>October</v>
      </c>
      <c r="AC235" s="8" t="str">
        <f>TEXT(B235,"yyyy")</f>
        <v>2024</v>
      </c>
      <c r="AE235">
        <f t="shared" si="31"/>
        <v>31236.720000000001</v>
      </c>
      <c r="AF235" s="11">
        <f t="shared" si="32"/>
        <v>31236.720000000001</v>
      </c>
      <c r="AG235">
        <f t="shared" si="33"/>
        <v>4859.0200000000004</v>
      </c>
      <c r="AH235" s="11">
        <f t="shared" si="34"/>
        <v>0.15555474454424154</v>
      </c>
      <c r="AI235" s="44">
        <f t="shared" si="35"/>
        <v>0.15555474454424154</v>
      </c>
    </row>
    <row r="236" spans="1:35">
      <c r="A236" t="s">
        <v>809</v>
      </c>
      <c r="B236" s="5">
        <v>45331</v>
      </c>
      <c r="C236" s="5">
        <v>45360</v>
      </c>
      <c r="D236" s="13">
        <f t="shared" si="27"/>
        <v>29</v>
      </c>
      <c r="E236" t="s">
        <v>810</v>
      </c>
      <c r="F236" t="s">
        <v>264</v>
      </c>
      <c r="G236" t="s">
        <v>95</v>
      </c>
      <c r="H236" t="s">
        <v>25</v>
      </c>
      <c r="I236" t="s">
        <v>350</v>
      </c>
      <c r="J236" t="s">
        <v>351</v>
      </c>
      <c r="K236" t="s">
        <v>41</v>
      </c>
      <c r="L236" t="s">
        <v>57</v>
      </c>
      <c r="M236" t="s">
        <v>811</v>
      </c>
      <c r="N236" t="s">
        <v>50</v>
      </c>
      <c r="O236">
        <v>9</v>
      </c>
      <c r="P236">
        <v>1353.61</v>
      </c>
      <c r="Q236" s="11">
        <v>0.1</v>
      </c>
      <c r="R236">
        <v>10964.24</v>
      </c>
      <c r="S236">
        <v>9262.4699999999993</v>
      </c>
      <c r="T236">
        <v>1701.77</v>
      </c>
      <c r="U236" t="s">
        <v>32</v>
      </c>
      <c r="V236" t="s">
        <v>33</v>
      </c>
      <c r="X236" s="8" t="str">
        <f>IF(C236&gt;=B236,"Valid", "Invalid-Date")</f>
        <v>Valid</v>
      </c>
      <c r="Y236" s="8" t="str">
        <f t="shared" si="28"/>
        <v>Valid</v>
      </c>
      <c r="Z236" s="8" t="str">
        <f t="shared" si="29"/>
        <v>Pass</v>
      </c>
      <c r="AA236" s="8" t="str">
        <f t="shared" si="30"/>
        <v>Pass</v>
      </c>
      <c r="AB236" s="8" t="str">
        <f>TEXT(B236,"mmmm")</f>
        <v>February</v>
      </c>
      <c r="AC236" s="8" t="str">
        <f>TEXT(B236,"yyyy")</f>
        <v>2024</v>
      </c>
      <c r="AE236">
        <f t="shared" si="31"/>
        <v>12182.49</v>
      </c>
      <c r="AF236" s="11">
        <f t="shared" si="32"/>
        <v>10964.241</v>
      </c>
      <c r="AG236">
        <f t="shared" si="33"/>
        <v>2920.0200000000004</v>
      </c>
      <c r="AH236" s="11">
        <f t="shared" si="34"/>
        <v>0.23968991560838551</v>
      </c>
      <c r="AI236" s="44">
        <f t="shared" si="35"/>
        <v>0.23968991560838551</v>
      </c>
    </row>
    <row r="237" spans="1:35">
      <c r="A237" t="s">
        <v>812</v>
      </c>
      <c r="B237" s="5">
        <v>45333</v>
      </c>
      <c r="C237" s="5">
        <v>45362</v>
      </c>
      <c r="D237" s="13">
        <f t="shared" si="27"/>
        <v>29</v>
      </c>
      <c r="E237" t="s">
        <v>813</v>
      </c>
      <c r="F237" t="s">
        <v>118</v>
      </c>
      <c r="G237" t="s">
        <v>37</v>
      </c>
      <c r="H237" t="s">
        <v>63</v>
      </c>
      <c r="I237" t="s">
        <v>26</v>
      </c>
      <c r="J237" t="s">
        <v>109</v>
      </c>
      <c r="K237" t="s">
        <v>28</v>
      </c>
      <c r="L237" t="s">
        <v>124</v>
      </c>
      <c r="M237" t="s">
        <v>814</v>
      </c>
      <c r="N237" t="s">
        <v>59</v>
      </c>
      <c r="O237">
        <v>6</v>
      </c>
      <c r="P237">
        <v>2671.29</v>
      </c>
      <c r="Q237" s="11">
        <v>0.05</v>
      </c>
      <c r="R237">
        <v>15226.35</v>
      </c>
      <c r="S237">
        <v>11145.28</v>
      </c>
      <c r="T237">
        <v>4081.07</v>
      </c>
      <c r="U237" t="s">
        <v>32</v>
      </c>
      <c r="V237" t="s">
        <v>33</v>
      </c>
      <c r="X237" s="8" t="str">
        <f>IF(C237&gt;=B237,"Valid", "Invalid-Date")</f>
        <v>Valid</v>
      </c>
      <c r="Y237" s="8" t="str">
        <f t="shared" si="28"/>
        <v>Valid</v>
      </c>
      <c r="Z237" s="8" t="str">
        <f t="shared" si="29"/>
        <v>Pass</v>
      </c>
      <c r="AA237" s="8" t="str">
        <f t="shared" si="30"/>
        <v>Pass</v>
      </c>
      <c r="AB237" s="8" t="str">
        <f>TEXT(B237,"mmmm")</f>
        <v>February</v>
      </c>
      <c r="AC237" s="8" t="str">
        <f>TEXT(B237,"yyyy")</f>
        <v>2024</v>
      </c>
      <c r="AE237">
        <f t="shared" si="31"/>
        <v>16027.74</v>
      </c>
      <c r="AF237" s="11">
        <f t="shared" si="32"/>
        <v>15226.352999999999</v>
      </c>
      <c r="AG237">
        <f t="shared" si="33"/>
        <v>4882.4599999999991</v>
      </c>
      <c r="AH237" s="11">
        <f t="shared" si="34"/>
        <v>0.30462560535671274</v>
      </c>
      <c r="AI237" s="44">
        <f t="shared" si="35"/>
        <v>0.30462560535671274</v>
      </c>
    </row>
    <row r="238" spans="1:35">
      <c r="A238" t="s">
        <v>815</v>
      </c>
      <c r="B238" s="5">
        <v>45579</v>
      </c>
      <c r="C238" s="5">
        <v>45586</v>
      </c>
      <c r="D238" s="13">
        <f t="shared" si="27"/>
        <v>7</v>
      </c>
      <c r="E238" t="s">
        <v>816</v>
      </c>
      <c r="F238" t="s">
        <v>114</v>
      </c>
      <c r="G238" t="s">
        <v>90</v>
      </c>
      <c r="H238" t="s">
        <v>25</v>
      </c>
      <c r="I238" t="s">
        <v>136</v>
      </c>
      <c r="J238" t="s">
        <v>137</v>
      </c>
      <c r="K238" t="s">
        <v>41</v>
      </c>
      <c r="L238" t="s">
        <v>158</v>
      </c>
      <c r="M238" t="s">
        <v>817</v>
      </c>
      <c r="N238" t="s">
        <v>50</v>
      </c>
      <c r="O238">
        <v>6</v>
      </c>
      <c r="P238">
        <v>4062.78</v>
      </c>
      <c r="Q238" s="11">
        <v>0</v>
      </c>
      <c r="R238">
        <v>24376.68</v>
      </c>
      <c r="S238">
        <v>18533.39</v>
      </c>
      <c r="T238">
        <v>5843.29</v>
      </c>
      <c r="U238" t="s">
        <v>32</v>
      </c>
      <c r="V238" t="s">
        <v>33</v>
      </c>
      <c r="X238" s="8" t="str">
        <f>IF(C238&gt;=B238,"Valid", "Invalid-Date")</f>
        <v>Valid</v>
      </c>
      <c r="Y238" s="8" t="str">
        <f t="shared" si="28"/>
        <v>Valid</v>
      </c>
      <c r="Z238" s="8" t="str">
        <f t="shared" si="29"/>
        <v>Pass</v>
      </c>
      <c r="AA238" s="8" t="str">
        <f t="shared" si="30"/>
        <v>Pass</v>
      </c>
      <c r="AB238" s="8" t="str">
        <f>TEXT(B238,"mmmm")</f>
        <v>October</v>
      </c>
      <c r="AC238" s="8" t="str">
        <f>TEXT(B238,"yyyy")</f>
        <v>2024</v>
      </c>
      <c r="AE238">
        <f t="shared" si="31"/>
        <v>24376.68</v>
      </c>
      <c r="AF238" s="11">
        <f t="shared" si="32"/>
        <v>24376.68</v>
      </c>
      <c r="AG238">
        <f t="shared" si="33"/>
        <v>5843.2900000000009</v>
      </c>
      <c r="AH238" s="11">
        <f t="shared" si="34"/>
        <v>0.23970819652224998</v>
      </c>
      <c r="AI238" s="44">
        <f t="shared" si="35"/>
        <v>0.23970819652224998</v>
      </c>
    </row>
    <row r="239" spans="1:35">
      <c r="A239" t="s">
        <v>818</v>
      </c>
      <c r="B239" s="5">
        <v>45531</v>
      </c>
      <c r="C239" s="5">
        <v>45531</v>
      </c>
      <c r="D239" s="13">
        <f t="shared" si="27"/>
        <v>0</v>
      </c>
      <c r="E239" t="s">
        <v>819</v>
      </c>
      <c r="F239" t="s">
        <v>36</v>
      </c>
      <c r="G239" t="s">
        <v>24</v>
      </c>
      <c r="H239" t="s">
        <v>25</v>
      </c>
      <c r="I239" t="s">
        <v>236</v>
      </c>
      <c r="J239" t="s">
        <v>237</v>
      </c>
      <c r="K239" t="s">
        <v>74</v>
      </c>
      <c r="L239" t="s">
        <v>80</v>
      </c>
      <c r="M239" t="s">
        <v>820</v>
      </c>
      <c r="N239" t="s">
        <v>59</v>
      </c>
      <c r="O239">
        <v>9</v>
      </c>
      <c r="P239">
        <v>2330.3000000000002</v>
      </c>
      <c r="Q239" s="11">
        <v>0</v>
      </c>
      <c r="R239">
        <v>20972.7</v>
      </c>
      <c r="S239">
        <v>13504.88</v>
      </c>
      <c r="T239">
        <v>7467.82</v>
      </c>
      <c r="U239" t="s">
        <v>32</v>
      </c>
      <c r="V239" t="s">
        <v>33</v>
      </c>
      <c r="X239" s="8" t="str">
        <f>IF(C239&gt;=B239,"Valid", "Invalid-Date")</f>
        <v>Valid</v>
      </c>
      <c r="Y239" s="8" t="str">
        <f t="shared" si="28"/>
        <v>Valid</v>
      </c>
      <c r="Z239" s="8" t="str">
        <f t="shared" si="29"/>
        <v>Pass</v>
      </c>
      <c r="AA239" s="8" t="str">
        <f t="shared" si="30"/>
        <v>Pass</v>
      </c>
      <c r="AB239" s="8" t="str">
        <f>TEXT(B239,"mmmm")</f>
        <v>August</v>
      </c>
      <c r="AC239" s="8" t="str">
        <f>TEXT(B239,"yyyy")</f>
        <v>2024</v>
      </c>
      <c r="AE239">
        <f t="shared" si="31"/>
        <v>20972.7</v>
      </c>
      <c r="AF239" s="11">
        <f t="shared" si="32"/>
        <v>20972.7</v>
      </c>
      <c r="AG239">
        <f t="shared" si="33"/>
        <v>7467.8200000000015</v>
      </c>
      <c r="AH239" s="11">
        <f t="shared" si="34"/>
        <v>0.35607337157352181</v>
      </c>
      <c r="AI239" s="44">
        <f t="shared" si="35"/>
        <v>0.35607337157352181</v>
      </c>
    </row>
    <row r="240" spans="1:35">
      <c r="A240" t="s">
        <v>821</v>
      </c>
      <c r="B240" s="5">
        <v>45627</v>
      </c>
      <c r="C240" s="5">
        <v>45308</v>
      </c>
      <c r="D240" s="13">
        <f t="shared" si="27"/>
        <v>-319</v>
      </c>
      <c r="E240" t="s">
        <v>822</v>
      </c>
      <c r="F240" t="s">
        <v>53</v>
      </c>
      <c r="G240" t="s">
        <v>24</v>
      </c>
      <c r="H240" t="s">
        <v>54</v>
      </c>
      <c r="I240" t="s">
        <v>84</v>
      </c>
      <c r="J240" t="s">
        <v>85</v>
      </c>
      <c r="K240" t="s">
        <v>28</v>
      </c>
      <c r="L240" t="s">
        <v>124</v>
      </c>
      <c r="M240" t="s">
        <v>823</v>
      </c>
      <c r="N240" t="s">
        <v>50</v>
      </c>
      <c r="O240">
        <v>7</v>
      </c>
      <c r="P240">
        <v>4005.05</v>
      </c>
      <c r="Q240" s="11">
        <v>0.55000000000000004</v>
      </c>
      <c r="R240">
        <v>26633.58</v>
      </c>
      <c r="S240">
        <v>18838.75</v>
      </c>
      <c r="T240">
        <v>7794.83</v>
      </c>
      <c r="U240" t="s">
        <v>32</v>
      </c>
      <c r="V240" t="s">
        <v>33</v>
      </c>
      <c r="X240" s="8" t="str">
        <f>IF(C240&gt;=B240,"Valid", "Invalid-Date")</f>
        <v>Invalid-Date</v>
      </c>
      <c r="Y240" s="8" t="str">
        <f t="shared" si="28"/>
        <v>Invalid-Discount</v>
      </c>
      <c r="Z240" s="8" t="str">
        <f t="shared" si="29"/>
        <v>Pass</v>
      </c>
      <c r="AA240" s="8" t="str">
        <f t="shared" si="30"/>
        <v>Pass</v>
      </c>
      <c r="AB240" s="8" t="str">
        <f>TEXT(B240,"mmmm")</f>
        <v>December</v>
      </c>
      <c r="AC240" s="8" t="str">
        <f>TEXT(B240,"yyyy")</f>
        <v>2024</v>
      </c>
      <c r="AE240">
        <f t="shared" si="31"/>
        <v>28035.350000000002</v>
      </c>
      <c r="AF240" s="11">
        <f t="shared" si="32"/>
        <v>12615.907499999999</v>
      </c>
      <c r="AG240">
        <f t="shared" si="33"/>
        <v>9196.6000000000022</v>
      </c>
      <c r="AH240" s="11">
        <f t="shared" si="34"/>
        <v>0.32803585473339913</v>
      </c>
      <c r="AI240" s="44">
        <f t="shared" si="35"/>
        <v>0.32803585473339913</v>
      </c>
    </row>
    <row r="241" spans="1:35">
      <c r="A241" t="s">
        <v>824</v>
      </c>
      <c r="B241" s="5">
        <v>45556</v>
      </c>
      <c r="C241" s="5">
        <v>45556</v>
      </c>
      <c r="D241" s="13">
        <f t="shared" si="27"/>
        <v>0</v>
      </c>
      <c r="E241" t="s">
        <v>825</v>
      </c>
      <c r="F241" t="s">
        <v>264</v>
      </c>
      <c r="G241" t="s">
        <v>90</v>
      </c>
      <c r="H241" t="s">
        <v>54</v>
      </c>
      <c r="I241" t="s">
        <v>175</v>
      </c>
      <c r="J241" t="s">
        <v>176</v>
      </c>
      <c r="K241" t="s">
        <v>74</v>
      </c>
      <c r="L241" t="s">
        <v>274</v>
      </c>
      <c r="M241" t="s">
        <v>826</v>
      </c>
      <c r="N241" t="s">
        <v>50</v>
      </c>
      <c r="O241">
        <v>2</v>
      </c>
      <c r="P241">
        <v>1960.06</v>
      </c>
      <c r="Q241" s="11">
        <v>0.2</v>
      </c>
      <c r="R241">
        <v>3136.1</v>
      </c>
      <c r="S241">
        <v>2279.4899999999998</v>
      </c>
      <c r="T241">
        <v>856.61</v>
      </c>
      <c r="U241" t="s">
        <v>32</v>
      </c>
      <c r="V241" t="s">
        <v>33</v>
      </c>
      <c r="X241" s="8" t="str">
        <f>IF(C241&gt;=B241,"Valid", "Invalid-Date")</f>
        <v>Valid</v>
      </c>
      <c r="Y241" s="8" t="str">
        <f t="shared" si="28"/>
        <v>Valid</v>
      </c>
      <c r="Z241" s="8" t="str">
        <f t="shared" si="29"/>
        <v>Pass</v>
      </c>
      <c r="AA241" s="8" t="str">
        <f t="shared" si="30"/>
        <v>Pass</v>
      </c>
      <c r="AB241" s="8" t="str">
        <f>TEXT(B241,"mmmm")</f>
        <v>September</v>
      </c>
      <c r="AC241" s="8" t="str">
        <f>TEXT(B241,"yyyy")</f>
        <v>2024</v>
      </c>
      <c r="AE241">
        <f t="shared" si="31"/>
        <v>3920.12</v>
      </c>
      <c r="AF241" s="11">
        <f t="shared" si="32"/>
        <v>3136.096</v>
      </c>
      <c r="AG241">
        <f t="shared" si="33"/>
        <v>1640.63</v>
      </c>
      <c r="AH241" s="11">
        <f t="shared" si="34"/>
        <v>0.41851524953317759</v>
      </c>
      <c r="AI241" s="44">
        <f t="shared" si="35"/>
        <v>0.41851524953317759</v>
      </c>
    </row>
    <row r="242" spans="1:35">
      <c r="A242" t="s">
        <v>827</v>
      </c>
      <c r="B242" s="5">
        <v>45643</v>
      </c>
      <c r="C242" s="5">
        <v>45649</v>
      </c>
      <c r="D242" s="13">
        <f t="shared" si="27"/>
        <v>6</v>
      </c>
      <c r="E242" t="s">
        <v>828</v>
      </c>
      <c r="F242" t="s">
        <v>128</v>
      </c>
      <c r="G242" t="s">
        <v>90</v>
      </c>
      <c r="H242" t="s">
        <v>54</v>
      </c>
      <c r="I242" t="s">
        <v>55</v>
      </c>
      <c r="J242" t="s">
        <v>56</v>
      </c>
      <c r="K242" t="s">
        <v>28</v>
      </c>
      <c r="L242" t="s">
        <v>153</v>
      </c>
      <c r="M242" t="s">
        <v>829</v>
      </c>
      <c r="N242" t="s">
        <v>50</v>
      </c>
      <c r="O242">
        <v>9</v>
      </c>
      <c r="P242">
        <v>2315.1</v>
      </c>
      <c r="Q242" s="11">
        <v>0</v>
      </c>
      <c r="R242">
        <v>20835.900000000001</v>
      </c>
      <c r="S242">
        <v>13928.19</v>
      </c>
      <c r="T242">
        <v>6907.71</v>
      </c>
      <c r="U242" t="s">
        <v>32</v>
      </c>
      <c r="V242" t="s">
        <v>33</v>
      </c>
      <c r="X242" s="8" t="str">
        <f>IF(C242&gt;=B242,"Valid", "Invalid-Date")</f>
        <v>Valid</v>
      </c>
      <c r="Y242" s="8" t="str">
        <f t="shared" si="28"/>
        <v>Valid</v>
      </c>
      <c r="Z242" s="8" t="str">
        <f t="shared" si="29"/>
        <v>Pass</v>
      </c>
      <c r="AA242" s="8" t="str">
        <f t="shared" si="30"/>
        <v>Pass</v>
      </c>
      <c r="AB242" s="8" t="str">
        <f>TEXT(B242,"mmmm")</f>
        <v>December</v>
      </c>
      <c r="AC242" s="8" t="str">
        <f>TEXT(B242,"yyyy")</f>
        <v>2024</v>
      </c>
      <c r="AE242">
        <f t="shared" si="31"/>
        <v>20835.899999999998</v>
      </c>
      <c r="AF242" s="11">
        <f t="shared" si="32"/>
        <v>20835.899999999998</v>
      </c>
      <c r="AG242">
        <f t="shared" si="33"/>
        <v>6907.7099999999973</v>
      </c>
      <c r="AH242" s="11">
        <f t="shared" si="34"/>
        <v>0.33152923559817421</v>
      </c>
      <c r="AI242" s="44">
        <f t="shared" si="35"/>
        <v>0.33152923559817421</v>
      </c>
    </row>
    <row r="243" spans="1:35">
      <c r="A243" t="s">
        <v>830</v>
      </c>
      <c r="B243" s="5">
        <v>45815</v>
      </c>
      <c r="C243" s="5">
        <v>45844</v>
      </c>
      <c r="D243" s="13">
        <f t="shared" si="27"/>
        <v>29</v>
      </c>
      <c r="E243" t="s">
        <v>831</v>
      </c>
      <c r="F243" t="s">
        <v>132</v>
      </c>
      <c r="G243" t="s">
        <v>90</v>
      </c>
      <c r="H243" t="s">
        <v>25</v>
      </c>
      <c r="I243" t="s">
        <v>236</v>
      </c>
      <c r="J243" t="s">
        <v>237</v>
      </c>
      <c r="K243" t="s">
        <v>28</v>
      </c>
      <c r="L243" t="s">
        <v>124</v>
      </c>
      <c r="M243" t="s">
        <v>832</v>
      </c>
      <c r="N243" t="s">
        <v>59</v>
      </c>
      <c r="O243">
        <v>1</v>
      </c>
      <c r="P243">
        <v>1617.2</v>
      </c>
      <c r="Q243" s="11">
        <v>0.25</v>
      </c>
      <c r="R243">
        <v>1212.9000000000001</v>
      </c>
      <c r="S243">
        <v>690.52</v>
      </c>
      <c r="T243">
        <v>522.38</v>
      </c>
      <c r="U243" t="s">
        <v>111</v>
      </c>
      <c r="V243" t="s">
        <v>103</v>
      </c>
      <c r="X243" s="8" t="str">
        <f>IF(C243&gt;=B243,"Valid", "Invalid-Date")</f>
        <v>Valid</v>
      </c>
      <c r="Y243" s="8" t="str">
        <f t="shared" si="28"/>
        <v>Valid</v>
      </c>
      <c r="Z243" s="8" t="str">
        <f t="shared" si="29"/>
        <v>Pass</v>
      </c>
      <c r="AA243" s="8" t="str">
        <f t="shared" si="30"/>
        <v>Pass</v>
      </c>
      <c r="AB243" s="8" t="str">
        <f>TEXT(B243,"mmmm")</f>
        <v>June</v>
      </c>
      <c r="AC243" s="8" t="str">
        <f>TEXT(B243,"yyyy")</f>
        <v>2025</v>
      </c>
      <c r="AE243">
        <f t="shared" si="31"/>
        <v>1617.2</v>
      </c>
      <c r="AF243" s="11">
        <f t="shared" si="32"/>
        <v>1212.9000000000001</v>
      </c>
      <c r="AG243">
        <f t="shared" si="33"/>
        <v>926.68000000000006</v>
      </c>
      <c r="AH243" s="11">
        <f t="shared" si="34"/>
        <v>0.57301508780608457</v>
      </c>
      <c r="AI243" s="44">
        <f t="shared" si="35"/>
        <v>0.57301508780608457</v>
      </c>
    </row>
    <row r="244" spans="1:35">
      <c r="A244" t="s">
        <v>833</v>
      </c>
      <c r="B244" s="5">
        <v>45695</v>
      </c>
      <c r="C244" s="5">
        <v>45840</v>
      </c>
      <c r="D244" s="13">
        <f t="shared" si="27"/>
        <v>145</v>
      </c>
      <c r="E244" t="s">
        <v>834</v>
      </c>
      <c r="F244" t="s">
        <v>53</v>
      </c>
      <c r="G244" t="s">
        <v>24</v>
      </c>
      <c r="H244" t="s">
        <v>25</v>
      </c>
      <c r="I244" t="s">
        <v>136</v>
      </c>
      <c r="J244" t="s">
        <v>137</v>
      </c>
      <c r="K244" t="s">
        <v>28</v>
      </c>
      <c r="L244" t="s">
        <v>48</v>
      </c>
      <c r="M244" t="s">
        <v>835</v>
      </c>
      <c r="N244" t="s">
        <v>31</v>
      </c>
      <c r="O244">
        <v>3</v>
      </c>
      <c r="P244">
        <v>1999.24</v>
      </c>
      <c r="Q244" s="11">
        <v>0.05</v>
      </c>
      <c r="R244">
        <v>5697.83</v>
      </c>
      <c r="S244">
        <v>4251.5</v>
      </c>
      <c r="T244">
        <v>1446.33</v>
      </c>
      <c r="U244" t="s">
        <v>32</v>
      </c>
      <c r="V244" t="s">
        <v>33</v>
      </c>
      <c r="X244" s="8" t="str">
        <f>IF(C244&gt;=B244,"Valid", "Invalid-Date")</f>
        <v>Valid</v>
      </c>
      <c r="Y244" s="8" t="str">
        <f t="shared" si="28"/>
        <v>Valid</v>
      </c>
      <c r="Z244" s="8" t="str">
        <f t="shared" si="29"/>
        <v>Pass</v>
      </c>
      <c r="AA244" s="8" t="str">
        <f t="shared" si="30"/>
        <v>Pass</v>
      </c>
      <c r="AB244" s="8" t="str">
        <f>TEXT(B244,"mmmm")</f>
        <v>February</v>
      </c>
      <c r="AC244" s="8" t="str">
        <f>TEXT(B244,"yyyy")</f>
        <v>2025</v>
      </c>
      <c r="AE244">
        <f t="shared" si="31"/>
        <v>5997.72</v>
      </c>
      <c r="AF244" s="11">
        <f t="shared" si="32"/>
        <v>5697.8339999999998</v>
      </c>
      <c r="AG244">
        <f t="shared" si="33"/>
        <v>1746.2200000000003</v>
      </c>
      <c r="AH244" s="11">
        <f t="shared" si="34"/>
        <v>0.29114730264167055</v>
      </c>
      <c r="AI244" s="44">
        <f t="shared" si="35"/>
        <v>0.29114730264167055</v>
      </c>
    </row>
    <row r="245" spans="1:35">
      <c r="A245" t="s">
        <v>836</v>
      </c>
      <c r="B245" s="5">
        <v>45867</v>
      </c>
      <c r="C245" s="5">
        <v>45696</v>
      </c>
      <c r="D245" s="13">
        <f t="shared" si="27"/>
        <v>-171</v>
      </c>
      <c r="E245" t="s">
        <v>837</v>
      </c>
      <c r="F245" t="s">
        <v>132</v>
      </c>
      <c r="G245" t="s">
        <v>37</v>
      </c>
      <c r="H245" t="s">
        <v>2785</v>
      </c>
      <c r="I245" t="s">
        <v>72</v>
      </c>
      <c r="J245" t="s">
        <v>73</v>
      </c>
      <c r="K245" t="s">
        <v>74</v>
      </c>
      <c r="L245" t="s">
        <v>75</v>
      </c>
      <c r="M245" t="s">
        <v>838</v>
      </c>
      <c r="N245" t="s">
        <v>50</v>
      </c>
      <c r="O245">
        <v>1</v>
      </c>
      <c r="P245">
        <v>4499.46</v>
      </c>
      <c r="Q245" s="11">
        <v>0.1</v>
      </c>
      <c r="R245">
        <v>4049.51</v>
      </c>
      <c r="S245">
        <v>2509.1999999999998</v>
      </c>
      <c r="T245">
        <v>1540.31</v>
      </c>
      <c r="U245" t="s">
        <v>32</v>
      </c>
      <c r="V245" t="s">
        <v>33</v>
      </c>
      <c r="X245" s="8" t="str">
        <f>IF(C245&gt;=B245,"Valid", "Invalid-Date")</f>
        <v>Invalid-Date</v>
      </c>
      <c r="Y245" s="8" t="str">
        <f t="shared" si="28"/>
        <v>Valid</v>
      </c>
      <c r="Z245" s="8" t="str">
        <f t="shared" si="29"/>
        <v>Pass</v>
      </c>
      <c r="AA245" s="8" t="str">
        <f t="shared" si="30"/>
        <v>Flagged</v>
      </c>
      <c r="AB245" s="8" t="str">
        <f>TEXT(B245,"mmmm")</f>
        <v>July</v>
      </c>
      <c r="AC245" s="8" t="str">
        <f>TEXT(B245,"yyyy")</f>
        <v>2025</v>
      </c>
      <c r="AE245">
        <f t="shared" si="31"/>
        <v>4499.46</v>
      </c>
      <c r="AF245" s="11">
        <f t="shared" si="32"/>
        <v>4049.5140000000001</v>
      </c>
      <c r="AG245">
        <f t="shared" si="33"/>
        <v>1990.2600000000002</v>
      </c>
      <c r="AH245" s="11">
        <f t="shared" si="34"/>
        <v>0.44233307996959642</v>
      </c>
      <c r="AI245" s="44">
        <f t="shared" si="35"/>
        <v>0.44233307996959642</v>
      </c>
    </row>
    <row r="246" spans="1:35">
      <c r="A246" t="s">
        <v>839</v>
      </c>
      <c r="B246" s="5">
        <v>45527</v>
      </c>
      <c r="C246" s="5">
        <v>45528</v>
      </c>
      <c r="D246" s="13">
        <f t="shared" si="27"/>
        <v>1</v>
      </c>
      <c r="E246" t="s">
        <v>840</v>
      </c>
      <c r="F246" t="s">
        <v>79</v>
      </c>
      <c r="G246" t="s">
        <v>24</v>
      </c>
      <c r="H246" t="s">
        <v>54</v>
      </c>
      <c r="I246" t="s">
        <v>55</v>
      </c>
      <c r="J246" t="s">
        <v>56</v>
      </c>
      <c r="K246" t="s">
        <v>41</v>
      </c>
      <c r="L246" t="s">
        <v>158</v>
      </c>
      <c r="M246" t="s">
        <v>841</v>
      </c>
      <c r="N246" t="s">
        <v>44</v>
      </c>
      <c r="O246">
        <v>6</v>
      </c>
      <c r="P246">
        <v>1021.89</v>
      </c>
      <c r="Q246" s="11">
        <v>0</v>
      </c>
      <c r="R246">
        <v>6131.34</v>
      </c>
      <c r="S246">
        <v>4060.88</v>
      </c>
      <c r="T246">
        <v>2070.46</v>
      </c>
      <c r="U246" t="s">
        <v>32</v>
      </c>
      <c r="V246" t="s">
        <v>33</v>
      </c>
      <c r="X246" s="8" t="str">
        <f>IF(C246&gt;=B246,"Valid", "Invalid-Date")</f>
        <v>Valid</v>
      </c>
      <c r="Y246" s="8" t="str">
        <f t="shared" si="28"/>
        <v>Valid</v>
      </c>
      <c r="Z246" s="8" t="str">
        <f t="shared" si="29"/>
        <v>Pass</v>
      </c>
      <c r="AA246" s="8" t="str">
        <f t="shared" si="30"/>
        <v>Pass</v>
      </c>
      <c r="AB246" s="8" t="str">
        <f>TEXT(B246,"mmmm")</f>
        <v>August</v>
      </c>
      <c r="AC246" s="8" t="str">
        <f>TEXT(B246,"yyyy")</f>
        <v>2024</v>
      </c>
      <c r="AE246">
        <f t="shared" si="31"/>
        <v>6131.34</v>
      </c>
      <c r="AF246" s="11">
        <f t="shared" si="32"/>
        <v>6131.34</v>
      </c>
      <c r="AG246">
        <f t="shared" si="33"/>
        <v>2070.46</v>
      </c>
      <c r="AH246" s="11">
        <f t="shared" si="34"/>
        <v>0.33768474754295147</v>
      </c>
      <c r="AI246" s="44">
        <f t="shared" si="35"/>
        <v>0.33768474754295147</v>
      </c>
    </row>
    <row r="247" spans="1:35">
      <c r="A247" t="s">
        <v>842</v>
      </c>
      <c r="B247" s="5">
        <v>45583</v>
      </c>
      <c r="C247" s="5">
        <v>45589</v>
      </c>
      <c r="D247" s="13">
        <f t="shared" si="27"/>
        <v>6</v>
      </c>
      <c r="E247" t="s">
        <v>843</v>
      </c>
      <c r="F247" t="s">
        <v>79</v>
      </c>
      <c r="G247" t="s">
        <v>95</v>
      </c>
      <c r="H247" t="s">
        <v>54</v>
      </c>
      <c r="I247" t="s">
        <v>185</v>
      </c>
      <c r="J247" t="s">
        <v>186</v>
      </c>
      <c r="K247" t="s">
        <v>41</v>
      </c>
      <c r="L247" t="s">
        <v>66</v>
      </c>
      <c r="M247" t="s">
        <v>844</v>
      </c>
      <c r="N247" t="s">
        <v>31</v>
      </c>
      <c r="O247">
        <v>3</v>
      </c>
      <c r="P247">
        <v>3275.93</v>
      </c>
      <c r="Q247" s="11">
        <v>0</v>
      </c>
      <c r="R247">
        <v>9827.7900000000009</v>
      </c>
      <c r="S247">
        <v>5478.28</v>
      </c>
      <c r="T247">
        <v>4349.51</v>
      </c>
      <c r="U247" t="s">
        <v>32</v>
      </c>
      <c r="V247" t="s">
        <v>33</v>
      </c>
      <c r="X247" s="8" t="str">
        <f>IF(C247&gt;=B247,"Valid", "Invalid-Date")</f>
        <v>Valid</v>
      </c>
      <c r="Y247" s="8" t="str">
        <f t="shared" si="28"/>
        <v>Valid</v>
      </c>
      <c r="Z247" s="8" t="str">
        <f t="shared" si="29"/>
        <v>Pass</v>
      </c>
      <c r="AA247" s="8" t="str">
        <f t="shared" si="30"/>
        <v>Pass</v>
      </c>
      <c r="AB247" s="8" t="str">
        <f>TEXT(B247,"mmmm")</f>
        <v>October</v>
      </c>
      <c r="AC247" s="8" t="str">
        <f>TEXT(B247,"yyyy")</f>
        <v>2024</v>
      </c>
      <c r="AE247">
        <f t="shared" si="31"/>
        <v>9827.7899999999991</v>
      </c>
      <c r="AF247" s="11">
        <f t="shared" si="32"/>
        <v>9827.7899999999991</v>
      </c>
      <c r="AG247">
        <f t="shared" si="33"/>
        <v>4349.5099999999993</v>
      </c>
      <c r="AH247" s="11">
        <f t="shared" si="34"/>
        <v>0.44257254174132737</v>
      </c>
      <c r="AI247" s="44">
        <f t="shared" si="35"/>
        <v>0.44257254174132737</v>
      </c>
    </row>
    <row r="248" spans="1:35">
      <c r="A248" t="s">
        <v>845</v>
      </c>
      <c r="B248" s="5">
        <v>45416</v>
      </c>
      <c r="C248" s="5">
        <v>45540</v>
      </c>
      <c r="D248" s="13">
        <f t="shared" si="27"/>
        <v>124</v>
      </c>
      <c r="E248" t="s">
        <v>846</v>
      </c>
      <c r="F248" t="s">
        <v>62</v>
      </c>
      <c r="G248" t="s">
        <v>90</v>
      </c>
      <c r="H248" t="s">
        <v>25</v>
      </c>
      <c r="I248" t="s">
        <v>122</v>
      </c>
      <c r="J248" t="s">
        <v>123</v>
      </c>
      <c r="K248" t="s">
        <v>74</v>
      </c>
      <c r="L248" t="s">
        <v>274</v>
      </c>
      <c r="M248" t="s">
        <v>847</v>
      </c>
      <c r="N248" t="s">
        <v>44</v>
      </c>
      <c r="O248">
        <v>3</v>
      </c>
      <c r="P248">
        <v>231.95</v>
      </c>
      <c r="Q248" s="11">
        <v>0.25</v>
      </c>
      <c r="R248">
        <v>521.89</v>
      </c>
      <c r="S248">
        <v>444.52</v>
      </c>
      <c r="T248">
        <v>77.37</v>
      </c>
      <c r="U248" t="s">
        <v>102</v>
      </c>
      <c r="V248" t="s">
        <v>68</v>
      </c>
      <c r="X248" s="8" t="str">
        <f>IF(C248&gt;=B248,"Valid", "Invalid-Date")</f>
        <v>Valid</v>
      </c>
      <c r="Y248" s="8" t="str">
        <f t="shared" si="28"/>
        <v>Valid</v>
      </c>
      <c r="Z248" s="8" t="str">
        <f t="shared" si="29"/>
        <v>Pass</v>
      </c>
      <c r="AA248" s="8" t="str">
        <f t="shared" si="30"/>
        <v>Pass</v>
      </c>
      <c r="AB248" s="8" t="str">
        <f>TEXT(B248,"mmmm")</f>
        <v>May</v>
      </c>
      <c r="AC248" s="8" t="str">
        <f>TEXT(B248,"yyyy")</f>
        <v>2024</v>
      </c>
      <c r="AE248">
        <f t="shared" si="31"/>
        <v>695.84999999999991</v>
      </c>
      <c r="AF248" s="11">
        <f t="shared" si="32"/>
        <v>521.88749999999993</v>
      </c>
      <c r="AG248">
        <f t="shared" si="33"/>
        <v>251.32999999999993</v>
      </c>
      <c r="AH248" s="11">
        <f t="shared" si="34"/>
        <v>0.36118416325357472</v>
      </c>
      <c r="AI248" s="44">
        <f t="shared" si="35"/>
        <v>0.36118416325357472</v>
      </c>
    </row>
    <row r="249" spans="1:35">
      <c r="A249" t="s">
        <v>848</v>
      </c>
      <c r="B249" s="5">
        <v>45498</v>
      </c>
      <c r="C249" s="5">
        <v>45299</v>
      </c>
      <c r="D249" s="13">
        <f t="shared" si="27"/>
        <v>-199</v>
      </c>
      <c r="E249" t="s">
        <v>849</v>
      </c>
      <c r="F249" t="s">
        <v>118</v>
      </c>
      <c r="G249" t="s">
        <v>90</v>
      </c>
      <c r="H249" t="s">
        <v>25</v>
      </c>
      <c r="I249" t="s">
        <v>26</v>
      </c>
      <c r="J249" t="s">
        <v>27</v>
      </c>
      <c r="K249" t="s">
        <v>74</v>
      </c>
      <c r="L249" t="s">
        <v>75</v>
      </c>
      <c r="M249" t="s">
        <v>850</v>
      </c>
      <c r="N249" t="s">
        <v>31</v>
      </c>
      <c r="O249">
        <v>8</v>
      </c>
      <c r="P249">
        <v>2493.4</v>
      </c>
      <c r="Q249" s="11">
        <v>0.25</v>
      </c>
      <c r="R249">
        <v>14960.4</v>
      </c>
      <c r="S249">
        <v>12500.84</v>
      </c>
      <c r="T249">
        <v>2459.56</v>
      </c>
      <c r="U249" t="s">
        <v>32</v>
      </c>
      <c r="V249" t="s">
        <v>33</v>
      </c>
      <c r="X249" s="8" t="str">
        <f>IF(C249&gt;=B249,"Valid", "Invalid-Date")</f>
        <v>Invalid-Date</v>
      </c>
      <c r="Y249" s="8" t="str">
        <f t="shared" si="28"/>
        <v>Valid</v>
      </c>
      <c r="Z249" s="8" t="str">
        <f t="shared" si="29"/>
        <v>Pass</v>
      </c>
      <c r="AA249" s="8" t="str">
        <f t="shared" si="30"/>
        <v>Pass</v>
      </c>
      <c r="AB249" s="8" t="str">
        <f>TEXT(B249,"mmmm")</f>
        <v>July</v>
      </c>
      <c r="AC249" s="8" t="str">
        <f>TEXT(B249,"yyyy")</f>
        <v>2024</v>
      </c>
      <c r="AE249">
        <f t="shared" si="31"/>
        <v>19947.2</v>
      </c>
      <c r="AF249" s="11">
        <f t="shared" si="32"/>
        <v>14960.400000000001</v>
      </c>
      <c r="AG249">
        <f t="shared" si="33"/>
        <v>7446.3600000000006</v>
      </c>
      <c r="AH249" s="11">
        <f t="shared" si="34"/>
        <v>0.37330352129622202</v>
      </c>
      <c r="AI249" s="44">
        <f t="shared" si="35"/>
        <v>0.37330352129622202</v>
      </c>
    </row>
    <row r="250" spans="1:35">
      <c r="A250" t="s">
        <v>851</v>
      </c>
      <c r="B250" s="5">
        <v>45328</v>
      </c>
      <c r="C250" s="5">
        <v>45450</v>
      </c>
      <c r="D250" s="13">
        <f t="shared" si="27"/>
        <v>122</v>
      </c>
      <c r="E250" t="s">
        <v>852</v>
      </c>
      <c r="F250" t="s">
        <v>141</v>
      </c>
      <c r="G250" t="s">
        <v>95</v>
      </c>
      <c r="H250" t="s">
        <v>38</v>
      </c>
      <c r="I250" t="s">
        <v>39</v>
      </c>
      <c r="J250" t="s">
        <v>40</v>
      </c>
      <c r="K250" t="s">
        <v>28</v>
      </c>
      <c r="L250" t="s">
        <v>91</v>
      </c>
      <c r="M250" t="s">
        <v>853</v>
      </c>
      <c r="N250" t="s">
        <v>31</v>
      </c>
      <c r="O250">
        <v>9</v>
      </c>
      <c r="P250">
        <v>787.91</v>
      </c>
      <c r="Q250" s="11">
        <v>0.15</v>
      </c>
      <c r="R250">
        <v>6027.51</v>
      </c>
      <c r="S250">
        <v>4883.82</v>
      </c>
      <c r="T250">
        <v>1143.69</v>
      </c>
      <c r="U250" t="s">
        <v>32</v>
      </c>
      <c r="V250" t="s">
        <v>33</v>
      </c>
      <c r="X250" s="8" t="str">
        <f>IF(C250&gt;=B250,"Valid", "Invalid-Date")</f>
        <v>Valid</v>
      </c>
      <c r="Y250" s="8" t="str">
        <f t="shared" si="28"/>
        <v>Valid</v>
      </c>
      <c r="Z250" s="8" t="str">
        <f t="shared" si="29"/>
        <v>Pass</v>
      </c>
      <c r="AA250" s="8" t="str">
        <f t="shared" si="30"/>
        <v>Pass</v>
      </c>
      <c r="AB250" s="8" t="str">
        <f>TEXT(B250,"mmmm")</f>
        <v>February</v>
      </c>
      <c r="AC250" s="8" t="str">
        <f>TEXT(B250,"yyyy")</f>
        <v>2024</v>
      </c>
      <c r="AE250">
        <f t="shared" si="31"/>
        <v>7091.19</v>
      </c>
      <c r="AF250" s="11">
        <f t="shared" si="32"/>
        <v>6027.5114999999996</v>
      </c>
      <c r="AG250">
        <f t="shared" si="33"/>
        <v>2207.37</v>
      </c>
      <c r="AH250" s="11">
        <f t="shared" si="34"/>
        <v>0.31128343761766358</v>
      </c>
      <c r="AI250" s="44">
        <f t="shared" si="35"/>
        <v>0.31128343761766358</v>
      </c>
    </row>
    <row r="251" spans="1:35">
      <c r="A251" t="s">
        <v>854</v>
      </c>
      <c r="B251" s="5">
        <v>45665</v>
      </c>
      <c r="C251" s="5">
        <v>45696</v>
      </c>
      <c r="D251" s="13">
        <f t="shared" si="27"/>
        <v>31</v>
      </c>
      <c r="E251" t="s">
        <v>855</v>
      </c>
      <c r="F251" t="s">
        <v>36</v>
      </c>
      <c r="G251" t="s">
        <v>90</v>
      </c>
      <c r="H251" t="s">
        <v>25</v>
      </c>
      <c r="I251" t="s">
        <v>26</v>
      </c>
      <c r="J251" t="s">
        <v>27</v>
      </c>
      <c r="K251" t="s">
        <v>41</v>
      </c>
      <c r="L251" t="s">
        <v>57</v>
      </c>
      <c r="M251" t="s">
        <v>856</v>
      </c>
      <c r="N251" t="s">
        <v>50</v>
      </c>
      <c r="O251">
        <v>4</v>
      </c>
      <c r="P251">
        <v>2790.29</v>
      </c>
      <c r="Q251" s="11">
        <v>0.2</v>
      </c>
      <c r="R251">
        <v>8928.93</v>
      </c>
      <c r="S251">
        <v>5634.38</v>
      </c>
      <c r="T251">
        <v>3294.55</v>
      </c>
      <c r="U251" t="s">
        <v>32</v>
      </c>
      <c r="V251" t="s">
        <v>33</v>
      </c>
      <c r="X251" s="8" t="str">
        <f>IF(C251&gt;=B251,"Valid", "Invalid-Date")</f>
        <v>Valid</v>
      </c>
      <c r="Y251" s="8" t="str">
        <f t="shared" si="28"/>
        <v>Valid</v>
      </c>
      <c r="Z251" s="8" t="str">
        <f t="shared" si="29"/>
        <v>Pass</v>
      </c>
      <c r="AA251" s="8" t="str">
        <f t="shared" si="30"/>
        <v>Pass</v>
      </c>
      <c r="AB251" s="8" t="str">
        <f>TEXT(B251,"mmmm")</f>
        <v>January</v>
      </c>
      <c r="AC251" s="8" t="str">
        <f>TEXT(B251,"yyyy")</f>
        <v>2025</v>
      </c>
      <c r="AE251">
        <f t="shared" si="31"/>
        <v>11161.16</v>
      </c>
      <c r="AF251" s="11">
        <f t="shared" si="32"/>
        <v>8928.9279999999999</v>
      </c>
      <c r="AG251">
        <f t="shared" si="33"/>
        <v>5526.78</v>
      </c>
      <c r="AH251" s="11">
        <f t="shared" si="34"/>
        <v>0.49517971250300147</v>
      </c>
      <c r="AI251" s="44">
        <f t="shared" si="35"/>
        <v>0.49517971250300147</v>
      </c>
    </row>
    <row r="252" spans="1:35" s="15" customFormat="1">
      <c r="A252" s="15" t="s">
        <v>857</v>
      </c>
      <c r="B252" s="16">
        <v>45343</v>
      </c>
      <c r="C252" s="16">
        <v>45349</v>
      </c>
      <c r="D252" s="17">
        <f t="shared" si="27"/>
        <v>6</v>
      </c>
      <c r="E252" s="15" t="s">
        <v>858</v>
      </c>
      <c r="F252" s="15" t="s">
        <v>53</v>
      </c>
      <c r="G252" s="15" t="s">
        <v>37</v>
      </c>
      <c r="H252" s="15" t="s">
        <v>38</v>
      </c>
      <c r="I252" s="15" t="s">
        <v>99</v>
      </c>
      <c r="J252" s="15" t="s">
        <v>100</v>
      </c>
      <c r="K252" s="15" t="s">
        <v>41</v>
      </c>
      <c r="L252" s="15" t="s">
        <v>57</v>
      </c>
      <c r="M252" s="15" t="s">
        <v>859</v>
      </c>
      <c r="N252" s="15" t="s">
        <v>59</v>
      </c>
      <c r="O252" s="15">
        <v>5</v>
      </c>
      <c r="P252" s="15">
        <v>3373.86</v>
      </c>
      <c r="Q252" s="18">
        <v>0.15</v>
      </c>
      <c r="R252" s="15">
        <v>14338.9</v>
      </c>
      <c r="S252" s="15">
        <v>11897.65</v>
      </c>
      <c r="T252" s="15">
        <v>2441.25</v>
      </c>
      <c r="U252" s="15" t="s">
        <v>111</v>
      </c>
      <c r="V252" s="15" t="s">
        <v>103</v>
      </c>
      <c r="W252" s="25"/>
      <c r="X252" s="8" t="str">
        <f>IF(C252&gt;=B252,"Valid", "Invalid-Date")</f>
        <v>Valid</v>
      </c>
      <c r="Y252" s="8" t="str">
        <f t="shared" si="28"/>
        <v>Valid</v>
      </c>
      <c r="Z252" s="19" t="str">
        <f t="shared" si="29"/>
        <v>Pass</v>
      </c>
      <c r="AA252" s="19" t="str">
        <f t="shared" si="30"/>
        <v>Pass</v>
      </c>
      <c r="AB252" s="19" t="str">
        <f>TEXT(B252,"mmmm")</f>
        <v>February</v>
      </c>
      <c r="AC252" s="19" t="str">
        <f>TEXT(B252,"yyyy")</f>
        <v>2024</v>
      </c>
      <c r="AD252" s="20"/>
      <c r="AE252" s="15">
        <f t="shared" si="31"/>
        <v>16869.3</v>
      </c>
      <c r="AF252" s="11">
        <f t="shared" si="32"/>
        <v>14338.904999999999</v>
      </c>
      <c r="AG252" s="15">
        <f t="shared" si="33"/>
        <v>4971.6499999999996</v>
      </c>
      <c r="AH252" s="18">
        <f t="shared" si="34"/>
        <v>0.29471584475941504</v>
      </c>
      <c r="AI252" s="45">
        <f t="shared" si="35"/>
        <v>0.29471584475941504</v>
      </c>
    </row>
    <row r="253" spans="1:35">
      <c r="A253" t="s">
        <v>860</v>
      </c>
      <c r="B253" s="5">
        <v>45753</v>
      </c>
      <c r="C253" s="5">
        <v>45934</v>
      </c>
      <c r="D253" s="13">
        <f t="shared" si="27"/>
        <v>181</v>
      </c>
      <c r="E253" t="s">
        <v>861</v>
      </c>
      <c r="F253" t="s">
        <v>62</v>
      </c>
      <c r="G253" t="s">
        <v>90</v>
      </c>
      <c r="H253" t="s">
        <v>63</v>
      </c>
      <c r="I253" t="s">
        <v>180</v>
      </c>
      <c r="J253" t="s">
        <v>181</v>
      </c>
      <c r="K253" t="s">
        <v>41</v>
      </c>
      <c r="L253" t="s">
        <v>42</v>
      </c>
      <c r="M253" t="s">
        <v>862</v>
      </c>
      <c r="N253" t="s">
        <v>31</v>
      </c>
      <c r="O253">
        <v>6</v>
      </c>
      <c r="P253">
        <v>1022.16</v>
      </c>
      <c r="Q253" s="11">
        <v>0</v>
      </c>
      <c r="R253">
        <v>6132.96</v>
      </c>
      <c r="S253">
        <v>4881.1000000000004</v>
      </c>
      <c r="T253">
        <v>1251.8599999999999</v>
      </c>
      <c r="U253" t="s">
        <v>32</v>
      </c>
      <c r="V253" t="s">
        <v>33</v>
      </c>
      <c r="X253" s="8" t="str">
        <f>IF(C253&gt;=B253,"Valid", "Invalid-Date")</f>
        <v>Valid</v>
      </c>
      <c r="Y253" s="8" t="str">
        <f t="shared" si="28"/>
        <v>Valid</v>
      </c>
      <c r="Z253" s="8" t="str">
        <f t="shared" si="29"/>
        <v>Pass</v>
      </c>
      <c r="AA253" s="8" t="str">
        <f t="shared" si="30"/>
        <v>Pass</v>
      </c>
      <c r="AB253" s="8" t="str">
        <f>TEXT(B253,"mmmm")</f>
        <v>April</v>
      </c>
      <c r="AC253" s="8" t="str">
        <f>TEXT(B253,"yyyy")</f>
        <v>2025</v>
      </c>
      <c r="AE253">
        <f t="shared" si="31"/>
        <v>6132.96</v>
      </c>
      <c r="AF253" s="11">
        <f t="shared" si="32"/>
        <v>6132.96</v>
      </c>
      <c r="AG253">
        <f t="shared" si="33"/>
        <v>1251.8599999999997</v>
      </c>
      <c r="AH253" s="11">
        <f t="shared" si="34"/>
        <v>0.20412003339333692</v>
      </c>
      <c r="AI253" s="44">
        <f t="shared" si="35"/>
        <v>0.20412003339333692</v>
      </c>
    </row>
    <row r="254" spans="1:35">
      <c r="A254" t="s">
        <v>863</v>
      </c>
      <c r="B254" s="5">
        <v>45833</v>
      </c>
      <c r="C254" s="5">
        <v>45836</v>
      </c>
      <c r="D254" s="13">
        <f t="shared" si="27"/>
        <v>3</v>
      </c>
      <c r="E254" t="s">
        <v>864</v>
      </c>
      <c r="F254" t="s">
        <v>53</v>
      </c>
      <c r="G254" t="s">
        <v>90</v>
      </c>
      <c r="H254" t="s">
        <v>25</v>
      </c>
      <c r="I254" t="s">
        <v>236</v>
      </c>
      <c r="J254" t="s">
        <v>237</v>
      </c>
      <c r="K254" t="s">
        <v>28</v>
      </c>
      <c r="L254" t="s">
        <v>124</v>
      </c>
      <c r="M254" t="s">
        <v>865</v>
      </c>
      <c r="N254" t="s">
        <v>50</v>
      </c>
      <c r="O254">
        <v>2</v>
      </c>
      <c r="P254">
        <v>1455.92</v>
      </c>
      <c r="Q254" s="11">
        <v>0.2</v>
      </c>
      <c r="R254">
        <v>2329.4699999999998</v>
      </c>
      <c r="S254">
        <v>1603.62</v>
      </c>
      <c r="T254">
        <v>725.85</v>
      </c>
      <c r="U254" t="s">
        <v>111</v>
      </c>
      <c r="V254" t="s">
        <v>103</v>
      </c>
      <c r="X254" s="8" t="str">
        <f>IF(C254&gt;=B254,"Valid", "Invalid-Date")</f>
        <v>Valid</v>
      </c>
      <c r="Y254" s="8" t="str">
        <f t="shared" si="28"/>
        <v>Valid</v>
      </c>
      <c r="Z254" s="8" t="str">
        <f t="shared" si="29"/>
        <v>Pass</v>
      </c>
      <c r="AA254" s="8" t="str">
        <f t="shared" si="30"/>
        <v>Pass</v>
      </c>
      <c r="AB254" s="8" t="str">
        <f>TEXT(B254,"mmmm")</f>
        <v>June</v>
      </c>
      <c r="AC254" s="8" t="str">
        <f>TEXT(B254,"yyyy")</f>
        <v>2025</v>
      </c>
      <c r="AE254">
        <f t="shared" si="31"/>
        <v>2911.84</v>
      </c>
      <c r="AF254" s="11">
        <f t="shared" si="32"/>
        <v>2329.4720000000002</v>
      </c>
      <c r="AG254">
        <f t="shared" si="33"/>
        <v>1308.2200000000003</v>
      </c>
      <c r="AH254" s="11">
        <f t="shared" si="34"/>
        <v>0.44927605912412777</v>
      </c>
      <c r="AI254" s="44">
        <f t="shared" si="35"/>
        <v>0.44927605912412777</v>
      </c>
    </row>
    <row r="255" spans="1:35">
      <c r="A255" t="s">
        <v>866</v>
      </c>
      <c r="B255" s="5">
        <v>45547</v>
      </c>
      <c r="C255" s="5">
        <v>45548</v>
      </c>
      <c r="D255" s="13">
        <f t="shared" si="27"/>
        <v>1</v>
      </c>
      <c r="E255" t="s">
        <v>867</v>
      </c>
      <c r="F255" t="s">
        <v>114</v>
      </c>
      <c r="G255" t="s">
        <v>37</v>
      </c>
      <c r="H255" t="s">
        <v>25</v>
      </c>
      <c r="I255" t="s">
        <v>26</v>
      </c>
      <c r="J255" t="s">
        <v>27</v>
      </c>
      <c r="K255" t="s">
        <v>74</v>
      </c>
      <c r="L255" t="s">
        <v>171</v>
      </c>
      <c r="M255" t="s">
        <v>868</v>
      </c>
      <c r="N255" t="s">
        <v>44</v>
      </c>
      <c r="O255">
        <v>6</v>
      </c>
      <c r="P255">
        <v>832.79</v>
      </c>
      <c r="Q255" s="11">
        <v>0.05</v>
      </c>
      <c r="R255">
        <v>4746.8999999999996</v>
      </c>
      <c r="S255">
        <v>2825.38</v>
      </c>
      <c r="T255">
        <v>1472.89</v>
      </c>
      <c r="U255" t="s">
        <v>102</v>
      </c>
      <c r="V255" t="s">
        <v>68</v>
      </c>
      <c r="X255" s="8" t="str">
        <f>IF(C255&gt;=B255,"Valid", "Invalid-Date")</f>
        <v>Valid</v>
      </c>
      <c r="Y255" s="8" t="str">
        <f t="shared" si="28"/>
        <v>Valid</v>
      </c>
      <c r="Z255" s="8" t="str">
        <f t="shared" si="29"/>
        <v>Pass</v>
      </c>
      <c r="AA255" s="8" t="str">
        <f t="shared" si="30"/>
        <v>Pass</v>
      </c>
      <c r="AB255" s="8" t="str">
        <f>TEXT(B255,"mmmm")</f>
        <v>September</v>
      </c>
      <c r="AC255" s="8" t="str">
        <f>TEXT(B255,"yyyy")</f>
        <v>2024</v>
      </c>
      <c r="AE255">
        <f t="shared" si="31"/>
        <v>4996.74</v>
      </c>
      <c r="AF255" s="11">
        <f t="shared" si="32"/>
        <v>4746.9029999999993</v>
      </c>
      <c r="AG255">
        <f t="shared" si="33"/>
        <v>2171.3599999999997</v>
      </c>
      <c r="AH255" s="11">
        <f t="shared" si="34"/>
        <v>0.43455533007520897</v>
      </c>
      <c r="AI255" s="44">
        <f t="shared" si="35"/>
        <v>0.43455533007520897</v>
      </c>
    </row>
    <row r="256" spans="1:35">
      <c r="A256" t="s">
        <v>869</v>
      </c>
      <c r="B256" s="5">
        <v>45658</v>
      </c>
      <c r="C256" s="5">
        <v>45660</v>
      </c>
      <c r="D256" s="13">
        <f t="shared" si="27"/>
        <v>2</v>
      </c>
      <c r="E256" t="s">
        <v>870</v>
      </c>
      <c r="F256" t="s">
        <v>62</v>
      </c>
      <c r="G256" t="s">
        <v>24</v>
      </c>
      <c r="H256" t="s">
        <v>63</v>
      </c>
      <c r="I256" t="s">
        <v>72</v>
      </c>
      <c r="J256" t="s">
        <v>73</v>
      </c>
      <c r="K256" t="s">
        <v>74</v>
      </c>
      <c r="L256" t="s">
        <v>75</v>
      </c>
      <c r="M256" t="s">
        <v>871</v>
      </c>
      <c r="N256" t="s">
        <v>44</v>
      </c>
      <c r="O256">
        <v>7</v>
      </c>
      <c r="P256">
        <v>1000.55</v>
      </c>
      <c r="Q256" s="11">
        <v>0.2</v>
      </c>
      <c r="R256">
        <v>5603.08</v>
      </c>
      <c r="S256">
        <v>3132.52</v>
      </c>
      <c r="T256">
        <v>2470.56</v>
      </c>
      <c r="U256" t="s">
        <v>32</v>
      </c>
      <c r="V256" t="s">
        <v>103</v>
      </c>
      <c r="X256" s="8" t="str">
        <f>IF(C256&gt;=B256,"Valid", "Invalid-Date")</f>
        <v>Valid</v>
      </c>
      <c r="Y256" s="8" t="str">
        <f t="shared" si="28"/>
        <v>Valid</v>
      </c>
      <c r="Z256" s="8" t="str">
        <f t="shared" si="29"/>
        <v>Pass</v>
      </c>
      <c r="AA256" s="8" t="str">
        <f t="shared" si="30"/>
        <v>Pass</v>
      </c>
      <c r="AB256" s="8" t="str">
        <f>TEXT(B256,"mmmm")</f>
        <v>January</v>
      </c>
      <c r="AC256" s="8" t="str">
        <f>TEXT(B256,"yyyy")</f>
        <v>2025</v>
      </c>
      <c r="AE256">
        <f t="shared" si="31"/>
        <v>7003.8499999999995</v>
      </c>
      <c r="AF256" s="11">
        <f t="shared" si="32"/>
        <v>5603.08</v>
      </c>
      <c r="AG256">
        <f t="shared" si="33"/>
        <v>3871.3299999999995</v>
      </c>
      <c r="AH256" s="11">
        <f t="shared" si="34"/>
        <v>0.55274313413336951</v>
      </c>
      <c r="AI256" s="44">
        <f t="shared" si="35"/>
        <v>0.55274313413336951</v>
      </c>
    </row>
    <row r="257" spans="1:35">
      <c r="A257" t="s">
        <v>872</v>
      </c>
      <c r="B257" s="5">
        <v>45692</v>
      </c>
      <c r="C257" s="5">
        <v>45932</v>
      </c>
      <c r="D257" s="13">
        <f t="shared" si="27"/>
        <v>240</v>
      </c>
      <c r="E257" t="s">
        <v>873</v>
      </c>
      <c r="F257" t="s">
        <v>47</v>
      </c>
      <c r="G257" t="s">
        <v>90</v>
      </c>
      <c r="H257" t="s">
        <v>63</v>
      </c>
      <c r="I257" t="s">
        <v>64</v>
      </c>
      <c r="J257" t="s">
        <v>65</v>
      </c>
      <c r="K257" t="s">
        <v>74</v>
      </c>
      <c r="L257" t="s">
        <v>171</v>
      </c>
      <c r="M257" t="s">
        <v>874</v>
      </c>
      <c r="N257" t="s">
        <v>50</v>
      </c>
      <c r="O257">
        <v>7</v>
      </c>
      <c r="P257">
        <v>1830</v>
      </c>
      <c r="Q257" s="11">
        <v>0</v>
      </c>
      <c r="R257">
        <v>12810</v>
      </c>
      <c r="S257">
        <v>9334.1200000000008</v>
      </c>
      <c r="T257">
        <v>3475.88</v>
      </c>
      <c r="U257" t="s">
        <v>32</v>
      </c>
      <c r="V257" t="s">
        <v>33</v>
      </c>
      <c r="X257" s="8" t="str">
        <f>IF(C257&gt;=B257,"Valid", "Invalid-Date")</f>
        <v>Valid</v>
      </c>
      <c r="Y257" s="8" t="str">
        <f t="shared" si="28"/>
        <v>Valid</v>
      </c>
      <c r="Z257" s="8" t="str">
        <f t="shared" si="29"/>
        <v>Pass</v>
      </c>
      <c r="AA257" s="8" t="str">
        <f t="shared" si="30"/>
        <v>Pass</v>
      </c>
      <c r="AB257" s="8" t="str">
        <f>TEXT(B257,"mmmm")</f>
        <v>February</v>
      </c>
      <c r="AC257" s="8" t="str">
        <f>TEXT(B257,"yyyy")</f>
        <v>2025</v>
      </c>
      <c r="AE257">
        <f t="shared" si="31"/>
        <v>12810</v>
      </c>
      <c r="AF257" s="11">
        <f t="shared" si="32"/>
        <v>12810</v>
      </c>
      <c r="AG257">
        <f t="shared" si="33"/>
        <v>3475.8799999999992</v>
      </c>
      <c r="AH257" s="11">
        <f t="shared" si="34"/>
        <v>0.27134113973458229</v>
      </c>
      <c r="AI257" s="44">
        <f t="shared" si="35"/>
        <v>0.27134113973458229</v>
      </c>
    </row>
    <row r="258" spans="1:35">
      <c r="A258" t="s">
        <v>875</v>
      </c>
      <c r="B258" s="5">
        <v>45601</v>
      </c>
      <c r="C258" s="5">
        <v>45362</v>
      </c>
      <c r="D258" s="13">
        <f t="shared" si="27"/>
        <v>-239</v>
      </c>
      <c r="E258" t="s">
        <v>876</v>
      </c>
      <c r="F258" t="s">
        <v>62</v>
      </c>
      <c r="G258" t="s">
        <v>24</v>
      </c>
      <c r="H258" t="s">
        <v>38</v>
      </c>
      <c r="I258" t="s">
        <v>99</v>
      </c>
      <c r="J258" t="s">
        <v>100</v>
      </c>
      <c r="K258" t="s">
        <v>41</v>
      </c>
      <c r="L258" t="s">
        <v>42</v>
      </c>
      <c r="M258" t="s">
        <v>877</v>
      </c>
      <c r="N258" t="s">
        <v>50</v>
      </c>
      <c r="O258">
        <v>9</v>
      </c>
      <c r="P258">
        <v>2260.61</v>
      </c>
      <c r="Q258" s="11">
        <v>0.05</v>
      </c>
      <c r="R258">
        <v>19328.22</v>
      </c>
      <c r="S258">
        <v>12039.5</v>
      </c>
      <c r="T258">
        <v>7288.72</v>
      </c>
      <c r="U258" t="s">
        <v>32</v>
      </c>
      <c r="V258" t="s">
        <v>33</v>
      </c>
      <c r="X258" s="8" t="str">
        <f>IF(C258&gt;=B258,"Valid", "Invalid-Date")</f>
        <v>Invalid-Date</v>
      </c>
      <c r="Y258" s="8" t="str">
        <f t="shared" si="28"/>
        <v>Valid</v>
      </c>
      <c r="Z258" s="8" t="str">
        <f t="shared" si="29"/>
        <v>Pass</v>
      </c>
      <c r="AA258" s="8" t="str">
        <f t="shared" si="30"/>
        <v>Pass</v>
      </c>
      <c r="AB258" s="8" t="str">
        <f>TEXT(B258,"mmmm")</f>
        <v>November</v>
      </c>
      <c r="AC258" s="8" t="str">
        <f>TEXT(B258,"yyyy")</f>
        <v>2024</v>
      </c>
      <c r="AE258">
        <f t="shared" si="31"/>
        <v>20345.490000000002</v>
      </c>
      <c r="AF258" s="11">
        <f t="shared" si="32"/>
        <v>19328.215500000002</v>
      </c>
      <c r="AG258">
        <f t="shared" si="33"/>
        <v>8305.9900000000016</v>
      </c>
      <c r="AH258" s="11">
        <f t="shared" si="34"/>
        <v>0.40824723317059464</v>
      </c>
      <c r="AI258" s="44">
        <f t="shared" si="35"/>
        <v>0.40824723317059464</v>
      </c>
    </row>
    <row r="259" spans="1:35">
      <c r="A259" t="s">
        <v>878</v>
      </c>
      <c r="B259" s="5">
        <v>45878</v>
      </c>
      <c r="C259" s="5">
        <v>45999</v>
      </c>
      <c r="D259" s="13">
        <f t="shared" ref="D259:D322" si="36">C259-B259</f>
        <v>121</v>
      </c>
      <c r="E259" t="s">
        <v>879</v>
      </c>
      <c r="F259" t="s">
        <v>162</v>
      </c>
      <c r="G259" t="s">
        <v>90</v>
      </c>
      <c r="H259" t="s">
        <v>54</v>
      </c>
      <c r="I259" t="s">
        <v>175</v>
      </c>
      <c r="J259" t="s">
        <v>176</v>
      </c>
      <c r="K259" t="s">
        <v>74</v>
      </c>
      <c r="L259" t="s">
        <v>75</v>
      </c>
      <c r="M259" t="s">
        <v>880</v>
      </c>
      <c r="N259" t="s">
        <v>31</v>
      </c>
      <c r="O259">
        <v>2</v>
      </c>
      <c r="P259">
        <v>3237.27</v>
      </c>
      <c r="Q259" s="11">
        <v>0</v>
      </c>
      <c r="R259">
        <v>6474.54</v>
      </c>
      <c r="S259">
        <v>5095.91</v>
      </c>
      <c r="T259">
        <v>1378.63</v>
      </c>
      <c r="U259" t="s">
        <v>32</v>
      </c>
      <c r="V259" t="s">
        <v>68</v>
      </c>
      <c r="X259" s="8" t="str">
        <f>IF(C259&gt;=B259,"Valid", "Invalid-Date")</f>
        <v>Valid</v>
      </c>
      <c r="Y259" s="8" t="str">
        <f t="shared" ref="Y259:Y322" si="37">IF(OR(Q259&lt;0, Q259&gt;0.5), "Invalid-Discount", "Valid")</f>
        <v>Valid</v>
      </c>
      <c r="Z259" s="8" t="str">
        <f t="shared" ref="Z259:Z322" si="38">IF(N259="Unknown","Flagged","Pass")</f>
        <v>Pass</v>
      </c>
      <c r="AA259" s="8" t="str">
        <f t="shared" ref="AA259:AA322" si="39">IF(H259="Unknown","Flagged","Pass")</f>
        <v>Pass</v>
      </c>
      <c r="AB259" s="8" t="str">
        <f>TEXT(B259,"mmmm")</f>
        <v>August</v>
      </c>
      <c r="AC259" s="8" t="str">
        <f>TEXT(B259,"yyyy")</f>
        <v>2025</v>
      </c>
      <c r="AE259">
        <f t="shared" ref="AE259:AE322" si="40">O259*P259</f>
        <v>6474.54</v>
      </c>
      <c r="AF259" s="11">
        <f t="shared" ref="AF259:AF322" si="41">AE259*(1-Q259)</f>
        <v>6474.54</v>
      </c>
      <c r="AG259">
        <f t="shared" ref="AG259:AG322" si="42">AE259-S259</f>
        <v>1378.63</v>
      </c>
      <c r="AH259" s="11">
        <f t="shared" ref="AH259:AH322" si="43">AG259/AE259</f>
        <v>0.21293095725719513</v>
      </c>
      <c r="AI259" s="44">
        <f t="shared" ref="AI259:AI322" si="44">AG259/AE259</f>
        <v>0.21293095725719513</v>
      </c>
    </row>
    <row r="260" spans="1:35">
      <c r="A260" t="s">
        <v>881</v>
      </c>
      <c r="B260" s="5">
        <v>45656</v>
      </c>
      <c r="C260" s="5">
        <v>45748</v>
      </c>
      <c r="D260" s="13">
        <f t="shared" si="36"/>
        <v>92</v>
      </c>
      <c r="E260" t="s">
        <v>882</v>
      </c>
      <c r="F260" t="s">
        <v>132</v>
      </c>
      <c r="G260" t="s">
        <v>90</v>
      </c>
      <c r="H260" t="s">
        <v>54</v>
      </c>
      <c r="I260" t="s">
        <v>247</v>
      </c>
      <c r="J260" t="s">
        <v>248</v>
      </c>
      <c r="K260" t="s">
        <v>41</v>
      </c>
      <c r="L260" t="s">
        <v>42</v>
      </c>
      <c r="M260" t="s">
        <v>883</v>
      </c>
      <c r="N260" t="s">
        <v>44</v>
      </c>
      <c r="O260">
        <v>2</v>
      </c>
      <c r="P260">
        <v>3720.07</v>
      </c>
      <c r="Q260" s="11">
        <v>0.25</v>
      </c>
      <c r="R260">
        <v>5580.11</v>
      </c>
      <c r="S260">
        <v>4307.01</v>
      </c>
      <c r="T260">
        <v>1273.0999999999999</v>
      </c>
      <c r="U260" t="s">
        <v>32</v>
      </c>
      <c r="V260" t="s">
        <v>33</v>
      </c>
      <c r="X260" s="8" t="str">
        <f>IF(C260&gt;=B260,"Valid", "Invalid-Date")</f>
        <v>Valid</v>
      </c>
      <c r="Y260" s="8" t="str">
        <f t="shared" si="37"/>
        <v>Valid</v>
      </c>
      <c r="Z260" s="8" t="str">
        <f t="shared" si="38"/>
        <v>Pass</v>
      </c>
      <c r="AA260" s="8" t="str">
        <f t="shared" si="39"/>
        <v>Pass</v>
      </c>
      <c r="AB260" s="8" t="str">
        <f>TEXT(B260,"mmmm")</f>
        <v>December</v>
      </c>
      <c r="AC260" s="8" t="str">
        <f>TEXT(B260,"yyyy")</f>
        <v>2024</v>
      </c>
      <c r="AE260">
        <f t="shared" si="40"/>
        <v>7440.14</v>
      </c>
      <c r="AF260" s="11">
        <f t="shared" si="41"/>
        <v>5580.1050000000005</v>
      </c>
      <c r="AG260">
        <f t="shared" si="42"/>
        <v>3133.13</v>
      </c>
      <c r="AH260" s="11">
        <f t="shared" si="43"/>
        <v>0.42111169951103072</v>
      </c>
      <c r="AI260" s="44">
        <f t="shared" si="44"/>
        <v>0.42111169951103072</v>
      </c>
    </row>
    <row r="261" spans="1:35">
      <c r="A261" t="s">
        <v>884</v>
      </c>
      <c r="B261" s="5">
        <v>45464</v>
      </c>
      <c r="C261" s="5">
        <v>45472</v>
      </c>
      <c r="D261" s="13">
        <f t="shared" si="36"/>
        <v>8</v>
      </c>
      <c r="E261" t="s">
        <v>885</v>
      </c>
      <c r="F261" t="s">
        <v>79</v>
      </c>
      <c r="G261" t="s">
        <v>24</v>
      </c>
      <c r="H261" t="s">
        <v>54</v>
      </c>
      <c r="I261" t="s">
        <v>247</v>
      </c>
      <c r="J261" t="s">
        <v>248</v>
      </c>
      <c r="K261" t="s">
        <v>74</v>
      </c>
      <c r="L261" t="s">
        <v>274</v>
      </c>
      <c r="M261" t="s">
        <v>886</v>
      </c>
      <c r="N261" t="s">
        <v>59</v>
      </c>
      <c r="O261">
        <v>8</v>
      </c>
      <c r="P261">
        <v>2853.92</v>
      </c>
      <c r="Q261" s="11">
        <v>0.2</v>
      </c>
      <c r="R261">
        <v>18265.09</v>
      </c>
      <c r="S261">
        <v>10437.14</v>
      </c>
      <c r="T261">
        <v>7827.95</v>
      </c>
      <c r="U261" t="s">
        <v>32</v>
      </c>
      <c r="V261" t="s">
        <v>33</v>
      </c>
      <c r="X261" s="8" t="str">
        <f>IF(C261&gt;=B261,"Valid", "Invalid-Date")</f>
        <v>Valid</v>
      </c>
      <c r="Y261" s="8" t="str">
        <f t="shared" si="37"/>
        <v>Valid</v>
      </c>
      <c r="Z261" s="8" t="str">
        <f t="shared" si="38"/>
        <v>Pass</v>
      </c>
      <c r="AA261" s="8" t="str">
        <f t="shared" si="39"/>
        <v>Pass</v>
      </c>
      <c r="AB261" s="8" t="str">
        <f>TEXT(B261,"mmmm")</f>
        <v>June</v>
      </c>
      <c r="AC261" s="8" t="str">
        <f>TEXT(B261,"yyyy")</f>
        <v>2024</v>
      </c>
      <c r="AE261">
        <f t="shared" si="40"/>
        <v>22831.360000000001</v>
      </c>
      <c r="AF261" s="11">
        <f t="shared" si="41"/>
        <v>18265.088</v>
      </c>
      <c r="AG261">
        <f t="shared" si="42"/>
        <v>12394.220000000001</v>
      </c>
      <c r="AH261" s="11">
        <f t="shared" si="43"/>
        <v>0.54285947048270455</v>
      </c>
      <c r="AI261" s="44">
        <f t="shared" si="44"/>
        <v>0.54285947048270455</v>
      </c>
    </row>
    <row r="262" spans="1:35">
      <c r="A262" t="s">
        <v>887</v>
      </c>
      <c r="B262" s="5">
        <v>45923</v>
      </c>
      <c r="C262" s="5">
        <v>45927</v>
      </c>
      <c r="D262" s="13">
        <f t="shared" si="36"/>
        <v>4</v>
      </c>
      <c r="E262" t="s">
        <v>888</v>
      </c>
      <c r="F262" t="s">
        <v>89</v>
      </c>
      <c r="G262" t="s">
        <v>90</v>
      </c>
      <c r="H262" t="s">
        <v>38</v>
      </c>
      <c r="I262" t="s">
        <v>99</v>
      </c>
      <c r="J262" t="s">
        <v>100</v>
      </c>
      <c r="K262" t="s">
        <v>28</v>
      </c>
      <c r="L262" t="s">
        <v>153</v>
      </c>
      <c r="M262" t="s">
        <v>889</v>
      </c>
      <c r="N262" t="s">
        <v>44</v>
      </c>
      <c r="O262">
        <v>7</v>
      </c>
      <c r="P262">
        <v>2897.12</v>
      </c>
      <c r="Q262" s="11">
        <v>0.25</v>
      </c>
      <c r="R262">
        <v>15209.88</v>
      </c>
      <c r="S262">
        <v>10891.15</v>
      </c>
      <c r="T262">
        <v>4318.7299999999996</v>
      </c>
      <c r="U262" t="s">
        <v>155</v>
      </c>
      <c r="V262" t="s">
        <v>103</v>
      </c>
      <c r="X262" s="8" t="str">
        <f>IF(C262&gt;=B262,"Valid", "Invalid-Date")</f>
        <v>Valid</v>
      </c>
      <c r="Y262" s="8" t="str">
        <f t="shared" si="37"/>
        <v>Valid</v>
      </c>
      <c r="Z262" s="8" t="str">
        <f t="shared" si="38"/>
        <v>Pass</v>
      </c>
      <c r="AA262" s="8" t="str">
        <f t="shared" si="39"/>
        <v>Pass</v>
      </c>
      <c r="AB262" s="8" t="str">
        <f>TEXT(B262,"mmmm")</f>
        <v>September</v>
      </c>
      <c r="AC262" s="8" t="str">
        <f>TEXT(B262,"yyyy")</f>
        <v>2025</v>
      </c>
      <c r="AE262">
        <f t="shared" si="40"/>
        <v>20279.84</v>
      </c>
      <c r="AF262" s="11">
        <f t="shared" si="41"/>
        <v>15209.880000000001</v>
      </c>
      <c r="AG262">
        <f t="shared" si="42"/>
        <v>9388.69</v>
      </c>
      <c r="AH262" s="11">
        <f t="shared" si="43"/>
        <v>0.46295680833773839</v>
      </c>
      <c r="AI262" s="44">
        <f t="shared" si="44"/>
        <v>0.46295680833773839</v>
      </c>
    </row>
    <row r="263" spans="1:35">
      <c r="A263" t="s">
        <v>890</v>
      </c>
      <c r="B263" s="5">
        <v>45826</v>
      </c>
      <c r="C263" s="5">
        <v>45832</v>
      </c>
      <c r="D263" s="13">
        <f t="shared" si="36"/>
        <v>6</v>
      </c>
      <c r="E263" t="s">
        <v>891</v>
      </c>
      <c r="F263" t="s">
        <v>132</v>
      </c>
      <c r="G263" t="s">
        <v>90</v>
      </c>
      <c r="H263" t="s">
        <v>25</v>
      </c>
      <c r="I263" t="s">
        <v>26</v>
      </c>
      <c r="J263" t="s">
        <v>27</v>
      </c>
      <c r="K263" t="s">
        <v>28</v>
      </c>
      <c r="L263" t="s">
        <v>91</v>
      </c>
      <c r="M263" t="s">
        <v>892</v>
      </c>
      <c r="N263" t="s">
        <v>59</v>
      </c>
      <c r="O263">
        <v>3</v>
      </c>
      <c r="P263">
        <v>686.74</v>
      </c>
      <c r="Q263" s="11">
        <v>0.2</v>
      </c>
      <c r="R263">
        <v>1648.18</v>
      </c>
      <c r="S263">
        <v>987.91</v>
      </c>
      <c r="T263">
        <v>660.27</v>
      </c>
      <c r="U263" t="s">
        <v>155</v>
      </c>
      <c r="V263" t="s">
        <v>68</v>
      </c>
      <c r="X263" s="8" t="str">
        <f>IF(C263&gt;=B263,"Valid", "Invalid-Date")</f>
        <v>Valid</v>
      </c>
      <c r="Y263" s="8" t="str">
        <f t="shared" si="37"/>
        <v>Valid</v>
      </c>
      <c r="Z263" s="8" t="str">
        <f t="shared" si="38"/>
        <v>Pass</v>
      </c>
      <c r="AA263" s="8" t="str">
        <f t="shared" si="39"/>
        <v>Pass</v>
      </c>
      <c r="AB263" s="8" t="str">
        <f>TEXT(B263,"mmmm")</f>
        <v>June</v>
      </c>
      <c r="AC263" s="8" t="str">
        <f>TEXT(B263,"yyyy")</f>
        <v>2025</v>
      </c>
      <c r="AE263">
        <f t="shared" si="40"/>
        <v>2060.2200000000003</v>
      </c>
      <c r="AF263" s="11">
        <f t="shared" si="41"/>
        <v>1648.1760000000004</v>
      </c>
      <c r="AG263">
        <f t="shared" si="42"/>
        <v>1072.3100000000004</v>
      </c>
      <c r="AH263" s="11">
        <f t="shared" si="43"/>
        <v>0.52048324936171875</v>
      </c>
      <c r="AI263" s="44">
        <f t="shared" si="44"/>
        <v>0.52048324936171875</v>
      </c>
    </row>
    <row r="264" spans="1:35">
      <c r="A264" t="s">
        <v>893</v>
      </c>
      <c r="B264" s="5">
        <v>45803</v>
      </c>
      <c r="C264" s="5">
        <v>45663</v>
      </c>
      <c r="D264" s="13">
        <f t="shared" si="36"/>
        <v>-140</v>
      </c>
      <c r="E264" t="s">
        <v>628</v>
      </c>
      <c r="F264" t="s">
        <v>53</v>
      </c>
      <c r="G264" t="s">
        <v>37</v>
      </c>
      <c r="H264" t="s">
        <v>25</v>
      </c>
      <c r="I264" t="s">
        <v>350</v>
      </c>
      <c r="J264" t="s">
        <v>351</v>
      </c>
      <c r="K264" t="s">
        <v>74</v>
      </c>
      <c r="L264" t="s">
        <v>171</v>
      </c>
      <c r="M264" t="s">
        <v>894</v>
      </c>
      <c r="N264" t="s">
        <v>44</v>
      </c>
      <c r="O264">
        <v>4</v>
      </c>
      <c r="P264">
        <v>3349.86</v>
      </c>
      <c r="Q264" s="11">
        <v>0</v>
      </c>
      <c r="R264">
        <v>13399.44</v>
      </c>
      <c r="S264">
        <v>8581.35</v>
      </c>
      <c r="T264">
        <v>4818.09</v>
      </c>
      <c r="U264" t="s">
        <v>111</v>
      </c>
      <c r="V264" t="s">
        <v>103</v>
      </c>
      <c r="X264" s="8" t="str">
        <f>IF(C264&gt;=B264,"Valid", "Invalid-Date")</f>
        <v>Invalid-Date</v>
      </c>
      <c r="Y264" s="8" t="str">
        <f t="shared" si="37"/>
        <v>Valid</v>
      </c>
      <c r="Z264" s="8" t="str">
        <f t="shared" si="38"/>
        <v>Pass</v>
      </c>
      <c r="AA264" s="8" t="str">
        <f t="shared" si="39"/>
        <v>Pass</v>
      </c>
      <c r="AB264" s="8" t="str">
        <f>TEXT(B264,"mmmm")</f>
        <v>May</v>
      </c>
      <c r="AC264" s="8" t="str">
        <f>TEXT(B264,"yyyy")</f>
        <v>2025</v>
      </c>
      <c r="AE264">
        <f t="shared" si="40"/>
        <v>13399.44</v>
      </c>
      <c r="AF264" s="11">
        <f t="shared" si="41"/>
        <v>13399.44</v>
      </c>
      <c r="AG264">
        <f t="shared" si="42"/>
        <v>4818.09</v>
      </c>
      <c r="AH264" s="11">
        <f t="shared" si="43"/>
        <v>0.3595739821962709</v>
      </c>
      <c r="AI264" s="44">
        <f t="shared" si="44"/>
        <v>0.3595739821962709</v>
      </c>
    </row>
    <row r="265" spans="1:35">
      <c r="A265" t="s">
        <v>895</v>
      </c>
      <c r="B265" s="5">
        <v>45875</v>
      </c>
      <c r="C265" s="5">
        <v>45879</v>
      </c>
      <c r="D265" s="13">
        <f t="shared" si="36"/>
        <v>4</v>
      </c>
      <c r="E265" t="s">
        <v>896</v>
      </c>
      <c r="F265" t="s">
        <v>141</v>
      </c>
      <c r="G265" t="s">
        <v>37</v>
      </c>
      <c r="H265" t="s">
        <v>25</v>
      </c>
      <c r="I265" t="s">
        <v>350</v>
      </c>
      <c r="J265" t="s">
        <v>351</v>
      </c>
      <c r="K265" t="s">
        <v>28</v>
      </c>
      <c r="L265" t="s">
        <v>153</v>
      </c>
      <c r="M265" t="s">
        <v>897</v>
      </c>
      <c r="N265" t="s">
        <v>31</v>
      </c>
      <c r="O265">
        <v>9</v>
      </c>
      <c r="P265">
        <v>4042.45</v>
      </c>
      <c r="Q265" s="11">
        <v>0.1</v>
      </c>
      <c r="R265">
        <v>32743.84</v>
      </c>
      <c r="S265">
        <v>22452.05</v>
      </c>
      <c r="T265">
        <v>10291.790000000001</v>
      </c>
      <c r="U265" t="s">
        <v>111</v>
      </c>
      <c r="V265" t="s">
        <v>103</v>
      </c>
      <c r="X265" s="8" t="str">
        <f>IF(C265&gt;=B265,"Valid", "Invalid-Date")</f>
        <v>Valid</v>
      </c>
      <c r="Y265" s="8" t="str">
        <f t="shared" si="37"/>
        <v>Valid</v>
      </c>
      <c r="Z265" s="8" t="str">
        <f t="shared" si="38"/>
        <v>Pass</v>
      </c>
      <c r="AA265" s="8" t="str">
        <f t="shared" si="39"/>
        <v>Pass</v>
      </c>
      <c r="AB265" s="8" t="str">
        <f>TEXT(B265,"mmmm")</f>
        <v>August</v>
      </c>
      <c r="AC265" s="8" t="str">
        <f>TEXT(B265,"yyyy")</f>
        <v>2025</v>
      </c>
      <c r="AE265">
        <f t="shared" si="40"/>
        <v>36382.049999999996</v>
      </c>
      <c r="AF265" s="11">
        <f t="shared" si="41"/>
        <v>32743.844999999998</v>
      </c>
      <c r="AG265">
        <f t="shared" si="42"/>
        <v>13929.999999999996</v>
      </c>
      <c r="AH265" s="11">
        <f t="shared" si="43"/>
        <v>0.38288111857358226</v>
      </c>
      <c r="AI265" s="44">
        <f t="shared" si="44"/>
        <v>0.38288111857358226</v>
      </c>
    </row>
    <row r="266" spans="1:35">
      <c r="A266" t="s">
        <v>898</v>
      </c>
      <c r="B266" s="5">
        <v>45428</v>
      </c>
      <c r="C266" s="5">
        <v>45433</v>
      </c>
      <c r="D266" s="13">
        <f t="shared" si="36"/>
        <v>5</v>
      </c>
      <c r="E266" t="s">
        <v>899</v>
      </c>
      <c r="F266" t="s">
        <v>162</v>
      </c>
      <c r="G266" t="s">
        <v>37</v>
      </c>
      <c r="H266" t="s">
        <v>38</v>
      </c>
      <c r="I266" t="s">
        <v>145</v>
      </c>
      <c r="J266" t="s">
        <v>146</v>
      </c>
      <c r="K266" t="s">
        <v>74</v>
      </c>
      <c r="L266" t="s">
        <v>80</v>
      </c>
      <c r="M266" t="s">
        <v>900</v>
      </c>
      <c r="N266" t="s">
        <v>59</v>
      </c>
      <c r="O266">
        <v>4</v>
      </c>
      <c r="P266">
        <v>1503.07</v>
      </c>
      <c r="Q266" s="11">
        <v>0</v>
      </c>
      <c r="R266">
        <v>6012.28</v>
      </c>
      <c r="S266">
        <v>3927.64</v>
      </c>
      <c r="T266">
        <v>2084.64</v>
      </c>
      <c r="U266" t="s">
        <v>32</v>
      </c>
      <c r="V266" t="s">
        <v>33</v>
      </c>
      <c r="X266" s="8" t="str">
        <f>IF(C266&gt;=B266,"Valid", "Invalid-Date")</f>
        <v>Valid</v>
      </c>
      <c r="Y266" s="8" t="str">
        <f t="shared" si="37"/>
        <v>Valid</v>
      </c>
      <c r="Z266" s="8" t="str">
        <f t="shared" si="38"/>
        <v>Pass</v>
      </c>
      <c r="AA266" s="8" t="str">
        <f t="shared" si="39"/>
        <v>Pass</v>
      </c>
      <c r="AB266" s="8" t="str">
        <f>TEXT(B266,"mmmm")</f>
        <v>May</v>
      </c>
      <c r="AC266" s="8" t="str">
        <f>TEXT(B266,"yyyy")</f>
        <v>2024</v>
      </c>
      <c r="AE266">
        <f t="shared" si="40"/>
        <v>6012.28</v>
      </c>
      <c r="AF266" s="11">
        <f t="shared" si="41"/>
        <v>6012.28</v>
      </c>
      <c r="AG266">
        <f t="shared" si="42"/>
        <v>2084.64</v>
      </c>
      <c r="AH266" s="11">
        <f t="shared" si="43"/>
        <v>0.34673035853286938</v>
      </c>
      <c r="AI266" s="44">
        <f t="shared" si="44"/>
        <v>0.34673035853286938</v>
      </c>
    </row>
    <row r="267" spans="1:35">
      <c r="A267" t="s">
        <v>901</v>
      </c>
      <c r="B267" s="5">
        <v>45610</v>
      </c>
      <c r="C267" s="5">
        <v>45618</v>
      </c>
      <c r="D267" s="13">
        <f t="shared" si="36"/>
        <v>8</v>
      </c>
      <c r="E267" t="s">
        <v>902</v>
      </c>
      <c r="F267" t="s">
        <v>114</v>
      </c>
      <c r="G267" t="s">
        <v>90</v>
      </c>
      <c r="H267" t="s">
        <v>38</v>
      </c>
      <c r="I267" t="s">
        <v>145</v>
      </c>
      <c r="J267" t="s">
        <v>146</v>
      </c>
      <c r="K267" t="s">
        <v>41</v>
      </c>
      <c r="L267" t="s">
        <v>158</v>
      </c>
      <c r="M267" t="s">
        <v>903</v>
      </c>
      <c r="N267" t="s">
        <v>44</v>
      </c>
      <c r="O267">
        <v>1</v>
      </c>
      <c r="P267">
        <v>582.37</v>
      </c>
      <c r="Q267" s="11">
        <v>0.15</v>
      </c>
      <c r="R267">
        <v>495.01</v>
      </c>
      <c r="S267">
        <v>285.13</v>
      </c>
      <c r="T267">
        <v>209.88</v>
      </c>
      <c r="U267" t="s">
        <v>102</v>
      </c>
      <c r="V267" t="s">
        <v>68</v>
      </c>
      <c r="X267" s="8" t="str">
        <f>IF(C267&gt;=B267,"Valid", "Invalid-Date")</f>
        <v>Valid</v>
      </c>
      <c r="Y267" s="8" t="str">
        <f t="shared" si="37"/>
        <v>Valid</v>
      </c>
      <c r="Z267" s="8" t="str">
        <f t="shared" si="38"/>
        <v>Pass</v>
      </c>
      <c r="AA267" s="8" t="str">
        <f t="shared" si="39"/>
        <v>Pass</v>
      </c>
      <c r="AB267" s="8" t="str">
        <f>TEXT(B267,"mmmm")</f>
        <v>November</v>
      </c>
      <c r="AC267" s="8" t="str">
        <f>TEXT(B267,"yyyy")</f>
        <v>2024</v>
      </c>
      <c r="AE267">
        <f t="shared" si="40"/>
        <v>582.37</v>
      </c>
      <c r="AF267" s="11">
        <f t="shared" si="41"/>
        <v>495.0145</v>
      </c>
      <c r="AG267">
        <f t="shared" si="42"/>
        <v>297.24</v>
      </c>
      <c r="AH267" s="11">
        <f t="shared" si="43"/>
        <v>0.51039717018390374</v>
      </c>
      <c r="AI267" s="44">
        <f t="shared" si="44"/>
        <v>0.51039717018390374</v>
      </c>
    </row>
    <row r="268" spans="1:35">
      <c r="A268" t="s">
        <v>904</v>
      </c>
      <c r="B268" s="5">
        <v>45780</v>
      </c>
      <c r="C268" s="5">
        <v>45935</v>
      </c>
      <c r="D268" s="13">
        <f t="shared" si="36"/>
        <v>155</v>
      </c>
      <c r="E268" t="s">
        <v>905</v>
      </c>
      <c r="F268" t="s">
        <v>79</v>
      </c>
      <c r="G268" t="s">
        <v>95</v>
      </c>
      <c r="H268" t="s">
        <v>63</v>
      </c>
      <c r="I268" t="s">
        <v>64</v>
      </c>
      <c r="J268" t="s">
        <v>65</v>
      </c>
      <c r="K268" t="s">
        <v>28</v>
      </c>
      <c r="L268" t="s">
        <v>124</v>
      </c>
      <c r="M268" t="s">
        <v>906</v>
      </c>
      <c r="N268" t="s">
        <v>31</v>
      </c>
      <c r="O268">
        <v>3</v>
      </c>
      <c r="P268">
        <v>4339.24</v>
      </c>
      <c r="Q268" s="11">
        <v>0</v>
      </c>
      <c r="R268">
        <v>13017.72</v>
      </c>
      <c r="S268">
        <v>10170.57</v>
      </c>
      <c r="T268">
        <v>2847.15</v>
      </c>
      <c r="U268" t="s">
        <v>32</v>
      </c>
      <c r="V268" t="s">
        <v>33</v>
      </c>
      <c r="X268" s="8" t="str">
        <f>IF(C268&gt;=B268,"Valid", "Invalid-Date")</f>
        <v>Valid</v>
      </c>
      <c r="Y268" s="8" t="str">
        <f t="shared" si="37"/>
        <v>Valid</v>
      </c>
      <c r="Z268" s="8" t="str">
        <f t="shared" si="38"/>
        <v>Pass</v>
      </c>
      <c r="AA268" s="8" t="str">
        <f t="shared" si="39"/>
        <v>Pass</v>
      </c>
      <c r="AB268" s="8" t="str">
        <f>TEXT(B268,"mmmm")</f>
        <v>May</v>
      </c>
      <c r="AC268" s="8" t="str">
        <f>TEXT(B268,"yyyy")</f>
        <v>2025</v>
      </c>
      <c r="AE268">
        <f t="shared" si="40"/>
        <v>13017.72</v>
      </c>
      <c r="AF268" s="11">
        <f t="shared" si="41"/>
        <v>13017.72</v>
      </c>
      <c r="AG268">
        <f t="shared" si="42"/>
        <v>2847.1499999999996</v>
      </c>
      <c r="AH268" s="11">
        <f t="shared" si="43"/>
        <v>0.21871341525244051</v>
      </c>
      <c r="AI268" s="44">
        <f t="shared" si="44"/>
        <v>0.21871341525244051</v>
      </c>
    </row>
    <row r="269" spans="1:35">
      <c r="A269" t="s">
        <v>907</v>
      </c>
      <c r="B269" s="5">
        <v>45805</v>
      </c>
      <c r="C269" s="5">
        <v>45812</v>
      </c>
      <c r="D269" s="13">
        <f t="shared" si="36"/>
        <v>7</v>
      </c>
      <c r="E269" t="s">
        <v>908</v>
      </c>
      <c r="F269" t="s">
        <v>162</v>
      </c>
      <c r="G269" t="s">
        <v>90</v>
      </c>
      <c r="H269" t="s">
        <v>38</v>
      </c>
      <c r="I269" t="s">
        <v>228</v>
      </c>
      <c r="J269" t="s">
        <v>229</v>
      </c>
      <c r="K269" t="s">
        <v>41</v>
      </c>
      <c r="L269" t="s">
        <v>57</v>
      </c>
      <c r="M269" t="s">
        <v>909</v>
      </c>
      <c r="N269" t="s">
        <v>50</v>
      </c>
      <c r="O269">
        <v>4</v>
      </c>
      <c r="P269">
        <v>261.8</v>
      </c>
      <c r="Q269" s="11">
        <v>0.25</v>
      </c>
      <c r="R269">
        <v>785.4</v>
      </c>
      <c r="S269">
        <v>557.22</v>
      </c>
      <c r="T269">
        <v>228.18</v>
      </c>
      <c r="U269" t="s">
        <v>32</v>
      </c>
      <c r="V269" t="s">
        <v>33</v>
      </c>
      <c r="X269" s="8" t="str">
        <f>IF(C269&gt;=B269,"Valid", "Invalid-Date")</f>
        <v>Valid</v>
      </c>
      <c r="Y269" s="8" t="str">
        <f t="shared" si="37"/>
        <v>Valid</v>
      </c>
      <c r="Z269" s="8" t="str">
        <f t="shared" si="38"/>
        <v>Pass</v>
      </c>
      <c r="AA269" s="8" t="str">
        <f t="shared" si="39"/>
        <v>Pass</v>
      </c>
      <c r="AB269" s="8" t="str">
        <f>TEXT(B269,"mmmm")</f>
        <v>May</v>
      </c>
      <c r="AC269" s="8" t="str">
        <f>TEXT(B269,"yyyy")</f>
        <v>2025</v>
      </c>
      <c r="AE269">
        <f t="shared" si="40"/>
        <v>1047.2</v>
      </c>
      <c r="AF269" s="11">
        <f t="shared" si="41"/>
        <v>785.40000000000009</v>
      </c>
      <c r="AG269">
        <f t="shared" si="42"/>
        <v>489.98</v>
      </c>
      <c r="AH269" s="11">
        <f t="shared" si="43"/>
        <v>0.46789533995416349</v>
      </c>
      <c r="AI269" s="44">
        <f t="shared" si="44"/>
        <v>0.46789533995416349</v>
      </c>
    </row>
    <row r="270" spans="1:35">
      <c r="A270" t="s">
        <v>910</v>
      </c>
      <c r="B270" s="5">
        <v>45886</v>
      </c>
      <c r="C270" s="5">
        <v>45886</v>
      </c>
      <c r="D270" s="13">
        <f t="shared" si="36"/>
        <v>0</v>
      </c>
      <c r="E270" t="s">
        <v>911</v>
      </c>
      <c r="F270" t="s">
        <v>128</v>
      </c>
      <c r="G270" t="s">
        <v>95</v>
      </c>
      <c r="H270" t="s">
        <v>25</v>
      </c>
      <c r="I270" t="s">
        <v>122</v>
      </c>
      <c r="J270" t="s">
        <v>123</v>
      </c>
      <c r="K270" t="s">
        <v>74</v>
      </c>
      <c r="L270" t="s">
        <v>75</v>
      </c>
      <c r="M270" t="s">
        <v>912</v>
      </c>
      <c r="N270" t="s">
        <v>50</v>
      </c>
      <c r="O270">
        <v>7</v>
      </c>
      <c r="P270">
        <v>632.20000000000005</v>
      </c>
      <c r="Q270" s="11">
        <v>0.25</v>
      </c>
      <c r="R270">
        <v>3319.05</v>
      </c>
      <c r="S270">
        <v>2124.6</v>
      </c>
      <c r="T270">
        <v>1194.45</v>
      </c>
      <c r="U270" t="s">
        <v>32</v>
      </c>
      <c r="V270" t="s">
        <v>33</v>
      </c>
      <c r="X270" s="8" t="str">
        <f>IF(C270&gt;=B270,"Valid", "Invalid-Date")</f>
        <v>Valid</v>
      </c>
      <c r="Y270" s="8" t="str">
        <f t="shared" si="37"/>
        <v>Valid</v>
      </c>
      <c r="Z270" s="8" t="str">
        <f t="shared" si="38"/>
        <v>Pass</v>
      </c>
      <c r="AA270" s="8" t="str">
        <f t="shared" si="39"/>
        <v>Pass</v>
      </c>
      <c r="AB270" s="8" t="str">
        <f>TEXT(B270,"mmmm")</f>
        <v>August</v>
      </c>
      <c r="AC270" s="8" t="str">
        <f>TEXT(B270,"yyyy")</f>
        <v>2025</v>
      </c>
      <c r="AE270">
        <f t="shared" si="40"/>
        <v>4425.4000000000005</v>
      </c>
      <c r="AF270" s="11">
        <f t="shared" si="41"/>
        <v>3319.05</v>
      </c>
      <c r="AG270">
        <f t="shared" si="42"/>
        <v>2300.8000000000006</v>
      </c>
      <c r="AH270" s="11">
        <f t="shared" si="43"/>
        <v>0.51990780494418587</v>
      </c>
      <c r="AI270" s="44">
        <f t="shared" si="44"/>
        <v>0.51990780494418587</v>
      </c>
    </row>
    <row r="271" spans="1:35">
      <c r="A271" t="s">
        <v>913</v>
      </c>
      <c r="B271" s="5">
        <v>45932</v>
      </c>
      <c r="C271" s="5">
        <v>45993</v>
      </c>
      <c r="D271" s="13">
        <f t="shared" si="36"/>
        <v>61</v>
      </c>
      <c r="E271" t="s">
        <v>914</v>
      </c>
      <c r="F271" t="s">
        <v>118</v>
      </c>
      <c r="G271" t="s">
        <v>37</v>
      </c>
      <c r="H271" t="s">
        <v>63</v>
      </c>
      <c r="I271" t="s">
        <v>26</v>
      </c>
      <c r="J271" t="s">
        <v>109</v>
      </c>
      <c r="K271" t="s">
        <v>41</v>
      </c>
      <c r="L271" t="s">
        <v>42</v>
      </c>
      <c r="M271" t="s">
        <v>915</v>
      </c>
      <c r="N271" t="s">
        <v>44</v>
      </c>
      <c r="O271">
        <v>1</v>
      </c>
      <c r="P271">
        <v>1925.86</v>
      </c>
      <c r="Q271" s="11">
        <v>0</v>
      </c>
      <c r="R271">
        <v>1925.86</v>
      </c>
      <c r="S271">
        <v>1321.89</v>
      </c>
      <c r="T271">
        <v>603.97</v>
      </c>
      <c r="U271" t="s">
        <v>32</v>
      </c>
      <c r="V271" t="s">
        <v>33</v>
      </c>
      <c r="X271" s="8" t="str">
        <f>IF(C271&gt;=B271,"Valid", "Invalid-Date")</f>
        <v>Valid</v>
      </c>
      <c r="Y271" s="8" t="str">
        <f t="shared" si="37"/>
        <v>Valid</v>
      </c>
      <c r="Z271" s="8" t="str">
        <f t="shared" si="38"/>
        <v>Pass</v>
      </c>
      <c r="AA271" s="8" t="str">
        <f t="shared" si="39"/>
        <v>Pass</v>
      </c>
      <c r="AB271" s="8" t="str">
        <f>TEXT(B271,"mmmm")</f>
        <v>October</v>
      </c>
      <c r="AC271" s="8" t="str">
        <f>TEXT(B271,"yyyy")</f>
        <v>2025</v>
      </c>
      <c r="AE271">
        <f t="shared" si="40"/>
        <v>1925.86</v>
      </c>
      <c r="AF271" s="11">
        <f t="shared" si="41"/>
        <v>1925.86</v>
      </c>
      <c r="AG271">
        <f t="shared" si="42"/>
        <v>603.9699999999998</v>
      </c>
      <c r="AH271" s="11">
        <f t="shared" si="43"/>
        <v>0.31361054282242729</v>
      </c>
      <c r="AI271" s="44">
        <f t="shared" si="44"/>
        <v>0.31361054282242729</v>
      </c>
    </row>
    <row r="272" spans="1:35">
      <c r="A272" t="s">
        <v>916</v>
      </c>
      <c r="B272" s="5">
        <v>45627</v>
      </c>
      <c r="C272" s="5">
        <v>45304</v>
      </c>
      <c r="D272" s="13">
        <f t="shared" si="36"/>
        <v>-323</v>
      </c>
      <c r="E272" t="s">
        <v>917</v>
      </c>
      <c r="F272" t="s">
        <v>89</v>
      </c>
      <c r="G272" t="s">
        <v>90</v>
      </c>
      <c r="H272" t="s">
        <v>25</v>
      </c>
      <c r="I272" t="s">
        <v>136</v>
      </c>
      <c r="J272" t="s">
        <v>137</v>
      </c>
      <c r="K272" t="s">
        <v>74</v>
      </c>
      <c r="L272" t="s">
        <v>274</v>
      </c>
      <c r="M272" t="s">
        <v>918</v>
      </c>
      <c r="N272" t="s">
        <v>44</v>
      </c>
      <c r="O272">
        <v>3</v>
      </c>
      <c r="P272">
        <v>827.44</v>
      </c>
      <c r="Q272" s="11">
        <v>0</v>
      </c>
      <c r="R272">
        <v>2482.3200000000002</v>
      </c>
      <c r="S272">
        <v>1520.21</v>
      </c>
      <c r="T272">
        <v>962.11</v>
      </c>
      <c r="U272" t="s">
        <v>32</v>
      </c>
      <c r="V272" t="s">
        <v>33</v>
      </c>
      <c r="X272" s="8" t="str">
        <f>IF(C272&gt;=B272,"Valid", "Invalid-Date")</f>
        <v>Invalid-Date</v>
      </c>
      <c r="Y272" s="8" t="str">
        <f t="shared" si="37"/>
        <v>Valid</v>
      </c>
      <c r="Z272" s="8" t="str">
        <f t="shared" si="38"/>
        <v>Pass</v>
      </c>
      <c r="AA272" s="8" t="str">
        <f t="shared" si="39"/>
        <v>Pass</v>
      </c>
      <c r="AB272" s="8" t="str">
        <f>TEXT(B272,"mmmm")</f>
        <v>December</v>
      </c>
      <c r="AC272" s="8" t="str">
        <f>TEXT(B272,"yyyy")</f>
        <v>2024</v>
      </c>
      <c r="AE272">
        <f t="shared" si="40"/>
        <v>2482.3200000000002</v>
      </c>
      <c r="AF272" s="11">
        <f t="shared" si="41"/>
        <v>2482.3200000000002</v>
      </c>
      <c r="AG272">
        <f t="shared" si="42"/>
        <v>962.11000000000013</v>
      </c>
      <c r="AH272" s="11">
        <f t="shared" si="43"/>
        <v>0.38758500112797706</v>
      </c>
      <c r="AI272" s="44">
        <f t="shared" si="44"/>
        <v>0.38758500112797706</v>
      </c>
    </row>
    <row r="273" spans="1:35">
      <c r="A273" t="s">
        <v>919</v>
      </c>
      <c r="B273" s="5">
        <v>45647</v>
      </c>
      <c r="C273" s="5">
        <v>45651</v>
      </c>
      <c r="D273" s="13">
        <f t="shared" si="36"/>
        <v>4</v>
      </c>
      <c r="E273" t="s">
        <v>920</v>
      </c>
      <c r="F273" t="s">
        <v>89</v>
      </c>
      <c r="G273" t="s">
        <v>24</v>
      </c>
      <c r="H273" t="s">
        <v>54</v>
      </c>
      <c r="I273" t="s">
        <v>55</v>
      </c>
      <c r="J273" t="s">
        <v>56</v>
      </c>
      <c r="K273" t="s">
        <v>28</v>
      </c>
      <c r="L273" t="s">
        <v>153</v>
      </c>
      <c r="M273" t="s">
        <v>921</v>
      </c>
      <c r="N273" t="s">
        <v>59</v>
      </c>
      <c r="O273">
        <v>7</v>
      </c>
      <c r="P273">
        <v>1667.75</v>
      </c>
      <c r="Q273" s="11">
        <v>0</v>
      </c>
      <c r="R273">
        <v>11674.25</v>
      </c>
      <c r="S273">
        <v>9621.19</v>
      </c>
      <c r="T273">
        <v>2053.06</v>
      </c>
      <c r="U273" t="s">
        <v>155</v>
      </c>
      <c r="V273" t="s">
        <v>68</v>
      </c>
      <c r="X273" s="8" t="str">
        <f>IF(C273&gt;=B273,"Valid", "Invalid-Date")</f>
        <v>Valid</v>
      </c>
      <c r="Y273" s="8" t="str">
        <f t="shared" si="37"/>
        <v>Valid</v>
      </c>
      <c r="Z273" s="8" t="str">
        <f t="shared" si="38"/>
        <v>Pass</v>
      </c>
      <c r="AA273" s="8" t="str">
        <f t="shared" si="39"/>
        <v>Pass</v>
      </c>
      <c r="AB273" s="8" t="str">
        <f>TEXT(B273,"mmmm")</f>
        <v>December</v>
      </c>
      <c r="AC273" s="8" t="str">
        <f>TEXT(B273,"yyyy")</f>
        <v>2024</v>
      </c>
      <c r="AE273">
        <f t="shared" si="40"/>
        <v>11674.25</v>
      </c>
      <c r="AF273" s="11">
        <f t="shared" si="41"/>
        <v>11674.25</v>
      </c>
      <c r="AG273">
        <f t="shared" si="42"/>
        <v>2053.0599999999995</v>
      </c>
      <c r="AH273" s="11">
        <f t="shared" si="43"/>
        <v>0.17586226095894808</v>
      </c>
      <c r="AI273" s="44">
        <f t="shared" si="44"/>
        <v>0.17586226095894808</v>
      </c>
    </row>
    <row r="274" spans="1:35" s="15" customFormat="1">
      <c r="A274" s="15" t="s">
        <v>922</v>
      </c>
      <c r="B274" s="16">
        <v>45522</v>
      </c>
      <c r="C274" s="16">
        <v>45528</v>
      </c>
      <c r="D274" s="17">
        <f t="shared" si="36"/>
        <v>6</v>
      </c>
      <c r="E274" s="15" t="s">
        <v>923</v>
      </c>
      <c r="F274" s="15" t="s">
        <v>53</v>
      </c>
      <c r="G274" s="15" t="s">
        <v>24</v>
      </c>
      <c r="H274" s="15" t="s">
        <v>54</v>
      </c>
      <c r="I274" s="15" t="s">
        <v>84</v>
      </c>
      <c r="J274" s="15" t="s">
        <v>85</v>
      </c>
      <c r="K274" s="15" t="s">
        <v>41</v>
      </c>
      <c r="L274" s="15" t="s">
        <v>66</v>
      </c>
      <c r="M274" s="15" t="s">
        <v>924</v>
      </c>
      <c r="N274" s="15" t="s">
        <v>50</v>
      </c>
      <c r="O274" s="15">
        <v>7</v>
      </c>
      <c r="P274" s="15">
        <v>557.21</v>
      </c>
      <c r="Q274" s="18">
        <v>0.1</v>
      </c>
      <c r="R274" s="15">
        <v>3510.42</v>
      </c>
      <c r="S274" s="15">
        <v>2191.5</v>
      </c>
      <c r="T274" s="15">
        <v>1213.48</v>
      </c>
      <c r="U274" s="15" t="s">
        <v>32</v>
      </c>
      <c r="V274" s="15" t="s">
        <v>33</v>
      </c>
      <c r="W274" s="25"/>
      <c r="X274" s="8" t="str">
        <f>IF(C274&gt;=B274,"Valid", "Invalid-Date")</f>
        <v>Valid</v>
      </c>
      <c r="Y274" s="8" t="str">
        <f t="shared" si="37"/>
        <v>Valid</v>
      </c>
      <c r="Z274" s="19" t="str">
        <f t="shared" si="38"/>
        <v>Pass</v>
      </c>
      <c r="AA274" s="19" t="str">
        <f t="shared" si="39"/>
        <v>Pass</v>
      </c>
      <c r="AB274" s="19" t="str">
        <f>TEXT(B274,"mmmm")</f>
        <v>August</v>
      </c>
      <c r="AC274" s="19" t="str">
        <f>TEXT(B274,"yyyy")</f>
        <v>2024</v>
      </c>
      <c r="AD274" s="20"/>
      <c r="AE274" s="15">
        <f t="shared" si="40"/>
        <v>3900.4700000000003</v>
      </c>
      <c r="AF274" s="11">
        <f t="shared" si="41"/>
        <v>3510.4230000000002</v>
      </c>
      <c r="AG274" s="15">
        <f t="shared" si="42"/>
        <v>1708.9700000000003</v>
      </c>
      <c r="AH274" s="18">
        <f t="shared" si="43"/>
        <v>0.4381446338518179</v>
      </c>
      <c r="AI274" s="45">
        <f t="shared" si="44"/>
        <v>0.4381446338518179</v>
      </c>
    </row>
    <row r="275" spans="1:35">
      <c r="A275" t="s">
        <v>925</v>
      </c>
      <c r="B275" s="5">
        <v>45701</v>
      </c>
      <c r="C275" s="5">
        <v>45701</v>
      </c>
      <c r="D275" s="13">
        <f t="shared" si="36"/>
        <v>0</v>
      </c>
      <c r="E275" t="s">
        <v>926</v>
      </c>
      <c r="F275" t="s">
        <v>47</v>
      </c>
      <c r="G275" t="s">
        <v>24</v>
      </c>
      <c r="H275" t="s">
        <v>38</v>
      </c>
      <c r="I275" t="s">
        <v>145</v>
      </c>
      <c r="J275" t="s">
        <v>146</v>
      </c>
      <c r="K275" t="s">
        <v>28</v>
      </c>
      <c r="L275" t="s">
        <v>29</v>
      </c>
      <c r="M275" t="s">
        <v>927</v>
      </c>
      <c r="N275" t="s">
        <v>31</v>
      </c>
      <c r="O275">
        <v>9</v>
      </c>
      <c r="P275">
        <v>2521.63</v>
      </c>
      <c r="Q275" s="11">
        <v>0</v>
      </c>
      <c r="R275">
        <v>22694.67</v>
      </c>
      <c r="S275">
        <v>15405.36</v>
      </c>
      <c r="T275">
        <v>7289.31</v>
      </c>
      <c r="U275" t="s">
        <v>32</v>
      </c>
      <c r="V275" t="s">
        <v>103</v>
      </c>
      <c r="X275" s="8" t="str">
        <f>IF(C275&gt;=B275,"Valid", "Invalid-Date")</f>
        <v>Valid</v>
      </c>
      <c r="Y275" s="8" t="str">
        <f t="shared" si="37"/>
        <v>Valid</v>
      </c>
      <c r="Z275" s="8" t="str">
        <f t="shared" si="38"/>
        <v>Pass</v>
      </c>
      <c r="AA275" s="8" t="str">
        <f t="shared" si="39"/>
        <v>Pass</v>
      </c>
      <c r="AB275" s="8" t="str">
        <f>TEXT(B275,"mmmm")</f>
        <v>February</v>
      </c>
      <c r="AC275" s="8" t="str">
        <f>TEXT(B275,"yyyy")</f>
        <v>2025</v>
      </c>
      <c r="AE275">
        <f t="shared" si="40"/>
        <v>22694.670000000002</v>
      </c>
      <c r="AF275" s="11">
        <f t="shared" si="41"/>
        <v>22694.670000000002</v>
      </c>
      <c r="AG275">
        <f t="shared" si="42"/>
        <v>7289.3100000000013</v>
      </c>
      <c r="AH275" s="11">
        <f t="shared" si="43"/>
        <v>0.32119039404406413</v>
      </c>
      <c r="AI275" s="44">
        <f t="shared" si="44"/>
        <v>0.32119039404406413</v>
      </c>
    </row>
    <row r="276" spans="1:35">
      <c r="A276" t="s">
        <v>928</v>
      </c>
      <c r="B276" s="5">
        <v>45389</v>
      </c>
      <c r="C276" s="5">
        <v>45396</v>
      </c>
      <c r="D276" s="13">
        <f t="shared" si="36"/>
        <v>7</v>
      </c>
      <c r="E276" t="s">
        <v>929</v>
      </c>
      <c r="F276" t="s">
        <v>141</v>
      </c>
      <c r="G276" t="s">
        <v>24</v>
      </c>
      <c r="H276" t="s">
        <v>54</v>
      </c>
      <c r="I276" t="s">
        <v>185</v>
      </c>
      <c r="J276" t="s">
        <v>186</v>
      </c>
      <c r="K276" t="s">
        <v>74</v>
      </c>
      <c r="L276" t="s">
        <v>80</v>
      </c>
      <c r="M276" t="s">
        <v>930</v>
      </c>
      <c r="N276" t="s">
        <v>59</v>
      </c>
      <c r="O276">
        <v>6</v>
      </c>
      <c r="P276">
        <v>4246.71</v>
      </c>
      <c r="Q276" s="11">
        <v>0.15</v>
      </c>
      <c r="R276">
        <v>21658.22</v>
      </c>
      <c r="S276">
        <v>15490.69</v>
      </c>
      <c r="T276">
        <v>6167.53</v>
      </c>
      <c r="U276" t="s">
        <v>155</v>
      </c>
      <c r="V276" t="s">
        <v>103</v>
      </c>
      <c r="X276" s="8" t="str">
        <f>IF(C276&gt;=B276,"Valid", "Invalid-Date")</f>
        <v>Valid</v>
      </c>
      <c r="Y276" s="8" t="str">
        <f t="shared" si="37"/>
        <v>Valid</v>
      </c>
      <c r="Z276" s="8" t="str">
        <f t="shared" si="38"/>
        <v>Pass</v>
      </c>
      <c r="AA276" s="8" t="str">
        <f t="shared" si="39"/>
        <v>Pass</v>
      </c>
      <c r="AB276" s="8" t="str">
        <f>TEXT(B276,"mmmm")</f>
        <v>April</v>
      </c>
      <c r="AC276" s="8" t="str">
        <f>TEXT(B276,"yyyy")</f>
        <v>2024</v>
      </c>
      <c r="AE276">
        <f t="shared" si="40"/>
        <v>25480.260000000002</v>
      </c>
      <c r="AF276" s="11">
        <f t="shared" si="41"/>
        <v>21658.221000000001</v>
      </c>
      <c r="AG276">
        <f t="shared" si="42"/>
        <v>9989.5700000000015</v>
      </c>
      <c r="AH276" s="11">
        <f t="shared" si="43"/>
        <v>0.39205133699577638</v>
      </c>
      <c r="AI276" s="44">
        <f t="shared" si="44"/>
        <v>0.39205133699577638</v>
      </c>
    </row>
    <row r="277" spans="1:35">
      <c r="A277" t="s">
        <v>931</v>
      </c>
      <c r="B277" s="5">
        <v>45337</v>
      </c>
      <c r="C277" s="5">
        <v>45344</v>
      </c>
      <c r="D277" s="13">
        <f t="shared" si="36"/>
        <v>7</v>
      </c>
      <c r="E277" t="s">
        <v>932</v>
      </c>
      <c r="F277" t="s">
        <v>114</v>
      </c>
      <c r="G277" t="s">
        <v>37</v>
      </c>
      <c r="H277" t="s">
        <v>38</v>
      </c>
      <c r="I277" t="s">
        <v>99</v>
      </c>
      <c r="J277" t="s">
        <v>100</v>
      </c>
      <c r="K277" t="s">
        <v>41</v>
      </c>
      <c r="L277" t="s">
        <v>57</v>
      </c>
      <c r="M277" t="s">
        <v>933</v>
      </c>
      <c r="N277" t="s">
        <v>44</v>
      </c>
      <c r="O277">
        <v>1</v>
      </c>
      <c r="P277">
        <v>980.51</v>
      </c>
      <c r="Q277" s="11">
        <v>0</v>
      </c>
      <c r="R277">
        <v>980.51</v>
      </c>
      <c r="S277">
        <v>660.92</v>
      </c>
      <c r="T277">
        <v>319.58999999999997</v>
      </c>
      <c r="U277" t="s">
        <v>32</v>
      </c>
      <c r="V277" t="s">
        <v>33</v>
      </c>
      <c r="X277" s="8" t="str">
        <f>IF(C277&gt;=B277,"Valid", "Invalid-Date")</f>
        <v>Valid</v>
      </c>
      <c r="Y277" s="8" t="str">
        <f t="shared" si="37"/>
        <v>Valid</v>
      </c>
      <c r="Z277" s="8" t="str">
        <f t="shared" si="38"/>
        <v>Pass</v>
      </c>
      <c r="AA277" s="8" t="str">
        <f t="shared" si="39"/>
        <v>Pass</v>
      </c>
      <c r="AB277" s="8" t="str">
        <f>TEXT(B277,"mmmm")</f>
        <v>February</v>
      </c>
      <c r="AC277" s="8" t="str">
        <f>TEXT(B277,"yyyy")</f>
        <v>2024</v>
      </c>
      <c r="AE277">
        <f t="shared" si="40"/>
        <v>980.51</v>
      </c>
      <c r="AF277" s="11">
        <f t="shared" si="41"/>
        <v>980.51</v>
      </c>
      <c r="AG277">
        <f t="shared" si="42"/>
        <v>319.59000000000003</v>
      </c>
      <c r="AH277" s="11">
        <f t="shared" si="43"/>
        <v>0.32594262169687205</v>
      </c>
      <c r="AI277" s="44">
        <f t="shared" si="44"/>
        <v>0.32594262169687205</v>
      </c>
    </row>
    <row r="278" spans="1:35" s="15" customFormat="1">
      <c r="A278" s="15" t="s">
        <v>934</v>
      </c>
      <c r="B278" s="16">
        <v>45313</v>
      </c>
      <c r="C278" s="16">
        <v>45314</v>
      </c>
      <c r="D278" s="17">
        <f t="shared" si="36"/>
        <v>1</v>
      </c>
      <c r="E278" s="15" t="s">
        <v>935</v>
      </c>
      <c r="F278" s="15" t="s">
        <v>128</v>
      </c>
      <c r="G278" s="15" t="s">
        <v>37</v>
      </c>
      <c r="H278" s="15" t="s">
        <v>2785</v>
      </c>
      <c r="I278" s="15" t="s">
        <v>166</v>
      </c>
      <c r="J278" s="15" t="s">
        <v>167</v>
      </c>
      <c r="K278" s="15" t="s">
        <v>41</v>
      </c>
      <c r="L278" s="15" t="s">
        <v>66</v>
      </c>
      <c r="M278" s="15" t="s">
        <v>936</v>
      </c>
      <c r="N278" s="15" t="s">
        <v>31</v>
      </c>
      <c r="O278" s="15">
        <v>6</v>
      </c>
      <c r="P278" s="15">
        <v>3391.53</v>
      </c>
      <c r="Q278" s="18">
        <v>-0.14000000000000001</v>
      </c>
      <c r="R278" s="15">
        <v>15261.89</v>
      </c>
      <c r="S278" s="15">
        <v>8413.5300000000007</v>
      </c>
      <c r="T278" s="15">
        <v>6848.36</v>
      </c>
      <c r="U278" s="15" t="s">
        <v>32</v>
      </c>
      <c r="V278" s="15" t="s">
        <v>33</v>
      </c>
      <c r="W278" s="25"/>
      <c r="X278" s="8" t="str">
        <f>IF(C278&gt;=B278,"Valid", "Invalid-Date")</f>
        <v>Valid</v>
      </c>
      <c r="Y278" s="8" t="str">
        <f t="shared" si="37"/>
        <v>Invalid-Discount</v>
      </c>
      <c r="Z278" s="19" t="str">
        <f t="shared" si="38"/>
        <v>Pass</v>
      </c>
      <c r="AA278" s="19" t="str">
        <f t="shared" si="39"/>
        <v>Flagged</v>
      </c>
      <c r="AB278" s="19" t="str">
        <f>TEXT(B278,"mmmm")</f>
        <v>January</v>
      </c>
      <c r="AC278" s="19" t="str">
        <f>TEXT(B278,"yyyy")</f>
        <v>2024</v>
      </c>
      <c r="AD278" s="20"/>
      <c r="AE278" s="15">
        <f t="shared" si="40"/>
        <v>20349.18</v>
      </c>
      <c r="AF278" s="11">
        <f t="shared" si="41"/>
        <v>23198.065200000005</v>
      </c>
      <c r="AG278" s="15">
        <f t="shared" si="42"/>
        <v>11935.65</v>
      </c>
      <c r="AH278" s="18">
        <f t="shared" si="43"/>
        <v>0.58654206213714755</v>
      </c>
      <c r="AI278" s="45">
        <f t="shared" si="44"/>
        <v>0.58654206213714755</v>
      </c>
    </row>
    <row r="279" spans="1:35">
      <c r="A279" t="s">
        <v>937</v>
      </c>
      <c r="B279" s="5">
        <v>45812</v>
      </c>
      <c r="C279" s="5">
        <v>45753</v>
      </c>
      <c r="D279" s="13">
        <f t="shared" si="36"/>
        <v>-59</v>
      </c>
      <c r="E279" t="s">
        <v>789</v>
      </c>
      <c r="F279" t="s">
        <v>47</v>
      </c>
      <c r="G279" t="s">
        <v>90</v>
      </c>
      <c r="H279" t="s">
        <v>25</v>
      </c>
      <c r="I279" t="s">
        <v>236</v>
      </c>
      <c r="J279" t="s">
        <v>237</v>
      </c>
      <c r="K279" t="s">
        <v>74</v>
      </c>
      <c r="L279" t="s">
        <v>75</v>
      </c>
      <c r="M279" t="s">
        <v>938</v>
      </c>
      <c r="N279" t="s">
        <v>31</v>
      </c>
      <c r="O279">
        <v>1</v>
      </c>
      <c r="P279">
        <v>2133.73</v>
      </c>
      <c r="Q279" s="11">
        <v>0.15</v>
      </c>
      <c r="R279">
        <v>2008.39</v>
      </c>
      <c r="S279">
        <v>1002.57</v>
      </c>
      <c r="T279">
        <v>811.1</v>
      </c>
      <c r="U279" t="s">
        <v>111</v>
      </c>
      <c r="V279" t="s">
        <v>68</v>
      </c>
      <c r="X279" s="8" t="str">
        <f>IF(C279&gt;=B279,"Valid", "Invalid-Date")</f>
        <v>Invalid-Date</v>
      </c>
      <c r="Y279" s="8" t="str">
        <f t="shared" si="37"/>
        <v>Valid</v>
      </c>
      <c r="Z279" s="8" t="str">
        <f t="shared" si="38"/>
        <v>Pass</v>
      </c>
      <c r="AA279" s="8" t="str">
        <f t="shared" si="39"/>
        <v>Pass</v>
      </c>
      <c r="AB279" s="8" t="str">
        <f>TEXT(B279,"mmmm")</f>
        <v>June</v>
      </c>
      <c r="AC279" s="8" t="str">
        <f>TEXT(B279,"yyyy")</f>
        <v>2025</v>
      </c>
      <c r="AE279">
        <f t="shared" si="40"/>
        <v>2133.73</v>
      </c>
      <c r="AF279" s="11">
        <f t="shared" si="41"/>
        <v>1813.6704999999999</v>
      </c>
      <c r="AG279">
        <f t="shared" si="42"/>
        <v>1131.1599999999999</v>
      </c>
      <c r="AH279" s="11">
        <f t="shared" si="43"/>
        <v>0.5301326784550997</v>
      </c>
      <c r="AI279" s="44">
        <f t="shared" si="44"/>
        <v>0.5301326784550997</v>
      </c>
    </row>
    <row r="280" spans="1:35">
      <c r="A280" t="s">
        <v>939</v>
      </c>
      <c r="B280" s="5">
        <v>45723</v>
      </c>
      <c r="C280" s="5">
        <v>45730</v>
      </c>
      <c r="D280" s="13">
        <f t="shared" si="36"/>
        <v>7</v>
      </c>
      <c r="E280" t="s">
        <v>940</v>
      </c>
      <c r="F280" t="s">
        <v>114</v>
      </c>
      <c r="G280" t="s">
        <v>37</v>
      </c>
      <c r="H280" t="s">
        <v>25</v>
      </c>
      <c r="I280" t="s">
        <v>350</v>
      </c>
      <c r="J280" t="s">
        <v>351</v>
      </c>
      <c r="K280" t="s">
        <v>74</v>
      </c>
      <c r="L280" t="s">
        <v>75</v>
      </c>
      <c r="M280" t="s">
        <v>941</v>
      </c>
      <c r="N280" t="s">
        <v>44</v>
      </c>
      <c r="O280">
        <v>1</v>
      </c>
      <c r="P280">
        <v>3979.64</v>
      </c>
      <c r="Q280" s="11">
        <v>0.05</v>
      </c>
      <c r="R280">
        <v>3780.66</v>
      </c>
      <c r="S280">
        <v>2148.31</v>
      </c>
      <c r="T280">
        <v>1632.35</v>
      </c>
      <c r="U280" t="s">
        <v>32</v>
      </c>
      <c r="V280" t="s">
        <v>103</v>
      </c>
      <c r="X280" s="8" t="str">
        <f>IF(C280&gt;=B280,"Valid", "Invalid-Date")</f>
        <v>Valid</v>
      </c>
      <c r="Y280" s="8" t="str">
        <f t="shared" si="37"/>
        <v>Valid</v>
      </c>
      <c r="Z280" s="8" t="str">
        <f t="shared" si="38"/>
        <v>Pass</v>
      </c>
      <c r="AA280" s="8" t="str">
        <f t="shared" si="39"/>
        <v>Pass</v>
      </c>
      <c r="AB280" s="8" t="str">
        <f>TEXT(B280,"mmmm")</f>
        <v>March</v>
      </c>
      <c r="AC280" s="8" t="str">
        <f>TEXT(B280,"yyyy")</f>
        <v>2025</v>
      </c>
      <c r="AE280">
        <f t="shared" si="40"/>
        <v>3979.64</v>
      </c>
      <c r="AF280" s="11">
        <f t="shared" si="41"/>
        <v>3780.6579999999999</v>
      </c>
      <c r="AG280">
        <f t="shared" si="42"/>
        <v>1831.33</v>
      </c>
      <c r="AH280" s="11">
        <f t="shared" si="43"/>
        <v>0.46017478967946851</v>
      </c>
      <c r="AI280" s="44">
        <f t="shared" si="44"/>
        <v>0.46017478967946851</v>
      </c>
    </row>
    <row r="281" spans="1:35">
      <c r="A281" t="s">
        <v>942</v>
      </c>
      <c r="B281" s="5">
        <v>45539</v>
      </c>
      <c r="C281" s="5">
        <v>45569</v>
      </c>
      <c r="D281" s="13">
        <f t="shared" si="36"/>
        <v>30</v>
      </c>
      <c r="E281" t="s">
        <v>943</v>
      </c>
      <c r="F281" t="s">
        <v>141</v>
      </c>
      <c r="G281" t="s">
        <v>37</v>
      </c>
      <c r="H281" t="s">
        <v>63</v>
      </c>
      <c r="I281" t="s">
        <v>64</v>
      </c>
      <c r="J281" t="s">
        <v>65</v>
      </c>
      <c r="K281" t="s">
        <v>28</v>
      </c>
      <c r="L281" t="s">
        <v>124</v>
      </c>
      <c r="M281" t="s">
        <v>944</v>
      </c>
      <c r="N281" t="s">
        <v>50</v>
      </c>
      <c r="O281">
        <v>1</v>
      </c>
      <c r="P281">
        <v>4359.12</v>
      </c>
      <c r="Q281" s="11">
        <v>0.05</v>
      </c>
      <c r="R281">
        <v>4141.16</v>
      </c>
      <c r="S281">
        <v>2754.17</v>
      </c>
      <c r="T281">
        <v>1386.99</v>
      </c>
      <c r="U281" t="s">
        <v>32</v>
      </c>
      <c r="V281" t="s">
        <v>33</v>
      </c>
      <c r="X281" s="8" t="str">
        <f>IF(C281&gt;=B281,"Valid", "Invalid-Date")</f>
        <v>Valid</v>
      </c>
      <c r="Y281" s="8" t="str">
        <f t="shared" si="37"/>
        <v>Valid</v>
      </c>
      <c r="Z281" s="8" t="str">
        <f t="shared" si="38"/>
        <v>Pass</v>
      </c>
      <c r="AA281" s="8" t="str">
        <f t="shared" si="39"/>
        <v>Pass</v>
      </c>
      <c r="AB281" s="8" t="str">
        <f>TEXT(B281,"mmmm")</f>
        <v>September</v>
      </c>
      <c r="AC281" s="8" t="str">
        <f>TEXT(B281,"yyyy")</f>
        <v>2024</v>
      </c>
      <c r="AE281">
        <f t="shared" si="40"/>
        <v>4359.12</v>
      </c>
      <c r="AF281" s="11">
        <f t="shared" si="41"/>
        <v>4141.1639999999998</v>
      </c>
      <c r="AG281">
        <f t="shared" si="42"/>
        <v>1604.9499999999998</v>
      </c>
      <c r="AH281" s="11">
        <f t="shared" si="43"/>
        <v>0.36818211015067259</v>
      </c>
      <c r="AI281" s="44">
        <f t="shared" si="44"/>
        <v>0.36818211015067259</v>
      </c>
    </row>
    <row r="282" spans="1:35" s="15" customFormat="1">
      <c r="A282" s="15" t="s">
        <v>945</v>
      </c>
      <c r="B282" s="16">
        <v>45649</v>
      </c>
      <c r="C282" s="16">
        <v>45652</v>
      </c>
      <c r="D282" s="17">
        <f t="shared" si="36"/>
        <v>3</v>
      </c>
      <c r="E282" s="15" t="s">
        <v>946</v>
      </c>
      <c r="F282" s="15" t="s">
        <v>89</v>
      </c>
      <c r="G282" s="15" t="s">
        <v>24</v>
      </c>
      <c r="H282" s="15" t="s">
        <v>54</v>
      </c>
      <c r="I282" s="15" t="s">
        <v>175</v>
      </c>
      <c r="J282" s="15" t="s">
        <v>176</v>
      </c>
      <c r="K282" s="15" t="s">
        <v>74</v>
      </c>
      <c r="L282" s="15" t="s">
        <v>80</v>
      </c>
      <c r="M282" s="15" t="s">
        <v>947</v>
      </c>
      <c r="N282" s="15" t="s">
        <v>59</v>
      </c>
      <c r="O282" s="15">
        <v>9</v>
      </c>
      <c r="P282" s="15">
        <v>993.67</v>
      </c>
      <c r="Q282" s="18">
        <v>0</v>
      </c>
      <c r="R282" s="15">
        <v>8943.0300000000007</v>
      </c>
      <c r="S282" s="15">
        <v>5165.38</v>
      </c>
      <c r="T282" s="15">
        <v>3777.65</v>
      </c>
      <c r="U282" s="15" t="s">
        <v>32</v>
      </c>
      <c r="V282" s="15" t="s">
        <v>33</v>
      </c>
      <c r="W282" s="25"/>
      <c r="X282" s="8" t="str">
        <f>IF(C282&gt;=B282,"Valid", "Invalid-Date")</f>
        <v>Valid</v>
      </c>
      <c r="Y282" s="8" t="str">
        <f t="shared" si="37"/>
        <v>Valid</v>
      </c>
      <c r="Z282" s="19" t="str">
        <f t="shared" si="38"/>
        <v>Pass</v>
      </c>
      <c r="AA282" s="19" t="str">
        <f t="shared" si="39"/>
        <v>Pass</v>
      </c>
      <c r="AB282" s="19" t="str">
        <f>TEXT(B282,"mmmm")</f>
        <v>December</v>
      </c>
      <c r="AC282" s="19" t="str">
        <f>TEXT(B282,"yyyy")</f>
        <v>2024</v>
      </c>
      <c r="AD282" s="20"/>
      <c r="AE282" s="15">
        <f t="shared" si="40"/>
        <v>8943.0299999999988</v>
      </c>
      <c r="AF282" s="11">
        <f t="shared" si="41"/>
        <v>8943.0299999999988</v>
      </c>
      <c r="AG282" s="15">
        <f t="shared" si="42"/>
        <v>3777.6499999999987</v>
      </c>
      <c r="AH282" s="18">
        <f t="shared" si="43"/>
        <v>0.42241276167026154</v>
      </c>
      <c r="AI282" s="45">
        <f t="shared" si="44"/>
        <v>0.42241276167026154</v>
      </c>
    </row>
    <row r="283" spans="1:35">
      <c r="A283" t="s">
        <v>948</v>
      </c>
      <c r="B283" s="5">
        <v>45863</v>
      </c>
      <c r="C283" s="5">
        <v>45865</v>
      </c>
      <c r="D283" s="13">
        <f t="shared" si="36"/>
        <v>2</v>
      </c>
      <c r="E283" t="s">
        <v>949</v>
      </c>
      <c r="F283" t="s">
        <v>264</v>
      </c>
      <c r="G283" t="s">
        <v>24</v>
      </c>
      <c r="H283" t="s">
        <v>38</v>
      </c>
      <c r="I283" t="s">
        <v>228</v>
      </c>
      <c r="J283" t="s">
        <v>229</v>
      </c>
      <c r="K283" t="s">
        <v>28</v>
      </c>
      <c r="L283" t="s">
        <v>153</v>
      </c>
      <c r="M283" t="s">
        <v>950</v>
      </c>
      <c r="N283" t="s">
        <v>31</v>
      </c>
      <c r="O283">
        <v>6</v>
      </c>
      <c r="P283">
        <v>3438.38</v>
      </c>
      <c r="Q283" s="11">
        <v>0.2</v>
      </c>
      <c r="R283">
        <v>16504.22</v>
      </c>
      <c r="S283">
        <v>11262.71</v>
      </c>
      <c r="T283">
        <v>5241.51</v>
      </c>
      <c r="U283" t="s">
        <v>32</v>
      </c>
      <c r="V283" t="s">
        <v>33</v>
      </c>
      <c r="X283" s="8" t="str">
        <f>IF(C283&gt;=B283,"Valid", "Invalid-Date")</f>
        <v>Valid</v>
      </c>
      <c r="Y283" s="8" t="str">
        <f t="shared" si="37"/>
        <v>Valid</v>
      </c>
      <c r="Z283" s="8" t="str">
        <f t="shared" si="38"/>
        <v>Pass</v>
      </c>
      <c r="AA283" s="8" t="str">
        <f t="shared" si="39"/>
        <v>Pass</v>
      </c>
      <c r="AB283" s="8" t="str">
        <f>TEXT(B283,"mmmm")</f>
        <v>July</v>
      </c>
      <c r="AC283" s="8" t="str">
        <f>TEXT(B283,"yyyy")</f>
        <v>2025</v>
      </c>
      <c r="AE283">
        <f t="shared" si="40"/>
        <v>20630.28</v>
      </c>
      <c r="AF283" s="11">
        <f t="shared" si="41"/>
        <v>16504.223999999998</v>
      </c>
      <c r="AG283">
        <f t="shared" si="42"/>
        <v>9367.57</v>
      </c>
      <c r="AH283" s="11">
        <f t="shared" si="43"/>
        <v>0.45406897046477313</v>
      </c>
      <c r="AI283" s="44">
        <f t="shared" si="44"/>
        <v>0.45406897046477313</v>
      </c>
    </row>
    <row r="284" spans="1:35">
      <c r="A284" t="s">
        <v>951</v>
      </c>
      <c r="B284" s="5">
        <v>45566</v>
      </c>
      <c r="C284" s="5">
        <v>45332</v>
      </c>
      <c r="D284" s="13">
        <f t="shared" si="36"/>
        <v>-234</v>
      </c>
      <c r="E284" t="s">
        <v>952</v>
      </c>
      <c r="F284" t="s">
        <v>23</v>
      </c>
      <c r="G284" t="s">
        <v>95</v>
      </c>
      <c r="H284" t="s">
        <v>38</v>
      </c>
      <c r="I284" t="s">
        <v>166</v>
      </c>
      <c r="J284" t="s">
        <v>167</v>
      </c>
      <c r="K284" t="s">
        <v>41</v>
      </c>
      <c r="L284" t="s">
        <v>42</v>
      </c>
      <c r="M284" t="s">
        <v>953</v>
      </c>
      <c r="N284" t="s">
        <v>31</v>
      </c>
      <c r="O284">
        <v>2</v>
      </c>
      <c r="P284">
        <v>2298</v>
      </c>
      <c r="Q284" s="11">
        <v>0</v>
      </c>
      <c r="R284">
        <v>4596</v>
      </c>
      <c r="S284">
        <v>3220.33</v>
      </c>
      <c r="T284">
        <v>1375.67</v>
      </c>
      <c r="U284" t="s">
        <v>32</v>
      </c>
      <c r="V284" t="s">
        <v>33</v>
      </c>
      <c r="X284" s="8" t="str">
        <f>IF(C284&gt;=B284,"Valid", "Invalid-Date")</f>
        <v>Invalid-Date</v>
      </c>
      <c r="Y284" s="8" t="str">
        <f t="shared" si="37"/>
        <v>Valid</v>
      </c>
      <c r="Z284" s="8" t="str">
        <f t="shared" si="38"/>
        <v>Pass</v>
      </c>
      <c r="AA284" s="8" t="str">
        <f t="shared" si="39"/>
        <v>Pass</v>
      </c>
      <c r="AB284" s="8" t="str">
        <f>TEXT(B284,"mmmm")</f>
        <v>October</v>
      </c>
      <c r="AC284" s="8" t="str">
        <f>TEXT(B284,"yyyy")</f>
        <v>2024</v>
      </c>
      <c r="AE284">
        <f t="shared" si="40"/>
        <v>4596</v>
      </c>
      <c r="AF284" s="11">
        <f t="shared" si="41"/>
        <v>4596</v>
      </c>
      <c r="AG284">
        <f t="shared" si="42"/>
        <v>1375.67</v>
      </c>
      <c r="AH284" s="11">
        <f t="shared" si="43"/>
        <v>0.29931897302001742</v>
      </c>
      <c r="AI284" s="44">
        <f t="shared" si="44"/>
        <v>0.29931897302001742</v>
      </c>
    </row>
    <row r="285" spans="1:35">
      <c r="A285" t="s">
        <v>954</v>
      </c>
      <c r="B285" s="5">
        <v>45729</v>
      </c>
      <c r="C285" s="5">
        <v>45736</v>
      </c>
      <c r="D285" s="13">
        <f t="shared" si="36"/>
        <v>7</v>
      </c>
      <c r="E285" t="s">
        <v>955</v>
      </c>
      <c r="F285" t="s">
        <v>71</v>
      </c>
      <c r="G285" t="s">
        <v>24</v>
      </c>
      <c r="H285" t="s">
        <v>63</v>
      </c>
      <c r="I285" t="s">
        <v>64</v>
      </c>
      <c r="J285" t="s">
        <v>65</v>
      </c>
      <c r="K285" t="s">
        <v>41</v>
      </c>
      <c r="L285" t="s">
        <v>57</v>
      </c>
      <c r="M285" t="s">
        <v>956</v>
      </c>
      <c r="N285" t="s">
        <v>50</v>
      </c>
      <c r="O285">
        <v>1</v>
      </c>
      <c r="P285">
        <v>1814.01</v>
      </c>
      <c r="Q285" s="11">
        <v>0</v>
      </c>
      <c r="R285">
        <v>1814.01</v>
      </c>
      <c r="S285">
        <v>1033.47</v>
      </c>
      <c r="T285">
        <v>780.54</v>
      </c>
      <c r="U285" t="s">
        <v>32</v>
      </c>
      <c r="V285" t="s">
        <v>33</v>
      </c>
      <c r="X285" s="8" t="str">
        <f>IF(C285&gt;=B285,"Valid", "Invalid-Date")</f>
        <v>Valid</v>
      </c>
      <c r="Y285" s="8" t="str">
        <f t="shared" si="37"/>
        <v>Valid</v>
      </c>
      <c r="Z285" s="8" t="str">
        <f t="shared" si="38"/>
        <v>Pass</v>
      </c>
      <c r="AA285" s="8" t="str">
        <f t="shared" si="39"/>
        <v>Pass</v>
      </c>
      <c r="AB285" s="8" t="str">
        <f>TEXT(B285,"mmmm")</f>
        <v>March</v>
      </c>
      <c r="AC285" s="8" t="str">
        <f>TEXT(B285,"yyyy")</f>
        <v>2025</v>
      </c>
      <c r="AE285">
        <f t="shared" si="40"/>
        <v>1814.01</v>
      </c>
      <c r="AF285" s="11">
        <f t="shared" si="41"/>
        <v>1814.01</v>
      </c>
      <c r="AG285">
        <f t="shared" si="42"/>
        <v>780.54</v>
      </c>
      <c r="AH285" s="11">
        <f t="shared" si="43"/>
        <v>0.43028428729720342</v>
      </c>
      <c r="AI285" s="44">
        <f t="shared" si="44"/>
        <v>0.43028428729720342</v>
      </c>
    </row>
    <row r="286" spans="1:35">
      <c r="A286" t="s">
        <v>957</v>
      </c>
      <c r="B286" s="5">
        <v>45516</v>
      </c>
      <c r="C286" s="5">
        <v>45640</v>
      </c>
      <c r="D286" s="13">
        <f t="shared" si="36"/>
        <v>124</v>
      </c>
      <c r="E286" t="s">
        <v>958</v>
      </c>
      <c r="F286" t="s">
        <v>23</v>
      </c>
      <c r="G286" t="s">
        <v>24</v>
      </c>
      <c r="H286" t="s">
        <v>38</v>
      </c>
      <c r="I286" t="s">
        <v>39</v>
      </c>
      <c r="J286" t="s">
        <v>40</v>
      </c>
      <c r="K286" t="s">
        <v>41</v>
      </c>
      <c r="L286" t="s">
        <v>42</v>
      </c>
      <c r="M286" t="s">
        <v>959</v>
      </c>
      <c r="N286" t="s">
        <v>44</v>
      </c>
      <c r="O286">
        <v>3</v>
      </c>
      <c r="P286">
        <v>1576.92</v>
      </c>
      <c r="Q286" s="11">
        <v>0</v>
      </c>
      <c r="R286">
        <v>4730.76</v>
      </c>
      <c r="S286">
        <v>3139.73</v>
      </c>
      <c r="T286">
        <v>1591.03</v>
      </c>
      <c r="U286" t="s">
        <v>32</v>
      </c>
      <c r="V286" t="s">
        <v>103</v>
      </c>
      <c r="X286" s="8" t="str">
        <f>IF(C286&gt;=B286,"Valid", "Invalid-Date")</f>
        <v>Valid</v>
      </c>
      <c r="Y286" s="8" t="str">
        <f t="shared" si="37"/>
        <v>Valid</v>
      </c>
      <c r="Z286" s="8" t="str">
        <f t="shared" si="38"/>
        <v>Pass</v>
      </c>
      <c r="AA286" s="8" t="str">
        <f t="shared" si="39"/>
        <v>Pass</v>
      </c>
      <c r="AB286" s="8" t="str">
        <f>TEXT(B286,"mmmm")</f>
        <v>August</v>
      </c>
      <c r="AC286" s="8" t="str">
        <f>TEXT(B286,"yyyy")</f>
        <v>2024</v>
      </c>
      <c r="AE286">
        <f t="shared" si="40"/>
        <v>4730.76</v>
      </c>
      <c r="AF286" s="11">
        <f t="shared" si="41"/>
        <v>4730.76</v>
      </c>
      <c r="AG286">
        <f t="shared" si="42"/>
        <v>1591.0300000000002</v>
      </c>
      <c r="AH286" s="11">
        <f t="shared" si="43"/>
        <v>0.33631594077907145</v>
      </c>
      <c r="AI286" s="44">
        <f t="shared" si="44"/>
        <v>0.33631594077907145</v>
      </c>
    </row>
    <row r="287" spans="1:35">
      <c r="A287" t="s">
        <v>960</v>
      </c>
      <c r="B287" s="5">
        <v>45884</v>
      </c>
      <c r="C287" s="5">
        <v>45889</v>
      </c>
      <c r="D287" s="13">
        <f t="shared" si="36"/>
        <v>5</v>
      </c>
      <c r="E287" t="s">
        <v>961</v>
      </c>
      <c r="F287" t="s">
        <v>79</v>
      </c>
      <c r="G287" t="s">
        <v>95</v>
      </c>
      <c r="H287" t="s">
        <v>25</v>
      </c>
      <c r="I287" t="s">
        <v>26</v>
      </c>
      <c r="J287" t="s">
        <v>27</v>
      </c>
      <c r="K287" t="s">
        <v>28</v>
      </c>
      <c r="L287" t="s">
        <v>124</v>
      </c>
      <c r="M287" t="s">
        <v>962</v>
      </c>
      <c r="N287" t="s">
        <v>59</v>
      </c>
      <c r="O287">
        <v>9</v>
      </c>
      <c r="P287">
        <v>4081.77</v>
      </c>
      <c r="Q287" s="11">
        <v>0</v>
      </c>
      <c r="R287">
        <v>36735.93</v>
      </c>
      <c r="S287">
        <v>30820.84</v>
      </c>
      <c r="T287">
        <v>5915.09</v>
      </c>
      <c r="U287" t="s">
        <v>32</v>
      </c>
      <c r="V287" t="s">
        <v>33</v>
      </c>
      <c r="X287" s="8" t="str">
        <f>IF(C287&gt;=B287,"Valid", "Invalid-Date")</f>
        <v>Valid</v>
      </c>
      <c r="Y287" s="8" t="str">
        <f t="shared" si="37"/>
        <v>Valid</v>
      </c>
      <c r="Z287" s="8" t="str">
        <f t="shared" si="38"/>
        <v>Pass</v>
      </c>
      <c r="AA287" s="8" t="str">
        <f t="shared" si="39"/>
        <v>Pass</v>
      </c>
      <c r="AB287" s="8" t="str">
        <f>TEXT(B287,"mmmm")</f>
        <v>August</v>
      </c>
      <c r="AC287" s="8" t="str">
        <f>TEXT(B287,"yyyy")</f>
        <v>2025</v>
      </c>
      <c r="AE287">
        <f t="shared" si="40"/>
        <v>36735.93</v>
      </c>
      <c r="AF287" s="11">
        <f t="shared" si="41"/>
        <v>36735.93</v>
      </c>
      <c r="AG287">
        <f t="shared" si="42"/>
        <v>5915.09</v>
      </c>
      <c r="AH287" s="11">
        <f t="shared" si="43"/>
        <v>0.16101647624001897</v>
      </c>
      <c r="AI287" s="44">
        <f t="shared" si="44"/>
        <v>0.16101647624001897</v>
      </c>
    </row>
    <row r="288" spans="1:35">
      <c r="A288" t="s">
        <v>963</v>
      </c>
      <c r="B288" s="5">
        <v>45350</v>
      </c>
      <c r="C288" s="5">
        <v>45325</v>
      </c>
      <c r="D288" s="13">
        <f t="shared" si="36"/>
        <v>-25</v>
      </c>
      <c r="E288" t="s">
        <v>964</v>
      </c>
      <c r="F288" t="s">
        <v>114</v>
      </c>
      <c r="G288" t="s">
        <v>37</v>
      </c>
      <c r="H288" t="s">
        <v>25</v>
      </c>
      <c r="I288" t="s">
        <v>350</v>
      </c>
      <c r="J288" t="s">
        <v>351</v>
      </c>
      <c r="K288" t="s">
        <v>41</v>
      </c>
      <c r="L288" t="s">
        <v>57</v>
      </c>
      <c r="M288" t="s">
        <v>965</v>
      </c>
      <c r="N288" t="s">
        <v>50</v>
      </c>
      <c r="O288">
        <v>7</v>
      </c>
      <c r="P288">
        <v>701.8</v>
      </c>
      <c r="Q288" s="11">
        <v>0.1</v>
      </c>
      <c r="R288">
        <v>4421.34</v>
      </c>
      <c r="S288">
        <v>2489.98</v>
      </c>
      <c r="T288">
        <v>1931.36</v>
      </c>
      <c r="U288" t="s">
        <v>111</v>
      </c>
      <c r="V288" t="s">
        <v>103</v>
      </c>
      <c r="X288" s="8" t="str">
        <f>IF(C288&gt;=B288,"Valid", "Invalid-Date")</f>
        <v>Invalid-Date</v>
      </c>
      <c r="Y288" s="8" t="str">
        <f t="shared" si="37"/>
        <v>Valid</v>
      </c>
      <c r="Z288" s="8" t="str">
        <f t="shared" si="38"/>
        <v>Pass</v>
      </c>
      <c r="AA288" s="8" t="str">
        <f t="shared" si="39"/>
        <v>Pass</v>
      </c>
      <c r="AB288" s="8" t="str">
        <f>TEXT(B288,"mmmm")</f>
        <v>February</v>
      </c>
      <c r="AC288" s="8" t="str">
        <f>TEXT(B288,"yyyy")</f>
        <v>2024</v>
      </c>
      <c r="AE288">
        <f t="shared" si="40"/>
        <v>4912.5999999999995</v>
      </c>
      <c r="AF288" s="11">
        <f t="shared" si="41"/>
        <v>4421.3399999999992</v>
      </c>
      <c r="AG288">
        <f t="shared" si="42"/>
        <v>2422.6199999999994</v>
      </c>
      <c r="AH288" s="11">
        <f t="shared" si="43"/>
        <v>0.49314415991531974</v>
      </c>
      <c r="AI288" s="44">
        <f t="shared" si="44"/>
        <v>0.49314415991531974</v>
      </c>
    </row>
    <row r="289" spans="1:35">
      <c r="A289" t="s">
        <v>966</v>
      </c>
      <c r="B289" s="5">
        <v>45421</v>
      </c>
      <c r="C289" s="5">
        <v>45542</v>
      </c>
      <c r="D289" s="13">
        <f t="shared" si="36"/>
        <v>121</v>
      </c>
      <c r="E289" t="s">
        <v>967</v>
      </c>
      <c r="F289" t="s">
        <v>79</v>
      </c>
      <c r="G289" t="s">
        <v>37</v>
      </c>
      <c r="H289" t="s">
        <v>54</v>
      </c>
      <c r="I289" t="s">
        <v>247</v>
      </c>
      <c r="J289" t="s">
        <v>248</v>
      </c>
      <c r="K289" t="s">
        <v>74</v>
      </c>
      <c r="L289" t="s">
        <v>80</v>
      </c>
      <c r="M289" t="s">
        <v>968</v>
      </c>
      <c r="N289" t="s">
        <v>59</v>
      </c>
      <c r="O289">
        <v>3</v>
      </c>
      <c r="P289">
        <v>2555.66</v>
      </c>
      <c r="Q289" s="11">
        <v>0.15</v>
      </c>
      <c r="R289">
        <v>6516.93</v>
      </c>
      <c r="S289">
        <v>4511.54</v>
      </c>
      <c r="T289">
        <v>2005.39</v>
      </c>
      <c r="U289" t="s">
        <v>32</v>
      </c>
      <c r="V289" t="s">
        <v>68</v>
      </c>
      <c r="X289" s="8" t="str">
        <f>IF(C289&gt;=B289,"Valid", "Invalid-Date")</f>
        <v>Valid</v>
      </c>
      <c r="Y289" s="8" t="str">
        <f t="shared" si="37"/>
        <v>Valid</v>
      </c>
      <c r="Z289" s="8" t="str">
        <f t="shared" si="38"/>
        <v>Pass</v>
      </c>
      <c r="AA289" s="8" t="str">
        <f t="shared" si="39"/>
        <v>Pass</v>
      </c>
      <c r="AB289" s="8" t="str">
        <f>TEXT(B289,"mmmm")</f>
        <v>May</v>
      </c>
      <c r="AC289" s="8" t="str">
        <f>TEXT(B289,"yyyy")</f>
        <v>2024</v>
      </c>
      <c r="AE289">
        <f t="shared" si="40"/>
        <v>7666.98</v>
      </c>
      <c r="AF289" s="11">
        <f t="shared" si="41"/>
        <v>6516.9329999999991</v>
      </c>
      <c r="AG289">
        <f t="shared" si="42"/>
        <v>3155.4399999999996</v>
      </c>
      <c r="AH289" s="11">
        <f t="shared" si="43"/>
        <v>0.41156231006211047</v>
      </c>
      <c r="AI289" s="44">
        <f t="shared" si="44"/>
        <v>0.41156231006211047</v>
      </c>
    </row>
    <row r="290" spans="1:35">
      <c r="A290" t="s">
        <v>969</v>
      </c>
      <c r="B290" s="5">
        <v>45467</v>
      </c>
      <c r="C290" s="5">
        <v>45467</v>
      </c>
      <c r="D290" s="13">
        <f t="shared" si="36"/>
        <v>0</v>
      </c>
      <c r="E290" t="s">
        <v>970</v>
      </c>
      <c r="F290" t="s">
        <v>141</v>
      </c>
      <c r="G290" t="s">
        <v>37</v>
      </c>
      <c r="H290" t="s">
        <v>38</v>
      </c>
      <c r="I290" t="s">
        <v>145</v>
      </c>
      <c r="J290" t="s">
        <v>146</v>
      </c>
      <c r="K290" t="s">
        <v>28</v>
      </c>
      <c r="L290" t="s">
        <v>153</v>
      </c>
      <c r="M290" t="s">
        <v>971</v>
      </c>
      <c r="N290" t="s">
        <v>44</v>
      </c>
      <c r="O290">
        <v>2</v>
      </c>
      <c r="P290">
        <v>4359.8999999999996</v>
      </c>
      <c r="Q290" s="11">
        <v>0.15</v>
      </c>
      <c r="R290">
        <v>7411.83</v>
      </c>
      <c r="S290">
        <v>4904.63</v>
      </c>
      <c r="T290">
        <v>2507.1999999999998</v>
      </c>
      <c r="U290" t="s">
        <v>32</v>
      </c>
      <c r="V290" t="s">
        <v>33</v>
      </c>
      <c r="X290" s="8" t="str">
        <f>IF(C290&gt;=B290,"Valid", "Invalid-Date")</f>
        <v>Valid</v>
      </c>
      <c r="Y290" s="8" t="str">
        <f t="shared" si="37"/>
        <v>Valid</v>
      </c>
      <c r="Z290" s="8" t="str">
        <f t="shared" si="38"/>
        <v>Pass</v>
      </c>
      <c r="AA290" s="8" t="str">
        <f t="shared" si="39"/>
        <v>Pass</v>
      </c>
      <c r="AB290" s="8" t="str">
        <f>TEXT(B290,"mmmm")</f>
        <v>June</v>
      </c>
      <c r="AC290" s="8" t="str">
        <f>TEXT(B290,"yyyy")</f>
        <v>2024</v>
      </c>
      <c r="AE290">
        <f t="shared" si="40"/>
        <v>8719.7999999999993</v>
      </c>
      <c r="AF290" s="11">
        <f t="shared" si="41"/>
        <v>7411.829999999999</v>
      </c>
      <c r="AG290">
        <f t="shared" si="42"/>
        <v>3815.1699999999992</v>
      </c>
      <c r="AH290" s="11">
        <f t="shared" si="43"/>
        <v>0.4375295304938186</v>
      </c>
      <c r="AI290" s="44">
        <f t="shared" si="44"/>
        <v>0.4375295304938186</v>
      </c>
    </row>
    <row r="291" spans="1:35">
      <c r="A291" t="s">
        <v>972</v>
      </c>
      <c r="B291" s="5">
        <v>45827</v>
      </c>
      <c r="C291" s="5">
        <v>45835</v>
      </c>
      <c r="D291" s="13">
        <f t="shared" si="36"/>
        <v>8</v>
      </c>
      <c r="E291" t="s">
        <v>973</v>
      </c>
      <c r="F291" t="s">
        <v>23</v>
      </c>
      <c r="G291" t="s">
        <v>95</v>
      </c>
      <c r="H291" t="s">
        <v>54</v>
      </c>
      <c r="I291" t="s">
        <v>247</v>
      </c>
      <c r="J291" t="s">
        <v>248</v>
      </c>
      <c r="K291" t="s">
        <v>41</v>
      </c>
      <c r="L291" t="s">
        <v>158</v>
      </c>
      <c r="M291" t="s">
        <v>974</v>
      </c>
      <c r="N291" t="s">
        <v>50</v>
      </c>
      <c r="O291">
        <v>2</v>
      </c>
      <c r="P291">
        <v>4346.6899999999996</v>
      </c>
      <c r="Q291" s="11">
        <v>0.05</v>
      </c>
      <c r="R291">
        <v>8258.7099999999991</v>
      </c>
      <c r="S291">
        <v>7018.97</v>
      </c>
      <c r="T291">
        <v>1239.74</v>
      </c>
      <c r="U291" t="s">
        <v>32</v>
      </c>
      <c r="V291" t="s">
        <v>33</v>
      </c>
      <c r="X291" s="8" t="str">
        <f>IF(C291&gt;=B291,"Valid", "Invalid-Date")</f>
        <v>Valid</v>
      </c>
      <c r="Y291" s="8" t="str">
        <f t="shared" si="37"/>
        <v>Valid</v>
      </c>
      <c r="Z291" s="8" t="str">
        <f t="shared" si="38"/>
        <v>Pass</v>
      </c>
      <c r="AA291" s="8" t="str">
        <f t="shared" si="39"/>
        <v>Pass</v>
      </c>
      <c r="AB291" s="8" t="str">
        <f>TEXT(B291,"mmmm")</f>
        <v>June</v>
      </c>
      <c r="AC291" s="8" t="str">
        <f>TEXT(B291,"yyyy")</f>
        <v>2025</v>
      </c>
      <c r="AE291">
        <f t="shared" si="40"/>
        <v>8693.3799999999992</v>
      </c>
      <c r="AF291" s="11">
        <f t="shared" si="41"/>
        <v>8258.7109999999993</v>
      </c>
      <c r="AG291">
        <f t="shared" si="42"/>
        <v>1674.4099999999989</v>
      </c>
      <c r="AH291" s="11">
        <f t="shared" si="43"/>
        <v>0.19260747833408859</v>
      </c>
      <c r="AI291" s="44">
        <f t="shared" si="44"/>
        <v>0.19260747833408859</v>
      </c>
    </row>
    <row r="292" spans="1:35">
      <c r="A292" t="s">
        <v>975</v>
      </c>
      <c r="B292" s="5">
        <v>45891</v>
      </c>
      <c r="C292" s="5">
        <v>45895</v>
      </c>
      <c r="D292" s="13">
        <f t="shared" si="36"/>
        <v>4</v>
      </c>
      <c r="E292" t="s">
        <v>976</v>
      </c>
      <c r="F292" t="s">
        <v>162</v>
      </c>
      <c r="G292" t="s">
        <v>95</v>
      </c>
      <c r="H292" t="s">
        <v>38</v>
      </c>
      <c r="I292" t="s">
        <v>228</v>
      </c>
      <c r="J292" t="s">
        <v>229</v>
      </c>
      <c r="K292" t="s">
        <v>41</v>
      </c>
      <c r="L292" t="s">
        <v>42</v>
      </c>
      <c r="M292" t="s">
        <v>977</v>
      </c>
      <c r="N292" t="s">
        <v>59</v>
      </c>
      <c r="O292">
        <v>1</v>
      </c>
      <c r="P292">
        <v>1842.63</v>
      </c>
      <c r="Q292" s="11">
        <v>0.1</v>
      </c>
      <c r="R292">
        <v>1658.37</v>
      </c>
      <c r="S292">
        <v>971.12</v>
      </c>
      <c r="T292">
        <v>687.25</v>
      </c>
      <c r="U292" t="s">
        <v>32</v>
      </c>
      <c r="V292" t="s">
        <v>33</v>
      </c>
      <c r="X292" s="8" t="str">
        <f>IF(C292&gt;=B292,"Valid", "Invalid-Date")</f>
        <v>Valid</v>
      </c>
      <c r="Y292" s="8" t="str">
        <f t="shared" si="37"/>
        <v>Valid</v>
      </c>
      <c r="Z292" s="8" t="str">
        <f t="shared" si="38"/>
        <v>Pass</v>
      </c>
      <c r="AA292" s="8" t="str">
        <f t="shared" si="39"/>
        <v>Pass</v>
      </c>
      <c r="AB292" s="8" t="str">
        <f>TEXT(B292,"mmmm")</f>
        <v>August</v>
      </c>
      <c r="AC292" s="8" t="str">
        <f>TEXT(B292,"yyyy")</f>
        <v>2025</v>
      </c>
      <c r="AE292">
        <f t="shared" si="40"/>
        <v>1842.63</v>
      </c>
      <c r="AF292" s="11">
        <f t="shared" si="41"/>
        <v>1658.3670000000002</v>
      </c>
      <c r="AG292">
        <f t="shared" si="42"/>
        <v>871.5100000000001</v>
      </c>
      <c r="AH292" s="11">
        <f t="shared" si="43"/>
        <v>0.47297069948931691</v>
      </c>
      <c r="AI292" s="44">
        <f t="shared" si="44"/>
        <v>0.47297069948931691</v>
      </c>
    </row>
    <row r="293" spans="1:35">
      <c r="A293" t="s">
        <v>978</v>
      </c>
      <c r="B293" s="5">
        <v>45416</v>
      </c>
      <c r="C293" s="5">
        <v>45569</v>
      </c>
      <c r="D293" s="13">
        <f t="shared" si="36"/>
        <v>153</v>
      </c>
      <c r="E293" t="s">
        <v>979</v>
      </c>
      <c r="F293" t="s">
        <v>114</v>
      </c>
      <c r="G293" t="s">
        <v>95</v>
      </c>
      <c r="H293" t="s">
        <v>25</v>
      </c>
      <c r="I293" t="s">
        <v>26</v>
      </c>
      <c r="J293" t="s">
        <v>27</v>
      </c>
      <c r="K293" t="s">
        <v>28</v>
      </c>
      <c r="L293" t="s">
        <v>153</v>
      </c>
      <c r="M293" t="s">
        <v>980</v>
      </c>
      <c r="N293" t="s">
        <v>59</v>
      </c>
      <c r="O293">
        <v>4</v>
      </c>
      <c r="P293">
        <v>3228.66</v>
      </c>
      <c r="Q293" s="11">
        <v>0.25</v>
      </c>
      <c r="R293">
        <v>9685.98</v>
      </c>
      <c r="S293">
        <v>7730.04</v>
      </c>
      <c r="T293">
        <v>1955.94</v>
      </c>
      <c r="U293" t="s">
        <v>32</v>
      </c>
      <c r="V293" t="s">
        <v>33</v>
      </c>
      <c r="X293" s="8" t="str">
        <f>IF(C293&gt;=B293,"Valid", "Invalid-Date")</f>
        <v>Valid</v>
      </c>
      <c r="Y293" s="8" t="str">
        <f t="shared" si="37"/>
        <v>Valid</v>
      </c>
      <c r="Z293" s="8" t="str">
        <f t="shared" si="38"/>
        <v>Pass</v>
      </c>
      <c r="AA293" s="8" t="str">
        <f t="shared" si="39"/>
        <v>Pass</v>
      </c>
      <c r="AB293" s="8" t="str">
        <f>TEXT(B293,"mmmm")</f>
        <v>May</v>
      </c>
      <c r="AC293" s="8" t="str">
        <f>TEXT(B293,"yyyy")</f>
        <v>2024</v>
      </c>
      <c r="AE293">
        <f t="shared" si="40"/>
        <v>12914.64</v>
      </c>
      <c r="AF293" s="11">
        <f t="shared" si="41"/>
        <v>9685.98</v>
      </c>
      <c r="AG293">
        <f t="shared" si="42"/>
        <v>5184.5999999999995</v>
      </c>
      <c r="AH293" s="11">
        <f t="shared" si="43"/>
        <v>0.40145137611269072</v>
      </c>
      <c r="AI293" s="44">
        <f t="shared" si="44"/>
        <v>0.40145137611269072</v>
      </c>
    </row>
    <row r="294" spans="1:35">
      <c r="A294" t="s">
        <v>981</v>
      </c>
      <c r="B294" s="5">
        <v>45716</v>
      </c>
      <c r="C294" s="5">
        <v>45719</v>
      </c>
      <c r="D294" s="13">
        <f t="shared" si="36"/>
        <v>3</v>
      </c>
      <c r="E294" t="s">
        <v>982</v>
      </c>
      <c r="F294" t="s">
        <v>264</v>
      </c>
      <c r="G294" t="s">
        <v>95</v>
      </c>
      <c r="H294" t="s">
        <v>25</v>
      </c>
      <c r="I294" t="s">
        <v>236</v>
      </c>
      <c r="J294" t="s">
        <v>237</v>
      </c>
      <c r="K294" t="s">
        <v>28</v>
      </c>
      <c r="L294" t="s">
        <v>48</v>
      </c>
      <c r="M294" t="s">
        <v>983</v>
      </c>
      <c r="N294" t="s">
        <v>44</v>
      </c>
      <c r="O294">
        <v>9</v>
      </c>
      <c r="P294">
        <v>3748.95</v>
      </c>
      <c r="Q294" s="11">
        <v>0</v>
      </c>
      <c r="R294">
        <v>33740.550000000003</v>
      </c>
      <c r="S294">
        <v>24621.89</v>
      </c>
      <c r="T294">
        <v>9118.66</v>
      </c>
      <c r="U294" t="s">
        <v>111</v>
      </c>
      <c r="V294" t="s">
        <v>68</v>
      </c>
      <c r="X294" s="8" t="str">
        <f>IF(C294&gt;=B294,"Valid", "Invalid-Date")</f>
        <v>Valid</v>
      </c>
      <c r="Y294" s="8" t="str">
        <f t="shared" si="37"/>
        <v>Valid</v>
      </c>
      <c r="Z294" s="8" t="str">
        <f t="shared" si="38"/>
        <v>Pass</v>
      </c>
      <c r="AA294" s="8" t="str">
        <f t="shared" si="39"/>
        <v>Pass</v>
      </c>
      <c r="AB294" s="8" t="str">
        <f>TEXT(B294,"mmmm")</f>
        <v>February</v>
      </c>
      <c r="AC294" s="8" t="str">
        <f>TEXT(B294,"yyyy")</f>
        <v>2025</v>
      </c>
      <c r="AE294">
        <f t="shared" si="40"/>
        <v>33740.549999999996</v>
      </c>
      <c r="AF294" s="11">
        <f t="shared" si="41"/>
        <v>33740.549999999996</v>
      </c>
      <c r="AG294">
        <f t="shared" si="42"/>
        <v>9118.6599999999962</v>
      </c>
      <c r="AH294" s="11">
        <f t="shared" si="43"/>
        <v>0.2702581908119458</v>
      </c>
      <c r="AI294" s="44">
        <f t="shared" si="44"/>
        <v>0.2702581908119458</v>
      </c>
    </row>
    <row r="295" spans="1:35">
      <c r="A295" t="s">
        <v>984</v>
      </c>
      <c r="B295" s="5">
        <v>45476</v>
      </c>
      <c r="C295" s="5">
        <v>45362</v>
      </c>
      <c r="D295" s="13">
        <f t="shared" si="36"/>
        <v>-114</v>
      </c>
      <c r="E295" t="s">
        <v>985</v>
      </c>
      <c r="F295" t="s">
        <v>53</v>
      </c>
      <c r="G295" t="s">
        <v>95</v>
      </c>
      <c r="H295" t="s">
        <v>54</v>
      </c>
      <c r="I295" t="s">
        <v>55</v>
      </c>
      <c r="J295" t="s">
        <v>56</v>
      </c>
      <c r="K295" t="s">
        <v>74</v>
      </c>
      <c r="L295" t="s">
        <v>171</v>
      </c>
      <c r="M295" t="s">
        <v>986</v>
      </c>
      <c r="N295" t="s">
        <v>50</v>
      </c>
      <c r="O295">
        <v>2</v>
      </c>
      <c r="P295">
        <v>4401.51</v>
      </c>
      <c r="Q295" s="11">
        <v>0.65</v>
      </c>
      <c r="R295">
        <v>8362.8700000000008</v>
      </c>
      <c r="S295">
        <v>6541.04</v>
      </c>
      <c r="T295">
        <v>1821.83</v>
      </c>
      <c r="U295" t="s">
        <v>32</v>
      </c>
      <c r="V295" t="s">
        <v>33</v>
      </c>
      <c r="X295" s="8" t="str">
        <f>IF(C295&gt;=B295,"Valid", "Invalid-Date")</f>
        <v>Invalid-Date</v>
      </c>
      <c r="Y295" s="8" t="str">
        <f t="shared" si="37"/>
        <v>Invalid-Discount</v>
      </c>
      <c r="Z295" s="8" t="str">
        <f t="shared" si="38"/>
        <v>Pass</v>
      </c>
      <c r="AA295" s="8" t="str">
        <f t="shared" si="39"/>
        <v>Pass</v>
      </c>
      <c r="AB295" s="8" t="str">
        <f>TEXT(B295,"mmmm")</f>
        <v>July</v>
      </c>
      <c r="AC295" s="8" t="str">
        <f>TEXT(B295,"yyyy")</f>
        <v>2024</v>
      </c>
      <c r="AE295">
        <f t="shared" si="40"/>
        <v>8803.02</v>
      </c>
      <c r="AF295" s="11">
        <f t="shared" si="41"/>
        <v>3081.0569999999998</v>
      </c>
      <c r="AG295">
        <f t="shared" si="42"/>
        <v>2261.9800000000005</v>
      </c>
      <c r="AH295" s="11">
        <f t="shared" si="43"/>
        <v>0.25695499953425077</v>
      </c>
      <c r="AI295" s="44">
        <f t="shared" si="44"/>
        <v>0.25695499953425077</v>
      </c>
    </row>
    <row r="296" spans="1:35">
      <c r="A296" t="s">
        <v>987</v>
      </c>
      <c r="B296" s="5">
        <v>45854</v>
      </c>
      <c r="C296" s="5">
        <v>45860</v>
      </c>
      <c r="D296" s="13">
        <f t="shared" si="36"/>
        <v>6</v>
      </c>
      <c r="E296" t="s">
        <v>988</v>
      </c>
      <c r="F296" t="s">
        <v>114</v>
      </c>
      <c r="G296" t="s">
        <v>24</v>
      </c>
      <c r="H296" t="s">
        <v>38</v>
      </c>
      <c r="I296" t="s">
        <v>39</v>
      </c>
      <c r="J296" t="s">
        <v>40</v>
      </c>
      <c r="K296" t="s">
        <v>74</v>
      </c>
      <c r="L296" t="s">
        <v>171</v>
      </c>
      <c r="M296" t="s">
        <v>989</v>
      </c>
      <c r="N296" t="s">
        <v>31</v>
      </c>
      <c r="O296">
        <v>6</v>
      </c>
      <c r="P296">
        <v>4159.33</v>
      </c>
      <c r="Q296" s="11">
        <v>0.25</v>
      </c>
      <c r="R296">
        <v>18716.990000000002</v>
      </c>
      <c r="S296">
        <v>12282.43</v>
      </c>
      <c r="T296">
        <v>6434.56</v>
      </c>
      <c r="U296" t="s">
        <v>32</v>
      </c>
      <c r="V296" t="s">
        <v>103</v>
      </c>
      <c r="X296" s="8" t="str">
        <f>IF(C296&gt;=B296,"Valid", "Invalid-Date")</f>
        <v>Valid</v>
      </c>
      <c r="Y296" s="8" t="str">
        <f t="shared" si="37"/>
        <v>Valid</v>
      </c>
      <c r="Z296" s="8" t="str">
        <f t="shared" si="38"/>
        <v>Pass</v>
      </c>
      <c r="AA296" s="8" t="str">
        <f t="shared" si="39"/>
        <v>Pass</v>
      </c>
      <c r="AB296" s="8" t="str">
        <f>TEXT(B296,"mmmm")</f>
        <v>July</v>
      </c>
      <c r="AC296" s="8" t="str">
        <f>TEXT(B296,"yyyy")</f>
        <v>2025</v>
      </c>
      <c r="AE296">
        <f t="shared" si="40"/>
        <v>24955.98</v>
      </c>
      <c r="AF296" s="11">
        <f t="shared" si="41"/>
        <v>18716.985000000001</v>
      </c>
      <c r="AG296">
        <f t="shared" si="42"/>
        <v>12673.55</v>
      </c>
      <c r="AH296" s="11">
        <f t="shared" si="43"/>
        <v>0.50783619797739854</v>
      </c>
      <c r="AI296" s="44">
        <f t="shared" si="44"/>
        <v>0.50783619797739854</v>
      </c>
    </row>
    <row r="297" spans="1:35">
      <c r="A297" t="s">
        <v>990</v>
      </c>
      <c r="B297" s="5">
        <v>45833</v>
      </c>
      <c r="C297" s="5">
        <v>45836</v>
      </c>
      <c r="D297" s="13">
        <f t="shared" si="36"/>
        <v>3</v>
      </c>
      <c r="E297" t="s">
        <v>991</v>
      </c>
      <c r="F297" t="s">
        <v>89</v>
      </c>
      <c r="G297" t="s">
        <v>37</v>
      </c>
      <c r="H297" t="s">
        <v>38</v>
      </c>
      <c r="I297" t="s">
        <v>166</v>
      </c>
      <c r="J297" t="s">
        <v>167</v>
      </c>
      <c r="K297" t="s">
        <v>28</v>
      </c>
      <c r="L297" t="s">
        <v>153</v>
      </c>
      <c r="M297" t="s">
        <v>992</v>
      </c>
      <c r="N297" t="s">
        <v>59</v>
      </c>
      <c r="O297">
        <v>3</v>
      </c>
      <c r="P297">
        <v>3476.05</v>
      </c>
      <c r="Q297" s="11">
        <v>0.1</v>
      </c>
      <c r="R297">
        <v>9385.34</v>
      </c>
      <c r="S297">
        <v>5828.54</v>
      </c>
      <c r="T297">
        <v>3556.8</v>
      </c>
      <c r="U297" t="s">
        <v>32</v>
      </c>
      <c r="V297" t="s">
        <v>33</v>
      </c>
      <c r="X297" s="8" t="str">
        <f>IF(C297&gt;=B297,"Valid", "Invalid-Date")</f>
        <v>Valid</v>
      </c>
      <c r="Y297" s="8" t="str">
        <f t="shared" si="37"/>
        <v>Valid</v>
      </c>
      <c r="Z297" s="8" t="str">
        <f t="shared" si="38"/>
        <v>Pass</v>
      </c>
      <c r="AA297" s="8" t="str">
        <f t="shared" si="39"/>
        <v>Pass</v>
      </c>
      <c r="AB297" s="8" t="str">
        <f>TEXT(B297,"mmmm")</f>
        <v>June</v>
      </c>
      <c r="AC297" s="8" t="str">
        <f>TEXT(B297,"yyyy")</f>
        <v>2025</v>
      </c>
      <c r="AE297">
        <f t="shared" si="40"/>
        <v>10428.150000000001</v>
      </c>
      <c r="AF297" s="11">
        <f t="shared" si="41"/>
        <v>9385.3350000000009</v>
      </c>
      <c r="AG297">
        <f t="shared" si="42"/>
        <v>4599.6100000000015</v>
      </c>
      <c r="AH297" s="11">
        <f t="shared" si="43"/>
        <v>0.44107631746762377</v>
      </c>
      <c r="AI297" s="44">
        <f t="shared" si="44"/>
        <v>0.44107631746762377</v>
      </c>
    </row>
    <row r="298" spans="1:35">
      <c r="A298" t="s">
        <v>993</v>
      </c>
      <c r="B298" s="5">
        <v>45801</v>
      </c>
      <c r="C298" s="5">
        <v>45803</v>
      </c>
      <c r="D298" s="13">
        <f t="shared" si="36"/>
        <v>2</v>
      </c>
      <c r="E298" t="s">
        <v>994</v>
      </c>
      <c r="F298" t="s">
        <v>89</v>
      </c>
      <c r="G298" t="s">
        <v>95</v>
      </c>
      <c r="H298" t="s">
        <v>25</v>
      </c>
      <c r="I298" t="s">
        <v>236</v>
      </c>
      <c r="J298" t="s">
        <v>237</v>
      </c>
      <c r="K298" t="s">
        <v>41</v>
      </c>
      <c r="L298" t="s">
        <v>57</v>
      </c>
      <c r="M298" t="s">
        <v>995</v>
      </c>
      <c r="N298" t="s">
        <v>44</v>
      </c>
      <c r="O298">
        <v>6</v>
      </c>
      <c r="P298">
        <v>3495.41</v>
      </c>
      <c r="Q298" s="11">
        <v>0.15</v>
      </c>
      <c r="R298">
        <v>17826.59</v>
      </c>
      <c r="S298">
        <v>10855.35</v>
      </c>
      <c r="T298">
        <v>6971.24</v>
      </c>
      <c r="U298" t="s">
        <v>32</v>
      </c>
      <c r="V298" t="s">
        <v>33</v>
      </c>
      <c r="X298" s="8" t="str">
        <f>IF(C298&gt;=B298,"Valid", "Invalid-Date")</f>
        <v>Valid</v>
      </c>
      <c r="Y298" s="8" t="str">
        <f t="shared" si="37"/>
        <v>Valid</v>
      </c>
      <c r="Z298" s="8" t="str">
        <f t="shared" si="38"/>
        <v>Pass</v>
      </c>
      <c r="AA298" s="8" t="str">
        <f t="shared" si="39"/>
        <v>Pass</v>
      </c>
      <c r="AB298" s="8" t="str">
        <f>TEXT(B298,"mmmm")</f>
        <v>May</v>
      </c>
      <c r="AC298" s="8" t="str">
        <f>TEXT(B298,"yyyy")</f>
        <v>2025</v>
      </c>
      <c r="AE298">
        <f t="shared" si="40"/>
        <v>20972.46</v>
      </c>
      <c r="AF298" s="11">
        <f t="shared" si="41"/>
        <v>17826.591</v>
      </c>
      <c r="AG298">
        <f t="shared" si="42"/>
        <v>10117.109999999999</v>
      </c>
      <c r="AH298" s="11">
        <f t="shared" si="43"/>
        <v>0.48239977570585418</v>
      </c>
      <c r="AI298" s="44">
        <f t="shared" si="44"/>
        <v>0.48239977570585418</v>
      </c>
    </row>
    <row r="299" spans="1:35">
      <c r="A299" t="s">
        <v>996</v>
      </c>
      <c r="B299" s="5">
        <v>45594</v>
      </c>
      <c r="C299" s="5">
        <v>45602</v>
      </c>
      <c r="D299" s="13">
        <f t="shared" si="36"/>
        <v>8</v>
      </c>
      <c r="E299" t="s">
        <v>997</v>
      </c>
      <c r="F299" t="s">
        <v>132</v>
      </c>
      <c r="G299" t="s">
        <v>90</v>
      </c>
      <c r="H299" t="s">
        <v>54</v>
      </c>
      <c r="I299" t="s">
        <v>247</v>
      </c>
      <c r="J299" t="s">
        <v>248</v>
      </c>
      <c r="K299" t="s">
        <v>74</v>
      </c>
      <c r="L299" t="s">
        <v>80</v>
      </c>
      <c r="M299" t="s">
        <v>998</v>
      </c>
      <c r="N299" t="s">
        <v>44</v>
      </c>
      <c r="O299">
        <v>6</v>
      </c>
      <c r="P299">
        <v>1169.92</v>
      </c>
      <c r="Q299" s="11">
        <v>0.15</v>
      </c>
      <c r="R299">
        <v>5966.59</v>
      </c>
      <c r="S299">
        <v>3994.72</v>
      </c>
      <c r="T299">
        <v>1971.87</v>
      </c>
      <c r="U299" t="s">
        <v>32</v>
      </c>
      <c r="V299" t="s">
        <v>33</v>
      </c>
      <c r="X299" s="8" t="str">
        <f>IF(C299&gt;=B299,"Valid", "Invalid-Date")</f>
        <v>Valid</v>
      </c>
      <c r="Y299" s="8" t="str">
        <f t="shared" si="37"/>
        <v>Valid</v>
      </c>
      <c r="Z299" s="8" t="str">
        <f t="shared" si="38"/>
        <v>Pass</v>
      </c>
      <c r="AA299" s="8" t="str">
        <f t="shared" si="39"/>
        <v>Pass</v>
      </c>
      <c r="AB299" s="8" t="str">
        <f>TEXT(B299,"mmmm")</f>
        <v>October</v>
      </c>
      <c r="AC299" s="8" t="str">
        <f>TEXT(B299,"yyyy")</f>
        <v>2024</v>
      </c>
      <c r="AE299">
        <f t="shared" si="40"/>
        <v>7019.52</v>
      </c>
      <c r="AF299" s="11">
        <f t="shared" si="41"/>
        <v>5966.5920000000006</v>
      </c>
      <c r="AG299">
        <f t="shared" si="42"/>
        <v>3024.8000000000006</v>
      </c>
      <c r="AH299" s="11">
        <f t="shared" si="43"/>
        <v>0.43091265499635312</v>
      </c>
      <c r="AI299" s="44">
        <f t="shared" si="44"/>
        <v>0.43091265499635312</v>
      </c>
    </row>
    <row r="300" spans="1:35">
      <c r="A300" t="s">
        <v>999</v>
      </c>
      <c r="B300" s="5">
        <v>45680</v>
      </c>
      <c r="C300" s="5">
        <v>45683</v>
      </c>
      <c r="D300" s="13">
        <f t="shared" si="36"/>
        <v>3</v>
      </c>
      <c r="E300" t="s">
        <v>1000</v>
      </c>
      <c r="F300" t="s">
        <v>47</v>
      </c>
      <c r="G300" t="s">
        <v>24</v>
      </c>
      <c r="H300" t="s">
        <v>54</v>
      </c>
      <c r="I300" t="s">
        <v>185</v>
      </c>
      <c r="J300" t="s">
        <v>186</v>
      </c>
      <c r="K300" t="s">
        <v>74</v>
      </c>
      <c r="L300" t="s">
        <v>80</v>
      </c>
      <c r="M300" t="s">
        <v>1001</v>
      </c>
      <c r="N300" t="s">
        <v>50</v>
      </c>
      <c r="O300">
        <v>7</v>
      </c>
      <c r="P300">
        <v>348.49</v>
      </c>
      <c r="Q300" s="11">
        <v>0.2</v>
      </c>
      <c r="R300">
        <v>1951.54</v>
      </c>
      <c r="S300">
        <v>1609.95</v>
      </c>
      <c r="T300">
        <v>341.59</v>
      </c>
      <c r="U300" t="s">
        <v>155</v>
      </c>
      <c r="V300" t="s">
        <v>103</v>
      </c>
      <c r="X300" s="8" t="str">
        <f>IF(C300&gt;=B300,"Valid", "Invalid-Date")</f>
        <v>Valid</v>
      </c>
      <c r="Y300" s="8" t="str">
        <f t="shared" si="37"/>
        <v>Valid</v>
      </c>
      <c r="Z300" s="8" t="str">
        <f t="shared" si="38"/>
        <v>Pass</v>
      </c>
      <c r="AA300" s="8" t="str">
        <f t="shared" si="39"/>
        <v>Pass</v>
      </c>
      <c r="AB300" s="8" t="str">
        <f>TEXT(B300,"mmmm")</f>
        <v>January</v>
      </c>
      <c r="AC300" s="8" t="str">
        <f>TEXT(B300,"yyyy")</f>
        <v>2025</v>
      </c>
      <c r="AE300">
        <f t="shared" si="40"/>
        <v>2439.4300000000003</v>
      </c>
      <c r="AF300" s="11">
        <f t="shared" si="41"/>
        <v>1951.5440000000003</v>
      </c>
      <c r="AG300">
        <f t="shared" si="42"/>
        <v>829.48000000000025</v>
      </c>
      <c r="AH300" s="11">
        <f t="shared" si="43"/>
        <v>0.3400302529689313</v>
      </c>
      <c r="AI300" s="44">
        <f t="shared" si="44"/>
        <v>0.3400302529689313</v>
      </c>
    </row>
    <row r="301" spans="1:35">
      <c r="A301" t="s">
        <v>1002</v>
      </c>
      <c r="B301" s="5">
        <v>45602</v>
      </c>
      <c r="C301" s="5">
        <v>45637</v>
      </c>
      <c r="D301" s="13">
        <f t="shared" si="36"/>
        <v>35</v>
      </c>
      <c r="E301" t="s">
        <v>1003</v>
      </c>
      <c r="F301" t="s">
        <v>118</v>
      </c>
      <c r="G301" t="s">
        <v>37</v>
      </c>
      <c r="H301" t="s">
        <v>63</v>
      </c>
      <c r="I301" t="s">
        <v>180</v>
      </c>
      <c r="J301" t="s">
        <v>181</v>
      </c>
      <c r="K301" t="s">
        <v>74</v>
      </c>
      <c r="L301" t="s">
        <v>75</v>
      </c>
      <c r="M301" t="s">
        <v>1004</v>
      </c>
      <c r="N301" t="s">
        <v>59</v>
      </c>
      <c r="O301">
        <v>7</v>
      </c>
      <c r="P301">
        <v>1719.05</v>
      </c>
      <c r="Q301" s="11">
        <v>0.1</v>
      </c>
      <c r="R301">
        <v>10830.02</v>
      </c>
      <c r="S301">
        <v>7055.31</v>
      </c>
      <c r="T301">
        <v>3774.71</v>
      </c>
      <c r="U301" t="s">
        <v>32</v>
      </c>
      <c r="V301" t="s">
        <v>33</v>
      </c>
      <c r="X301" s="8" t="str">
        <f>IF(C301&gt;=B301,"Valid", "Invalid-Date")</f>
        <v>Valid</v>
      </c>
      <c r="Y301" s="8" t="str">
        <f t="shared" si="37"/>
        <v>Valid</v>
      </c>
      <c r="Z301" s="8" t="str">
        <f t="shared" si="38"/>
        <v>Pass</v>
      </c>
      <c r="AA301" s="8" t="str">
        <f t="shared" si="39"/>
        <v>Pass</v>
      </c>
      <c r="AB301" s="8" t="str">
        <f>TEXT(B301,"mmmm")</f>
        <v>November</v>
      </c>
      <c r="AC301" s="8" t="str">
        <f>TEXT(B301,"yyyy")</f>
        <v>2024</v>
      </c>
      <c r="AE301">
        <f t="shared" si="40"/>
        <v>12033.35</v>
      </c>
      <c r="AF301" s="11">
        <f t="shared" si="41"/>
        <v>10830.015000000001</v>
      </c>
      <c r="AG301">
        <f t="shared" si="42"/>
        <v>4978.04</v>
      </c>
      <c r="AH301" s="11">
        <f t="shared" si="43"/>
        <v>0.41368696165240765</v>
      </c>
      <c r="AI301" s="44">
        <f t="shared" si="44"/>
        <v>0.41368696165240765</v>
      </c>
    </row>
    <row r="302" spans="1:35">
      <c r="A302" t="s">
        <v>1005</v>
      </c>
      <c r="B302" s="5">
        <v>45397</v>
      </c>
      <c r="C302" s="5">
        <v>45405</v>
      </c>
      <c r="D302" s="13">
        <f t="shared" si="36"/>
        <v>8</v>
      </c>
      <c r="E302" t="s">
        <v>1006</v>
      </c>
      <c r="F302" t="s">
        <v>162</v>
      </c>
      <c r="G302" t="s">
        <v>37</v>
      </c>
      <c r="H302" t="s">
        <v>25</v>
      </c>
      <c r="I302" t="s">
        <v>122</v>
      </c>
      <c r="J302" t="s">
        <v>123</v>
      </c>
      <c r="K302" t="s">
        <v>74</v>
      </c>
      <c r="L302" t="s">
        <v>75</v>
      </c>
      <c r="M302" t="s">
        <v>1007</v>
      </c>
      <c r="N302" t="s">
        <v>31</v>
      </c>
      <c r="O302">
        <v>9</v>
      </c>
      <c r="P302">
        <v>3893.74</v>
      </c>
      <c r="Q302" s="11">
        <v>0.1</v>
      </c>
      <c r="R302">
        <v>31539.29</v>
      </c>
      <c r="S302">
        <v>22100.14</v>
      </c>
      <c r="T302">
        <v>9439.15</v>
      </c>
      <c r="U302" t="s">
        <v>32</v>
      </c>
      <c r="V302" t="s">
        <v>33</v>
      </c>
      <c r="X302" s="8" t="str">
        <f>IF(C302&gt;=B302,"Valid", "Invalid-Date")</f>
        <v>Valid</v>
      </c>
      <c r="Y302" s="8" t="str">
        <f t="shared" si="37"/>
        <v>Valid</v>
      </c>
      <c r="Z302" s="8" t="str">
        <f t="shared" si="38"/>
        <v>Pass</v>
      </c>
      <c r="AA302" s="8" t="str">
        <f t="shared" si="39"/>
        <v>Pass</v>
      </c>
      <c r="AB302" s="8" t="str">
        <f>TEXT(B302,"mmmm")</f>
        <v>April</v>
      </c>
      <c r="AC302" s="8" t="str">
        <f>TEXT(B302,"yyyy")</f>
        <v>2024</v>
      </c>
      <c r="AE302">
        <f t="shared" si="40"/>
        <v>35043.659999999996</v>
      </c>
      <c r="AF302" s="11">
        <f t="shared" si="41"/>
        <v>31539.293999999998</v>
      </c>
      <c r="AG302">
        <f t="shared" si="42"/>
        <v>12943.519999999997</v>
      </c>
      <c r="AH302" s="11">
        <f t="shared" si="43"/>
        <v>0.36935411426774484</v>
      </c>
      <c r="AI302" s="44">
        <f t="shared" si="44"/>
        <v>0.36935411426774484</v>
      </c>
    </row>
    <row r="303" spans="1:35">
      <c r="A303" t="s">
        <v>1008</v>
      </c>
      <c r="B303" s="5">
        <v>45805</v>
      </c>
      <c r="C303" s="5">
        <v>45809</v>
      </c>
      <c r="D303" s="13">
        <f t="shared" si="36"/>
        <v>4</v>
      </c>
      <c r="E303" t="s">
        <v>1009</v>
      </c>
      <c r="F303" t="s">
        <v>47</v>
      </c>
      <c r="G303" t="s">
        <v>95</v>
      </c>
      <c r="H303" t="s">
        <v>38</v>
      </c>
      <c r="I303" t="s">
        <v>145</v>
      </c>
      <c r="J303" t="s">
        <v>146</v>
      </c>
      <c r="K303" t="s">
        <v>74</v>
      </c>
      <c r="L303" t="s">
        <v>171</v>
      </c>
      <c r="M303" t="s">
        <v>1010</v>
      </c>
      <c r="N303" t="s">
        <v>44</v>
      </c>
      <c r="O303">
        <v>4</v>
      </c>
      <c r="P303">
        <v>1654.11</v>
      </c>
      <c r="Q303" s="11">
        <v>0.05</v>
      </c>
      <c r="R303">
        <v>6285.62</v>
      </c>
      <c r="S303">
        <v>3705.38</v>
      </c>
      <c r="T303">
        <v>2580.2399999999998</v>
      </c>
      <c r="U303" t="s">
        <v>32</v>
      </c>
      <c r="V303" t="s">
        <v>33</v>
      </c>
      <c r="X303" s="8" t="str">
        <f>IF(C303&gt;=B303,"Valid", "Invalid-Date")</f>
        <v>Valid</v>
      </c>
      <c r="Y303" s="8" t="str">
        <f t="shared" si="37"/>
        <v>Valid</v>
      </c>
      <c r="Z303" s="8" t="str">
        <f t="shared" si="38"/>
        <v>Pass</v>
      </c>
      <c r="AA303" s="8" t="str">
        <f t="shared" si="39"/>
        <v>Pass</v>
      </c>
      <c r="AB303" s="8" t="str">
        <f>TEXT(B303,"mmmm")</f>
        <v>May</v>
      </c>
      <c r="AC303" s="8" t="str">
        <f>TEXT(B303,"yyyy")</f>
        <v>2025</v>
      </c>
      <c r="AE303">
        <f t="shared" si="40"/>
        <v>6616.44</v>
      </c>
      <c r="AF303" s="11">
        <f t="shared" si="41"/>
        <v>6285.6179999999995</v>
      </c>
      <c r="AG303">
        <f t="shared" si="42"/>
        <v>2911.0599999999995</v>
      </c>
      <c r="AH303" s="11">
        <f t="shared" si="43"/>
        <v>0.43997376232535923</v>
      </c>
      <c r="AI303" s="44">
        <f t="shared" si="44"/>
        <v>0.43997376232535923</v>
      </c>
    </row>
    <row r="304" spans="1:35">
      <c r="A304" t="s">
        <v>1011</v>
      </c>
      <c r="B304" s="5">
        <v>45812</v>
      </c>
      <c r="C304" s="5">
        <v>45997</v>
      </c>
      <c r="D304" s="13">
        <f t="shared" si="36"/>
        <v>185</v>
      </c>
      <c r="E304" t="s">
        <v>1012</v>
      </c>
      <c r="F304" t="s">
        <v>79</v>
      </c>
      <c r="G304" t="s">
        <v>24</v>
      </c>
      <c r="H304" t="s">
        <v>63</v>
      </c>
      <c r="I304" t="s">
        <v>190</v>
      </c>
      <c r="J304" t="s">
        <v>191</v>
      </c>
      <c r="K304" t="s">
        <v>28</v>
      </c>
      <c r="L304" t="s">
        <v>124</v>
      </c>
      <c r="M304" t="s">
        <v>1013</v>
      </c>
      <c r="N304" t="s">
        <v>44</v>
      </c>
      <c r="O304">
        <v>2</v>
      </c>
      <c r="P304">
        <v>2703.28</v>
      </c>
      <c r="Q304" s="11">
        <v>0.25</v>
      </c>
      <c r="R304">
        <v>4054.92</v>
      </c>
      <c r="S304">
        <v>2424.83</v>
      </c>
      <c r="T304">
        <v>1630.09</v>
      </c>
      <c r="U304" t="s">
        <v>32</v>
      </c>
      <c r="V304" t="s">
        <v>33</v>
      </c>
      <c r="X304" s="8" t="str">
        <f>IF(C304&gt;=B304,"Valid", "Invalid-Date")</f>
        <v>Valid</v>
      </c>
      <c r="Y304" s="8" t="str">
        <f t="shared" si="37"/>
        <v>Valid</v>
      </c>
      <c r="Z304" s="8" t="str">
        <f t="shared" si="38"/>
        <v>Pass</v>
      </c>
      <c r="AA304" s="8" t="str">
        <f t="shared" si="39"/>
        <v>Pass</v>
      </c>
      <c r="AB304" s="8" t="str">
        <f>TEXT(B304,"mmmm")</f>
        <v>June</v>
      </c>
      <c r="AC304" s="8" t="str">
        <f>TEXT(B304,"yyyy")</f>
        <v>2025</v>
      </c>
      <c r="AE304">
        <f t="shared" si="40"/>
        <v>5406.56</v>
      </c>
      <c r="AF304" s="11">
        <f t="shared" si="41"/>
        <v>4054.92</v>
      </c>
      <c r="AG304">
        <f t="shared" si="42"/>
        <v>2981.7300000000005</v>
      </c>
      <c r="AH304" s="11">
        <f t="shared" si="43"/>
        <v>0.55150224911958812</v>
      </c>
      <c r="AI304" s="44">
        <f t="shared" si="44"/>
        <v>0.55150224911958812</v>
      </c>
    </row>
    <row r="305" spans="1:35">
      <c r="A305" t="s">
        <v>1014</v>
      </c>
      <c r="B305" s="5">
        <v>45466</v>
      </c>
      <c r="C305" s="5">
        <v>45471</v>
      </c>
      <c r="D305" s="13">
        <f t="shared" si="36"/>
        <v>5</v>
      </c>
      <c r="E305" t="s">
        <v>1015</v>
      </c>
      <c r="F305" t="s">
        <v>162</v>
      </c>
      <c r="G305" t="s">
        <v>95</v>
      </c>
      <c r="H305" t="s">
        <v>63</v>
      </c>
      <c r="I305" t="s">
        <v>180</v>
      </c>
      <c r="J305" t="s">
        <v>181</v>
      </c>
      <c r="K305" t="s">
        <v>41</v>
      </c>
      <c r="L305" t="s">
        <v>66</v>
      </c>
      <c r="M305" t="s">
        <v>1016</v>
      </c>
      <c r="N305" t="s">
        <v>59</v>
      </c>
      <c r="O305">
        <v>2</v>
      </c>
      <c r="P305">
        <v>1313.14</v>
      </c>
      <c r="Q305" s="11">
        <v>0.1</v>
      </c>
      <c r="R305">
        <v>2363.65</v>
      </c>
      <c r="S305">
        <v>1876.1</v>
      </c>
      <c r="T305">
        <v>487.55</v>
      </c>
      <c r="U305" t="s">
        <v>111</v>
      </c>
      <c r="V305" t="s">
        <v>103</v>
      </c>
      <c r="X305" s="8" t="str">
        <f>IF(C305&gt;=B305,"Valid", "Invalid-Date")</f>
        <v>Valid</v>
      </c>
      <c r="Y305" s="8" t="str">
        <f t="shared" si="37"/>
        <v>Valid</v>
      </c>
      <c r="Z305" s="8" t="str">
        <f t="shared" si="38"/>
        <v>Pass</v>
      </c>
      <c r="AA305" s="8" t="str">
        <f t="shared" si="39"/>
        <v>Pass</v>
      </c>
      <c r="AB305" s="8" t="str">
        <f>TEXT(B305,"mmmm")</f>
        <v>June</v>
      </c>
      <c r="AC305" s="8" t="str">
        <f>TEXT(B305,"yyyy")</f>
        <v>2024</v>
      </c>
      <c r="AE305">
        <f t="shared" si="40"/>
        <v>2626.28</v>
      </c>
      <c r="AF305" s="11">
        <f t="shared" si="41"/>
        <v>2363.652</v>
      </c>
      <c r="AG305">
        <f t="shared" si="42"/>
        <v>750.18000000000029</v>
      </c>
      <c r="AH305" s="11">
        <f t="shared" si="43"/>
        <v>0.28564357189637063</v>
      </c>
      <c r="AI305" s="44">
        <f t="shared" si="44"/>
        <v>0.28564357189637063</v>
      </c>
    </row>
    <row r="306" spans="1:35">
      <c r="A306" t="s">
        <v>1017</v>
      </c>
      <c r="B306" s="5">
        <v>45446</v>
      </c>
      <c r="C306" s="5">
        <v>45364</v>
      </c>
      <c r="D306" s="13">
        <f t="shared" si="36"/>
        <v>-82</v>
      </c>
      <c r="E306" t="s">
        <v>1018</v>
      </c>
      <c r="F306" t="s">
        <v>23</v>
      </c>
      <c r="G306" t="s">
        <v>24</v>
      </c>
      <c r="H306" t="s">
        <v>25</v>
      </c>
      <c r="I306" t="s">
        <v>122</v>
      </c>
      <c r="J306" t="s">
        <v>123</v>
      </c>
      <c r="K306" t="s">
        <v>41</v>
      </c>
      <c r="L306" t="s">
        <v>57</v>
      </c>
      <c r="M306" t="s">
        <v>1019</v>
      </c>
      <c r="N306" t="s">
        <v>59</v>
      </c>
      <c r="O306">
        <v>6</v>
      </c>
      <c r="P306">
        <v>2403.0500000000002</v>
      </c>
      <c r="Q306" s="11">
        <v>0.1</v>
      </c>
      <c r="R306">
        <v>12976.47</v>
      </c>
      <c r="S306">
        <v>10019.98</v>
      </c>
      <c r="T306">
        <v>2956.49</v>
      </c>
      <c r="U306" t="s">
        <v>32</v>
      </c>
      <c r="V306" t="s">
        <v>33</v>
      </c>
      <c r="X306" s="8" t="str">
        <f>IF(C306&gt;=B306,"Valid", "Invalid-Date")</f>
        <v>Invalid-Date</v>
      </c>
      <c r="Y306" s="8" t="str">
        <f t="shared" si="37"/>
        <v>Valid</v>
      </c>
      <c r="Z306" s="8" t="str">
        <f t="shared" si="38"/>
        <v>Pass</v>
      </c>
      <c r="AA306" s="8" t="str">
        <f t="shared" si="39"/>
        <v>Pass</v>
      </c>
      <c r="AB306" s="8" t="str">
        <f>TEXT(B306,"mmmm")</f>
        <v>June</v>
      </c>
      <c r="AC306" s="8" t="str">
        <f>TEXT(B306,"yyyy")</f>
        <v>2024</v>
      </c>
      <c r="AE306">
        <f t="shared" si="40"/>
        <v>14418.300000000001</v>
      </c>
      <c r="AF306" s="11">
        <f t="shared" si="41"/>
        <v>12976.470000000001</v>
      </c>
      <c r="AG306">
        <f t="shared" si="42"/>
        <v>4398.3200000000015</v>
      </c>
      <c r="AH306" s="11">
        <f t="shared" si="43"/>
        <v>0.30505121963060838</v>
      </c>
      <c r="AI306" s="44">
        <f t="shared" si="44"/>
        <v>0.30505121963060838</v>
      </c>
    </row>
    <row r="307" spans="1:35">
      <c r="A307" t="s">
        <v>1020</v>
      </c>
      <c r="B307" s="5">
        <v>45413</v>
      </c>
      <c r="C307" s="5">
        <v>45327</v>
      </c>
      <c r="D307" s="13">
        <f t="shared" si="36"/>
        <v>-86</v>
      </c>
      <c r="E307" t="s">
        <v>1021</v>
      </c>
      <c r="F307" t="s">
        <v>62</v>
      </c>
      <c r="G307" t="s">
        <v>24</v>
      </c>
      <c r="H307" t="s">
        <v>38</v>
      </c>
      <c r="I307" t="s">
        <v>166</v>
      </c>
      <c r="J307" t="s">
        <v>167</v>
      </c>
      <c r="K307" t="s">
        <v>41</v>
      </c>
      <c r="L307" t="s">
        <v>66</v>
      </c>
      <c r="M307" t="s">
        <v>1022</v>
      </c>
      <c r="N307" t="s">
        <v>50</v>
      </c>
      <c r="O307">
        <v>4</v>
      </c>
      <c r="P307">
        <v>4156.0600000000004</v>
      </c>
      <c r="Q307" s="11">
        <v>0.55000000000000004</v>
      </c>
      <c r="R307">
        <v>13299.39</v>
      </c>
      <c r="S307">
        <v>9851.91</v>
      </c>
      <c r="T307">
        <v>3447.48</v>
      </c>
      <c r="U307" t="s">
        <v>32</v>
      </c>
      <c r="V307" t="s">
        <v>68</v>
      </c>
      <c r="X307" s="8" t="str">
        <f>IF(C307&gt;=B307,"Valid", "Invalid-Date")</f>
        <v>Invalid-Date</v>
      </c>
      <c r="Y307" s="8" t="str">
        <f t="shared" si="37"/>
        <v>Invalid-Discount</v>
      </c>
      <c r="Z307" s="8" t="str">
        <f t="shared" si="38"/>
        <v>Pass</v>
      </c>
      <c r="AA307" s="8" t="str">
        <f t="shared" si="39"/>
        <v>Pass</v>
      </c>
      <c r="AB307" s="8" t="str">
        <f>TEXT(B307,"mmmm")</f>
        <v>May</v>
      </c>
      <c r="AC307" s="8" t="str">
        <f>TEXT(B307,"yyyy")</f>
        <v>2024</v>
      </c>
      <c r="AE307">
        <f t="shared" si="40"/>
        <v>16624.240000000002</v>
      </c>
      <c r="AF307" s="11">
        <f t="shared" si="41"/>
        <v>7480.9080000000004</v>
      </c>
      <c r="AG307">
        <f t="shared" si="42"/>
        <v>6772.3300000000017</v>
      </c>
      <c r="AH307" s="11">
        <f t="shared" si="43"/>
        <v>0.40737681842899293</v>
      </c>
      <c r="AI307" s="44">
        <f t="shared" si="44"/>
        <v>0.40737681842899293</v>
      </c>
    </row>
    <row r="308" spans="1:35">
      <c r="A308" t="s">
        <v>1023</v>
      </c>
      <c r="B308" s="5">
        <v>45708</v>
      </c>
      <c r="C308" s="5">
        <v>45711</v>
      </c>
      <c r="D308" s="13">
        <f t="shared" si="36"/>
        <v>3</v>
      </c>
      <c r="E308" t="s">
        <v>1024</v>
      </c>
      <c r="F308" t="s">
        <v>128</v>
      </c>
      <c r="G308" t="s">
        <v>24</v>
      </c>
      <c r="H308" t="s">
        <v>25</v>
      </c>
      <c r="I308" t="s">
        <v>26</v>
      </c>
      <c r="J308" t="s">
        <v>27</v>
      </c>
      <c r="K308" t="s">
        <v>74</v>
      </c>
      <c r="L308" t="s">
        <v>171</v>
      </c>
      <c r="M308" t="s">
        <v>1025</v>
      </c>
      <c r="N308" t="s">
        <v>31</v>
      </c>
      <c r="O308">
        <v>4</v>
      </c>
      <c r="P308">
        <v>3673.11</v>
      </c>
      <c r="Q308" s="11">
        <v>0</v>
      </c>
      <c r="R308">
        <v>14692.44</v>
      </c>
      <c r="S308">
        <v>10082.19</v>
      </c>
      <c r="T308">
        <v>4610.25</v>
      </c>
      <c r="U308" t="s">
        <v>32</v>
      </c>
      <c r="V308" t="s">
        <v>33</v>
      </c>
      <c r="X308" s="8" t="str">
        <f>IF(C308&gt;=B308,"Valid", "Invalid-Date")</f>
        <v>Valid</v>
      </c>
      <c r="Y308" s="8" t="str">
        <f t="shared" si="37"/>
        <v>Valid</v>
      </c>
      <c r="Z308" s="8" t="str">
        <f t="shared" si="38"/>
        <v>Pass</v>
      </c>
      <c r="AA308" s="8" t="str">
        <f t="shared" si="39"/>
        <v>Pass</v>
      </c>
      <c r="AB308" s="8" t="str">
        <f>TEXT(B308,"mmmm")</f>
        <v>February</v>
      </c>
      <c r="AC308" s="8" t="str">
        <f>TEXT(B308,"yyyy")</f>
        <v>2025</v>
      </c>
      <c r="AE308">
        <f t="shared" si="40"/>
        <v>14692.44</v>
      </c>
      <c r="AF308" s="11">
        <f t="shared" si="41"/>
        <v>14692.44</v>
      </c>
      <c r="AG308">
        <f t="shared" si="42"/>
        <v>4610.25</v>
      </c>
      <c r="AH308" s="11">
        <f t="shared" si="43"/>
        <v>0.31378382351740075</v>
      </c>
      <c r="AI308" s="44">
        <f t="shared" si="44"/>
        <v>0.31378382351740075</v>
      </c>
    </row>
    <row r="309" spans="1:35">
      <c r="A309" t="s">
        <v>1026</v>
      </c>
      <c r="B309" s="5">
        <v>45850</v>
      </c>
      <c r="C309" s="5">
        <v>45857</v>
      </c>
      <c r="D309" s="13">
        <f t="shared" si="36"/>
        <v>7</v>
      </c>
      <c r="E309" t="s">
        <v>1027</v>
      </c>
      <c r="F309" t="s">
        <v>62</v>
      </c>
      <c r="G309" t="s">
        <v>90</v>
      </c>
      <c r="H309" t="s">
        <v>25</v>
      </c>
      <c r="I309" t="s">
        <v>136</v>
      </c>
      <c r="J309" t="s">
        <v>137</v>
      </c>
      <c r="K309" t="s">
        <v>41</v>
      </c>
      <c r="L309" t="s">
        <v>42</v>
      </c>
      <c r="M309" t="s">
        <v>1028</v>
      </c>
      <c r="N309" t="s">
        <v>50</v>
      </c>
      <c r="O309">
        <v>9</v>
      </c>
      <c r="P309">
        <v>4093.04</v>
      </c>
      <c r="Q309" s="11">
        <v>0.2</v>
      </c>
      <c r="R309">
        <v>29469.89</v>
      </c>
      <c r="S309">
        <v>18935.509999999998</v>
      </c>
      <c r="T309">
        <v>10534.38</v>
      </c>
      <c r="U309" t="s">
        <v>111</v>
      </c>
      <c r="V309" t="s">
        <v>68</v>
      </c>
      <c r="X309" s="8" t="str">
        <f>IF(C309&gt;=B309,"Valid", "Invalid-Date")</f>
        <v>Valid</v>
      </c>
      <c r="Y309" s="8" t="str">
        <f t="shared" si="37"/>
        <v>Valid</v>
      </c>
      <c r="Z309" s="8" t="str">
        <f t="shared" si="38"/>
        <v>Pass</v>
      </c>
      <c r="AA309" s="8" t="str">
        <f t="shared" si="39"/>
        <v>Pass</v>
      </c>
      <c r="AB309" s="8" t="str">
        <f>TEXT(B309,"mmmm")</f>
        <v>July</v>
      </c>
      <c r="AC309" s="8" t="str">
        <f>TEXT(B309,"yyyy")</f>
        <v>2025</v>
      </c>
      <c r="AE309">
        <f t="shared" si="40"/>
        <v>36837.360000000001</v>
      </c>
      <c r="AF309" s="11">
        <f t="shared" si="41"/>
        <v>29469.888000000003</v>
      </c>
      <c r="AG309">
        <f t="shared" si="42"/>
        <v>17901.850000000002</v>
      </c>
      <c r="AH309" s="11">
        <f t="shared" si="43"/>
        <v>0.48596995007242655</v>
      </c>
      <c r="AI309" s="44">
        <f t="shared" si="44"/>
        <v>0.48596995007242655</v>
      </c>
    </row>
    <row r="310" spans="1:35">
      <c r="A310" t="s">
        <v>1029</v>
      </c>
      <c r="B310" s="5">
        <v>45821</v>
      </c>
      <c r="C310" s="5">
        <v>45827</v>
      </c>
      <c r="D310" s="13">
        <f t="shared" si="36"/>
        <v>6</v>
      </c>
      <c r="E310" t="s">
        <v>1030</v>
      </c>
      <c r="F310" t="s">
        <v>141</v>
      </c>
      <c r="G310" t="s">
        <v>24</v>
      </c>
      <c r="H310" t="s">
        <v>25</v>
      </c>
      <c r="I310" t="s">
        <v>26</v>
      </c>
      <c r="J310" t="s">
        <v>27</v>
      </c>
      <c r="K310" t="s">
        <v>41</v>
      </c>
      <c r="L310" t="s">
        <v>42</v>
      </c>
      <c r="M310" t="s">
        <v>1031</v>
      </c>
      <c r="N310" t="s">
        <v>50</v>
      </c>
      <c r="O310">
        <v>4</v>
      </c>
      <c r="P310">
        <v>731.57</v>
      </c>
      <c r="Q310" s="11">
        <v>0.2</v>
      </c>
      <c r="R310">
        <v>2341.02</v>
      </c>
      <c r="S310">
        <v>1565.49</v>
      </c>
      <c r="T310">
        <v>775.53</v>
      </c>
      <c r="U310" t="s">
        <v>32</v>
      </c>
      <c r="V310" t="s">
        <v>33</v>
      </c>
      <c r="X310" s="8" t="str">
        <f>IF(C310&gt;=B310,"Valid", "Invalid-Date")</f>
        <v>Valid</v>
      </c>
      <c r="Y310" s="8" t="str">
        <f t="shared" si="37"/>
        <v>Valid</v>
      </c>
      <c r="Z310" s="8" t="str">
        <f t="shared" si="38"/>
        <v>Pass</v>
      </c>
      <c r="AA310" s="8" t="str">
        <f t="shared" si="39"/>
        <v>Pass</v>
      </c>
      <c r="AB310" s="8" t="str">
        <f>TEXT(B310,"mmmm")</f>
        <v>June</v>
      </c>
      <c r="AC310" s="8" t="str">
        <f>TEXT(B310,"yyyy")</f>
        <v>2025</v>
      </c>
      <c r="AE310">
        <f t="shared" si="40"/>
        <v>2926.28</v>
      </c>
      <c r="AF310" s="11">
        <f t="shared" si="41"/>
        <v>2341.0240000000003</v>
      </c>
      <c r="AG310">
        <f t="shared" si="42"/>
        <v>1360.7900000000002</v>
      </c>
      <c r="AH310" s="11">
        <f t="shared" si="43"/>
        <v>0.46502385280971065</v>
      </c>
      <c r="AI310" s="44">
        <f t="shared" si="44"/>
        <v>0.46502385280971065</v>
      </c>
    </row>
    <row r="311" spans="1:35">
      <c r="A311" t="s">
        <v>1032</v>
      </c>
      <c r="B311" s="5">
        <v>45493</v>
      </c>
      <c r="C311" s="5">
        <v>45495</v>
      </c>
      <c r="D311" s="13">
        <f t="shared" si="36"/>
        <v>2</v>
      </c>
      <c r="E311" t="s">
        <v>1033</v>
      </c>
      <c r="F311" t="s">
        <v>62</v>
      </c>
      <c r="G311" t="s">
        <v>24</v>
      </c>
      <c r="H311" t="s">
        <v>54</v>
      </c>
      <c r="I311" t="s">
        <v>247</v>
      </c>
      <c r="J311" t="s">
        <v>248</v>
      </c>
      <c r="K311" t="s">
        <v>41</v>
      </c>
      <c r="L311" t="s">
        <v>42</v>
      </c>
      <c r="M311" t="s">
        <v>1034</v>
      </c>
      <c r="N311" t="s">
        <v>50</v>
      </c>
      <c r="O311">
        <v>7</v>
      </c>
      <c r="P311">
        <v>2060.73</v>
      </c>
      <c r="Q311" s="11">
        <v>0.1</v>
      </c>
      <c r="R311">
        <v>12982.6</v>
      </c>
      <c r="S311">
        <v>7246.36</v>
      </c>
      <c r="T311">
        <v>5736.24</v>
      </c>
      <c r="U311" t="s">
        <v>32</v>
      </c>
      <c r="V311" t="s">
        <v>68</v>
      </c>
      <c r="X311" s="8" t="str">
        <f>IF(C311&gt;=B311,"Valid", "Invalid-Date")</f>
        <v>Valid</v>
      </c>
      <c r="Y311" s="8" t="str">
        <f t="shared" si="37"/>
        <v>Valid</v>
      </c>
      <c r="Z311" s="8" t="str">
        <f t="shared" si="38"/>
        <v>Pass</v>
      </c>
      <c r="AA311" s="8" t="str">
        <f t="shared" si="39"/>
        <v>Pass</v>
      </c>
      <c r="AB311" s="8" t="str">
        <f>TEXT(B311,"mmmm")</f>
        <v>July</v>
      </c>
      <c r="AC311" s="8" t="str">
        <f>TEXT(B311,"yyyy")</f>
        <v>2024</v>
      </c>
      <c r="AE311">
        <f t="shared" si="40"/>
        <v>14425.11</v>
      </c>
      <c r="AF311" s="11">
        <f t="shared" si="41"/>
        <v>12982.599</v>
      </c>
      <c r="AG311">
        <f t="shared" si="42"/>
        <v>7178.7500000000009</v>
      </c>
      <c r="AH311" s="11">
        <f t="shared" si="43"/>
        <v>0.4976565170040298</v>
      </c>
      <c r="AI311" s="44">
        <f t="shared" si="44"/>
        <v>0.4976565170040298</v>
      </c>
    </row>
    <row r="312" spans="1:35">
      <c r="A312" t="s">
        <v>1035</v>
      </c>
      <c r="B312" s="5">
        <v>45477</v>
      </c>
      <c r="C312" s="5">
        <v>45481</v>
      </c>
      <c r="D312" s="13">
        <f t="shared" si="36"/>
        <v>4</v>
      </c>
      <c r="E312" t="s">
        <v>1036</v>
      </c>
      <c r="F312" t="s">
        <v>141</v>
      </c>
      <c r="G312" t="s">
        <v>37</v>
      </c>
      <c r="H312" t="s">
        <v>54</v>
      </c>
      <c r="I312" t="s">
        <v>247</v>
      </c>
      <c r="J312" t="s">
        <v>248</v>
      </c>
      <c r="K312" t="s">
        <v>74</v>
      </c>
      <c r="L312" t="s">
        <v>274</v>
      </c>
      <c r="M312" t="s">
        <v>1037</v>
      </c>
      <c r="N312" t="s">
        <v>50</v>
      </c>
      <c r="O312">
        <v>8</v>
      </c>
      <c r="P312">
        <v>2034.25</v>
      </c>
      <c r="Q312" s="11">
        <v>0</v>
      </c>
      <c r="R312">
        <v>16274</v>
      </c>
      <c r="S312">
        <v>9424.25</v>
      </c>
      <c r="T312">
        <v>6849.75</v>
      </c>
      <c r="U312" t="s">
        <v>32</v>
      </c>
      <c r="V312" t="s">
        <v>33</v>
      </c>
      <c r="X312" s="8" t="str">
        <f>IF(C312&gt;=B312,"Valid", "Invalid-Date")</f>
        <v>Valid</v>
      </c>
      <c r="Y312" s="8" t="str">
        <f t="shared" si="37"/>
        <v>Valid</v>
      </c>
      <c r="Z312" s="8" t="str">
        <f t="shared" si="38"/>
        <v>Pass</v>
      </c>
      <c r="AA312" s="8" t="str">
        <f t="shared" si="39"/>
        <v>Pass</v>
      </c>
      <c r="AB312" s="8" t="str">
        <f>TEXT(B312,"mmmm")</f>
        <v>July</v>
      </c>
      <c r="AC312" s="8" t="str">
        <f>TEXT(B312,"yyyy")</f>
        <v>2024</v>
      </c>
      <c r="AE312">
        <f t="shared" si="40"/>
        <v>16274</v>
      </c>
      <c r="AF312" s="11">
        <f t="shared" si="41"/>
        <v>16274</v>
      </c>
      <c r="AG312">
        <f t="shared" si="42"/>
        <v>6849.75</v>
      </c>
      <c r="AH312" s="11">
        <f t="shared" si="43"/>
        <v>0.42090143787636719</v>
      </c>
      <c r="AI312" s="44">
        <f t="shared" si="44"/>
        <v>0.42090143787636719</v>
      </c>
    </row>
    <row r="313" spans="1:35">
      <c r="A313" t="s">
        <v>1038</v>
      </c>
      <c r="B313" s="5">
        <v>45409</v>
      </c>
      <c r="C313" s="5">
        <v>45414</v>
      </c>
      <c r="D313" s="13">
        <f t="shared" si="36"/>
        <v>5</v>
      </c>
      <c r="E313" t="s">
        <v>1039</v>
      </c>
      <c r="F313" t="s">
        <v>36</v>
      </c>
      <c r="G313" t="s">
        <v>90</v>
      </c>
      <c r="H313" t="s">
        <v>54</v>
      </c>
      <c r="I313" t="s">
        <v>175</v>
      </c>
      <c r="J313" t="s">
        <v>176</v>
      </c>
      <c r="K313" t="s">
        <v>28</v>
      </c>
      <c r="L313" t="s">
        <v>153</v>
      </c>
      <c r="M313" t="s">
        <v>1040</v>
      </c>
      <c r="N313" t="s">
        <v>31</v>
      </c>
      <c r="O313">
        <v>5</v>
      </c>
      <c r="P313">
        <v>554.04</v>
      </c>
      <c r="Q313" s="11">
        <v>0.1</v>
      </c>
      <c r="R313">
        <v>2493.1799999999998</v>
      </c>
      <c r="S313">
        <v>1764</v>
      </c>
      <c r="T313">
        <v>729.18</v>
      </c>
      <c r="U313" t="s">
        <v>32</v>
      </c>
      <c r="V313" t="s">
        <v>33</v>
      </c>
      <c r="X313" s="8" t="str">
        <f>IF(C313&gt;=B313,"Valid", "Invalid-Date")</f>
        <v>Valid</v>
      </c>
      <c r="Y313" s="8" t="str">
        <f t="shared" si="37"/>
        <v>Valid</v>
      </c>
      <c r="Z313" s="8" t="str">
        <f t="shared" si="38"/>
        <v>Pass</v>
      </c>
      <c r="AA313" s="8" t="str">
        <f t="shared" si="39"/>
        <v>Pass</v>
      </c>
      <c r="AB313" s="8" t="str">
        <f>TEXT(B313,"mmmm")</f>
        <v>April</v>
      </c>
      <c r="AC313" s="8" t="str">
        <f>TEXT(B313,"yyyy")</f>
        <v>2024</v>
      </c>
      <c r="AE313">
        <f t="shared" si="40"/>
        <v>2770.2</v>
      </c>
      <c r="AF313" s="11">
        <f t="shared" si="41"/>
        <v>2493.1799999999998</v>
      </c>
      <c r="AG313">
        <f t="shared" si="42"/>
        <v>1006.1999999999998</v>
      </c>
      <c r="AH313" s="11">
        <f t="shared" si="43"/>
        <v>0.3632228719948018</v>
      </c>
      <c r="AI313" s="44">
        <f t="shared" si="44"/>
        <v>0.3632228719948018</v>
      </c>
    </row>
    <row r="314" spans="1:35">
      <c r="A314" t="s">
        <v>1041</v>
      </c>
      <c r="B314" s="5">
        <v>45504</v>
      </c>
      <c r="C314" s="5">
        <v>45508</v>
      </c>
      <c r="D314" s="13">
        <f t="shared" si="36"/>
        <v>4</v>
      </c>
      <c r="E314" t="s">
        <v>1042</v>
      </c>
      <c r="F314" t="s">
        <v>23</v>
      </c>
      <c r="G314" t="s">
        <v>37</v>
      </c>
      <c r="H314" t="s">
        <v>38</v>
      </c>
      <c r="I314" t="s">
        <v>166</v>
      </c>
      <c r="J314" t="s">
        <v>167</v>
      </c>
      <c r="K314" t="s">
        <v>74</v>
      </c>
      <c r="L314" t="s">
        <v>171</v>
      </c>
      <c r="M314" t="s">
        <v>1043</v>
      </c>
      <c r="N314" t="s">
        <v>59</v>
      </c>
      <c r="O314">
        <v>8</v>
      </c>
      <c r="P314">
        <v>2614.7399999999998</v>
      </c>
      <c r="Q314" s="11">
        <v>0</v>
      </c>
      <c r="R314">
        <v>15688.44</v>
      </c>
      <c r="S314">
        <v>10047.33</v>
      </c>
      <c r="T314">
        <v>5641.11</v>
      </c>
      <c r="U314" t="s">
        <v>32</v>
      </c>
      <c r="V314" t="s">
        <v>68</v>
      </c>
      <c r="X314" s="8" t="str">
        <f>IF(C314&gt;=B314,"Valid", "Invalid-Date")</f>
        <v>Valid</v>
      </c>
      <c r="Y314" s="8" t="str">
        <f t="shared" si="37"/>
        <v>Valid</v>
      </c>
      <c r="Z314" s="8" t="str">
        <f t="shared" si="38"/>
        <v>Pass</v>
      </c>
      <c r="AA314" s="8" t="str">
        <f t="shared" si="39"/>
        <v>Pass</v>
      </c>
      <c r="AB314" s="8" t="str">
        <f>TEXT(B314,"mmmm")</f>
        <v>July</v>
      </c>
      <c r="AC314" s="8" t="str">
        <f>TEXT(B314,"yyyy")</f>
        <v>2024</v>
      </c>
      <c r="AE314">
        <f t="shared" si="40"/>
        <v>20917.919999999998</v>
      </c>
      <c r="AF314" s="11">
        <f t="shared" si="41"/>
        <v>20917.919999999998</v>
      </c>
      <c r="AG314">
        <f t="shared" si="42"/>
        <v>10870.589999999998</v>
      </c>
      <c r="AH314" s="11">
        <f t="shared" si="43"/>
        <v>0.5196783427797792</v>
      </c>
      <c r="AI314" s="44">
        <f t="shared" si="44"/>
        <v>0.5196783427797792</v>
      </c>
    </row>
    <row r="315" spans="1:35">
      <c r="A315" t="s">
        <v>1044</v>
      </c>
      <c r="B315" s="5">
        <v>45807</v>
      </c>
      <c r="C315" s="5">
        <v>45808</v>
      </c>
      <c r="D315" s="13">
        <f t="shared" si="36"/>
        <v>1</v>
      </c>
      <c r="E315" t="s">
        <v>1045</v>
      </c>
      <c r="F315" t="s">
        <v>118</v>
      </c>
      <c r="G315" t="s">
        <v>90</v>
      </c>
      <c r="H315" t="s">
        <v>25</v>
      </c>
      <c r="I315" t="s">
        <v>136</v>
      </c>
      <c r="J315" t="s">
        <v>137</v>
      </c>
      <c r="K315" t="s">
        <v>74</v>
      </c>
      <c r="L315" t="s">
        <v>171</v>
      </c>
      <c r="M315" t="s">
        <v>1046</v>
      </c>
      <c r="N315" t="s">
        <v>50</v>
      </c>
      <c r="O315">
        <v>8</v>
      </c>
      <c r="P315">
        <v>2081.4299999999998</v>
      </c>
      <c r="Q315" s="11">
        <v>0.25</v>
      </c>
      <c r="R315">
        <v>12488.58</v>
      </c>
      <c r="S315">
        <v>10717.4</v>
      </c>
      <c r="T315">
        <v>1771.18</v>
      </c>
      <c r="U315" t="s">
        <v>102</v>
      </c>
      <c r="V315" t="s">
        <v>68</v>
      </c>
      <c r="X315" s="8" t="str">
        <f>IF(C315&gt;=B315,"Valid", "Invalid-Date")</f>
        <v>Valid</v>
      </c>
      <c r="Y315" s="8" t="str">
        <f t="shared" si="37"/>
        <v>Valid</v>
      </c>
      <c r="Z315" s="8" t="str">
        <f t="shared" si="38"/>
        <v>Pass</v>
      </c>
      <c r="AA315" s="8" t="str">
        <f t="shared" si="39"/>
        <v>Pass</v>
      </c>
      <c r="AB315" s="8" t="str">
        <f>TEXT(B315,"mmmm")</f>
        <v>May</v>
      </c>
      <c r="AC315" s="8" t="str">
        <f>TEXT(B315,"yyyy")</f>
        <v>2025</v>
      </c>
      <c r="AE315">
        <f t="shared" si="40"/>
        <v>16651.439999999999</v>
      </c>
      <c r="AF315" s="11">
        <f t="shared" si="41"/>
        <v>12488.579999999998</v>
      </c>
      <c r="AG315">
        <f t="shared" si="42"/>
        <v>5934.0399999999991</v>
      </c>
      <c r="AH315" s="11">
        <f t="shared" si="43"/>
        <v>0.35636797778450391</v>
      </c>
      <c r="AI315" s="44">
        <f t="shared" si="44"/>
        <v>0.35636797778450391</v>
      </c>
    </row>
    <row r="316" spans="1:35" s="15" customFormat="1">
      <c r="A316" s="15" t="s">
        <v>1047</v>
      </c>
      <c r="B316" s="16">
        <v>45795</v>
      </c>
      <c r="C316" s="16">
        <v>45797</v>
      </c>
      <c r="D316" s="17">
        <f t="shared" si="36"/>
        <v>2</v>
      </c>
      <c r="E316" s="15" t="s">
        <v>1048</v>
      </c>
      <c r="F316" s="15" t="s">
        <v>47</v>
      </c>
      <c r="G316" s="15" t="s">
        <v>90</v>
      </c>
      <c r="H316" s="15" t="s">
        <v>63</v>
      </c>
      <c r="I316" s="15" t="s">
        <v>72</v>
      </c>
      <c r="J316" s="15" t="s">
        <v>73</v>
      </c>
      <c r="K316" s="15" t="s">
        <v>28</v>
      </c>
      <c r="L316" s="15" t="s">
        <v>91</v>
      </c>
      <c r="M316" s="15" t="s">
        <v>1049</v>
      </c>
      <c r="N316" s="15" t="s">
        <v>59</v>
      </c>
      <c r="O316" s="15">
        <v>9</v>
      </c>
      <c r="P316" s="15">
        <v>847.76</v>
      </c>
      <c r="Q316" s="18">
        <v>0.15</v>
      </c>
      <c r="R316" s="15">
        <v>6485.36</v>
      </c>
      <c r="S316" s="15">
        <v>5376.17</v>
      </c>
      <c r="T316" s="15">
        <v>1109.19</v>
      </c>
      <c r="U316" s="15" t="s">
        <v>155</v>
      </c>
      <c r="V316" s="15" t="s">
        <v>103</v>
      </c>
      <c r="W316" s="25"/>
      <c r="X316" s="8" t="str">
        <f>IF(C316&gt;=B316,"Valid", "Invalid-Date")</f>
        <v>Valid</v>
      </c>
      <c r="Y316" s="8" t="str">
        <f t="shared" si="37"/>
        <v>Valid</v>
      </c>
      <c r="Z316" s="19" t="str">
        <f t="shared" si="38"/>
        <v>Pass</v>
      </c>
      <c r="AA316" s="19" t="str">
        <f t="shared" si="39"/>
        <v>Pass</v>
      </c>
      <c r="AB316" s="19" t="str">
        <f>TEXT(B316,"mmmm")</f>
        <v>May</v>
      </c>
      <c r="AC316" s="19" t="str">
        <f>TEXT(B316,"yyyy")</f>
        <v>2025</v>
      </c>
      <c r="AD316" s="20"/>
      <c r="AE316" s="15">
        <f t="shared" si="40"/>
        <v>7629.84</v>
      </c>
      <c r="AF316" s="11">
        <f t="shared" si="41"/>
        <v>6485.3639999999996</v>
      </c>
      <c r="AG316" s="15">
        <f t="shared" si="42"/>
        <v>2253.67</v>
      </c>
      <c r="AH316" s="18">
        <f t="shared" si="43"/>
        <v>0.29537578769672757</v>
      </c>
      <c r="AI316" s="45">
        <f t="shared" si="44"/>
        <v>0.29537578769672757</v>
      </c>
    </row>
    <row r="317" spans="1:35">
      <c r="A317" t="s">
        <v>1050</v>
      </c>
      <c r="B317" s="5">
        <v>45475</v>
      </c>
      <c r="C317" s="5">
        <v>45511</v>
      </c>
      <c r="D317" s="13">
        <f t="shared" si="36"/>
        <v>36</v>
      </c>
      <c r="E317" t="s">
        <v>1051</v>
      </c>
      <c r="F317" t="s">
        <v>141</v>
      </c>
      <c r="G317" t="s">
        <v>24</v>
      </c>
      <c r="H317" t="s">
        <v>25</v>
      </c>
      <c r="I317" t="s">
        <v>350</v>
      </c>
      <c r="J317" t="s">
        <v>351</v>
      </c>
      <c r="K317" t="s">
        <v>28</v>
      </c>
      <c r="L317" t="s">
        <v>29</v>
      </c>
      <c r="M317" t="s">
        <v>1052</v>
      </c>
      <c r="N317" t="s">
        <v>59</v>
      </c>
      <c r="O317">
        <v>9</v>
      </c>
      <c r="P317">
        <v>3450.4</v>
      </c>
      <c r="Q317" s="11">
        <v>0.05</v>
      </c>
      <c r="R317">
        <v>29500.92</v>
      </c>
      <c r="S317">
        <v>17989.68</v>
      </c>
      <c r="T317">
        <v>11511.24</v>
      </c>
      <c r="U317" t="s">
        <v>111</v>
      </c>
      <c r="V317" t="s">
        <v>103</v>
      </c>
      <c r="X317" s="8" t="str">
        <f>IF(C317&gt;=B317,"Valid", "Invalid-Date")</f>
        <v>Valid</v>
      </c>
      <c r="Y317" s="8" t="str">
        <f t="shared" si="37"/>
        <v>Valid</v>
      </c>
      <c r="Z317" s="8" t="str">
        <f t="shared" si="38"/>
        <v>Pass</v>
      </c>
      <c r="AA317" s="8" t="str">
        <f t="shared" si="39"/>
        <v>Pass</v>
      </c>
      <c r="AB317" s="8" t="str">
        <f>TEXT(B317,"mmmm")</f>
        <v>July</v>
      </c>
      <c r="AC317" s="8" t="str">
        <f>TEXT(B317,"yyyy")</f>
        <v>2024</v>
      </c>
      <c r="AE317">
        <f t="shared" si="40"/>
        <v>31053.600000000002</v>
      </c>
      <c r="AF317" s="11">
        <f t="shared" si="41"/>
        <v>29500.920000000002</v>
      </c>
      <c r="AG317">
        <f t="shared" si="42"/>
        <v>13063.920000000002</v>
      </c>
      <c r="AH317" s="11">
        <f t="shared" si="43"/>
        <v>0.42068938866991268</v>
      </c>
      <c r="AI317" s="44">
        <f t="shared" si="44"/>
        <v>0.42068938866991268</v>
      </c>
    </row>
    <row r="318" spans="1:35">
      <c r="A318" t="s">
        <v>1053</v>
      </c>
      <c r="B318" s="5">
        <v>45338</v>
      </c>
      <c r="C318" s="5">
        <v>45340</v>
      </c>
      <c r="D318" s="13">
        <f t="shared" si="36"/>
        <v>2</v>
      </c>
      <c r="E318" t="s">
        <v>1054</v>
      </c>
      <c r="F318" t="s">
        <v>23</v>
      </c>
      <c r="G318" t="s">
        <v>90</v>
      </c>
      <c r="H318" t="s">
        <v>25</v>
      </c>
      <c r="I318" t="s">
        <v>122</v>
      </c>
      <c r="J318" t="s">
        <v>123</v>
      </c>
      <c r="K318" t="s">
        <v>28</v>
      </c>
      <c r="L318" t="s">
        <v>91</v>
      </c>
      <c r="M318" t="s">
        <v>1055</v>
      </c>
      <c r="N318" t="s">
        <v>59</v>
      </c>
      <c r="O318">
        <v>2</v>
      </c>
      <c r="P318">
        <v>1947.53</v>
      </c>
      <c r="Q318" s="11">
        <v>0.2</v>
      </c>
      <c r="R318">
        <v>3116.05</v>
      </c>
      <c r="S318">
        <v>1956.63</v>
      </c>
      <c r="T318">
        <v>1159.42</v>
      </c>
      <c r="U318" t="s">
        <v>32</v>
      </c>
      <c r="V318" t="s">
        <v>68</v>
      </c>
      <c r="X318" s="8" t="str">
        <f>IF(C318&gt;=B318,"Valid", "Invalid-Date")</f>
        <v>Valid</v>
      </c>
      <c r="Y318" s="8" t="str">
        <f t="shared" si="37"/>
        <v>Valid</v>
      </c>
      <c r="Z318" s="8" t="str">
        <f t="shared" si="38"/>
        <v>Pass</v>
      </c>
      <c r="AA318" s="8" t="str">
        <f t="shared" si="39"/>
        <v>Pass</v>
      </c>
      <c r="AB318" s="8" t="str">
        <f>TEXT(B318,"mmmm")</f>
        <v>February</v>
      </c>
      <c r="AC318" s="8" t="str">
        <f>TEXT(B318,"yyyy")</f>
        <v>2024</v>
      </c>
      <c r="AE318">
        <f t="shared" si="40"/>
        <v>3895.06</v>
      </c>
      <c r="AF318" s="11">
        <f t="shared" si="41"/>
        <v>3116.0480000000002</v>
      </c>
      <c r="AG318">
        <f t="shared" si="42"/>
        <v>1938.4299999999998</v>
      </c>
      <c r="AH318" s="11">
        <f t="shared" si="43"/>
        <v>0.49766370736265936</v>
      </c>
      <c r="AI318" s="44">
        <f t="shared" si="44"/>
        <v>0.49766370736265936</v>
      </c>
    </row>
    <row r="319" spans="1:35">
      <c r="A319" t="s">
        <v>1056</v>
      </c>
      <c r="B319" s="5">
        <v>45898</v>
      </c>
      <c r="C319" s="5">
        <v>45756</v>
      </c>
      <c r="D319" s="13">
        <f t="shared" si="36"/>
        <v>-142</v>
      </c>
      <c r="E319" t="s">
        <v>1057</v>
      </c>
      <c r="F319" t="s">
        <v>79</v>
      </c>
      <c r="G319" t="s">
        <v>90</v>
      </c>
      <c r="H319" t="s">
        <v>54</v>
      </c>
      <c r="I319" t="s">
        <v>185</v>
      </c>
      <c r="J319" t="s">
        <v>186</v>
      </c>
      <c r="K319" t="s">
        <v>41</v>
      </c>
      <c r="L319" t="s">
        <v>42</v>
      </c>
      <c r="M319" t="s">
        <v>1058</v>
      </c>
      <c r="N319" t="s">
        <v>50</v>
      </c>
      <c r="O319">
        <v>9</v>
      </c>
      <c r="P319">
        <v>2996.97</v>
      </c>
      <c r="Q319" s="11">
        <v>0.15</v>
      </c>
      <c r="R319">
        <v>22926.82</v>
      </c>
      <c r="S319">
        <v>14621.59</v>
      </c>
      <c r="T319">
        <v>8305.23</v>
      </c>
      <c r="U319" t="s">
        <v>32</v>
      </c>
      <c r="V319" t="s">
        <v>33</v>
      </c>
      <c r="X319" s="8" t="str">
        <f>IF(C319&gt;=B319,"Valid", "Invalid-Date")</f>
        <v>Invalid-Date</v>
      </c>
      <c r="Y319" s="8" t="str">
        <f t="shared" si="37"/>
        <v>Valid</v>
      </c>
      <c r="Z319" s="8" t="str">
        <f t="shared" si="38"/>
        <v>Pass</v>
      </c>
      <c r="AA319" s="8" t="str">
        <f t="shared" si="39"/>
        <v>Pass</v>
      </c>
      <c r="AB319" s="8" t="str">
        <f>TEXT(B319,"mmmm")</f>
        <v>August</v>
      </c>
      <c r="AC319" s="8" t="str">
        <f>TEXT(B319,"yyyy")</f>
        <v>2025</v>
      </c>
      <c r="AE319">
        <f t="shared" si="40"/>
        <v>26972.73</v>
      </c>
      <c r="AF319" s="11">
        <f t="shared" si="41"/>
        <v>22926.820499999998</v>
      </c>
      <c r="AG319">
        <f t="shared" si="42"/>
        <v>12351.14</v>
      </c>
      <c r="AH319" s="11">
        <f t="shared" si="43"/>
        <v>0.45791212087171002</v>
      </c>
      <c r="AI319" s="44">
        <f t="shared" si="44"/>
        <v>0.45791212087171002</v>
      </c>
    </row>
    <row r="320" spans="1:35">
      <c r="A320" t="s">
        <v>1059</v>
      </c>
      <c r="B320" s="5">
        <v>45407</v>
      </c>
      <c r="C320" s="5">
        <v>45412</v>
      </c>
      <c r="D320" s="13">
        <f t="shared" si="36"/>
        <v>5</v>
      </c>
      <c r="E320" t="s">
        <v>1060</v>
      </c>
      <c r="F320" t="s">
        <v>36</v>
      </c>
      <c r="G320" t="s">
        <v>37</v>
      </c>
      <c r="H320" t="s">
        <v>54</v>
      </c>
      <c r="I320" t="s">
        <v>175</v>
      </c>
      <c r="J320" t="s">
        <v>176</v>
      </c>
      <c r="K320" t="s">
        <v>74</v>
      </c>
      <c r="L320" t="s">
        <v>171</v>
      </c>
      <c r="M320" t="s">
        <v>1061</v>
      </c>
      <c r="N320" t="s">
        <v>59</v>
      </c>
      <c r="O320">
        <v>3</v>
      </c>
      <c r="P320">
        <v>4149.46</v>
      </c>
      <c r="Q320" s="11">
        <v>0.1</v>
      </c>
      <c r="R320">
        <v>11203.54</v>
      </c>
      <c r="S320">
        <v>8452.93</v>
      </c>
      <c r="T320">
        <v>2750.61</v>
      </c>
      <c r="U320" t="s">
        <v>32</v>
      </c>
      <c r="V320" t="s">
        <v>33</v>
      </c>
      <c r="X320" s="8" t="str">
        <f>IF(C320&gt;=B320,"Valid", "Invalid-Date")</f>
        <v>Valid</v>
      </c>
      <c r="Y320" s="8" t="str">
        <f t="shared" si="37"/>
        <v>Valid</v>
      </c>
      <c r="Z320" s="8" t="str">
        <f t="shared" si="38"/>
        <v>Pass</v>
      </c>
      <c r="AA320" s="8" t="str">
        <f t="shared" si="39"/>
        <v>Pass</v>
      </c>
      <c r="AB320" s="8" t="str">
        <f>TEXT(B320,"mmmm")</f>
        <v>April</v>
      </c>
      <c r="AC320" s="8" t="str">
        <f>TEXT(B320,"yyyy")</f>
        <v>2024</v>
      </c>
      <c r="AE320">
        <f t="shared" si="40"/>
        <v>12448.380000000001</v>
      </c>
      <c r="AF320" s="11">
        <f t="shared" si="41"/>
        <v>11203.542000000001</v>
      </c>
      <c r="AG320">
        <f t="shared" si="42"/>
        <v>3995.4500000000007</v>
      </c>
      <c r="AH320" s="11">
        <f t="shared" si="43"/>
        <v>0.32096144237242119</v>
      </c>
      <c r="AI320" s="44">
        <f t="shared" si="44"/>
        <v>0.32096144237242119</v>
      </c>
    </row>
    <row r="321" spans="1:35">
      <c r="A321" t="s">
        <v>1062</v>
      </c>
      <c r="B321" s="5">
        <v>45525</v>
      </c>
      <c r="C321" s="5">
        <v>45529</v>
      </c>
      <c r="D321" s="13">
        <f t="shared" si="36"/>
        <v>4</v>
      </c>
      <c r="E321" t="s">
        <v>1063</v>
      </c>
      <c r="F321" t="s">
        <v>162</v>
      </c>
      <c r="G321" t="s">
        <v>24</v>
      </c>
      <c r="H321" t="s">
        <v>63</v>
      </c>
      <c r="I321" t="s">
        <v>180</v>
      </c>
      <c r="J321" t="s">
        <v>181</v>
      </c>
      <c r="K321" t="s">
        <v>28</v>
      </c>
      <c r="L321" t="s">
        <v>153</v>
      </c>
      <c r="M321" t="s">
        <v>1064</v>
      </c>
      <c r="N321" t="s">
        <v>50</v>
      </c>
      <c r="O321">
        <v>1</v>
      </c>
      <c r="P321">
        <v>270.27999999999997</v>
      </c>
      <c r="Q321" s="11">
        <v>0</v>
      </c>
      <c r="R321">
        <v>270.27999999999997</v>
      </c>
      <c r="S321">
        <v>156.34</v>
      </c>
      <c r="T321">
        <v>113.94</v>
      </c>
      <c r="U321" t="s">
        <v>32</v>
      </c>
      <c r="V321" t="s">
        <v>33</v>
      </c>
      <c r="X321" s="8" t="str">
        <f>IF(C321&gt;=B321,"Valid", "Invalid-Date")</f>
        <v>Valid</v>
      </c>
      <c r="Y321" s="8" t="str">
        <f t="shared" si="37"/>
        <v>Valid</v>
      </c>
      <c r="Z321" s="8" t="str">
        <f t="shared" si="38"/>
        <v>Pass</v>
      </c>
      <c r="AA321" s="8" t="str">
        <f t="shared" si="39"/>
        <v>Pass</v>
      </c>
      <c r="AB321" s="8" t="str">
        <f>TEXT(B321,"mmmm")</f>
        <v>August</v>
      </c>
      <c r="AC321" s="8" t="str">
        <f>TEXT(B321,"yyyy")</f>
        <v>2024</v>
      </c>
      <c r="AE321">
        <f t="shared" si="40"/>
        <v>270.27999999999997</v>
      </c>
      <c r="AF321" s="11">
        <f t="shared" si="41"/>
        <v>270.27999999999997</v>
      </c>
      <c r="AG321">
        <f t="shared" si="42"/>
        <v>113.93999999999997</v>
      </c>
      <c r="AH321" s="11">
        <f t="shared" si="43"/>
        <v>0.42156282373834536</v>
      </c>
      <c r="AI321" s="44">
        <f t="shared" si="44"/>
        <v>0.42156282373834536</v>
      </c>
    </row>
    <row r="322" spans="1:35">
      <c r="A322" t="s">
        <v>1065</v>
      </c>
      <c r="B322" s="5">
        <v>45394</v>
      </c>
      <c r="C322" s="5">
        <v>45455</v>
      </c>
      <c r="D322" s="13">
        <f t="shared" si="36"/>
        <v>61</v>
      </c>
      <c r="E322" t="s">
        <v>1066</v>
      </c>
      <c r="F322" t="s">
        <v>128</v>
      </c>
      <c r="G322" t="s">
        <v>95</v>
      </c>
      <c r="H322" t="s">
        <v>38</v>
      </c>
      <c r="I322" t="s">
        <v>99</v>
      </c>
      <c r="J322" t="s">
        <v>100</v>
      </c>
      <c r="K322" t="s">
        <v>28</v>
      </c>
      <c r="L322" t="s">
        <v>48</v>
      </c>
      <c r="M322" t="s">
        <v>1067</v>
      </c>
      <c r="N322" t="s">
        <v>31</v>
      </c>
      <c r="O322">
        <v>3</v>
      </c>
      <c r="P322">
        <v>876.14</v>
      </c>
      <c r="Q322" s="11">
        <v>0.7</v>
      </c>
      <c r="R322">
        <v>2628.42</v>
      </c>
      <c r="S322">
        <v>1541.54</v>
      </c>
      <c r="T322">
        <v>1086.8800000000001</v>
      </c>
      <c r="U322" t="s">
        <v>111</v>
      </c>
      <c r="V322" t="s">
        <v>103</v>
      </c>
      <c r="X322" s="8" t="str">
        <f>IF(C322&gt;=B322,"Valid", "Invalid-Date")</f>
        <v>Valid</v>
      </c>
      <c r="Y322" s="8" t="str">
        <f t="shared" si="37"/>
        <v>Invalid-Discount</v>
      </c>
      <c r="Z322" s="8" t="str">
        <f t="shared" si="38"/>
        <v>Pass</v>
      </c>
      <c r="AA322" s="8" t="str">
        <f t="shared" si="39"/>
        <v>Pass</v>
      </c>
      <c r="AB322" s="8" t="str">
        <f>TEXT(B322,"mmmm")</f>
        <v>April</v>
      </c>
      <c r="AC322" s="8" t="str">
        <f>TEXT(B322,"yyyy")</f>
        <v>2024</v>
      </c>
      <c r="AE322">
        <f t="shared" si="40"/>
        <v>2628.42</v>
      </c>
      <c r="AF322" s="11">
        <f t="shared" si="41"/>
        <v>788.52600000000018</v>
      </c>
      <c r="AG322">
        <f t="shared" si="42"/>
        <v>1086.8800000000001</v>
      </c>
      <c r="AH322" s="11">
        <f t="shared" si="43"/>
        <v>0.41351077833831734</v>
      </c>
      <c r="AI322" s="44">
        <f t="shared" si="44"/>
        <v>0.41351077833831734</v>
      </c>
    </row>
    <row r="323" spans="1:35">
      <c r="A323" t="s">
        <v>1068</v>
      </c>
      <c r="B323" s="5">
        <v>45466</v>
      </c>
      <c r="C323" s="5">
        <v>45473</v>
      </c>
      <c r="D323" s="13">
        <f t="shared" ref="D323:D386" si="45">C323-B323</f>
        <v>7</v>
      </c>
      <c r="E323" t="s">
        <v>1069</v>
      </c>
      <c r="F323" t="s">
        <v>79</v>
      </c>
      <c r="G323" t="s">
        <v>37</v>
      </c>
      <c r="H323" t="s">
        <v>63</v>
      </c>
      <c r="I323" t="s">
        <v>190</v>
      </c>
      <c r="J323" t="s">
        <v>191</v>
      </c>
      <c r="K323" t="s">
        <v>74</v>
      </c>
      <c r="L323" t="s">
        <v>75</v>
      </c>
      <c r="M323" t="s">
        <v>1070</v>
      </c>
      <c r="N323" t="s">
        <v>44</v>
      </c>
      <c r="O323">
        <v>4</v>
      </c>
      <c r="P323">
        <v>674.82</v>
      </c>
      <c r="Q323" s="11">
        <v>0</v>
      </c>
      <c r="R323">
        <v>2699.28</v>
      </c>
      <c r="S323">
        <v>1759.76</v>
      </c>
      <c r="T323">
        <v>939.52</v>
      </c>
      <c r="U323" t="s">
        <v>155</v>
      </c>
      <c r="V323" t="s">
        <v>68</v>
      </c>
      <c r="X323" s="8" t="str">
        <f>IF(C323&gt;=B323,"Valid", "Invalid-Date")</f>
        <v>Valid</v>
      </c>
      <c r="Y323" s="8" t="str">
        <f t="shared" ref="Y323:Y386" si="46">IF(OR(Q323&lt;0, Q323&gt;0.5), "Invalid-Discount", "Valid")</f>
        <v>Valid</v>
      </c>
      <c r="Z323" s="8" t="str">
        <f t="shared" ref="Z323:Z386" si="47">IF(N323="Unknown","Flagged","Pass")</f>
        <v>Pass</v>
      </c>
      <c r="AA323" s="8" t="str">
        <f t="shared" ref="AA323:AA386" si="48">IF(H323="Unknown","Flagged","Pass")</f>
        <v>Pass</v>
      </c>
      <c r="AB323" s="8" t="str">
        <f>TEXT(B323,"mmmm")</f>
        <v>June</v>
      </c>
      <c r="AC323" s="8" t="str">
        <f>TEXT(B323,"yyyy")</f>
        <v>2024</v>
      </c>
      <c r="AE323">
        <f t="shared" ref="AE323:AE386" si="49">O323*P323</f>
        <v>2699.28</v>
      </c>
      <c r="AF323" s="11">
        <f t="shared" ref="AF323:AF386" si="50">AE323*(1-Q323)</f>
        <v>2699.28</v>
      </c>
      <c r="AG323">
        <f t="shared" ref="AG323:AG386" si="51">AE323-S323</f>
        <v>939.52000000000021</v>
      </c>
      <c r="AH323" s="11">
        <f t="shared" ref="AH323:AH386" si="52">AG323/AE323</f>
        <v>0.34806318722029583</v>
      </c>
      <c r="AI323" s="44">
        <f t="shared" ref="AI323:AI386" si="53">AG323/AE323</f>
        <v>0.34806318722029583</v>
      </c>
    </row>
    <row r="324" spans="1:35">
      <c r="A324" t="s">
        <v>1071</v>
      </c>
      <c r="B324" s="5">
        <v>45608</v>
      </c>
      <c r="C324" s="5">
        <v>45608</v>
      </c>
      <c r="D324" s="13">
        <f t="shared" si="45"/>
        <v>0</v>
      </c>
      <c r="E324" t="s">
        <v>1072</v>
      </c>
      <c r="F324" t="s">
        <v>47</v>
      </c>
      <c r="G324" t="s">
        <v>24</v>
      </c>
      <c r="H324" t="s">
        <v>25</v>
      </c>
      <c r="I324" t="s">
        <v>136</v>
      </c>
      <c r="J324" t="s">
        <v>137</v>
      </c>
      <c r="K324" t="s">
        <v>74</v>
      </c>
      <c r="L324" t="s">
        <v>171</v>
      </c>
      <c r="M324" t="s">
        <v>1073</v>
      </c>
      <c r="N324" t="s">
        <v>31</v>
      </c>
      <c r="O324">
        <v>6</v>
      </c>
      <c r="P324">
        <v>1369.48</v>
      </c>
      <c r="Q324" s="11">
        <v>0.15</v>
      </c>
      <c r="R324">
        <v>6984.35</v>
      </c>
      <c r="S324">
        <v>4023.63</v>
      </c>
      <c r="T324">
        <v>2960.72</v>
      </c>
      <c r="U324" t="s">
        <v>32</v>
      </c>
      <c r="V324" t="s">
        <v>33</v>
      </c>
      <c r="X324" s="8" t="str">
        <f>IF(C324&gt;=B324,"Valid", "Invalid-Date")</f>
        <v>Valid</v>
      </c>
      <c r="Y324" s="8" t="str">
        <f t="shared" si="46"/>
        <v>Valid</v>
      </c>
      <c r="Z324" s="8" t="str">
        <f t="shared" si="47"/>
        <v>Pass</v>
      </c>
      <c r="AA324" s="8" t="str">
        <f t="shared" si="48"/>
        <v>Pass</v>
      </c>
      <c r="AB324" s="8" t="str">
        <f>TEXT(B324,"mmmm")</f>
        <v>November</v>
      </c>
      <c r="AC324" s="8" t="str">
        <f>TEXT(B324,"yyyy")</f>
        <v>2024</v>
      </c>
      <c r="AE324">
        <f t="shared" si="49"/>
        <v>8216.880000000001</v>
      </c>
      <c r="AF324" s="11">
        <f t="shared" si="50"/>
        <v>6984.3480000000009</v>
      </c>
      <c r="AG324">
        <f t="shared" si="51"/>
        <v>4193.2500000000009</v>
      </c>
      <c r="AH324" s="11">
        <f t="shared" si="52"/>
        <v>0.51032143587347023</v>
      </c>
      <c r="AI324" s="44">
        <f t="shared" si="53"/>
        <v>0.51032143587347023</v>
      </c>
    </row>
    <row r="325" spans="1:35">
      <c r="A325" t="s">
        <v>1074</v>
      </c>
      <c r="B325" s="5">
        <v>45347</v>
      </c>
      <c r="C325" s="5">
        <v>45351</v>
      </c>
      <c r="D325" s="13">
        <f t="shared" si="45"/>
        <v>4</v>
      </c>
      <c r="E325" t="s">
        <v>1075</v>
      </c>
      <c r="F325" t="s">
        <v>47</v>
      </c>
      <c r="G325" t="s">
        <v>37</v>
      </c>
      <c r="H325" t="s">
        <v>63</v>
      </c>
      <c r="I325" t="s">
        <v>190</v>
      </c>
      <c r="J325" t="s">
        <v>191</v>
      </c>
      <c r="K325" t="s">
        <v>41</v>
      </c>
      <c r="L325" t="s">
        <v>57</v>
      </c>
      <c r="M325" t="s">
        <v>150</v>
      </c>
      <c r="N325" t="s">
        <v>59</v>
      </c>
      <c r="O325">
        <v>9</v>
      </c>
      <c r="P325">
        <v>1331.46</v>
      </c>
      <c r="Q325" s="11">
        <v>0.15</v>
      </c>
      <c r="R325">
        <v>10185.67</v>
      </c>
      <c r="S325">
        <v>6479.31</v>
      </c>
      <c r="T325">
        <v>3706.36</v>
      </c>
      <c r="U325" t="s">
        <v>32</v>
      </c>
      <c r="V325" t="s">
        <v>33</v>
      </c>
      <c r="X325" s="8" t="str">
        <f>IF(C325&gt;=B325,"Valid", "Invalid-Date")</f>
        <v>Valid</v>
      </c>
      <c r="Y325" s="8" t="str">
        <f t="shared" si="46"/>
        <v>Valid</v>
      </c>
      <c r="Z325" s="8" t="str">
        <f t="shared" si="47"/>
        <v>Pass</v>
      </c>
      <c r="AA325" s="8" t="str">
        <f t="shared" si="48"/>
        <v>Pass</v>
      </c>
      <c r="AB325" s="8" t="str">
        <f>TEXT(B325,"mmmm")</f>
        <v>February</v>
      </c>
      <c r="AC325" s="8" t="str">
        <f>TEXT(B325,"yyyy")</f>
        <v>2024</v>
      </c>
      <c r="AE325">
        <f t="shared" si="49"/>
        <v>11983.14</v>
      </c>
      <c r="AF325" s="11">
        <f t="shared" si="50"/>
        <v>10185.669</v>
      </c>
      <c r="AG325">
        <f t="shared" si="51"/>
        <v>5503.829999999999</v>
      </c>
      <c r="AH325" s="11">
        <f t="shared" si="52"/>
        <v>0.45929781342786608</v>
      </c>
      <c r="AI325" s="44">
        <f t="shared" si="53"/>
        <v>0.45929781342786608</v>
      </c>
    </row>
    <row r="326" spans="1:35">
      <c r="A326" t="s">
        <v>1076</v>
      </c>
      <c r="B326" s="5">
        <v>45869</v>
      </c>
      <c r="C326" s="5">
        <v>45871</v>
      </c>
      <c r="D326" s="13">
        <f t="shared" si="45"/>
        <v>2</v>
      </c>
      <c r="E326" t="s">
        <v>1077</v>
      </c>
      <c r="F326" t="s">
        <v>141</v>
      </c>
      <c r="G326" t="s">
        <v>95</v>
      </c>
      <c r="H326" t="s">
        <v>54</v>
      </c>
      <c r="I326" t="s">
        <v>84</v>
      </c>
      <c r="J326" t="s">
        <v>85</v>
      </c>
      <c r="K326" t="s">
        <v>28</v>
      </c>
      <c r="L326" t="s">
        <v>91</v>
      </c>
      <c r="M326" t="s">
        <v>1078</v>
      </c>
      <c r="N326" t="s">
        <v>44</v>
      </c>
      <c r="O326">
        <v>1</v>
      </c>
      <c r="P326">
        <v>1947.88</v>
      </c>
      <c r="Q326" s="11">
        <v>0.15</v>
      </c>
      <c r="R326">
        <v>1655.7</v>
      </c>
      <c r="S326">
        <v>1354.8</v>
      </c>
      <c r="T326">
        <v>300.89999999999998</v>
      </c>
      <c r="U326" t="s">
        <v>32</v>
      </c>
      <c r="V326" t="s">
        <v>103</v>
      </c>
      <c r="X326" s="8" t="str">
        <f>IF(C326&gt;=B326,"Valid", "Invalid-Date")</f>
        <v>Valid</v>
      </c>
      <c r="Y326" s="8" t="str">
        <f t="shared" si="46"/>
        <v>Valid</v>
      </c>
      <c r="Z326" s="8" t="str">
        <f t="shared" si="47"/>
        <v>Pass</v>
      </c>
      <c r="AA326" s="8" t="str">
        <f t="shared" si="48"/>
        <v>Pass</v>
      </c>
      <c r="AB326" s="8" t="str">
        <f>TEXT(B326,"mmmm")</f>
        <v>July</v>
      </c>
      <c r="AC326" s="8" t="str">
        <f>TEXT(B326,"yyyy")</f>
        <v>2025</v>
      </c>
      <c r="AE326">
        <f t="shared" si="49"/>
        <v>1947.88</v>
      </c>
      <c r="AF326" s="11">
        <f t="shared" si="50"/>
        <v>1655.6980000000001</v>
      </c>
      <c r="AG326">
        <f t="shared" si="51"/>
        <v>593.08000000000015</v>
      </c>
      <c r="AH326" s="11">
        <f t="shared" si="52"/>
        <v>0.304474608292092</v>
      </c>
      <c r="AI326" s="44">
        <f t="shared" si="53"/>
        <v>0.304474608292092</v>
      </c>
    </row>
    <row r="327" spans="1:35">
      <c r="A327" t="s">
        <v>1079</v>
      </c>
      <c r="B327" s="5">
        <v>45916</v>
      </c>
      <c r="C327" s="5">
        <v>45922</v>
      </c>
      <c r="D327" s="13">
        <f t="shared" si="45"/>
        <v>6</v>
      </c>
      <c r="E327" t="s">
        <v>1080</v>
      </c>
      <c r="F327" t="s">
        <v>132</v>
      </c>
      <c r="G327" t="s">
        <v>95</v>
      </c>
      <c r="H327" t="s">
        <v>38</v>
      </c>
      <c r="I327" t="s">
        <v>99</v>
      </c>
      <c r="J327" t="s">
        <v>100</v>
      </c>
      <c r="K327" t="s">
        <v>74</v>
      </c>
      <c r="L327" t="s">
        <v>80</v>
      </c>
      <c r="M327" t="s">
        <v>1081</v>
      </c>
      <c r="N327" t="s">
        <v>31</v>
      </c>
      <c r="O327">
        <v>5</v>
      </c>
      <c r="P327">
        <v>3671.2</v>
      </c>
      <c r="Q327" s="11">
        <v>0.15</v>
      </c>
      <c r="R327">
        <v>15602.6</v>
      </c>
      <c r="S327">
        <v>11908.52</v>
      </c>
      <c r="T327">
        <v>3694.08</v>
      </c>
      <c r="U327" t="s">
        <v>32</v>
      </c>
      <c r="V327" t="s">
        <v>33</v>
      </c>
      <c r="X327" s="8" t="str">
        <f>IF(C327&gt;=B327,"Valid", "Invalid-Date")</f>
        <v>Valid</v>
      </c>
      <c r="Y327" s="8" t="str">
        <f t="shared" si="46"/>
        <v>Valid</v>
      </c>
      <c r="Z327" s="8" t="str">
        <f t="shared" si="47"/>
        <v>Pass</v>
      </c>
      <c r="AA327" s="8" t="str">
        <f t="shared" si="48"/>
        <v>Pass</v>
      </c>
      <c r="AB327" s="8" t="str">
        <f>TEXT(B327,"mmmm")</f>
        <v>September</v>
      </c>
      <c r="AC327" s="8" t="str">
        <f>TEXT(B327,"yyyy")</f>
        <v>2025</v>
      </c>
      <c r="AE327">
        <f t="shared" si="49"/>
        <v>18356</v>
      </c>
      <c r="AF327" s="11">
        <f t="shared" si="50"/>
        <v>15602.6</v>
      </c>
      <c r="AG327">
        <f t="shared" si="51"/>
        <v>6447.48</v>
      </c>
      <c r="AH327" s="11">
        <f t="shared" si="52"/>
        <v>0.35124645892351275</v>
      </c>
      <c r="AI327" s="44">
        <f t="shared" si="53"/>
        <v>0.35124645892351275</v>
      </c>
    </row>
    <row r="328" spans="1:35">
      <c r="A328" t="s">
        <v>1082</v>
      </c>
      <c r="B328" s="5">
        <v>45860</v>
      </c>
      <c r="C328" s="5">
        <v>45860</v>
      </c>
      <c r="D328" s="13">
        <f t="shared" si="45"/>
        <v>0</v>
      </c>
      <c r="E328" t="s">
        <v>1083</v>
      </c>
      <c r="F328" t="s">
        <v>132</v>
      </c>
      <c r="G328" t="s">
        <v>90</v>
      </c>
      <c r="H328" t="s">
        <v>38</v>
      </c>
      <c r="I328" t="s">
        <v>228</v>
      </c>
      <c r="J328" t="s">
        <v>229</v>
      </c>
      <c r="K328" t="s">
        <v>41</v>
      </c>
      <c r="L328" t="s">
        <v>57</v>
      </c>
      <c r="M328" t="s">
        <v>1084</v>
      </c>
      <c r="N328" t="s">
        <v>44</v>
      </c>
      <c r="O328">
        <v>5</v>
      </c>
      <c r="P328">
        <v>3187.05</v>
      </c>
      <c r="Q328" s="11">
        <v>0.05</v>
      </c>
      <c r="R328">
        <v>15138.49</v>
      </c>
      <c r="S328">
        <v>11235.72</v>
      </c>
      <c r="T328">
        <v>3902.77</v>
      </c>
      <c r="U328" t="s">
        <v>32</v>
      </c>
      <c r="V328" t="s">
        <v>33</v>
      </c>
      <c r="X328" s="8" t="str">
        <f>IF(C328&gt;=B328,"Valid", "Invalid-Date")</f>
        <v>Valid</v>
      </c>
      <c r="Y328" s="8" t="str">
        <f t="shared" si="46"/>
        <v>Valid</v>
      </c>
      <c r="Z328" s="8" t="str">
        <f t="shared" si="47"/>
        <v>Pass</v>
      </c>
      <c r="AA328" s="8" t="str">
        <f t="shared" si="48"/>
        <v>Pass</v>
      </c>
      <c r="AB328" s="8" t="str">
        <f>TEXT(B328,"mmmm")</f>
        <v>July</v>
      </c>
      <c r="AC328" s="8" t="str">
        <f>TEXT(B328,"yyyy")</f>
        <v>2025</v>
      </c>
      <c r="AE328">
        <f t="shared" si="49"/>
        <v>15935.25</v>
      </c>
      <c r="AF328" s="11">
        <f t="shared" si="50"/>
        <v>15138.487499999999</v>
      </c>
      <c r="AG328">
        <f t="shared" si="51"/>
        <v>4699.5300000000007</v>
      </c>
      <c r="AH328" s="11">
        <f t="shared" si="52"/>
        <v>0.29491410552077946</v>
      </c>
      <c r="AI328" s="44">
        <f t="shared" si="53"/>
        <v>0.29491410552077946</v>
      </c>
    </row>
    <row r="329" spans="1:35">
      <c r="A329" t="s">
        <v>1085</v>
      </c>
      <c r="B329" s="5">
        <v>45497</v>
      </c>
      <c r="C329" s="5">
        <v>45500</v>
      </c>
      <c r="D329" s="13">
        <f t="shared" si="45"/>
        <v>3</v>
      </c>
      <c r="E329" t="s">
        <v>1086</v>
      </c>
      <c r="F329" t="s">
        <v>47</v>
      </c>
      <c r="G329" t="s">
        <v>24</v>
      </c>
      <c r="H329" t="s">
        <v>63</v>
      </c>
      <c r="I329" t="s">
        <v>26</v>
      </c>
      <c r="J329" t="s">
        <v>109</v>
      </c>
      <c r="K329" t="s">
        <v>74</v>
      </c>
      <c r="L329" t="s">
        <v>75</v>
      </c>
      <c r="M329" t="s">
        <v>1087</v>
      </c>
      <c r="N329" t="s">
        <v>31</v>
      </c>
      <c r="O329">
        <v>3</v>
      </c>
      <c r="P329">
        <v>1834.55</v>
      </c>
      <c r="Q329" s="11">
        <v>0.2</v>
      </c>
      <c r="R329">
        <v>4402.92</v>
      </c>
      <c r="S329">
        <v>2993.94</v>
      </c>
      <c r="T329">
        <v>1408.98</v>
      </c>
      <c r="U329" t="s">
        <v>111</v>
      </c>
      <c r="V329" t="s">
        <v>68</v>
      </c>
      <c r="X329" s="8" t="str">
        <f>IF(C329&gt;=B329,"Valid", "Invalid-Date")</f>
        <v>Valid</v>
      </c>
      <c r="Y329" s="8" t="str">
        <f t="shared" si="46"/>
        <v>Valid</v>
      </c>
      <c r="Z329" s="8" t="str">
        <f t="shared" si="47"/>
        <v>Pass</v>
      </c>
      <c r="AA329" s="8" t="str">
        <f t="shared" si="48"/>
        <v>Pass</v>
      </c>
      <c r="AB329" s="8" t="str">
        <f>TEXT(B329,"mmmm")</f>
        <v>July</v>
      </c>
      <c r="AC329" s="8" t="str">
        <f>TEXT(B329,"yyyy")</f>
        <v>2024</v>
      </c>
      <c r="AE329">
        <f t="shared" si="49"/>
        <v>5503.65</v>
      </c>
      <c r="AF329" s="11">
        <f t="shared" si="50"/>
        <v>4402.92</v>
      </c>
      <c r="AG329">
        <f t="shared" si="51"/>
        <v>2509.7099999999996</v>
      </c>
      <c r="AH329" s="11">
        <f t="shared" si="52"/>
        <v>0.45600828541059113</v>
      </c>
      <c r="AI329" s="44">
        <f t="shared" si="53"/>
        <v>0.45600828541059113</v>
      </c>
    </row>
    <row r="330" spans="1:35">
      <c r="A330" t="s">
        <v>1088</v>
      </c>
      <c r="B330" s="5">
        <v>45806</v>
      </c>
      <c r="C330" s="5">
        <v>45753</v>
      </c>
      <c r="D330" s="13">
        <f t="shared" si="45"/>
        <v>-53</v>
      </c>
      <c r="E330" t="s">
        <v>1089</v>
      </c>
      <c r="F330" t="s">
        <v>162</v>
      </c>
      <c r="G330" t="s">
        <v>24</v>
      </c>
      <c r="H330" t="s">
        <v>63</v>
      </c>
      <c r="I330" t="s">
        <v>64</v>
      </c>
      <c r="J330" t="s">
        <v>65</v>
      </c>
      <c r="K330" t="s">
        <v>28</v>
      </c>
      <c r="L330" t="s">
        <v>124</v>
      </c>
      <c r="M330" t="s">
        <v>1090</v>
      </c>
      <c r="N330" t="s">
        <v>50</v>
      </c>
      <c r="O330">
        <v>6</v>
      </c>
      <c r="P330">
        <v>3100.68</v>
      </c>
      <c r="Q330" s="11">
        <v>0</v>
      </c>
      <c r="R330">
        <v>18604.080000000002</v>
      </c>
      <c r="S330">
        <v>15834.3</v>
      </c>
      <c r="T330">
        <v>2769.78</v>
      </c>
      <c r="U330" t="s">
        <v>32</v>
      </c>
      <c r="V330" t="s">
        <v>33</v>
      </c>
      <c r="X330" s="8" t="str">
        <f>IF(C330&gt;=B330,"Valid", "Invalid-Date")</f>
        <v>Invalid-Date</v>
      </c>
      <c r="Y330" s="8" t="str">
        <f t="shared" si="46"/>
        <v>Valid</v>
      </c>
      <c r="Z330" s="8" t="str">
        <f t="shared" si="47"/>
        <v>Pass</v>
      </c>
      <c r="AA330" s="8" t="str">
        <f t="shared" si="48"/>
        <v>Pass</v>
      </c>
      <c r="AB330" s="8" t="str">
        <f>TEXT(B330,"mmmm")</f>
        <v>May</v>
      </c>
      <c r="AC330" s="8" t="str">
        <f>TEXT(B330,"yyyy")</f>
        <v>2025</v>
      </c>
      <c r="AE330">
        <f t="shared" si="49"/>
        <v>18604.079999999998</v>
      </c>
      <c r="AF330" s="11">
        <f t="shared" si="50"/>
        <v>18604.079999999998</v>
      </c>
      <c r="AG330">
        <f t="shared" si="51"/>
        <v>2769.7799999999988</v>
      </c>
      <c r="AH330" s="11">
        <f t="shared" si="52"/>
        <v>0.1488802456235406</v>
      </c>
      <c r="AI330" s="44">
        <f t="shared" si="53"/>
        <v>0.1488802456235406</v>
      </c>
    </row>
    <row r="331" spans="1:35">
      <c r="A331" t="s">
        <v>1091</v>
      </c>
      <c r="B331" s="5">
        <v>45789</v>
      </c>
      <c r="C331" s="5">
        <v>45795</v>
      </c>
      <c r="D331" s="13">
        <f t="shared" si="45"/>
        <v>6</v>
      </c>
      <c r="E331" t="s">
        <v>1092</v>
      </c>
      <c r="F331" t="s">
        <v>79</v>
      </c>
      <c r="G331" t="s">
        <v>37</v>
      </c>
      <c r="H331" t="s">
        <v>63</v>
      </c>
      <c r="I331" t="s">
        <v>64</v>
      </c>
      <c r="J331" t="s">
        <v>65</v>
      </c>
      <c r="K331" t="s">
        <v>28</v>
      </c>
      <c r="L331" t="s">
        <v>124</v>
      </c>
      <c r="M331" t="s">
        <v>1093</v>
      </c>
      <c r="N331" t="s">
        <v>59</v>
      </c>
      <c r="O331">
        <v>4</v>
      </c>
      <c r="P331">
        <v>4053.03</v>
      </c>
      <c r="Q331" s="11">
        <v>0.05</v>
      </c>
      <c r="R331">
        <v>15401.51</v>
      </c>
      <c r="S331">
        <v>8650.42</v>
      </c>
      <c r="T331">
        <v>6751.09</v>
      </c>
      <c r="U331" t="s">
        <v>32</v>
      </c>
      <c r="V331" t="s">
        <v>33</v>
      </c>
      <c r="X331" s="8" t="str">
        <f>IF(C331&gt;=B331,"Valid", "Invalid-Date")</f>
        <v>Valid</v>
      </c>
      <c r="Y331" s="8" t="str">
        <f t="shared" si="46"/>
        <v>Valid</v>
      </c>
      <c r="Z331" s="8" t="str">
        <f t="shared" si="47"/>
        <v>Pass</v>
      </c>
      <c r="AA331" s="8" t="str">
        <f t="shared" si="48"/>
        <v>Pass</v>
      </c>
      <c r="AB331" s="8" t="str">
        <f>TEXT(B331,"mmmm")</f>
        <v>May</v>
      </c>
      <c r="AC331" s="8" t="str">
        <f>TEXT(B331,"yyyy")</f>
        <v>2025</v>
      </c>
      <c r="AE331">
        <f t="shared" si="49"/>
        <v>16212.12</v>
      </c>
      <c r="AF331" s="11">
        <f t="shared" si="50"/>
        <v>15401.513999999999</v>
      </c>
      <c r="AG331">
        <f t="shared" si="51"/>
        <v>7561.7000000000007</v>
      </c>
      <c r="AH331" s="11">
        <f t="shared" si="52"/>
        <v>0.46642265169515157</v>
      </c>
      <c r="AI331" s="44">
        <f t="shared" si="53"/>
        <v>0.46642265169515157</v>
      </c>
    </row>
    <row r="332" spans="1:35">
      <c r="A332" t="s">
        <v>1094</v>
      </c>
      <c r="B332" s="5">
        <v>45428</v>
      </c>
      <c r="C332" s="5">
        <v>45436</v>
      </c>
      <c r="D332" s="13">
        <f t="shared" si="45"/>
        <v>8</v>
      </c>
      <c r="E332" t="s">
        <v>1095</v>
      </c>
      <c r="F332" t="s">
        <v>53</v>
      </c>
      <c r="G332" t="s">
        <v>95</v>
      </c>
      <c r="H332" t="s">
        <v>25</v>
      </c>
      <c r="I332" t="s">
        <v>122</v>
      </c>
      <c r="J332" t="s">
        <v>123</v>
      </c>
      <c r="K332" t="s">
        <v>74</v>
      </c>
      <c r="L332" t="s">
        <v>75</v>
      </c>
      <c r="M332" t="s">
        <v>1096</v>
      </c>
      <c r="N332" t="s">
        <v>44</v>
      </c>
      <c r="O332">
        <v>1</v>
      </c>
      <c r="P332">
        <v>783.09</v>
      </c>
      <c r="Q332" s="11">
        <v>0</v>
      </c>
      <c r="R332">
        <v>783.09</v>
      </c>
      <c r="S332">
        <v>503.89</v>
      </c>
      <c r="T332">
        <v>279.2</v>
      </c>
      <c r="U332" t="s">
        <v>155</v>
      </c>
      <c r="V332" t="s">
        <v>68</v>
      </c>
      <c r="X332" s="8" t="str">
        <f>IF(C332&gt;=B332,"Valid", "Invalid-Date")</f>
        <v>Valid</v>
      </c>
      <c r="Y332" s="8" t="str">
        <f t="shared" si="46"/>
        <v>Valid</v>
      </c>
      <c r="Z332" s="8" t="str">
        <f t="shared" si="47"/>
        <v>Pass</v>
      </c>
      <c r="AA332" s="8" t="str">
        <f t="shared" si="48"/>
        <v>Pass</v>
      </c>
      <c r="AB332" s="8" t="str">
        <f>TEXT(B332,"mmmm")</f>
        <v>May</v>
      </c>
      <c r="AC332" s="8" t="str">
        <f>TEXT(B332,"yyyy")</f>
        <v>2024</v>
      </c>
      <c r="AE332">
        <f t="shared" si="49"/>
        <v>783.09</v>
      </c>
      <c r="AF332" s="11">
        <f t="shared" si="50"/>
        <v>783.09</v>
      </c>
      <c r="AG332">
        <f t="shared" si="51"/>
        <v>279.20000000000005</v>
      </c>
      <c r="AH332" s="11">
        <f t="shared" si="52"/>
        <v>0.3565362857398256</v>
      </c>
      <c r="AI332" s="44">
        <f t="shared" si="53"/>
        <v>0.3565362857398256</v>
      </c>
    </row>
    <row r="333" spans="1:35" s="15" customFormat="1">
      <c r="A333" s="15" t="s">
        <v>1097</v>
      </c>
      <c r="B333" s="16">
        <v>45630</v>
      </c>
      <c r="C333" s="16">
        <v>45455</v>
      </c>
      <c r="D333" s="17">
        <f t="shared" si="45"/>
        <v>-175</v>
      </c>
      <c r="E333" s="15" t="s">
        <v>1098</v>
      </c>
      <c r="F333" s="15" t="s">
        <v>132</v>
      </c>
      <c r="G333" s="15" t="s">
        <v>95</v>
      </c>
      <c r="H333" s="15" t="s">
        <v>38</v>
      </c>
      <c r="I333" s="15" t="s">
        <v>39</v>
      </c>
      <c r="J333" s="15" t="s">
        <v>40</v>
      </c>
      <c r="K333" s="15" t="s">
        <v>28</v>
      </c>
      <c r="L333" s="15" t="s">
        <v>153</v>
      </c>
      <c r="M333" s="15" t="s">
        <v>1099</v>
      </c>
      <c r="N333" s="15" t="s">
        <v>31</v>
      </c>
      <c r="O333" s="15">
        <v>4</v>
      </c>
      <c r="P333" s="15">
        <v>2685.66</v>
      </c>
      <c r="Q333" s="18">
        <v>0</v>
      </c>
      <c r="R333" s="15">
        <v>10742.64</v>
      </c>
      <c r="S333" s="15">
        <v>6477.37</v>
      </c>
      <c r="T333" s="15">
        <v>4265.2700000000004</v>
      </c>
      <c r="U333" s="15" t="s">
        <v>32</v>
      </c>
      <c r="V333" s="15" t="s">
        <v>103</v>
      </c>
      <c r="W333" s="25"/>
      <c r="X333" s="8" t="str">
        <f>IF(C333&gt;=B333,"Valid", "Invalid-Date")</f>
        <v>Invalid-Date</v>
      </c>
      <c r="Y333" s="8" t="str">
        <f t="shared" si="46"/>
        <v>Valid</v>
      </c>
      <c r="Z333" s="19" t="str">
        <f t="shared" si="47"/>
        <v>Pass</v>
      </c>
      <c r="AA333" s="19" t="str">
        <f t="shared" si="48"/>
        <v>Pass</v>
      </c>
      <c r="AB333" s="19" t="str">
        <f>TEXT(B333,"mmmm")</f>
        <v>December</v>
      </c>
      <c r="AC333" s="19" t="str">
        <f>TEXT(B333,"yyyy")</f>
        <v>2024</v>
      </c>
      <c r="AD333" s="20"/>
      <c r="AE333" s="15">
        <f t="shared" si="49"/>
        <v>10742.64</v>
      </c>
      <c r="AF333" s="11">
        <f t="shared" si="50"/>
        <v>10742.64</v>
      </c>
      <c r="AG333" s="15">
        <f t="shared" si="51"/>
        <v>4265.2699999999995</v>
      </c>
      <c r="AH333" s="18">
        <f t="shared" si="52"/>
        <v>0.39704113700170535</v>
      </c>
      <c r="AI333" s="45">
        <f t="shared" si="53"/>
        <v>0.39704113700170535</v>
      </c>
    </row>
    <row r="334" spans="1:35">
      <c r="A334" t="s">
        <v>1100</v>
      </c>
      <c r="B334" s="5">
        <v>45804</v>
      </c>
      <c r="C334" s="5">
        <v>45805</v>
      </c>
      <c r="D334" s="13">
        <f t="shared" si="45"/>
        <v>1</v>
      </c>
      <c r="E334" t="s">
        <v>1101</v>
      </c>
      <c r="F334" t="s">
        <v>128</v>
      </c>
      <c r="G334" t="s">
        <v>24</v>
      </c>
      <c r="H334" t="s">
        <v>54</v>
      </c>
      <c r="I334" t="s">
        <v>84</v>
      </c>
      <c r="J334" t="s">
        <v>85</v>
      </c>
      <c r="K334" t="s">
        <v>74</v>
      </c>
      <c r="L334" t="s">
        <v>274</v>
      </c>
      <c r="M334" t="s">
        <v>1102</v>
      </c>
      <c r="N334" t="s">
        <v>31</v>
      </c>
      <c r="O334">
        <v>2</v>
      </c>
      <c r="P334">
        <v>3911.96</v>
      </c>
      <c r="Q334" s="11">
        <v>0</v>
      </c>
      <c r="R334">
        <v>7823.92</v>
      </c>
      <c r="S334">
        <v>6034.63</v>
      </c>
      <c r="T334">
        <v>1789.29</v>
      </c>
      <c r="U334" t="s">
        <v>32</v>
      </c>
      <c r="V334" t="s">
        <v>33</v>
      </c>
      <c r="X334" s="8" t="str">
        <f>IF(C334&gt;=B334,"Valid", "Invalid-Date")</f>
        <v>Valid</v>
      </c>
      <c r="Y334" s="8" t="str">
        <f t="shared" si="46"/>
        <v>Valid</v>
      </c>
      <c r="Z334" s="8" t="str">
        <f t="shared" si="47"/>
        <v>Pass</v>
      </c>
      <c r="AA334" s="8" t="str">
        <f t="shared" si="48"/>
        <v>Pass</v>
      </c>
      <c r="AB334" s="8" t="str">
        <f>TEXT(B334,"mmmm")</f>
        <v>May</v>
      </c>
      <c r="AC334" s="8" t="str">
        <f>TEXT(B334,"yyyy")</f>
        <v>2025</v>
      </c>
      <c r="AE334">
        <f t="shared" si="49"/>
        <v>7823.92</v>
      </c>
      <c r="AF334" s="11">
        <f t="shared" si="50"/>
        <v>7823.92</v>
      </c>
      <c r="AG334">
        <f t="shared" si="51"/>
        <v>1789.29</v>
      </c>
      <c r="AH334" s="11">
        <f t="shared" si="52"/>
        <v>0.22869482305545047</v>
      </c>
      <c r="AI334" s="44">
        <f t="shared" si="53"/>
        <v>0.22869482305545047</v>
      </c>
    </row>
    <row r="335" spans="1:35">
      <c r="A335" t="s">
        <v>1103</v>
      </c>
      <c r="B335" s="5">
        <v>45830</v>
      </c>
      <c r="C335" s="5">
        <v>45835</v>
      </c>
      <c r="D335" s="13">
        <f t="shared" si="45"/>
        <v>5</v>
      </c>
      <c r="E335" t="s">
        <v>1104</v>
      </c>
      <c r="F335" t="s">
        <v>141</v>
      </c>
      <c r="G335" t="s">
        <v>95</v>
      </c>
      <c r="H335" t="s">
        <v>2785</v>
      </c>
      <c r="I335" t="s">
        <v>350</v>
      </c>
      <c r="J335" t="s">
        <v>351</v>
      </c>
      <c r="K335" t="s">
        <v>74</v>
      </c>
      <c r="L335" t="s">
        <v>171</v>
      </c>
      <c r="M335" t="s">
        <v>1105</v>
      </c>
      <c r="N335" t="s">
        <v>50</v>
      </c>
      <c r="O335">
        <v>2</v>
      </c>
      <c r="P335">
        <v>1468.05</v>
      </c>
      <c r="Q335" s="11">
        <v>0</v>
      </c>
      <c r="R335">
        <v>2936.1</v>
      </c>
      <c r="S335">
        <v>1923.1</v>
      </c>
      <c r="T335">
        <v>1013</v>
      </c>
      <c r="U335" t="s">
        <v>32</v>
      </c>
      <c r="V335" t="s">
        <v>33</v>
      </c>
      <c r="X335" s="8" t="str">
        <f>IF(C335&gt;=B335,"Valid", "Invalid-Date")</f>
        <v>Valid</v>
      </c>
      <c r="Y335" s="8" t="str">
        <f t="shared" si="46"/>
        <v>Valid</v>
      </c>
      <c r="Z335" s="8" t="str">
        <f t="shared" si="47"/>
        <v>Pass</v>
      </c>
      <c r="AA335" s="8" t="str">
        <f t="shared" si="48"/>
        <v>Flagged</v>
      </c>
      <c r="AB335" s="8" t="str">
        <f>TEXT(B335,"mmmm")</f>
        <v>June</v>
      </c>
      <c r="AC335" s="8" t="str">
        <f>TEXT(B335,"yyyy")</f>
        <v>2025</v>
      </c>
      <c r="AE335">
        <f t="shared" si="49"/>
        <v>2936.1</v>
      </c>
      <c r="AF335" s="11">
        <f t="shared" si="50"/>
        <v>2936.1</v>
      </c>
      <c r="AG335">
        <f t="shared" si="51"/>
        <v>1013</v>
      </c>
      <c r="AH335" s="11">
        <f t="shared" si="52"/>
        <v>0.34501549674738602</v>
      </c>
      <c r="AI335" s="44">
        <f t="shared" si="53"/>
        <v>0.34501549674738602</v>
      </c>
    </row>
    <row r="336" spans="1:35">
      <c r="A336" t="s">
        <v>1106</v>
      </c>
      <c r="B336" s="5">
        <v>45547</v>
      </c>
      <c r="C336" s="5">
        <v>45552</v>
      </c>
      <c r="D336" s="13">
        <f t="shared" si="45"/>
        <v>5</v>
      </c>
      <c r="E336" t="s">
        <v>1107</v>
      </c>
      <c r="F336" t="s">
        <v>62</v>
      </c>
      <c r="G336" t="s">
        <v>24</v>
      </c>
      <c r="H336" t="s">
        <v>38</v>
      </c>
      <c r="I336" t="s">
        <v>228</v>
      </c>
      <c r="J336" t="s">
        <v>229</v>
      </c>
      <c r="K336" t="s">
        <v>28</v>
      </c>
      <c r="L336" t="s">
        <v>124</v>
      </c>
      <c r="M336" t="s">
        <v>1108</v>
      </c>
      <c r="N336" t="s">
        <v>50</v>
      </c>
      <c r="O336">
        <v>9</v>
      </c>
      <c r="P336">
        <v>1921.47</v>
      </c>
      <c r="Q336" s="11">
        <v>0.25</v>
      </c>
      <c r="R336">
        <v>12969.92</v>
      </c>
      <c r="S336">
        <v>9398.4599999999991</v>
      </c>
      <c r="T336">
        <v>3571.46</v>
      </c>
      <c r="U336" t="s">
        <v>32</v>
      </c>
      <c r="V336" t="s">
        <v>33</v>
      </c>
      <c r="X336" s="8" t="str">
        <f>IF(C336&gt;=B336,"Valid", "Invalid-Date")</f>
        <v>Valid</v>
      </c>
      <c r="Y336" s="8" t="str">
        <f t="shared" si="46"/>
        <v>Valid</v>
      </c>
      <c r="Z336" s="8" t="str">
        <f t="shared" si="47"/>
        <v>Pass</v>
      </c>
      <c r="AA336" s="8" t="str">
        <f t="shared" si="48"/>
        <v>Pass</v>
      </c>
      <c r="AB336" s="8" t="str">
        <f>TEXT(B336,"mmmm")</f>
        <v>September</v>
      </c>
      <c r="AC336" s="8" t="str">
        <f>TEXT(B336,"yyyy")</f>
        <v>2024</v>
      </c>
      <c r="AE336">
        <f t="shared" si="49"/>
        <v>17293.23</v>
      </c>
      <c r="AF336" s="11">
        <f t="shared" si="50"/>
        <v>12969.922500000001</v>
      </c>
      <c r="AG336">
        <f t="shared" si="51"/>
        <v>7894.77</v>
      </c>
      <c r="AH336" s="11">
        <f t="shared" si="52"/>
        <v>0.45652373790205764</v>
      </c>
      <c r="AI336" s="44">
        <f t="shared" si="53"/>
        <v>0.45652373790205764</v>
      </c>
    </row>
    <row r="337" spans="1:35" s="15" customFormat="1">
      <c r="A337" s="15" t="s">
        <v>1109</v>
      </c>
      <c r="B337" s="16">
        <v>45824</v>
      </c>
      <c r="C337" s="16">
        <v>45826</v>
      </c>
      <c r="D337" s="17">
        <f t="shared" si="45"/>
        <v>2</v>
      </c>
      <c r="E337" s="15" t="s">
        <v>1110</v>
      </c>
      <c r="F337" s="15" t="s">
        <v>118</v>
      </c>
      <c r="G337" s="15" t="s">
        <v>95</v>
      </c>
      <c r="H337" s="15" t="s">
        <v>63</v>
      </c>
      <c r="I337" s="15" t="s">
        <v>72</v>
      </c>
      <c r="J337" s="15" t="s">
        <v>73</v>
      </c>
      <c r="K337" s="15" t="s">
        <v>28</v>
      </c>
      <c r="L337" s="15" t="s">
        <v>29</v>
      </c>
      <c r="M337" s="15" t="s">
        <v>1111</v>
      </c>
      <c r="N337" s="15" t="s">
        <v>50</v>
      </c>
      <c r="O337" s="15">
        <v>3</v>
      </c>
      <c r="P337" s="15">
        <v>4289.37</v>
      </c>
      <c r="Q337" s="18">
        <v>0.1</v>
      </c>
      <c r="R337" s="15">
        <v>11581.3</v>
      </c>
      <c r="S337" s="15">
        <v>6829.43</v>
      </c>
      <c r="T337" s="15">
        <v>4751.87</v>
      </c>
      <c r="U337" s="15" t="s">
        <v>32</v>
      </c>
      <c r="V337" s="15" t="s">
        <v>33</v>
      </c>
      <c r="W337" s="25"/>
      <c r="X337" s="8" t="str">
        <f>IF(C337&gt;=B337,"Valid", "Invalid-Date")</f>
        <v>Valid</v>
      </c>
      <c r="Y337" s="8" t="str">
        <f t="shared" si="46"/>
        <v>Valid</v>
      </c>
      <c r="Z337" s="19" t="str">
        <f t="shared" si="47"/>
        <v>Pass</v>
      </c>
      <c r="AA337" s="19" t="str">
        <f t="shared" si="48"/>
        <v>Pass</v>
      </c>
      <c r="AB337" s="19" t="str">
        <f>TEXT(B337,"mmmm")</f>
        <v>June</v>
      </c>
      <c r="AC337" s="19" t="str">
        <f>TEXT(B337,"yyyy")</f>
        <v>2025</v>
      </c>
      <c r="AD337" s="20"/>
      <c r="AE337" s="15">
        <f t="shared" si="49"/>
        <v>12868.11</v>
      </c>
      <c r="AF337" s="11">
        <f t="shared" si="50"/>
        <v>11581.299000000001</v>
      </c>
      <c r="AG337" s="15">
        <f t="shared" si="51"/>
        <v>6038.68</v>
      </c>
      <c r="AH337" s="18">
        <f t="shared" si="52"/>
        <v>0.46927481968991563</v>
      </c>
      <c r="AI337" s="45">
        <f t="shared" si="53"/>
        <v>0.46927481968991563</v>
      </c>
    </row>
    <row r="338" spans="1:35">
      <c r="A338" t="s">
        <v>1112</v>
      </c>
      <c r="B338" s="5">
        <v>45368</v>
      </c>
      <c r="C338" s="5">
        <v>45372</v>
      </c>
      <c r="D338" s="13">
        <f t="shared" si="45"/>
        <v>4</v>
      </c>
      <c r="E338" t="s">
        <v>864</v>
      </c>
      <c r="F338" t="s">
        <v>128</v>
      </c>
      <c r="G338" t="s">
        <v>24</v>
      </c>
      <c r="H338" t="s">
        <v>25</v>
      </c>
      <c r="I338" t="s">
        <v>26</v>
      </c>
      <c r="J338" t="s">
        <v>27</v>
      </c>
      <c r="K338" t="s">
        <v>74</v>
      </c>
      <c r="L338" t="s">
        <v>80</v>
      </c>
      <c r="M338" t="s">
        <v>1113</v>
      </c>
      <c r="N338" t="s">
        <v>50</v>
      </c>
      <c r="O338">
        <v>8</v>
      </c>
      <c r="P338">
        <v>1992.57</v>
      </c>
      <c r="Q338" s="11">
        <v>0</v>
      </c>
      <c r="R338">
        <v>15940.56</v>
      </c>
      <c r="S338">
        <v>12347.15</v>
      </c>
      <c r="T338">
        <v>3593.41</v>
      </c>
      <c r="U338" t="s">
        <v>32</v>
      </c>
      <c r="V338" t="s">
        <v>33</v>
      </c>
      <c r="X338" s="8" t="str">
        <f>IF(C338&gt;=B338,"Valid", "Invalid-Date")</f>
        <v>Valid</v>
      </c>
      <c r="Y338" s="8" t="str">
        <f t="shared" si="46"/>
        <v>Valid</v>
      </c>
      <c r="Z338" s="8" t="str">
        <f t="shared" si="47"/>
        <v>Pass</v>
      </c>
      <c r="AA338" s="8" t="str">
        <f t="shared" si="48"/>
        <v>Pass</v>
      </c>
      <c r="AB338" s="8" t="str">
        <f>TEXT(B338,"mmmm")</f>
        <v>March</v>
      </c>
      <c r="AC338" s="8" t="str">
        <f>TEXT(B338,"yyyy")</f>
        <v>2024</v>
      </c>
      <c r="AE338">
        <f t="shared" si="49"/>
        <v>15940.56</v>
      </c>
      <c r="AF338" s="11">
        <f t="shared" si="50"/>
        <v>15940.56</v>
      </c>
      <c r="AG338">
        <f t="shared" si="51"/>
        <v>3593.41</v>
      </c>
      <c r="AH338" s="11">
        <f t="shared" si="52"/>
        <v>0.2254255810335396</v>
      </c>
      <c r="AI338" s="44">
        <f t="shared" si="53"/>
        <v>0.2254255810335396</v>
      </c>
    </row>
    <row r="339" spans="1:35">
      <c r="A339" t="s">
        <v>1114</v>
      </c>
      <c r="B339" s="5">
        <v>45516</v>
      </c>
      <c r="C339" s="5">
        <v>45522</v>
      </c>
      <c r="D339" s="13">
        <f t="shared" si="45"/>
        <v>6</v>
      </c>
      <c r="E339" t="s">
        <v>1115</v>
      </c>
      <c r="F339" t="s">
        <v>62</v>
      </c>
      <c r="G339" t="s">
        <v>24</v>
      </c>
      <c r="H339" t="s">
        <v>38</v>
      </c>
      <c r="I339" t="s">
        <v>166</v>
      </c>
      <c r="J339" t="s">
        <v>167</v>
      </c>
      <c r="K339" t="s">
        <v>28</v>
      </c>
      <c r="L339" t="s">
        <v>91</v>
      </c>
      <c r="M339" t="s">
        <v>1116</v>
      </c>
      <c r="N339" t="s">
        <v>44</v>
      </c>
      <c r="O339">
        <v>6</v>
      </c>
      <c r="P339">
        <v>1181.74</v>
      </c>
      <c r="Q339" s="11">
        <v>0</v>
      </c>
      <c r="R339">
        <v>7090.44</v>
      </c>
      <c r="S339">
        <v>5672.27</v>
      </c>
      <c r="T339">
        <v>1262.8699999999999</v>
      </c>
      <c r="U339" t="s">
        <v>32</v>
      </c>
      <c r="V339" t="s">
        <v>33</v>
      </c>
      <c r="X339" s="8" t="str">
        <f>IF(C339&gt;=B339,"Valid", "Invalid-Date")</f>
        <v>Valid</v>
      </c>
      <c r="Y339" s="8" t="str">
        <f t="shared" si="46"/>
        <v>Valid</v>
      </c>
      <c r="Z339" s="8" t="str">
        <f t="shared" si="47"/>
        <v>Pass</v>
      </c>
      <c r="AA339" s="8" t="str">
        <f t="shared" si="48"/>
        <v>Pass</v>
      </c>
      <c r="AB339" s="8" t="str">
        <f>TEXT(B339,"mmmm")</f>
        <v>August</v>
      </c>
      <c r="AC339" s="8" t="str">
        <f>TEXT(B339,"yyyy")</f>
        <v>2024</v>
      </c>
      <c r="AE339">
        <f t="shared" si="49"/>
        <v>7090.4400000000005</v>
      </c>
      <c r="AF339" s="11">
        <f t="shared" si="50"/>
        <v>7090.4400000000005</v>
      </c>
      <c r="AG339">
        <f t="shared" si="51"/>
        <v>1418.17</v>
      </c>
      <c r="AH339" s="11">
        <f t="shared" si="52"/>
        <v>0.20001156486762456</v>
      </c>
      <c r="AI339" s="44">
        <f t="shared" si="53"/>
        <v>0.20001156486762456</v>
      </c>
    </row>
    <row r="340" spans="1:35">
      <c r="A340" t="s">
        <v>1117</v>
      </c>
      <c r="B340" s="5">
        <v>45634</v>
      </c>
      <c r="C340" s="5">
        <v>45516</v>
      </c>
      <c r="D340" s="13">
        <f t="shared" si="45"/>
        <v>-118</v>
      </c>
      <c r="E340" t="s">
        <v>1118</v>
      </c>
      <c r="F340" t="s">
        <v>53</v>
      </c>
      <c r="G340" t="s">
        <v>37</v>
      </c>
      <c r="H340" t="s">
        <v>54</v>
      </c>
      <c r="I340" t="s">
        <v>84</v>
      </c>
      <c r="J340" t="s">
        <v>85</v>
      </c>
      <c r="K340" t="s">
        <v>74</v>
      </c>
      <c r="L340" t="s">
        <v>75</v>
      </c>
      <c r="M340" t="s">
        <v>1119</v>
      </c>
      <c r="N340" t="s">
        <v>50</v>
      </c>
      <c r="O340">
        <v>8</v>
      </c>
      <c r="P340">
        <v>4402.3599999999997</v>
      </c>
      <c r="Q340" s="11">
        <v>0.25</v>
      </c>
      <c r="R340">
        <v>26414.16</v>
      </c>
      <c r="S340">
        <v>21822.53</v>
      </c>
      <c r="T340">
        <v>4591.63</v>
      </c>
      <c r="U340" t="s">
        <v>32</v>
      </c>
      <c r="V340" t="s">
        <v>33</v>
      </c>
      <c r="X340" s="8" t="str">
        <f>IF(C340&gt;=B340,"Valid", "Invalid-Date")</f>
        <v>Invalid-Date</v>
      </c>
      <c r="Y340" s="8" t="str">
        <f t="shared" si="46"/>
        <v>Valid</v>
      </c>
      <c r="Z340" s="8" t="str">
        <f t="shared" si="47"/>
        <v>Pass</v>
      </c>
      <c r="AA340" s="8" t="str">
        <f t="shared" si="48"/>
        <v>Pass</v>
      </c>
      <c r="AB340" s="8" t="str">
        <f>TEXT(B340,"mmmm")</f>
        <v>December</v>
      </c>
      <c r="AC340" s="8" t="str">
        <f>TEXT(B340,"yyyy")</f>
        <v>2024</v>
      </c>
      <c r="AE340">
        <f t="shared" si="49"/>
        <v>35218.879999999997</v>
      </c>
      <c r="AF340" s="11">
        <f t="shared" si="50"/>
        <v>26414.159999999996</v>
      </c>
      <c r="AG340">
        <f t="shared" si="51"/>
        <v>13396.349999999999</v>
      </c>
      <c r="AH340" s="11">
        <f t="shared" si="52"/>
        <v>0.38037410616124079</v>
      </c>
      <c r="AI340" s="44">
        <f t="shared" si="53"/>
        <v>0.38037410616124079</v>
      </c>
    </row>
    <row r="341" spans="1:35">
      <c r="A341" t="s">
        <v>1120</v>
      </c>
      <c r="B341" s="5">
        <v>45708</v>
      </c>
      <c r="C341" s="5">
        <v>45710</v>
      </c>
      <c r="D341" s="13">
        <f t="shared" si="45"/>
        <v>2</v>
      </c>
      <c r="E341" t="s">
        <v>1121</v>
      </c>
      <c r="F341" t="s">
        <v>79</v>
      </c>
      <c r="G341" t="s">
        <v>90</v>
      </c>
      <c r="H341" t="s">
        <v>38</v>
      </c>
      <c r="I341" t="s">
        <v>228</v>
      </c>
      <c r="J341" t="s">
        <v>229</v>
      </c>
      <c r="K341" t="s">
        <v>41</v>
      </c>
      <c r="L341" t="s">
        <v>158</v>
      </c>
      <c r="M341" t="s">
        <v>1122</v>
      </c>
      <c r="N341" t="s">
        <v>59</v>
      </c>
      <c r="O341">
        <v>8</v>
      </c>
      <c r="P341">
        <v>3265.76</v>
      </c>
      <c r="Q341" s="11">
        <v>0.2</v>
      </c>
      <c r="R341">
        <v>20900.86</v>
      </c>
      <c r="S341">
        <v>12513.14</v>
      </c>
      <c r="T341">
        <v>8387.7199999999993</v>
      </c>
      <c r="U341" t="s">
        <v>32</v>
      </c>
      <c r="V341" t="s">
        <v>33</v>
      </c>
      <c r="X341" s="8" t="str">
        <f>IF(C341&gt;=B341,"Valid", "Invalid-Date")</f>
        <v>Valid</v>
      </c>
      <c r="Y341" s="8" t="str">
        <f t="shared" si="46"/>
        <v>Valid</v>
      </c>
      <c r="Z341" s="8" t="str">
        <f t="shared" si="47"/>
        <v>Pass</v>
      </c>
      <c r="AA341" s="8" t="str">
        <f t="shared" si="48"/>
        <v>Pass</v>
      </c>
      <c r="AB341" s="8" t="str">
        <f>TEXT(B341,"mmmm")</f>
        <v>February</v>
      </c>
      <c r="AC341" s="8" t="str">
        <f>TEXT(B341,"yyyy")</f>
        <v>2025</v>
      </c>
      <c r="AE341">
        <f t="shared" si="49"/>
        <v>26126.080000000002</v>
      </c>
      <c r="AF341" s="11">
        <f t="shared" si="50"/>
        <v>20900.864000000001</v>
      </c>
      <c r="AG341">
        <f t="shared" si="51"/>
        <v>13612.940000000002</v>
      </c>
      <c r="AH341" s="11">
        <f t="shared" si="52"/>
        <v>0.52104793371221403</v>
      </c>
      <c r="AI341" s="44">
        <f t="shared" si="53"/>
        <v>0.52104793371221403</v>
      </c>
    </row>
    <row r="342" spans="1:35">
      <c r="A342" t="s">
        <v>1123</v>
      </c>
      <c r="B342" s="5">
        <v>45312</v>
      </c>
      <c r="C342" s="5">
        <v>45320</v>
      </c>
      <c r="D342" s="13">
        <f t="shared" si="45"/>
        <v>8</v>
      </c>
      <c r="E342" t="s">
        <v>1124</v>
      </c>
      <c r="F342" t="s">
        <v>79</v>
      </c>
      <c r="G342" t="s">
        <v>24</v>
      </c>
      <c r="H342" t="s">
        <v>54</v>
      </c>
      <c r="I342" t="s">
        <v>175</v>
      </c>
      <c r="J342" t="s">
        <v>176</v>
      </c>
      <c r="K342" t="s">
        <v>28</v>
      </c>
      <c r="L342" t="s">
        <v>153</v>
      </c>
      <c r="M342" t="s">
        <v>1125</v>
      </c>
      <c r="N342" t="s">
        <v>59</v>
      </c>
      <c r="O342">
        <v>5</v>
      </c>
      <c r="P342">
        <v>4058.08</v>
      </c>
      <c r="Q342" s="11">
        <v>0.1</v>
      </c>
      <c r="R342">
        <v>18261.36</v>
      </c>
      <c r="S342">
        <v>11399.94</v>
      </c>
      <c r="T342">
        <v>6861.42</v>
      </c>
      <c r="U342" t="s">
        <v>32</v>
      </c>
      <c r="V342" t="s">
        <v>33</v>
      </c>
      <c r="X342" s="8" t="str">
        <f>IF(C342&gt;=B342,"Valid", "Invalid-Date")</f>
        <v>Valid</v>
      </c>
      <c r="Y342" s="8" t="str">
        <f t="shared" si="46"/>
        <v>Valid</v>
      </c>
      <c r="Z342" s="8" t="str">
        <f t="shared" si="47"/>
        <v>Pass</v>
      </c>
      <c r="AA342" s="8" t="str">
        <f t="shared" si="48"/>
        <v>Pass</v>
      </c>
      <c r="AB342" s="8" t="str">
        <f>TEXT(B342,"mmmm")</f>
        <v>January</v>
      </c>
      <c r="AC342" s="8" t="str">
        <f>TEXT(B342,"yyyy")</f>
        <v>2024</v>
      </c>
      <c r="AE342">
        <f t="shared" si="49"/>
        <v>20290.400000000001</v>
      </c>
      <c r="AF342" s="11">
        <f t="shared" si="50"/>
        <v>18261.36</v>
      </c>
      <c r="AG342">
        <f t="shared" si="51"/>
        <v>8890.4600000000009</v>
      </c>
      <c r="AH342" s="11">
        <f t="shared" si="52"/>
        <v>0.43816090367858695</v>
      </c>
      <c r="AI342" s="44">
        <f t="shared" si="53"/>
        <v>0.43816090367858695</v>
      </c>
    </row>
    <row r="343" spans="1:35">
      <c r="A343" t="s">
        <v>1126</v>
      </c>
      <c r="B343" s="5">
        <v>45908</v>
      </c>
      <c r="C343" s="5">
        <v>45909</v>
      </c>
      <c r="D343" s="13">
        <f t="shared" si="45"/>
        <v>1</v>
      </c>
      <c r="E343" t="s">
        <v>1127</v>
      </c>
      <c r="F343" t="s">
        <v>141</v>
      </c>
      <c r="G343" t="s">
        <v>95</v>
      </c>
      <c r="H343" t="s">
        <v>63</v>
      </c>
      <c r="I343" t="s">
        <v>180</v>
      </c>
      <c r="J343" t="s">
        <v>181</v>
      </c>
      <c r="K343" t="s">
        <v>41</v>
      </c>
      <c r="L343" t="s">
        <v>66</v>
      </c>
      <c r="M343" t="s">
        <v>1128</v>
      </c>
      <c r="N343" t="s">
        <v>31</v>
      </c>
      <c r="O343">
        <v>2</v>
      </c>
      <c r="P343">
        <v>3960.33</v>
      </c>
      <c r="Q343" s="11">
        <v>0.05</v>
      </c>
      <c r="R343">
        <v>7524.63</v>
      </c>
      <c r="S343">
        <v>6229.6</v>
      </c>
      <c r="T343">
        <v>1295.03</v>
      </c>
      <c r="U343" t="s">
        <v>32</v>
      </c>
      <c r="V343" t="s">
        <v>33</v>
      </c>
      <c r="X343" s="8" t="str">
        <f>IF(C343&gt;=B343,"Valid", "Invalid-Date")</f>
        <v>Valid</v>
      </c>
      <c r="Y343" s="8" t="str">
        <f t="shared" si="46"/>
        <v>Valid</v>
      </c>
      <c r="Z343" s="8" t="str">
        <f t="shared" si="47"/>
        <v>Pass</v>
      </c>
      <c r="AA343" s="8" t="str">
        <f t="shared" si="48"/>
        <v>Pass</v>
      </c>
      <c r="AB343" s="8" t="str">
        <f>TEXT(B343,"mmmm")</f>
        <v>September</v>
      </c>
      <c r="AC343" s="8" t="str">
        <f>TEXT(B343,"yyyy")</f>
        <v>2025</v>
      </c>
      <c r="AE343">
        <f t="shared" si="49"/>
        <v>7920.66</v>
      </c>
      <c r="AF343" s="11">
        <f t="shared" si="50"/>
        <v>7524.6269999999995</v>
      </c>
      <c r="AG343">
        <f t="shared" si="51"/>
        <v>1691.0599999999995</v>
      </c>
      <c r="AH343" s="11">
        <f t="shared" si="52"/>
        <v>0.21349988511058415</v>
      </c>
      <c r="AI343" s="44">
        <f t="shared" si="53"/>
        <v>0.21349988511058415</v>
      </c>
    </row>
    <row r="344" spans="1:35">
      <c r="A344" t="s">
        <v>1129</v>
      </c>
      <c r="B344" s="5">
        <v>45862</v>
      </c>
      <c r="C344" s="5">
        <v>45870</v>
      </c>
      <c r="D344" s="13">
        <f t="shared" si="45"/>
        <v>8</v>
      </c>
      <c r="E344" t="s">
        <v>1130</v>
      </c>
      <c r="F344" t="s">
        <v>264</v>
      </c>
      <c r="G344" t="s">
        <v>37</v>
      </c>
      <c r="H344" t="s">
        <v>38</v>
      </c>
      <c r="I344" t="s">
        <v>228</v>
      </c>
      <c r="J344" t="s">
        <v>229</v>
      </c>
      <c r="K344" t="s">
        <v>28</v>
      </c>
      <c r="L344" t="s">
        <v>153</v>
      </c>
      <c r="M344" t="s">
        <v>1131</v>
      </c>
      <c r="N344" t="s">
        <v>50</v>
      </c>
      <c r="O344">
        <v>8</v>
      </c>
      <c r="P344">
        <v>1528.92</v>
      </c>
      <c r="Q344" s="11">
        <v>0</v>
      </c>
      <c r="R344">
        <v>12231.36</v>
      </c>
      <c r="S344">
        <v>8766.9</v>
      </c>
      <c r="T344">
        <v>3464.46</v>
      </c>
      <c r="U344" t="s">
        <v>32</v>
      </c>
      <c r="V344" t="s">
        <v>33</v>
      </c>
      <c r="X344" s="8" t="str">
        <f>IF(C344&gt;=B344,"Valid", "Invalid-Date")</f>
        <v>Valid</v>
      </c>
      <c r="Y344" s="8" t="str">
        <f t="shared" si="46"/>
        <v>Valid</v>
      </c>
      <c r="Z344" s="8" t="str">
        <f t="shared" si="47"/>
        <v>Pass</v>
      </c>
      <c r="AA344" s="8" t="str">
        <f t="shared" si="48"/>
        <v>Pass</v>
      </c>
      <c r="AB344" s="8" t="str">
        <f>TEXT(B344,"mmmm")</f>
        <v>July</v>
      </c>
      <c r="AC344" s="8" t="str">
        <f>TEXT(B344,"yyyy")</f>
        <v>2025</v>
      </c>
      <c r="AE344">
        <f t="shared" si="49"/>
        <v>12231.36</v>
      </c>
      <c r="AF344" s="11">
        <f t="shared" si="50"/>
        <v>12231.36</v>
      </c>
      <c r="AG344">
        <f t="shared" si="51"/>
        <v>3464.4600000000009</v>
      </c>
      <c r="AH344" s="11">
        <f t="shared" si="52"/>
        <v>0.28324405462679547</v>
      </c>
      <c r="AI344" s="44">
        <f t="shared" si="53"/>
        <v>0.28324405462679547</v>
      </c>
    </row>
    <row r="345" spans="1:35">
      <c r="A345" t="s">
        <v>1132</v>
      </c>
      <c r="B345" s="5">
        <v>45726</v>
      </c>
      <c r="C345" s="5">
        <v>45879</v>
      </c>
      <c r="D345" s="13">
        <f t="shared" si="45"/>
        <v>153</v>
      </c>
      <c r="E345" t="s">
        <v>1133</v>
      </c>
      <c r="F345" t="s">
        <v>128</v>
      </c>
      <c r="G345" t="s">
        <v>90</v>
      </c>
      <c r="H345" t="s">
        <v>63</v>
      </c>
      <c r="I345" t="s">
        <v>72</v>
      </c>
      <c r="J345" t="s">
        <v>73</v>
      </c>
      <c r="K345" t="s">
        <v>74</v>
      </c>
      <c r="L345" t="s">
        <v>274</v>
      </c>
      <c r="M345" t="s">
        <v>1134</v>
      </c>
      <c r="N345" t="s">
        <v>44</v>
      </c>
      <c r="O345">
        <v>9</v>
      </c>
      <c r="P345">
        <v>3837</v>
      </c>
      <c r="Q345" s="11">
        <v>0.1</v>
      </c>
      <c r="R345">
        <v>31079.7</v>
      </c>
      <c r="S345">
        <v>17758.25</v>
      </c>
      <c r="T345">
        <v>13321.45</v>
      </c>
      <c r="U345" t="s">
        <v>32</v>
      </c>
      <c r="V345" t="s">
        <v>33</v>
      </c>
      <c r="X345" s="8" t="str">
        <f>IF(C345&gt;=B345,"Valid", "Invalid-Date")</f>
        <v>Valid</v>
      </c>
      <c r="Y345" s="8" t="str">
        <f t="shared" si="46"/>
        <v>Valid</v>
      </c>
      <c r="Z345" s="8" t="str">
        <f t="shared" si="47"/>
        <v>Pass</v>
      </c>
      <c r="AA345" s="8" t="str">
        <f t="shared" si="48"/>
        <v>Pass</v>
      </c>
      <c r="AB345" s="8" t="str">
        <f>TEXT(B345,"mmmm")</f>
        <v>March</v>
      </c>
      <c r="AC345" s="8" t="str">
        <f>TEXT(B345,"yyyy")</f>
        <v>2025</v>
      </c>
      <c r="AE345">
        <f t="shared" si="49"/>
        <v>34533</v>
      </c>
      <c r="AF345" s="11">
        <f t="shared" si="50"/>
        <v>31079.7</v>
      </c>
      <c r="AG345">
        <f t="shared" si="51"/>
        <v>16774.75</v>
      </c>
      <c r="AH345" s="11">
        <f t="shared" si="52"/>
        <v>0.4857599976833753</v>
      </c>
      <c r="AI345" s="44">
        <f t="shared" si="53"/>
        <v>0.4857599976833753</v>
      </c>
    </row>
    <row r="346" spans="1:35">
      <c r="A346" t="s">
        <v>1135</v>
      </c>
      <c r="B346" s="5">
        <v>45362</v>
      </c>
      <c r="C346" s="5">
        <v>45362</v>
      </c>
      <c r="D346" s="13">
        <f t="shared" si="45"/>
        <v>0</v>
      </c>
      <c r="E346" t="s">
        <v>1136</v>
      </c>
      <c r="F346" t="s">
        <v>114</v>
      </c>
      <c r="G346" t="s">
        <v>24</v>
      </c>
      <c r="H346" t="s">
        <v>25</v>
      </c>
      <c r="I346" t="s">
        <v>122</v>
      </c>
      <c r="J346" t="s">
        <v>123</v>
      </c>
      <c r="K346" t="s">
        <v>41</v>
      </c>
      <c r="L346" t="s">
        <v>158</v>
      </c>
      <c r="M346" t="s">
        <v>1137</v>
      </c>
      <c r="N346" t="s">
        <v>44</v>
      </c>
      <c r="O346">
        <v>9</v>
      </c>
      <c r="P346">
        <v>3456.38</v>
      </c>
      <c r="Q346" s="11">
        <v>0</v>
      </c>
      <c r="R346">
        <v>31107.42</v>
      </c>
      <c r="S346">
        <v>20146.66</v>
      </c>
      <c r="T346">
        <v>10960.76</v>
      </c>
      <c r="U346" t="s">
        <v>111</v>
      </c>
      <c r="V346" t="s">
        <v>103</v>
      </c>
      <c r="X346" s="8" t="str">
        <f>IF(C346&gt;=B346,"Valid", "Invalid-Date")</f>
        <v>Valid</v>
      </c>
      <c r="Y346" s="8" t="str">
        <f t="shared" si="46"/>
        <v>Valid</v>
      </c>
      <c r="Z346" s="8" t="str">
        <f t="shared" si="47"/>
        <v>Pass</v>
      </c>
      <c r="AA346" s="8" t="str">
        <f t="shared" si="48"/>
        <v>Pass</v>
      </c>
      <c r="AB346" s="8" t="str">
        <f>TEXT(B346,"mmmm")</f>
        <v>March</v>
      </c>
      <c r="AC346" s="8" t="str">
        <f>TEXT(B346,"yyyy")</f>
        <v>2024</v>
      </c>
      <c r="AE346">
        <f t="shared" si="49"/>
        <v>31107.420000000002</v>
      </c>
      <c r="AF346" s="11">
        <f t="shared" si="50"/>
        <v>31107.420000000002</v>
      </c>
      <c r="AG346">
        <f t="shared" si="51"/>
        <v>10960.760000000002</v>
      </c>
      <c r="AH346" s="11">
        <f t="shared" si="52"/>
        <v>0.3523519468988428</v>
      </c>
      <c r="AI346" s="44">
        <f t="shared" si="53"/>
        <v>0.3523519468988428</v>
      </c>
    </row>
    <row r="347" spans="1:35">
      <c r="A347" t="s">
        <v>1138</v>
      </c>
      <c r="B347" s="5">
        <v>45549</v>
      </c>
      <c r="C347" s="5">
        <v>45557</v>
      </c>
      <c r="D347" s="13">
        <f t="shared" si="45"/>
        <v>8</v>
      </c>
      <c r="E347" t="s">
        <v>1139</v>
      </c>
      <c r="F347" t="s">
        <v>23</v>
      </c>
      <c r="G347" t="s">
        <v>24</v>
      </c>
      <c r="H347" t="s">
        <v>63</v>
      </c>
      <c r="I347" t="s">
        <v>72</v>
      </c>
      <c r="J347" t="s">
        <v>73</v>
      </c>
      <c r="K347" t="s">
        <v>41</v>
      </c>
      <c r="L347" t="s">
        <v>57</v>
      </c>
      <c r="M347" t="s">
        <v>1140</v>
      </c>
      <c r="N347" t="s">
        <v>31</v>
      </c>
      <c r="O347">
        <v>2</v>
      </c>
      <c r="P347">
        <v>2765.3</v>
      </c>
      <c r="Q347" s="11">
        <v>0</v>
      </c>
      <c r="R347">
        <v>5530.6</v>
      </c>
      <c r="S347">
        <v>4453.1099999999997</v>
      </c>
      <c r="T347">
        <v>1077.49</v>
      </c>
      <c r="U347" t="s">
        <v>32</v>
      </c>
      <c r="V347" t="s">
        <v>33</v>
      </c>
      <c r="X347" s="8" t="str">
        <f>IF(C347&gt;=B347,"Valid", "Invalid-Date")</f>
        <v>Valid</v>
      </c>
      <c r="Y347" s="8" t="str">
        <f t="shared" si="46"/>
        <v>Valid</v>
      </c>
      <c r="Z347" s="8" t="str">
        <f t="shared" si="47"/>
        <v>Pass</v>
      </c>
      <c r="AA347" s="8" t="str">
        <f t="shared" si="48"/>
        <v>Pass</v>
      </c>
      <c r="AB347" s="8" t="str">
        <f>TEXT(B347,"mmmm")</f>
        <v>September</v>
      </c>
      <c r="AC347" s="8" t="str">
        <f>TEXT(B347,"yyyy")</f>
        <v>2024</v>
      </c>
      <c r="AE347">
        <f t="shared" si="49"/>
        <v>5530.6</v>
      </c>
      <c r="AF347" s="11">
        <f t="shared" si="50"/>
        <v>5530.6</v>
      </c>
      <c r="AG347">
        <f t="shared" si="51"/>
        <v>1077.4900000000007</v>
      </c>
      <c r="AH347" s="11">
        <f t="shared" si="52"/>
        <v>0.19482334647235391</v>
      </c>
      <c r="AI347" s="44">
        <f t="shared" si="53"/>
        <v>0.19482334647235391</v>
      </c>
    </row>
    <row r="348" spans="1:35">
      <c r="A348" t="s">
        <v>1141</v>
      </c>
      <c r="B348" s="5">
        <v>45860</v>
      </c>
      <c r="C348" s="5">
        <v>45866</v>
      </c>
      <c r="D348" s="13">
        <f t="shared" si="45"/>
        <v>6</v>
      </c>
      <c r="E348" t="s">
        <v>1142</v>
      </c>
      <c r="F348" t="s">
        <v>118</v>
      </c>
      <c r="G348" t="s">
        <v>90</v>
      </c>
      <c r="H348" t="s">
        <v>54</v>
      </c>
      <c r="I348" t="s">
        <v>185</v>
      </c>
      <c r="J348" t="s">
        <v>186</v>
      </c>
      <c r="K348" t="s">
        <v>41</v>
      </c>
      <c r="L348" t="s">
        <v>66</v>
      </c>
      <c r="M348" t="s">
        <v>1143</v>
      </c>
      <c r="N348" t="s">
        <v>31</v>
      </c>
      <c r="O348">
        <v>6</v>
      </c>
      <c r="P348">
        <v>1607.46</v>
      </c>
      <c r="Q348" s="11">
        <v>0.2</v>
      </c>
      <c r="R348">
        <v>7715.81</v>
      </c>
      <c r="S348">
        <v>4258.42</v>
      </c>
      <c r="T348">
        <v>3457.39</v>
      </c>
      <c r="U348" t="s">
        <v>32</v>
      </c>
      <c r="V348" t="s">
        <v>33</v>
      </c>
      <c r="X348" s="8" t="str">
        <f>IF(C348&gt;=B348,"Valid", "Invalid-Date")</f>
        <v>Valid</v>
      </c>
      <c r="Y348" s="8" t="str">
        <f t="shared" si="46"/>
        <v>Valid</v>
      </c>
      <c r="Z348" s="8" t="str">
        <f t="shared" si="47"/>
        <v>Pass</v>
      </c>
      <c r="AA348" s="8" t="str">
        <f t="shared" si="48"/>
        <v>Pass</v>
      </c>
      <c r="AB348" s="8" t="str">
        <f>TEXT(B348,"mmmm")</f>
        <v>July</v>
      </c>
      <c r="AC348" s="8" t="str">
        <f>TEXT(B348,"yyyy")</f>
        <v>2025</v>
      </c>
      <c r="AE348">
        <f t="shared" si="49"/>
        <v>9644.76</v>
      </c>
      <c r="AF348" s="11">
        <f t="shared" si="50"/>
        <v>7715.8080000000009</v>
      </c>
      <c r="AG348">
        <f t="shared" si="51"/>
        <v>5386.34</v>
      </c>
      <c r="AH348" s="11">
        <f t="shared" si="52"/>
        <v>0.55847320202887374</v>
      </c>
      <c r="AI348" s="44">
        <f t="shared" si="53"/>
        <v>0.55847320202887374</v>
      </c>
    </row>
    <row r="349" spans="1:35">
      <c r="A349" t="s">
        <v>1144</v>
      </c>
      <c r="B349" s="5">
        <v>45627</v>
      </c>
      <c r="C349" s="5">
        <v>45516</v>
      </c>
      <c r="D349" s="13">
        <f t="shared" si="45"/>
        <v>-111</v>
      </c>
      <c r="E349" t="s">
        <v>1145</v>
      </c>
      <c r="F349" t="s">
        <v>128</v>
      </c>
      <c r="G349" t="s">
        <v>37</v>
      </c>
      <c r="H349" t="s">
        <v>63</v>
      </c>
      <c r="I349" t="s">
        <v>190</v>
      </c>
      <c r="J349" t="s">
        <v>191</v>
      </c>
      <c r="K349" t="s">
        <v>41</v>
      </c>
      <c r="L349" t="s">
        <v>66</v>
      </c>
      <c r="M349" t="s">
        <v>1146</v>
      </c>
      <c r="N349" t="s">
        <v>31</v>
      </c>
      <c r="O349">
        <v>5</v>
      </c>
      <c r="P349">
        <v>2981.49</v>
      </c>
      <c r="Q349" s="11">
        <v>0.2</v>
      </c>
      <c r="R349">
        <v>11925.96</v>
      </c>
      <c r="S349">
        <v>10103.51</v>
      </c>
      <c r="T349">
        <v>1822.45</v>
      </c>
      <c r="U349" t="s">
        <v>102</v>
      </c>
      <c r="V349" t="s">
        <v>103</v>
      </c>
      <c r="X349" s="8" t="str">
        <f>IF(C349&gt;=B349,"Valid", "Invalid-Date")</f>
        <v>Invalid-Date</v>
      </c>
      <c r="Y349" s="8" t="str">
        <f t="shared" si="46"/>
        <v>Valid</v>
      </c>
      <c r="Z349" s="8" t="str">
        <f t="shared" si="47"/>
        <v>Pass</v>
      </c>
      <c r="AA349" s="8" t="str">
        <f t="shared" si="48"/>
        <v>Pass</v>
      </c>
      <c r="AB349" s="8" t="str">
        <f>TEXT(B349,"mmmm")</f>
        <v>December</v>
      </c>
      <c r="AC349" s="8" t="str">
        <f>TEXT(B349,"yyyy")</f>
        <v>2024</v>
      </c>
      <c r="AE349">
        <f t="shared" si="49"/>
        <v>14907.449999999999</v>
      </c>
      <c r="AF349" s="11">
        <f t="shared" si="50"/>
        <v>11925.96</v>
      </c>
      <c r="AG349">
        <f t="shared" si="51"/>
        <v>4803.9399999999987</v>
      </c>
      <c r="AH349" s="11">
        <f t="shared" si="52"/>
        <v>0.322250955059383</v>
      </c>
      <c r="AI349" s="44">
        <f t="shared" si="53"/>
        <v>0.322250955059383</v>
      </c>
    </row>
    <row r="350" spans="1:35">
      <c r="A350" t="s">
        <v>1147</v>
      </c>
      <c r="B350" s="5">
        <v>45328</v>
      </c>
      <c r="C350" s="5">
        <v>45479</v>
      </c>
      <c r="D350" s="13">
        <f t="shared" si="45"/>
        <v>151</v>
      </c>
      <c r="E350" t="s">
        <v>1148</v>
      </c>
      <c r="F350" t="s">
        <v>128</v>
      </c>
      <c r="G350" t="s">
        <v>90</v>
      </c>
      <c r="H350" t="s">
        <v>54</v>
      </c>
      <c r="I350" t="s">
        <v>175</v>
      </c>
      <c r="J350" t="s">
        <v>176</v>
      </c>
      <c r="K350" t="s">
        <v>74</v>
      </c>
      <c r="L350" t="s">
        <v>171</v>
      </c>
      <c r="M350" t="s">
        <v>1149</v>
      </c>
      <c r="N350" t="s">
        <v>44</v>
      </c>
      <c r="O350">
        <v>9</v>
      </c>
      <c r="P350">
        <v>2860.26</v>
      </c>
      <c r="Q350" s="11">
        <v>0.25</v>
      </c>
      <c r="R350">
        <v>19306.759999999998</v>
      </c>
      <c r="S350">
        <v>14442.38</v>
      </c>
      <c r="T350">
        <v>4864.38</v>
      </c>
      <c r="U350" t="s">
        <v>32</v>
      </c>
      <c r="V350" t="s">
        <v>33</v>
      </c>
      <c r="X350" s="8" t="str">
        <f>IF(C350&gt;=B350,"Valid", "Invalid-Date")</f>
        <v>Valid</v>
      </c>
      <c r="Y350" s="8" t="str">
        <f t="shared" si="46"/>
        <v>Valid</v>
      </c>
      <c r="Z350" s="8" t="str">
        <f t="shared" si="47"/>
        <v>Pass</v>
      </c>
      <c r="AA350" s="8" t="str">
        <f t="shared" si="48"/>
        <v>Pass</v>
      </c>
      <c r="AB350" s="8" t="str">
        <f>TEXT(B350,"mmmm")</f>
        <v>February</v>
      </c>
      <c r="AC350" s="8" t="str">
        <f>TEXT(B350,"yyyy")</f>
        <v>2024</v>
      </c>
      <c r="AE350">
        <f t="shared" si="49"/>
        <v>25742.340000000004</v>
      </c>
      <c r="AF350" s="11">
        <f t="shared" si="50"/>
        <v>19306.755000000005</v>
      </c>
      <c r="AG350">
        <f t="shared" si="51"/>
        <v>11299.960000000005</v>
      </c>
      <c r="AH350" s="11">
        <f t="shared" si="52"/>
        <v>0.43896397918759533</v>
      </c>
      <c r="AI350" s="44">
        <f t="shared" si="53"/>
        <v>0.43896397918759533</v>
      </c>
    </row>
    <row r="351" spans="1:35">
      <c r="A351" t="s">
        <v>1150</v>
      </c>
      <c r="B351" s="5">
        <v>45927</v>
      </c>
      <c r="C351" s="5">
        <v>45929</v>
      </c>
      <c r="D351" s="13">
        <f t="shared" si="45"/>
        <v>2</v>
      </c>
      <c r="E351" t="s">
        <v>1151</v>
      </c>
      <c r="F351" t="s">
        <v>264</v>
      </c>
      <c r="G351" t="s">
        <v>95</v>
      </c>
      <c r="H351" t="s">
        <v>38</v>
      </c>
      <c r="I351" t="s">
        <v>228</v>
      </c>
      <c r="J351" t="s">
        <v>229</v>
      </c>
      <c r="K351" t="s">
        <v>41</v>
      </c>
      <c r="L351" t="s">
        <v>57</v>
      </c>
      <c r="M351" t="s">
        <v>1152</v>
      </c>
      <c r="N351" t="s">
        <v>31</v>
      </c>
      <c r="O351">
        <v>9</v>
      </c>
      <c r="P351">
        <v>2867.55</v>
      </c>
      <c r="Q351" s="11">
        <v>0.25</v>
      </c>
      <c r="R351">
        <v>19355.96</v>
      </c>
      <c r="S351">
        <v>15012.45</v>
      </c>
      <c r="T351">
        <v>4017.4</v>
      </c>
      <c r="U351" t="s">
        <v>32</v>
      </c>
      <c r="V351" t="s">
        <v>33</v>
      </c>
      <c r="X351" s="8" t="str">
        <f>IF(C351&gt;=B351,"Valid", "Invalid-Date")</f>
        <v>Valid</v>
      </c>
      <c r="Y351" s="8" t="str">
        <f t="shared" si="46"/>
        <v>Valid</v>
      </c>
      <c r="Z351" s="8" t="str">
        <f t="shared" si="47"/>
        <v>Pass</v>
      </c>
      <c r="AA351" s="8" t="str">
        <f t="shared" si="48"/>
        <v>Pass</v>
      </c>
      <c r="AB351" s="8" t="str">
        <f>TEXT(B351,"mmmm")</f>
        <v>September</v>
      </c>
      <c r="AC351" s="8" t="str">
        <f>TEXT(B351,"yyyy")</f>
        <v>2025</v>
      </c>
      <c r="AE351">
        <f t="shared" si="49"/>
        <v>25807.95</v>
      </c>
      <c r="AF351" s="11">
        <f t="shared" si="50"/>
        <v>19355.962500000001</v>
      </c>
      <c r="AG351">
        <f t="shared" si="51"/>
        <v>10795.5</v>
      </c>
      <c r="AH351" s="11">
        <f t="shared" si="52"/>
        <v>0.41830133737859843</v>
      </c>
      <c r="AI351" s="44">
        <f t="shared" si="53"/>
        <v>0.41830133737859843</v>
      </c>
    </row>
    <row r="352" spans="1:35">
      <c r="A352" t="s">
        <v>1153</v>
      </c>
      <c r="B352" s="5">
        <v>45298</v>
      </c>
      <c r="C352" s="5">
        <v>45305</v>
      </c>
      <c r="D352" s="13">
        <f t="shared" si="45"/>
        <v>7</v>
      </c>
      <c r="E352" t="s">
        <v>1154</v>
      </c>
      <c r="F352" t="s">
        <v>132</v>
      </c>
      <c r="G352" t="s">
        <v>37</v>
      </c>
      <c r="H352" t="s">
        <v>38</v>
      </c>
      <c r="I352" t="s">
        <v>228</v>
      </c>
      <c r="J352" t="s">
        <v>229</v>
      </c>
      <c r="K352" t="s">
        <v>41</v>
      </c>
      <c r="L352" t="s">
        <v>57</v>
      </c>
      <c r="M352" t="s">
        <v>1155</v>
      </c>
      <c r="N352" t="s">
        <v>31</v>
      </c>
      <c r="O352">
        <v>4</v>
      </c>
      <c r="P352">
        <v>3309.54</v>
      </c>
      <c r="Q352" s="11">
        <v>0.1</v>
      </c>
      <c r="R352">
        <v>11914.34</v>
      </c>
      <c r="S352">
        <v>9771.24</v>
      </c>
      <c r="T352">
        <v>2143.1</v>
      </c>
      <c r="U352" t="s">
        <v>102</v>
      </c>
      <c r="V352" t="s">
        <v>103</v>
      </c>
      <c r="X352" s="8" t="str">
        <f>IF(C352&gt;=B352,"Valid", "Invalid-Date")</f>
        <v>Valid</v>
      </c>
      <c r="Y352" s="8" t="str">
        <f t="shared" si="46"/>
        <v>Valid</v>
      </c>
      <c r="Z352" s="8" t="str">
        <f t="shared" si="47"/>
        <v>Pass</v>
      </c>
      <c r="AA352" s="8" t="str">
        <f t="shared" si="48"/>
        <v>Pass</v>
      </c>
      <c r="AB352" s="8" t="str">
        <f>TEXT(B352,"mmmm")</f>
        <v>January</v>
      </c>
      <c r="AC352" s="8" t="str">
        <f>TEXT(B352,"yyyy")</f>
        <v>2024</v>
      </c>
      <c r="AE352">
        <f t="shared" si="49"/>
        <v>13238.16</v>
      </c>
      <c r="AF352" s="11">
        <f t="shared" si="50"/>
        <v>11914.344000000001</v>
      </c>
      <c r="AG352">
        <f t="shared" si="51"/>
        <v>3466.92</v>
      </c>
      <c r="AH352" s="11">
        <f t="shared" si="52"/>
        <v>0.26188835910730796</v>
      </c>
      <c r="AI352" s="44">
        <f t="shared" si="53"/>
        <v>0.26188835910730796</v>
      </c>
    </row>
    <row r="353" spans="1:35">
      <c r="A353" t="s">
        <v>1156</v>
      </c>
      <c r="B353" s="5">
        <v>45800</v>
      </c>
      <c r="C353" s="5">
        <v>45804</v>
      </c>
      <c r="D353" s="13">
        <f t="shared" si="45"/>
        <v>4</v>
      </c>
      <c r="E353" t="s">
        <v>1157</v>
      </c>
      <c r="F353" t="s">
        <v>71</v>
      </c>
      <c r="G353" t="s">
        <v>37</v>
      </c>
      <c r="H353" t="s">
        <v>54</v>
      </c>
      <c r="I353" t="s">
        <v>55</v>
      </c>
      <c r="J353" t="s">
        <v>56</v>
      </c>
      <c r="K353" t="s">
        <v>28</v>
      </c>
      <c r="L353" t="s">
        <v>124</v>
      </c>
      <c r="M353" t="s">
        <v>1158</v>
      </c>
      <c r="N353" t="s">
        <v>50</v>
      </c>
      <c r="O353">
        <v>6</v>
      </c>
      <c r="P353">
        <v>719.44</v>
      </c>
      <c r="Q353" s="11">
        <v>0.25</v>
      </c>
      <c r="R353">
        <v>3237.48</v>
      </c>
      <c r="S353">
        <v>2118.34</v>
      </c>
      <c r="T353">
        <v>1119.1400000000001</v>
      </c>
      <c r="U353" t="s">
        <v>111</v>
      </c>
      <c r="V353" t="s">
        <v>68</v>
      </c>
      <c r="X353" s="8" t="str">
        <f>IF(C353&gt;=B353,"Valid", "Invalid-Date")</f>
        <v>Valid</v>
      </c>
      <c r="Y353" s="8" t="str">
        <f t="shared" si="46"/>
        <v>Valid</v>
      </c>
      <c r="Z353" s="8" t="str">
        <f t="shared" si="47"/>
        <v>Pass</v>
      </c>
      <c r="AA353" s="8" t="str">
        <f t="shared" si="48"/>
        <v>Pass</v>
      </c>
      <c r="AB353" s="8" t="str">
        <f>TEXT(B353,"mmmm")</f>
        <v>May</v>
      </c>
      <c r="AC353" s="8" t="str">
        <f>TEXT(B353,"yyyy")</f>
        <v>2025</v>
      </c>
      <c r="AE353">
        <f t="shared" si="49"/>
        <v>4316.6400000000003</v>
      </c>
      <c r="AF353" s="11">
        <f t="shared" si="50"/>
        <v>3237.4800000000005</v>
      </c>
      <c r="AG353">
        <f t="shared" si="51"/>
        <v>2198.3000000000002</v>
      </c>
      <c r="AH353" s="11">
        <f t="shared" si="52"/>
        <v>0.50926183327773455</v>
      </c>
      <c r="AI353" s="44">
        <f t="shared" si="53"/>
        <v>0.50926183327773455</v>
      </c>
    </row>
    <row r="354" spans="1:35">
      <c r="A354" t="s">
        <v>1159</v>
      </c>
      <c r="B354" s="5">
        <v>45884</v>
      </c>
      <c r="C354" s="5">
        <v>45886</v>
      </c>
      <c r="D354" s="13">
        <f t="shared" si="45"/>
        <v>2</v>
      </c>
      <c r="E354" t="s">
        <v>1160</v>
      </c>
      <c r="F354" t="s">
        <v>162</v>
      </c>
      <c r="G354" t="s">
        <v>37</v>
      </c>
      <c r="H354" t="s">
        <v>38</v>
      </c>
      <c r="I354" t="s">
        <v>166</v>
      </c>
      <c r="J354" t="s">
        <v>167</v>
      </c>
      <c r="K354" t="s">
        <v>74</v>
      </c>
      <c r="L354" t="s">
        <v>80</v>
      </c>
      <c r="M354" t="s">
        <v>1161</v>
      </c>
      <c r="N354" t="s">
        <v>50</v>
      </c>
      <c r="O354">
        <v>5</v>
      </c>
      <c r="P354">
        <v>2862.6</v>
      </c>
      <c r="Q354" s="11">
        <v>0.25</v>
      </c>
      <c r="R354">
        <v>10734.75</v>
      </c>
      <c r="S354">
        <v>6475.73</v>
      </c>
      <c r="T354">
        <v>4259.0200000000004</v>
      </c>
      <c r="U354" t="s">
        <v>32</v>
      </c>
      <c r="V354" t="s">
        <v>33</v>
      </c>
      <c r="X354" s="8" t="str">
        <f>IF(C354&gt;=B354,"Valid", "Invalid-Date")</f>
        <v>Valid</v>
      </c>
      <c r="Y354" s="8" t="str">
        <f t="shared" si="46"/>
        <v>Valid</v>
      </c>
      <c r="Z354" s="8" t="str">
        <f t="shared" si="47"/>
        <v>Pass</v>
      </c>
      <c r="AA354" s="8" t="str">
        <f t="shared" si="48"/>
        <v>Pass</v>
      </c>
      <c r="AB354" s="8" t="str">
        <f>TEXT(B354,"mmmm")</f>
        <v>August</v>
      </c>
      <c r="AC354" s="8" t="str">
        <f>TEXT(B354,"yyyy")</f>
        <v>2025</v>
      </c>
      <c r="AE354">
        <f t="shared" si="49"/>
        <v>14313</v>
      </c>
      <c r="AF354" s="11">
        <f t="shared" si="50"/>
        <v>10734.75</v>
      </c>
      <c r="AG354">
        <f t="shared" si="51"/>
        <v>7837.27</v>
      </c>
      <c r="AH354" s="11">
        <f t="shared" si="52"/>
        <v>0.54756305456577936</v>
      </c>
      <c r="AI354" s="44">
        <f t="shared" si="53"/>
        <v>0.54756305456577936</v>
      </c>
    </row>
    <row r="355" spans="1:35">
      <c r="A355" t="s">
        <v>1162</v>
      </c>
      <c r="B355" s="5">
        <v>45709</v>
      </c>
      <c r="C355" s="5">
        <v>45715</v>
      </c>
      <c r="D355" s="13">
        <f t="shared" si="45"/>
        <v>6</v>
      </c>
      <c r="E355" t="s">
        <v>1163</v>
      </c>
      <c r="F355" t="s">
        <v>62</v>
      </c>
      <c r="G355" t="s">
        <v>24</v>
      </c>
      <c r="H355" t="s">
        <v>25</v>
      </c>
      <c r="I355" t="s">
        <v>26</v>
      </c>
      <c r="J355" t="s">
        <v>27</v>
      </c>
      <c r="K355" t="s">
        <v>28</v>
      </c>
      <c r="L355" t="s">
        <v>48</v>
      </c>
      <c r="M355" t="s">
        <v>1164</v>
      </c>
      <c r="N355" t="s">
        <v>44</v>
      </c>
      <c r="O355">
        <v>9</v>
      </c>
      <c r="P355">
        <v>1431.67</v>
      </c>
      <c r="Q355" s="11">
        <v>0.2</v>
      </c>
      <c r="R355">
        <v>10308.02</v>
      </c>
      <c r="S355">
        <v>5822.31</v>
      </c>
      <c r="T355">
        <v>4485.71</v>
      </c>
      <c r="U355" t="s">
        <v>32</v>
      </c>
      <c r="V355" t="s">
        <v>33</v>
      </c>
      <c r="X355" s="8" t="str">
        <f>IF(C355&gt;=B355,"Valid", "Invalid-Date")</f>
        <v>Valid</v>
      </c>
      <c r="Y355" s="8" t="str">
        <f t="shared" si="46"/>
        <v>Valid</v>
      </c>
      <c r="Z355" s="8" t="str">
        <f t="shared" si="47"/>
        <v>Pass</v>
      </c>
      <c r="AA355" s="8" t="str">
        <f t="shared" si="48"/>
        <v>Pass</v>
      </c>
      <c r="AB355" s="8" t="str">
        <f>TEXT(B355,"mmmm")</f>
        <v>February</v>
      </c>
      <c r="AC355" s="8" t="str">
        <f>TEXT(B355,"yyyy")</f>
        <v>2025</v>
      </c>
      <c r="AE355">
        <f t="shared" si="49"/>
        <v>12885.03</v>
      </c>
      <c r="AF355" s="11">
        <f t="shared" si="50"/>
        <v>10308.024000000001</v>
      </c>
      <c r="AG355">
        <f t="shared" si="51"/>
        <v>7062.72</v>
      </c>
      <c r="AH355" s="11">
        <f t="shared" si="52"/>
        <v>0.54813376453139806</v>
      </c>
      <c r="AI355" s="44">
        <f t="shared" si="53"/>
        <v>0.54813376453139806</v>
      </c>
    </row>
    <row r="356" spans="1:35">
      <c r="A356" t="s">
        <v>1165</v>
      </c>
      <c r="B356" s="5">
        <v>45653</v>
      </c>
      <c r="C356" s="5">
        <v>45657</v>
      </c>
      <c r="D356" s="13">
        <f t="shared" si="45"/>
        <v>4</v>
      </c>
      <c r="E356" t="s">
        <v>1166</v>
      </c>
      <c r="F356" t="s">
        <v>264</v>
      </c>
      <c r="G356" t="s">
        <v>90</v>
      </c>
      <c r="H356" t="s">
        <v>25</v>
      </c>
      <c r="I356" t="s">
        <v>122</v>
      </c>
      <c r="J356" t="s">
        <v>123</v>
      </c>
      <c r="K356" t="s">
        <v>41</v>
      </c>
      <c r="L356" t="s">
        <v>57</v>
      </c>
      <c r="M356" t="s">
        <v>1167</v>
      </c>
      <c r="N356" t="s">
        <v>59</v>
      </c>
      <c r="O356">
        <v>6</v>
      </c>
      <c r="P356">
        <v>3346.78</v>
      </c>
      <c r="Q356" s="11">
        <v>-0.06</v>
      </c>
      <c r="R356">
        <v>20080.68</v>
      </c>
      <c r="S356">
        <v>12908.84</v>
      </c>
      <c r="T356">
        <v>7171.84</v>
      </c>
      <c r="U356" t="s">
        <v>111</v>
      </c>
      <c r="V356" t="s">
        <v>68</v>
      </c>
      <c r="X356" s="8" t="str">
        <f>IF(C356&gt;=B356,"Valid", "Invalid-Date")</f>
        <v>Valid</v>
      </c>
      <c r="Y356" s="8" t="str">
        <f t="shared" si="46"/>
        <v>Invalid-Discount</v>
      </c>
      <c r="Z356" s="8" t="str">
        <f t="shared" si="47"/>
        <v>Pass</v>
      </c>
      <c r="AA356" s="8" t="str">
        <f t="shared" si="48"/>
        <v>Pass</v>
      </c>
      <c r="AB356" s="8" t="str">
        <f>TEXT(B356,"mmmm")</f>
        <v>December</v>
      </c>
      <c r="AC356" s="8" t="str">
        <f>TEXT(B356,"yyyy")</f>
        <v>2024</v>
      </c>
      <c r="AE356">
        <f t="shared" si="49"/>
        <v>20080.68</v>
      </c>
      <c r="AF356" s="11">
        <f t="shared" si="50"/>
        <v>21285.520800000002</v>
      </c>
      <c r="AG356">
        <f t="shared" si="51"/>
        <v>7171.84</v>
      </c>
      <c r="AH356" s="11">
        <f t="shared" si="52"/>
        <v>0.35715125185003693</v>
      </c>
      <c r="AI356" s="44">
        <f t="shared" si="53"/>
        <v>0.35715125185003693</v>
      </c>
    </row>
    <row r="357" spans="1:35">
      <c r="A357" t="s">
        <v>1168</v>
      </c>
      <c r="B357" s="5">
        <v>45424</v>
      </c>
      <c r="C357" s="5">
        <v>45540</v>
      </c>
      <c r="D357" s="13">
        <f t="shared" si="45"/>
        <v>116</v>
      </c>
      <c r="E357" t="s">
        <v>1169</v>
      </c>
      <c r="F357" t="s">
        <v>114</v>
      </c>
      <c r="G357" t="s">
        <v>90</v>
      </c>
      <c r="H357" t="s">
        <v>63</v>
      </c>
      <c r="I357" t="s">
        <v>26</v>
      </c>
      <c r="J357" t="s">
        <v>109</v>
      </c>
      <c r="K357" t="s">
        <v>41</v>
      </c>
      <c r="L357" t="s">
        <v>42</v>
      </c>
      <c r="M357" t="s">
        <v>1170</v>
      </c>
      <c r="N357" t="s">
        <v>59</v>
      </c>
      <c r="O357">
        <v>5</v>
      </c>
      <c r="P357">
        <v>3203.48</v>
      </c>
      <c r="Q357" s="11">
        <v>0</v>
      </c>
      <c r="R357">
        <v>16017.4</v>
      </c>
      <c r="S357">
        <v>9557.7999999999993</v>
      </c>
      <c r="T357">
        <v>6459.6</v>
      </c>
      <c r="U357" t="s">
        <v>111</v>
      </c>
      <c r="V357" t="s">
        <v>68</v>
      </c>
      <c r="X357" s="8" t="str">
        <f>IF(C357&gt;=B357,"Valid", "Invalid-Date")</f>
        <v>Valid</v>
      </c>
      <c r="Y357" s="8" t="str">
        <f t="shared" si="46"/>
        <v>Valid</v>
      </c>
      <c r="Z357" s="8" t="str">
        <f t="shared" si="47"/>
        <v>Pass</v>
      </c>
      <c r="AA357" s="8" t="str">
        <f t="shared" si="48"/>
        <v>Pass</v>
      </c>
      <c r="AB357" s="8" t="str">
        <f>TEXT(B357,"mmmm")</f>
        <v>May</v>
      </c>
      <c r="AC357" s="8" t="str">
        <f>TEXT(B357,"yyyy")</f>
        <v>2024</v>
      </c>
      <c r="AE357">
        <f t="shared" si="49"/>
        <v>16017.4</v>
      </c>
      <c r="AF357" s="11">
        <f t="shared" si="50"/>
        <v>16017.4</v>
      </c>
      <c r="AG357">
        <f t="shared" si="51"/>
        <v>6459.6</v>
      </c>
      <c r="AH357" s="11">
        <f t="shared" si="52"/>
        <v>0.40328642601171227</v>
      </c>
      <c r="AI357" s="44">
        <f t="shared" si="53"/>
        <v>0.40328642601171227</v>
      </c>
    </row>
    <row r="358" spans="1:35">
      <c r="A358" t="s">
        <v>1171</v>
      </c>
      <c r="B358" s="5">
        <v>45835</v>
      </c>
      <c r="C358" s="5">
        <v>45837</v>
      </c>
      <c r="D358" s="13">
        <f t="shared" si="45"/>
        <v>2</v>
      </c>
      <c r="E358" t="s">
        <v>1172</v>
      </c>
      <c r="F358" t="s">
        <v>141</v>
      </c>
      <c r="G358" t="s">
        <v>95</v>
      </c>
      <c r="H358" t="s">
        <v>54</v>
      </c>
      <c r="I358" t="s">
        <v>55</v>
      </c>
      <c r="J358" t="s">
        <v>56</v>
      </c>
      <c r="K358" t="s">
        <v>41</v>
      </c>
      <c r="L358" t="s">
        <v>66</v>
      </c>
      <c r="M358" t="s">
        <v>1173</v>
      </c>
      <c r="N358" t="s">
        <v>50</v>
      </c>
      <c r="O358">
        <v>5</v>
      </c>
      <c r="P358">
        <v>621.70000000000005</v>
      </c>
      <c r="Q358" s="11">
        <v>0.2</v>
      </c>
      <c r="R358">
        <v>2486.8000000000002</v>
      </c>
      <c r="S358">
        <v>2131.73</v>
      </c>
      <c r="T358">
        <v>355.07</v>
      </c>
      <c r="U358" t="s">
        <v>111</v>
      </c>
      <c r="V358" t="s">
        <v>103</v>
      </c>
      <c r="X358" s="8" t="str">
        <f>IF(C358&gt;=B358,"Valid", "Invalid-Date")</f>
        <v>Valid</v>
      </c>
      <c r="Y358" s="8" t="str">
        <f t="shared" si="46"/>
        <v>Valid</v>
      </c>
      <c r="Z358" s="8" t="str">
        <f t="shared" si="47"/>
        <v>Pass</v>
      </c>
      <c r="AA358" s="8" t="str">
        <f t="shared" si="48"/>
        <v>Pass</v>
      </c>
      <c r="AB358" s="8" t="str">
        <f>TEXT(B358,"mmmm")</f>
        <v>June</v>
      </c>
      <c r="AC358" s="8" t="str">
        <f>TEXT(B358,"yyyy")</f>
        <v>2025</v>
      </c>
      <c r="AE358">
        <f t="shared" si="49"/>
        <v>3108.5</v>
      </c>
      <c r="AF358" s="11">
        <f t="shared" si="50"/>
        <v>2486.8000000000002</v>
      </c>
      <c r="AG358">
        <f t="shared" si="51"/>
        <v>976.77</v>
      </c>
      <c r="AH358" s="11">
        <f t="shared" si="52"/>
        <v>0.31422551069647742</v>
      </c>
      <c r="AI358" s="44">
        <f t="shared" si="53"/>
        <v>0.31422551069647742</v>
      </c>
    </row>
    <row r="359" spans="1:35">
      <c r="A359" t="s">
        <v>1174</v>
      </c>
      <c r="B359" s="5">
        <v>45678</v>
      </c>
      <c r="C359" s="5">
        <v>45686</v>
      </c>
      <c r="D359" s="13">
        <f t="shared" si="45"/>
        <v>8</v>
      </c>
      <c r="E359" t="s">
        <v>1175</v>
      </c>
      <c r="F359" t="s">
        <v>36</v>
      </c>
      <c r="G359" t="s">
        <v>95</v>
      </c>
      <c r="H359" t="s">
        <v>54</v>
      </c>
      <c r="I359" t="s">
        <v>84</v>
      </c>
      <c r="J359" t="s">
        <v>85</v>
      </c>
      <c r="K359" t="s">
        <v>74</v>
      </c>
      <c r="L359" t="s">
        <v>274</v>
      </c>
      <c r="M359" t="s">
        <v>1176</v>
      </c>
      <c r="N359" t="s">
        <v>31</v>
      </c>
      <c r="O359">
        <v>8</v>
      </c>
      <c r="P359">
        <v>546.13</v>
      </c>
      <c r="Q359" s="11">
        <v>0</v>
      </c>
      <c r="R359">
        <v>4369.04</v>
      </c>
      <c r="S359">
        <v>3716.88</v>
      </c>
      <c r="T359">
        <v>652.16</v>
      </c>
      <c r="U359" t="s">
        <v>32</v>
      </c>
      <c r="V359" t="s">
        <v>68</v>
      </c>
      <c r="X359" s="8" t="str">
        <f>IF(C359&gt;=B359,"Valid", "Invalid-Date")</f>
        <v>Valid</v>
      </c>
      <c r="Y359" s="8" t="str">
        <f t="shared" si="46"/>
        <v>Valid</v>
      </c>
      <c r="Z359" s="8" t="str">
        <f t="shared" si="47"/>
        <v>Pass</v>
      </c>
      <c r="AA359" s="8" t="str">
        <f t="shared" si="48"/>
        <v>Pass</v>
      </c>
      <c r="AB359" s="8" t="str">
        <f>TEXT(B359,"mmmm")</f>
        <v>January</v>
      </c>
      <c r="AC359" s="8" t="str">
        <f>TEXT(B359,"yyyy")</f>
        <v>2025</v>
      </c>
      <c r="AE359">
        <f t="shared" si="49"/>
        <v>4369.04</v>
      </c>
      <c r="AF359" s="11">
        <f t="shared" si="50"/>
        <v>4369.04</v>
      </c>
      <c r="AG359">
        <f t="shared" si="51"/>
        <v>652.15999999999985</v>
      </c>
      <c r="AH359" s="11">
        <f t="shared" si="52"/>
        <v>0.14926848918755603</v>
      </c>
      <c r="AI359" s="44">
        <f t="shared" si="53"/>
        <v>0.14926848918755603</v>
      </c>
    </row>
    <row r="360" spans="1:35">
      <c r="A360" t="s">
        <v>1177</v>
      </c>
      <c r="B360" s="5">
        <v>45908</v>
      </c>
      <c r="C360" s="5">
        <v>45846</v>
      </c>
      <c r="D360" s="13">
        <f t="shared" si="45"/>
        <v>-62</v>
      </c>
      <c r="E360" t="s">
        <v>1178</v>
      </c>
      <c r="F360" t="s">
        <v>71</v>
      </c>
      <c r="G360" t="s">
        <v>95</v>
      </c>
      <c r="H360" t="s">
        <v>63</v>
      </c>
      <c r="I360" t="s">
        <v>180</v>
      </c>
      <c r="J360" t="s">
        <v>181</v>
      </c>
      <c r="K360" t="s">
        <v>41</v>
      </c>
      <c r="L360" t="s">
        <v>158</v>
      </c>
      <c r="M360" t="s">
        <v>1179</v>
      </c>
      <c r="N360" t="s">
        <v>31</v>
      </c>
      <c r="O360">
        <v>5</v>
      </c>
      <c r="P360">
        <v>1253.92</v>
      </c>
      <c r="Q360" s="11">
        <v>0.05</v>
      </c>
      <c r="R360">
        <v>5956.12</v>
      </c>
      <c r="S360">
        <v>4379.18</v>
      </c>
      <c r="T360">
        <v>1576.94</v>
      </c>
      <c r="U360" t="s">
        <v>111</v>
      </c>
      <c r="V360" t="s">
        <v>103</v>
      </c>
      <c r="X360" s="8" t="str">
        <f>IF(C360&gt;=B360,"Valid", "Invalid-Date")</f>
        <v>Invalid-Date</v>
      </c>
      <c r="Y360" s="8" t="str">
        <f t="shared" si="46"/>
        <v>Valid</v>
      </c>
      <c r="Z360" s="8" t="str">
        <f t="shared" si="47"/>
        <v>Pass</v>
      </c>
      <c r="AA360" s="8" t="str">
        <f t="shared" si="48"/>
        <v>Pass</v>
      </c>
      <c r="AB360" s="8" t="str">
        <f>TEXT(B360,"mmmm")</f>
        <v>September</v>
      </c>
      <c r="AC360" s="8" t="str">
        <f>TEXT(B360,"yyyy")</f>
        <v>2025</v>
      </c>
      <c r="AE360">
        <f t="shared" si="49"/>
        <v>6269.6</v>
      </c>
      <c r="AF360" s="11">
        <f t="shared" si="50"/>
        <v>5956.12</v>
      </c>
      <c r="AG360">
        <f t="shared" si="51"/>
        <v>1890.42</v>
      </c>
      <c r="AH360" s="11">
        <f t="shared" si="52"/>
        <v>0.30152162817404621</v>
      </c>
      <c r="AI360" s="44">
        <f t="shared" si="53"/>
        <v>0.30152162817404621</v>
      </c>
    </row>
    <row r="361" spans="1:35">
      <c r="A361" t="s">
        <v>1180</v>
      </c>
      <c r="B361" s="5">
        <v>45525</v>
      </c>
      <c r="C361" s="5">
        <v>45526</v>
      </c>
      <c r="D361" s="13">
        <f t="shared" si="45"/>
        <v>1</v>
      </c>
      <c r="E361" t="s">
        <v>1181</v>
      </c>
      <c r="F361" t="s">
        <v>47</v>
      </c>
      <c r="G361" t="s">
        <v>24</v>
      </c>
      <c r="H361" t="s">
        <v>54</v>
      </c>
      <c r="I361" t="s">
        <v>247</v>
      </c>
      <c r="J361" t="s">
        <v>248</v>
      </c>
      <c r="K361" t="s">
        <v>74</v>
      </c>
      <c r="L361" t="s">
        <v>171</v>
      </c>
      <c r="M361" t="s">
        <v>1182</v>
      </c>
      <c r="N361" t="s">
        <v>44</v>
      </c>
      <c r="O361">
        <v>9</v>
      </c>
      <c r="P361">
        <v>616.96</v>
      </c>
      <c r="Q361" s="11">
        <v>0.1</v>
      </c>
      <c r="R361">
        <v>4997.38</v>
      </c>
      <c r="S361">
        <v>2971.39</v>
      </c>
      <c r="T361">
        <v>2025.99</v>
      </c>
      <c r="U361" t="s">
        <v>32</v>
      </c>
      <c r="V361" t="s">
        <v>33</v>
      </c>
      <c r="X361" s="8" t="str">
        <f>IF(C361&gt;=B361,"Valid", "Invalid-Date")</f>
        <v>Valid</v>
      </c>
      <c r="Y361" s="8" t="str">
        <f t="shared" si="46"/>
        <v>Valid</v>
      </c>
      <c r="Z361" s="8" t="str">
        <f t="shared" si="47"/>
        <v>Pass</v>
      </c>
      <c r="AA361" s="8" t="str">
        <f t="shared" si="48"/>
        <v>Pass</v>
      </c>
      <c r="AB361" s="8" t="str">
        <f>TEXT(B361,"mmmm")</f>
        <v>August</v>
      </c>
      <c r="AC361" s="8" t="str">
        <f>TEXT(B361,"yyyy")</f>
        <v>2024</v>
      </c>
      <c r="AE361">
        <f t="shared" si="49"/>
        <v>5552.64</v>
      </c>
      <c r="AF361" s="11">
        <f t="shared" si="50"/>
        <v>4997.3760000000002</v>
      </c>
      <c r="AG361">
        <f t="shared" si="51"/>
        <v>2581.2500000000005</v>
      </c>
      <c r="AH361" s="11">
        <f t="shared" si="52"/>
        <v>0.46486896323190413</v>
      </c>
      <c r="AI361" s="44">
        <f t="shared" si="53"/>
        <v>0.46486896323190413</v>
      </c>
    </row>
    <row r="362" spans="1:35">
      <c r="A362" t="s">
        <v>1183</v>
      </c>
      <c r="B362" s="5">
        <v>45460</v>
      </c>
      <c r="C362" s="5">
        <v>45463</v>
      </c>
      <c r="D362" s="13">
        <f t="shared" si="45"/>
        <v>3</v>
      </c>
      <c r="E362" t="s">
        <v>1184</v>
      </c>
      <c r="F362" t="s">
        <v>132</v>
      </c>
      <c r="G362" t="s">
        <v>37</v>
      </c>
      <c r="H362" t="s">
        <v>63</v>
      </c>
      <c r="I362" t="s">
        <v>180</v>
      </c>
      <c r="J362" t="s">
        <v>181</v>
      </c>
      <c r="K362" t="s">
        <v>41</v>
      </c>
      <c r="L362" t="s">
        <v>57</v>
      </c>
      <c r="M362" t="s">
        <v>1185</v>
      </c>
      <c r="N362" t="s">
        <v>59</v>
      </c>
      <c r="O362">
        <v>7</v>
      </c>
      <c r="P362">
        <v>3155.25</v>
      </c>
      <c r="Q362" s="11">
        <v>0.2</v>
      </c>
      <c r="R362">
        <v>17669.400000000001</v>
      </c>
      <c r="S362">
        <v>13718.77</v>
      </c>
      <c r="T362">
        <v>3950.63</v>
      </c>
      <c r="U362" t="s">
        <v>102</v>
      </c>
      <c r="V362" t="s">
        <v>68</v>
      </c>
      <c r="X362" s="8" t="str">
        <f>IF(C362&gt;=B362,"Valid", "Invalid-Date")</f>
        <v>Valid</v>
      </c>
      <c r="Y362" s="8" t="str">
        <f t="shared" si="46"/>
        <v>Valid</v>
      </c>
      <c r="Z362" s="8" t="str">
        <f t="shared" si="47"/>
        <v>Pass</v>
      </c>
      <c r="AA362" s="8" t="str">
        <f t="shared" si="48"/>
        <v>Pass</v>
      </c>
      <c r="AB362" s="8" t="str">
        <f>TEXT(B362,"mmmm")</f>
        <v>June</v>
      </c>
      <c r="AC362" s="8" t="str">
        <f>TEXT(B362,"yyyy")</f>
        <v>2024</v>
      </c>
      <c r="AE362">
        <f t="shared" si="49"/>
        <v>22086.75</v>
      </c>
      <c r="AF362" s="11">
        <f t="shared" si="50"/>
        <v>17669.400000000001</v>
      </c>
      <c r="AG362">
        <f t="shared" si="51"/>
        <v>8367.98</v>
      </c>
      <c r="AH362" s="11">
        <f t="shared" si="52"/>
        <v>0.37886877879271508</v>
      </c>
      <c r="AI362" s="44">
        <f t="shared" si="53"/>
        <v>0.37886877879271508</v>
      </c>
    </row>
    <row r="363" spans="1:35">
      <c r="A363" t="s">
        <v>1186</v>
      </c>
      <c r="B363" s="5">
        <v>45748</v>
      </c>
      <c r="C363" s="5">
        <v>45692</v>
      </c>
      <c r="D363" s="13">
        <f t="shared" si="45"/>
        <v>-56</v>
      </c>
      <c r="E363" t="s">
        <v>1187</v>
      </c>
      <c r="F363" t="s">
        <v>141</v>
      </c>
      <c r="G363" t="s">
        <v>90</v>
      </c>
      <c r="H363" t="s">
        <v>38</v>
      </c>
      <c r="I363" t="s">
        <v>39</v>
      </c>
      <c r="J363" t="s">
        <v>40</v>
      </c>
      <c r="K363" t="s">
        <v>41</v>
      </c>
      <c r="L363" t="s">
        <v>66</v>
      </c>
      <c r="M363" t="s">
        <v>1188</v>
      </c>
      <c r="N363" t="s">
        <v>31</v>
      </c>
      <c r="O363">
        <v>9</v>
      </c>
      <c r="P363">
        <v>4165.58</v>
      </c>
      <c r="Q363" s="11">
        <v>0.05</v>
      </c>
      <c r="R363">
        <v>35615.71</v>
      </c>
      <c r="S363">
        <v>20389.71</v>
      </c>
      <c r="T363">
        <v>15226</v>
      </c>
      <c r="U363" t="s">
        <v>111</v>
      </c>
      <c r="V363" t="s">
        <v>103</v>
      </c>
      <c r="X363" s="8" t="str">
        <f>IF(C363&gt;=B363,"Valid", "Invalid-Date")</f>
        <v>Invalid-Date</v>
      </c>
      <c r="Y363" s="8" t="str">
        <f t="shared" si="46"/>
        <v>Valid</v>
      </c>
      <c r="Z363" s="8" t="str">
        <f t="shared" si="47"/>
        <v>Pass</v>
      </c>
      <c r="AA363" s="8" t="str">
        <f t="shared" si="48"/>
        <v>Pass</v>
      </c>
      <c r="AB363" s="8" t="str">
        <f>TEXT(B363,"mmmm")</f>
        <v>April</v>
      </c>
      <c r="AC363" s="8" t="str">
        <f>TEXT(B363,"yyyy")</f>
        <v>2025</v>
      </c>
      <c r="AE363">
        <f t="shared" si="49"/>
        <v>37490.22</v>
      </c>
      <c r="AF363" s="11">
        <f t="shared" si="50"/>
        <v>35615.709000000003</v>
      </c>
      <c r="AG363">
        <f t="shared" si="51"/>
        <v>17100.510000000002</v>
      </c>
      <c r="AH363" s="11">
        <f t="shared" si="52"/>
        <v>0.45613255937148411</v>
      </c>
      <c r="AI363" s="44">
        <f t="shared" si="53"/>
        <v>0.45613255937148411</v>
      </c>
    </row>
    <row r="364" spans="1:35">
      <c r="A364" t="s">
        <v>1189</v>
      </c>
      <c r="B364" s="5">
        <v>45527</v>
      </c>
      <c r="C364" s="5">
        <v>45529</v>
      </c>
      <c r="D364" s="13">
        <f t="shared" si="45"/>
        <v>2</v>
      </c>
      <c r="E364" t="s">
        <v>1190</v>
      </c>
      <c r="F364" t="s">
        <v>71</v>
      </c>
      <c r="G364" t="s">
        <v>24</v>
      </c>
      <c r="H364" t="s">
        <v>63</v>
      </c>
      <c r="I364" t="s">
        <v>190</v>
      </c>
      <c r="J364" t="s">
        <v>191</v>
      </c>
      <c r="K364" t="s">
        <v>74</v>
      </c>
      <c r="L364" t="s">
        <v>274</v>
      </c>
      <c r="M364" t="s">
        <v>1191</v>
      </c>
      <c r="N364" t="s">
        <v>44</v>
      </c>
      <c r="O364">
        <v>4</v>
      </c>
      <c r="P364">
        <v>491.16</v>
      </c>
      <c r="Q364" s="11">
        <v>0.05</v>
      </c>
      <c r="R364">
        <v>1866.41</v>
      </c>
      <c r="S364">
        <v>1576.49</v>
      </c>
      <c r="T364">
        <v>289.92</v>
      </c>
      <c r="U364" t="s">
        <v>32</v>
      </c>
      <c r="V364" t="s">
        <v>33</v>
      </c>
      <c r="X364" s="8" t="str">
        <f>IF(C364&gt;=B364,"Valid", "Invalid-Date")</f>
        <v>Valid</v>
      </c>
      <c r="Y364" s="8" t="str">
        <f t="shared" si="46"/>
        <v>Valid</v>
      </c>
      <c r="Z364" s="8" t="str">
        <f t="shared" si="47"/>
        <v>Pass</v>
      </c>
      <c r="AA364" s="8" t="str">
        <f t="shared" si="48"/>
        <v>Pass</v>
      </c>
      <c r="AB364" s="8" t="str">
        <f>TEXT(B364,"mmmm")</f>
        <v>August</v>
      </c>
      <c r="AC364" s="8" t="str">
        <f>TEXT(B364,"yyyy")</f>
        <v>2024</v>
      </c>
      <c r="AE364">
        <f t="shared" si="49"/>
        <v>1964.64</v>
      </c>
      <c r="AF364" s="11">
        <f t="shared" si="50"/>
        <v>1866.4079999999999</v>
      </c>
      <c r="AG364">
        <f t="shared" si="51"/>
        <v>388.15000000000009</v>
      </c>
      <c r="AH364" s="11">
        <f t="shared" si="52"/>
        <v>0.19756800228031601</v>
      </c>
      <c r="AI364" s="44">
        <f t="shared" si="53"/>
        <v>0.19756800228031601</v>
      </c>
    </row>
    <row r="365" spans="1:35">
      <c r="A365" t="s">
        <v>1192</v>
      </c>
      <c r="B365" s="5">
        <v>45845</v>
      </c>
      <c r="C365" s="5">
        <v>45998</v>
      </c>
      <c r="D365" s="13">
        <f t="shared" si="45"/>
        <v>153</v>
      </c>
      <c r="E365" t="s">
        <v>1193</v>
      </c>
      <c r="F365" t="s">
        <v>162</v>
      </c>
      <c r="G365" t="s">
        <v>90</v>
      </c>
      <c r="H365" t="s">
        <v>38</v>
      </c>
      <c r="I365" t="s">
        <v>99</v>
      </c>
      <c r="J365" t="s">
        <v>100</v>
      </c>
      <c r="K365" t="s">
        <v>41</v>
      </c>
      <c r="L365" t="s">
        <v>42</v>
      </c>
      <c r="M365" t="s">
        <v>1194</v>
      </c>
      <c r="N365" t="s">
        <v>31</v>
      </c>
      <c r="O365">
        <v>5</v>
      </c>
      <c r="P365">
        <v>1831.37</v>
      </c>
      <c r="Q365" s="11">
        <v>0.25</v>
      </c>
      <c r="R365">
        <v>6867.64</v>
      </c>
      <c r="S365">
        <v>5205.3599999999997</v>
      </c>
      <c r="T365">
        <v>1662.28</v>
      </c>
      <c r="U365" t="s">
        <v>32</v>
      </c>
      <c r="V365" t="s">
        <v>33</v>
      </c>
      <c r="X365" s="8" t="str">
        <f>IF(C365&gt;=B365,"Valid", "Invalid-Date")</f>
        <v>Valid</v>
      </c>
      <c r="Y365" s="8" t="str">
        <f t="shared" si="46"/>
        <v>Valid</v>
      </c>
      <c r="Z365" s="8" t="str">
        <f t="shared" si="47"/>
        <v>Pass</v>
      </c>
      <c r="AA365" s="8" t="str">
        <f t="shared" si="48"/>
        <v>Pass</v>
      </c>
      <c r="AB365" s="8" t="str">
        <f>TEXT(B365,"mmmm")</f>
        <v>July</v>
      </c>
      <c r="AC365" s="8" t="str">
        <f>TEXT(B365,"yyyy")</f>
        <v>2025</v>
      </c>
      <c r="AE365">
        <f t="shared" si="49"/>
        <v>9156.8499999999985</v>
      </c>
      <c r="AF365" s="11">
        <f t="shared" si="50"/>
        <v>6867.6374999999989</v>
      </c>
      <c r="AG365">
        <f t="shared" si="51"/>
        <v>3951.4899999999989</v>
      </c>
      <c r="AH365" s="11">
        <f t="shared" si="52"/>
        <v>0.4315337698007502</v>
      </c>
      <c r="AI365" s="44">
        <f t="shared" si="53"/>
        <v>0.4315337698007502</v>
      </c>
    </row>
    <row r="366" spans="1:35">
      <c r="A366" t="s">
        <v>1195</v>
      </c>
      <c r="B366" s="5">
        <v>45737</v>
      </c>
      <c r="C366" s="5">
        <v>45740</v>
      </c>
      <c r="D366" s="13">
        <f t="shared" si="45"/>
        <v>3</v>
      </c>
      <c r="E366" t="s">
        <v>1196</v>
      </c>
      <c r="F366" t="s">
        <v>128</v>
      </c>
      <c r="G366" t="s">
        <v>37</v>
      </c>
      <c r="H366" t="s">
        <v>54</v>
      </c>
      <c r="I366" t="s">
        <v>84</v>
      </c>
      <c r="J366" t="s">
        <v>85</v>
      </c>
      <c r="K366" t="s">
        <v>41</v>
      </c>
      <c r="L366" t="s">
        <v>66</v>
      </c>
      <c r="M366" t="s">
        <v>1197</v>
      </c>
      <c r="N366" t="s">
        <v>31</v>
      </c>
      <c r="O366">
        <v>5</v>
      </c>
      <c r="P366">
        <v>1239.1500000000001</v>
      </c>
      <c r="Q366" s="11">
        <v>0</v>
      </c>
      <c r="R366">
        <v>6195.75</v>
      </c>
      <c r="S366">
        <v>3967.02</v>
      </c>
      <c r="T366">
        <v>2228.73</v>
      </c>
      <c r="U366" t="s">
        <v>32</v>
      </c>
      <c r="V366" t="s">
        <v>33</v>
      </c>
      <c r="X366" s="8" t="str">
        <f>IF(C366&gt;=B366,"Valid", "Invalid-Date")</f>
        <v>Valid</v>
      </c>
      <c r="Y366" s="8" t="str">
        <f t="shared" si="46"/>
        <v>Valid</v>
      </c>
      <c r="Z366" s="8" t="str">
        <f t="shared" si="47"/>
        <v>Pass</v>
      </c>
      <c r="AA366" s="8" t="str">
        <f t="shared" si="48"/>
        <v>Pass</v>
      </c>
      <c r="AB366" s="8" t="str">
        <f>TEXT(B366,"mmmm")</f>
        <v>March</v>
      </c>
      <c r="AC366" s="8" t="str">
        <f>TEXT(B366,"yyyy")</f>
        <v>2025</v>
      </c>
      <c r="AE366">
        <f t="shared" si="49"/>
        <v>6195.75</v>
      </c>
      <c r="AF366" s="11">
        <f t="shared" si="50"/>
        <v>6195.75</v>
      </c>
      <c r="AG366">
        <f t="shared" si="51"/>
        <v>2228.73</v>
      </c>
      <c r="AH366" s="11">
        <f t="shared" si="52"/>
        <v>0.35971916232901585</v>
      </c>
      <c r="AI366" s="44">
        <f t="shared" si="53"/>
        <v>0.35971916232901585</v>
      </c>
    </row>
    <row r="367" spans="1:35">
      <c r="A367" t="s">
        <v>1198</v>
      </c>
      <c r="B367" s="5">
        <v>45458</v>
      </c>
      <c r="C367" s="5">
        <v>45464</v>
      </c>
      <c r="D367" s="13">
        <f t="shared" si="45"/>
        <v>6</v>
      </c>
      <c r="E367" t="s">
        <v>1199</v>
      </c>
      <c r="F367" t="s">
        <v>89</v>
      </c>
      <c r="G367" t="s">
        <v>90</v>
      </c>
      <c r="H367" t="s">
        <v>63</v>
      </c>
      <c r="I367" t="s">
        <v>190</v>
      </c>
      <c r="J367" t="s">
        <v>191</v>
      </c>
      <c r="K367" t="s">
        <v>74</v>
      </c>
      <c r="L367" t="s">
        <v>75</v>
      </c>
      <c r="M367" t="s">
        <v>1200</v>
      </c>
      <c r="N367" t="s">
        <v>50</v>
      </c>
      <c r="O367">
        <v>8</v>
      </c>
      <c r="P367">
        <v>1706.4</v>
      </c>
      <c r="Q367" s="11">
        <v>0</v>
      </c>
      <c r="R367">
        <v>12968.64</v>
      </c>
      <c r="S367">
        <v>10119.61</v>
      </c>
      <c r="T367">
        <v>2849.03</v>
      </c>
      <c r="U367" t="s">
        <v>32</v>
      </c>
      <c r="V367" t="s">
        <v>33</v>
      </c>
      <c r="X367" s="8" t="str">
        <f>IF(C367&gt;=B367,"Valid", "Invalid-Date")</f>
        <v>Valid</v>
      </c>
      <c r="Y367" s="8" t="str">
        <f t="shared" si="46"/>
        <v>Valid</v>
      </c>
      <c r="Z367" s="8" t="str">
        <f t="shared" si="47"/>
        <v>Pass</v>
      </c>
      <c r="AA367" s="8" t="str">
        <f t="shared" si="48"/>
        <v>Pass</v>
      </c>
      <c r="AB367" s="8" t="str">
        <f>TEXT(B367,"mmmm")</f>
        <v>June</v>
      </c>
      <c r="AC367" s="8" t="str">
        <f>TEXT(B367,"yyyy")</f>
        <v>2024</v>
      </c>
      <c r="AE367">
        <f t="shared" si="49"/>
        <v>13651.2</v>
      </c>
      <c r="AF367" s="11">
        <f t="shared" si="50"/>
        <v>13651.2</v>
      </c>
      <c r="AG367">
        <f t="shared" si="51"/>
        <v>3531.59</v>
      </c>
      <c r="AH367" s="11">
        <f t="shared" si="52"/>
        <v>0.2587017991092358</v>
      </c>
      <c r="AI367" s="44">
        <f t="shared" si="53"/>
        <v>0.2587017991092358</v>
      </c>
    </row>
    <row r="368" spans="1:35">
      <c r="A368" t="s">
        <v>1201</v>
      </c>
      <c r="B368" s="5">
        <v>45673</v>
      </c>
      <c r="C368" s="5">
        <v>45679</v>
      </c>
      <c r="D368" s="13">
        <f t="shared" si="45"/>
        <v>6</v>
      </c>
      <c r="E368" t="s">
        <v>1202</v>
      </c>
      <c r="F368" t="s">
        <v>132</v>
      </c>
      <c r="G368" t="s">
        <v>90</v>
      </c>
      <c r="H368" t="s">
        <v>25</v>
      </c>
      <c r="I368" t="s">
        <v>26</v>
      </c>
      <c r="J368" t="s">
        <v>27</v>
      </c>
      <c r="K368" t="s">
        <v>41</v>
      </c>
      <c r="L368" t="s">
        <v>42</v>
      </c>
      <c r="M368" t="s">
        <v>1203</v>
      </c>
      <c r="N368" t="s">
        <v>44</v>
      </c>
      <c r="O368">
        <v>2</v>
      </c>
      <c r="P368">
        <v>4418.28</v>
      </c>
      <c r="Q368" s="11">
        <v>0</v>
      </c>
      <c r="R368">
        <v>8836.56</v>
      </c>
      <c r="S368">
        <v>5867.75</v>
      </c>
      <c r="T368">
        <v>2968.81</v>
      </c>
      <c r="U368" t="s">
        <v>32</v>
      </c>
      <c r="V368" t="s">
        <v>33</v>
      </c>
      <c r="X368" s="8" t="str">
        <f>IF(C368&gt;=B368,"Valid", "Invalid-Date")</f>
        <v>Valid</v>
      </c>
      <c r="Y368" s="8" t="str">
        <f t="shared" si="46"/>
        <v>Valid</v>
      </c>
      <c r="Z368" s="8" t="str">
        <f t="shared" si="47"/>
        <v>Pass</v>
      </c>
      <c r="AA368" s="8" t="str">
        <f t="shared" si="48"/>
        <v>Pass</v>
      </c>
      <c r="AB368" s="8" t="str">
        <f>TEXT(B368,"mmmm")</f>
        <v>January</v>
      </c>
      <c r="AC368" s="8" t="str">
        <f>TEXT(B368,"yyyy")</f>
        <v>2025</v>
      </c>
      <c r="AE368">
        <f t="shared" si="49"/>
        <v>8836.56</v>
      </c>
      <c r="AF368" s="11">
        <f t="shared" si="50"/>
        <v>8836.56</v>
      </c>
      <c r="AG368">
        <f t="shared" si="51"/>
        <v>2968.8099999999995</v>
      </c>
      <c r="AH368" s="11">
        <f t="shared" si="52"/>
        <v>0.33596897435201023</v>
      </c>
      <c r="AI368" s="44">
        <f t="shared" si="53"/>
        <v>0.33596897435201023</v>
      </c>
    </row>
    <row r="369" spans="1:35">
      <c r="A369" t="s">
        <v>1204</v>
      </c>
      <c r="B369" s="5">
        <v>45366</v>
      </c>
      <c r="C369" s="5">
        <v>45367</v>
      </c>
      <c r="D369" s="13">
        <f t="shared" si="45"/>
        <v>1</v>
      </c>
      <c r="E369" t="s">
        <v>1205</v>
      </c>
      <c r="F369" t="s">
        <v>141</v>
      </c>
      <c r="G369" t="s">
        <v>24</v>
      </c>
      <c r="H369" t="s">
        <v>25</v>
      </c>
      <c r="I369" t="s">
        <v>350</v>
      </c>
      <c r="J369" t="s">
        <v>351</v>
      </c>
      <c r="K369" t="s">
        <v>28</v>
      </c>
      <c r="L369" t="s">
        <v>48</v>
      </c>
      <c r="M369" t="s">
        <v>1206</v>
      </c>
      <c r="N369" t="s">
        <v>59</v>
      </c>
      <c r="O369">
        <v>6</v>
      </c>
      <c r="P369">
        <v>3815.09</v>
      </c>
      <c r="Q369" s="11">
        <v>0.15</v>
      </c>
      <c r="R369">
        <v>19456.96</v>
      </c>
      <c r="S369">
        <v>14520.06</v>
      </c>
      <c r="T369">
        <v>4936.8999999999996</v>
      </c>
      <c r="U369" t="s">
        <v>155</v>
      </c>
      <c r="V369" t="s">
        <v>68</v>
      </c>
      <c r="X369" s="8" t="str">
        <f>IF(C369&gt;=B369,"Valid", "Invalid-Date")</f>
        <v>Valid</v>
      </c>
      <c r="Y369" s="8" t="str">
        <f t="shared" si="46"/>
        <v>Valid</v>
      </c>
      <c r="Z369" s="8" t="str">
        <f t="shared" si="47"/>
        <v>Pass</v>
      </c>
      <c r="AA369" s="8" t="str">
        <f t="shared" si="48"/>
        <v>Pass</v>
      </c>
      <c r="AB369" s="8" t="str">
        <f>TEXT(B369,"mmmm")</f>
        <v>March</v>
      </c>
      <c r="AC369" s="8" t="str">
        <f>TEXT(B369,"yyyy")</f>
        <v>2024</v>
      </c>
      <c r="AE369">
        <f t="shared" si="49"/>
        <v>22890.54</v>
      </c>
      <c r="AF369" s="11">
        <f t="shared" si="50"/>
        <v>19456.958999999999</v>
      </c>
      <c r="AG369">
        <f t="shared" si="51"/>
        <v>8370.4800000000014</v>
      </c>
      <c r="AH369" s="11">
        <f t="shared" si="52"/>
        <v>0.36567420427827396</v>
      </c>
      <c r="AI369" s="44">
        <f t="shared" si="53"/>
        <v>0.36567420427827396</v>
      </c>
    </row>
    <row r="370" spans="1:35">
      <c r="A370" t="s">
        <v>1207</v>
      </c>
      <c r="B370" s="5">
        <v>45844</v>
      </c>
      <c r="C370" s="5">
        <v>45844</v>
      </c>
      <c r="D370" s="13">
        <f t="shared" si="45"/>
        <v>0</v>
      </c>
      <c r="E370" t="s">
        <v>1208</v>
      </c>
      <c r="F370" t="s">
        <v>128</v>
      </c>
      <c r="G370" t="s">
        <v>95</v>
      </c>
      <c r="H370" t="s">
        <v>25</v>
      </c>
      <c r="I370" t="s">
        <v>26</v>
      </c>
      <c r="J370" t="s">
        <v>27</v>
      </c>
      <c r="K370" t="s">
        <v>74</v>
      </c>
      <c r="L370" t="s">
        <v>75</v>
      </c>
      <c r="M370" t="s">
        <v>1209</v>
      </c>
      <c r="N370" t="s">
        <v>44</v>
      </c>
      <c r="O370">
        <v>9</v>
      </c>
      <c r="P370">
        <v>243.19</v>
      </c>
      <c r="Q370" s="11">
        <v>0.05</v>
      </c>
      <c r="R370">
        <v>2079.27</v>
      </c>
      <c r="S370">
        <v>1512.17</v>
      </c>
      <c r="T370">
        <v>567.1</v>
      </c>
      <c r="U370" t="s">
        <v>102</v>
      </c>
      <c r="V370" t="s">
        <v>103</v>
      </c>
      <c r="X370" s="8" t="str">
        <f>IF(C370&gt;=B370,"Valid", "Invalid-Date")</f>
        <v>Valid</v>
      </c>
      <c r="Y370" s="8" t="str">
        <f t="shared" si="46"/>
        <v>Valid</v>
      </c>
      <c r="Z370" s="8" t="str">
        <f t="shared" si="47"/>
        <v>Pass</v>
      </c>
      <c r="AA370" s="8" t="str">
        <f t="shared" si="48"/>
        <v>Pass</v>
      </c>
      <c r="AB370" s="8" t="str">
        <f>TEXT(B370,"mmmm")</f>
        <v>July</v>
      </c>
      <c r="AC370" s="8" t="str">
        <f>TEXT(B370,"yyyy")</f>
        <v>2025</v>
      </c>
      <c r="AE370">
        <f t="shared" si="49"/>
        <v>2188.71</v>
      </c>
      <c r="AF370" s="11">
        <f t="shared" si="50"/>
        <v>2079.2745</v>
      </c>
      <c r="AG370">
        <f t="shared" si="51"/>
        <v>676.54</v>
      </c>
      <c r="AH370" s="11">
        <f t="shared" si="52"/>
        <v>0.30910444965299194</v>
      </c>
      <c r="AI370" s="44">
        <f t="shared" si="53"/>
        <v>0.30910444965299194</v>
      </c>
    </row>
    <row r="371" spans="1:35">
      <c r="A371" t="s">
        <v>1210</v>
      </c>
      <c r="B371" s="5">
        <v>45680</v>
      </c>
      <c r="C371" s="5">
        <v>45687</v>
      </c>
      <c r="D371" s="13">
        <f t="shared" si="45"/>
        <v>7</v>
      </c>
      <c r="E371" t="s">
        <v>1211</v>
      </c>
      <c r="F371" t="s">
        <v>114</v>
      </c>
      <c r="G371" t="s">
        <v>24</v>
      </c>
      <c r="H371" t="s">
        <v>25</v>
      </c>
      <c r="I371" t="s">
        <v>350</v>
      </c>
      <c r="J371" t="s">
        <v>351</v>
      </c>
      <c r="K371" t="s">
        <v>28</v>
      </c>
      <c r="L371" t="s">
        <v>91</v>
      </c>
      <c r="M371" t="s">
        <v>1212</v>
      </c>
      <c r="N371" t="s">
        <v>59</v>
      </c>
      <c r="O371">
        <v>9</v>
      </c>
      <c r="P371">
        <v>1169.3699999999999</v>
      </c>
      <c r="Q371" s="11">
        <v>0.15</v>
      </c>
      <c r="R371">
        <v>8945.68</v>
      </c>
      <c r="S371">
        <v>6740.35</v>
      </c>
      <c r="T371">
        <v>2205.33</v>
      </c>
      <c r="U371" t="s">
        <v>32</v>
      </c>
      <c r="V371" t="s">
        <v>33</v>
      </c>
      <c r="X371" s="8" t="str">
        <f>IF(C371&gt;=B371,"Valid", "Invalid-Date")</f>
        <v>Valid</v>
      </c>
      <c r="Y371" s="8" t="str">
        <f t="shared" si="46"/>
        <v>Valid</v>
      </c>
      <c r="Z371" s="8" t="str">
        <f t="shared" si="47"/>
        <v>Pass</v>
      </c>
      <c r="AA371" s="8" t="str">
        <f t="shared" si="48"/>
        <v>Pass</v>
      </c>
      <c r="AB371" s="8" t="str">
        <f>TEXT(B371,"mmmm")</f>
        <v>January</v>
      </c>
      <c r="AC371" s="8" t="str">
        <f>TEXT(B371,"yyyy")</f>
        <v>2025</v>
      </c>
      <c r="AE371">
        <f t="shared" si="49"/>
        <v>10524.329999999998</v>
      </c>
      <c r="AF371" s="11">
        <f t="shared" si="50"/>
        <v>8945.6804999999986</v>
      </c>
      <c r="AG371">
        <f t="shared" si="51"/>
        <v>3783.9799999999977</v>
      </c>
      <c r="AH371" s="11">
        <f t="shared" si="52"/>
        <v>0.35954592833938109</v>
      </c>
      <c r="AI371" s="44">
        <f t="shared" si="53"/>
        <v>0.35954592833938109</v>
      </c>
    </row>
    <row r="372" spans="1:35">
      <c r="A372" t="s">
        <v>1213</v>
      </c>
      <c r="B372" s="5">
        <v>45519</v>
      </c>
      <c r="C372" s="5">
        <v>45525</v>
      </c>
      <c r="D372" s="13">
        <f t="shared" si="45"/>
        <v>6</v>
      </c>
      <c r="E372" t="s">
        <v>1214</v>
      </c>
      <c r="F372" t="s">
        <v>62</v>
      </c>
      <c r="G372" t="s">
        <v>37</v>
      </c>
      <c r="H372" t="s">
        <v>63</v>
      </c>
      <c r="I372" t="s">
        <v>26</v>
      </c>
      <c r="J372" t="s">
        <v>109</v>
      </c>
      <c r="K372" t="s">
        <v>74</v>
      </c>
      <c r="L372" t="s">
        <v>80</v>
      </c>
      <c r="M372" t="s">
        <v>1215</v>
      </c>
      <c r="N372" t="s">
        <v>50</v>
      </c>
      <c r="O372">
        <v>7</v>
      </c>
      <c r="P372">
        <v>2333.81</v>
      </c>
      <c r="Q372" s="11">
        <v>0.2</v>
      </c>
      <c r="R372">
        <v>13069.34</v>
      </c>
      <c r="S372">
        <v>8768.59</v>
      </c>
      <c r="T372">
        <v>4300.75</v>
      </c>
      <c r="U372" t="s">
        <v>32</v>
      </c>
      <c r="V372" t="s">
        <v>33</v>
      </c>
      <c r="X372" s="8" t="str">
        <f>IF(C372&gt;=B372,"Valid", "Invalid-Date")</f>
        <v>Valid</v>
      </c>
      <c r="Y372" s="8" t="str">
        <f t="shared" si="46"/>
        <v>Valid</v>
      </c>
      <c r="Z372" s="8" t="str">
        <f t="shared" si="47"/>
        <v>Pass</v>
      </c>
      <c r="AA372" s="8" t="str">
        <f t="shared" si="48"/>
        <v>Pass</v>
      </c>
      <c r="AB372" s="8" t="str">
        <f>TEXT(B372,"mmmm")</f>
        <v>August</v>
      </c>
      <c r="AC372" s="8" t="str">
        <f>TEXT(B372,"yyyy")</f>
        <v>2024</v>
      </c>
      <c r="AE372">
        <f t="shared" si="49"/>
        <v>16336.67</v>
      </c>
      <c r="AF372" s="11">
        <f t="shared" si="50"/>
        <v>13069.336000000001</v>
      </c>
      <c r="AG372">
        <f t="shared" si="51"/>
        <v>7568.08</v>
      </c>
      <c r="AH372" s="11">
        <f t="shared" si="52"/>
        <v>0.46325719990671294</v>
      </c>
      <c r="AI372" s="44">
        <f t="shared" si="53"/>
        <v>0.46325719990671294</v>
      </c>
    </row>
    <row r="373" spans="1:35">
      <c r="A373" t="s">
        <v>1216</v>
      </c>
      <c r="B373" s="5">
        <v>45313</v>
      </c>
      <c r="C373" s="5">
        <v>45315</v>
      </c>
      <c r="D373" s="13">
        <f t="shared" si="45"/>
        <v>2</v>
      </c>
      <c r="E373" t="s">
        <v>1217</v>
      </c>
      <c r="F373" t="s">
        <v>162</v>
      </c>
      <c r="G373" t="s">
        <v>95</v>
      </c>
      <c r="H373" t="s">
        <v>63</v>
      </c>
      <c r="I373" t="s">
        <v>64</v>
      </c>
      <c r="J373" t="s">
        <v>65</v>
      </c>
      <c r="K373" t="s">
        <v>28</v>
      </c>
      <c r="L373" t="s">
        <v>48</v>
      </c>
      <c r="M373" t="s">
        <v>1218</v>
      </c>
      <c r="N373" t="s">
        <v>59</v>
      </c>
      <c r="O373">
        <v>6</v>
      </c>
      <c r="P373">
        <v>1026.06</v>
      </c>
      <c r="Q373" s="11">
        <v>0</v>
      </c>
      <c r="R373">
        <v>4617.2700000000004</v>
      </c>
      <c r="S373">
        <v>2981.94</v>
      </c>
      <c r="T373">
        <v>1635.33</v>
      </c>
      <c r="U373" t="s">
        <v>102</v>
      </c>
      <c r="V373" t="s">
        <v>68</v>
      </c>
      <c r="X373" s="8" t="str">
        <f>IF(C373&gt;=B373,"Valid", "Invalid-Date")</f>
        <v>Valid</v>
      </c>
      <c r="Y373" s="8" t="str">
        <f t="shared" si="46"/>
        <v>Valid</v>
      </c>
      <c r="Z373" s="8" t="str">
        <f t="shared" si="47"/>
        <v>Pass</v>
      </c>
      <c r="AA373" s="8" t="str">
        <f t="shared" si="48"/>
        <v>Pass</v>
      </c>
      <c r="AB373" s="8" t="str">
        <f>TEXT(B373,"mmmm")</f>
        <v>January</v>
      </c>
      <c r="AC373" s="8" t="str">
        <f>TEXT(B373,"yyyy")</f>
        <v>2024</v>
      </c>
      <c r="AE373">
        <f t="shared" si="49"/>
        <v>6156.36</v>
      </c>
      <c r="AF373" s="11">
        <f t="shared" si="50"/>
        <v>6156.36</v>
      </c>
      <c r="AG373">
        <f t="shared" si="51"/>
        <v>3174.4199999999996</v>
      </c>
      <c r="AH373" s="11">
        <f t="shared" si="52"/>
        <v>0.51563261407714944</v>
      </c>
      <c r="AI373" s="44">
        <f t="shared" si="53"/>
        <v>0.51563261407714944</v>
      </c>
    </row>
    <row r="374" spans="1:35">
      <c r="A374" t="s">
        <v>1219</v>
      </c>
      <c r="B374" s="5">
        <v>45885</v>
      </c>
      <c r="C374" s="5">
        <v>45887</v>
      </c>
      <c r="D374" s="13">
        <f t="shared" si="45"/>
        <v>2</v>
      </c>
      <c r="E374" t="s">
        <v>641</v>
      </c>
      <c r="F374" t="s">
        <v>264</v>
      </c>
      <c r="G374" t="s">
        <v>24</v>
      </c>
      <c r="H374" t="s">
        <v>38</v>
      </c>
      <c r="I374" t="s">
        <v>228</v>
      </c>
      <c r="J374" t="s">
        <v>229</v>
      </c>
      <c r="K374" t="s">
        <v>41</v>
      </c>
      <c r="L374" t="s">
        <v>66</v>
      </c>
      <c r="M374" t="s">
        <v>1220</v>
      </c>
      <c r="N374" t="s">
        <v>44</v>
      </c>
      <c r="O374">
        <v>5</v>
      </c>
      <c r="P374">
        <v>1530.36</v>
      </c>
      <c r="Q374" s="11">
        <v>0</v>
      </c>
      <c r="R374">
        <v>7651.8</v>
      </c>
      <c r="S374">
        <v>5171.78</v>
      </c>
      <c r="T374">
        <v>2480.02</v>
      </c>
      <c r="U374" t="s">
        <v>32</v>
      </c>
      <c r="V374" t="s">
        <v>33</v>
      </c>
      <c r="X374" s="8" t="str">
        <f>IF(C374&gt;=B374,"Valid", "Invalid-Date")</f>
        <v>Valid</v>
      </c>
      <c r="Y374" s="8" t="str">
        <f t="shared" si="46"/>
        <v>Valid</v>
      </c>
      <c r="Z374" s="8" t="str">
        <f t="shared" si="47"/>
        <v>Pass</v>
      </c>
      <c r="AA374" s="8" t="str">
        <f t="shared" si="48"/>
        <v>Pass</v>
      </c>
      <c r="AB374" s="8" t="str">
        <f>TEXT(B374,"mmmm")</f>
        <v>August</v>
      </c>
      <c r="AC374" s="8" t="str">
        <f>TEXT(B374,"yyyy")</f>
        <v>2025</v>
      </c>
      <c r="AE374">
        <f t="shared" si="49"/>
        <v>7651.7999999999993</v>
      </c>
      <c r="AF374" s="11">
        <f t="shared" si="50"/>
        <v>7651.7999999999993</v>
      </c>
      <c r="AG374">
        <f t="shared" si="51"/>
        <v>2480.0199999999995</v>
      </c>
      <c r="AH374" s="11">
        <f t="shared" si="52"/>
        <v>0.32410935988917638</v>
      </c>
      <c r="AI374" s="44">
        <f t="shared" si="53"/>
        <v>0.32410935988917638</v>
      </c>
    </row>
    <row r="375" spans="1:35" s="15" customFormat="1">
      <c r="A375" s="15" t="s">
        <v>1221</v>
      </c>
      <c r="B375" s="16">
        <v>45760</v>
      </c>
      <c r="C375" s="16">
        <v>45760</v>
      </c>
      <c r="D375" s="17">
        <f t="shared" si="45"/>
        <v>0</v>
      </c>
      <c r="E375" s="15" t="s">
        <v>1222</v>
      </c>
      <c r="F375" s="15" t="s">
        <v>132</v>
      </c>
      <c r="G375" s="15" t="s">
        <v>37</v>
      </c>
      <c r="H375" s="15" t="s">
        <v>25</v>
      </c>
      <c r="I375" s="15" t="s">
        <v>136</v>
      </c>
      <c r="J375" s="15" t="s">
        <v>137</v>
      </c>
      <c r="K375" s="15" t="s">
        <v>28</v>
      </c>
      <c r="L375" s="15" t="s">
        <v>124</v>
      </c>
      <c r="M375" s="15" t="s">
        <v>1223</v>
      </c>
      <c r="N375" s="15" t="s">
        <v>31</v>
      </c>
      <c r="O375" s="15">
        <v>9</v>
      </c>
      <c r="P375" s="15">
        <v>1118.68</v>
      </c>
      <c r="Q375" s="18">
        <v>0</v>
      </c>
      <c r="R375" s="15">
        <v>10068.120000000001</v>
      </c>
      <c r="S375" s="15">
        <v>8595.3700000000008</v>
      </c>
      <c r="T375" s="15">
        <v>1472.75</v>
      </c>
      <c r="U375" s="15" t="s">
        <v>32</v>
      </c>
      <c r="V375" s="15" t="s">
        <v>33</v>
      </c>
      <c r="W375" s="25"/>
      <c r="X375" s="8" t="str">
        <f>IF(C375&gt;=B375,"Valid", "Invalid-Date")</f>
        <v>Valid</v>
      </c>
      <c r="Y375" s="8" t="str">
        <f t="shared" si="46"/>
        <v>Valid</v>
      </c>
      <c r="Z375" s="19" t="str">
        <f t="shared" si="47"/>
        <v>Pass</v>
      </c>
      <c r="AA375" s="19" t="str">
        <f t="shared" si="48"/>
        <v>Pass</v>
      </c>
      <c r="AB375" s="19" t="str">
        <f>TEXT(B375,"mmmm")</f>
        <v>April</v>
      </c>
      <c r="AC375" s="19" t="str">
        <f>TEXT(B375,"yyyy")</f>
        <v>2025</v>
      </c>
      <c r="AD375" s="20"/>
      <c r="AE375" s="15">
        <f t="shared" si="49"/>
        <v>10068.120000000001</v>
      </c>
      <c r="AF375" s="11">
        <f t="shared" si="50"/>
        <v>10068.120000000001</v>
      </c>
      <c r="AG375" s="15">
        <f t="shared" si="51"/>
        <v>1472.75</v>
      </c>
      <c r="AH375" s="18">
        <f t="shared" si="52"/>
        <v>0.14627855051389932</v>
      </c>
      <c r="AI375" s="45">
        <f t="shared" si="53"/>
        <v>0.14627855051389932</v>
      </c>
    </row>
    <row r="376" spans="1:35">
      <c r="A376" t="s">
        <v>1224</v>
      </c>
      <c r="B376" s="5">
        <v>45715</v>
      </c>
      <c r="C376" s="5">
        <v>45716</v>
      </c>
      <c r="D376" s="13">
        <f t="shared" si="45"/>
        <v>1</v>
      </c>
      <c r="E376" t="s">
        <v>1225</v>
      </c>
      <c r="F376" t="s">
        <v>89</v>
      </c>
      <c r="G376" t="s">
        <v>37</v>
      </c>
      <c r="H376" t="s">
        <v>25</v>
      </c>
      <c r="I376" t="s">
        <v>136</v>
      </c>
      <c r="J376" t="s">
        <v>137</v>
      </c>
      <c r="K376" t="s">
        <v>28</v>
      </c>
      <c r="L376" t="s">
        <v>91</v>
      </c>
      <c r="M376" t="s">
        <v>1226</v>
      </c>
      <c r="N376" t="s">
        <v>59</v>
      </c>
      <c r="O376">
        <v>6</v>
      </c>
      <c r="P376">
        <v>2393.25</v>
      </c>
      <c r="Q376" s="11">
        <v>0</v>
      </c>
      <c r="R376">
        <v>14359.5</v>
      </c>
      <c r="S376">
        <v>8117.71</v>
      </c>
      <c r="T376">
        <v>6241.79</v>
      </c>
      <c r="U376" t="s">
        <v>32</v>
      </c>
      <c r="V376" t="s">
        <v>33</v>
      </c>
      <c r="X376" s="8" t="str">
        <f>IF(C376&gt;=B376,"Valid", "Invalid-Date")</f>
        <v>Valid</v>
      </c>
      <c r="Y376" s="8" t="str">
        <f t="shared" si="46"/>
        <v>Valid</v>
      </c>
      <c r="Z376" s="8" t="str">
        <f t="shared" si="47"/>
        <v>Pass</v>
      </c>
      <c r="AA376" s="8" t="str">
        <f t="shared" si="48"/>
        <v>Pass</v>
      </c>
      <c r="AB376" s="8" t="str">
        <f>TEXT(B376,"mmmm")</f>
        <v>February</v>
      </c>
      <c r="AC376" s="8" t="str">
        <f>TEXT(B376,"yyyy")</f>
        <v>2025</v>
      </c>
      <c r="AE376">
        <f t="shared" si="49"/>
        <v>14359.5</v>
      </c>
      <c r="AF376" s="11">
        <f t="shared" si="50"/>
        <v>14359.5</v>
      </c>
      <c r="AG376">
        <f t="shared" si="51"/>
        <v>6241.79</v>
      </c>
      <c r="AH376" s="11">
        <f t="shared" si="52"/>
        <v>0.43468017688638183</v>
      </c>
      <c r="AI376" s="44">
        <f t="shared" si="53"/>
        <v>0.43468017688638183</v>
      </c>
    </row>
    <row r="377" spans="1:35">
      <c r="A377" t="s">
        <v>1227</v>
      </c>
      <c r="B377" s="5">
        <v>45657</v>
      </c>
      <c r="C377" s="5">
        <v>45748</v>
      </c>
      <c r="D377" s="13">
        <f t="shared" si="45"/>
        <v>91</v>
      </c>
      <c r="E377" t="s">
        <v>1228</v>
      </c>
      <c r="F377" t="s">
        <v>71</v>
      </c>
      <c r="G377" t="s">
        <v>24</v>
      </c>
      <c r="H377" t="s">
        <v>25</v>
      </c>
      <c r="I377" t="s">
        <v>350</v>
      </c>
      <c r="J377" t="s">
        <v>351</v>
      </c>
      <c r="K377" t="s">
        <v>41</v>
      </c>
      <c r="L377" t="s">
        <v>66</v>
      </c>
      <c r="M377" t="s">
        <v>1229</v>
      </c>
      <c r="N377" t="s">
        <v>44</v>
      </c>
      <c r="O377">
        <v>3</v>
      </c>
      <c r="P377">
        <v>1166.6099999999999</v>
      </c>
      <c r="Q377" s="11">
        <v>0.25</v>
      </c>
      <c r="R377">
        <v>2624.87</v>
      </c>
      <c r="S377">
        <v>2253.88</v>
      </c>
      <c r="T377">
        <v>370.99</v>
      </c>
      <c r="U377" t="s">
        <v>32</v>
      </c>
      <c r="V377" t="s">
        <v>33</v>
      </c>
      <c r="X377" s="8" t="str">
        <f>IF(C377&gt;=B377,"Valid", "Invalid-Date")</f>
        <v>Valid</v>
      </c>
      <c r="Y377" s="8" t="str">
        <f t="shared" si="46"/>
        <v>Valid</v>
      </c>
      <c r="Z377" s="8" t="str">
        <f t="shared" si="47"/>
        <v>Pass</v>
      </c>
      <c r="AA377" s="8" t="str">
        <f t="shared" si="48"/>
        <v>Pass</v>
      </c>
      <c r="AB377" s="8" t="str">
        <f>TEXT(B377,"mmmm")</f>
        <v>December</v>
      </c>
      <c r="AC377" s="8" t="str">
        <f>TEXT(B377,"yyyy")</f>
        <v>2024</v>
      </c>
      <c r="AE377">
        <f t="shared" si="49"/>
        <v>3499.83</v>
      </c>
      <c r="AF377" s="11">
        <f t="shared" si="50"/>
        <v>2624.8724999999999</v>
      </c>
      <c r="AG377">
        <f t="shared" si="51"/>
        <v>1245.9499999999998</v>
      </c>
      <c r="AH377" s="11">
        <f t="shared" si="52"/>
        <v>0.3560030058602846</v>
      </c>
      <c r="AI377" s="44">
        <f t="shared" si="53"/>
        <v>0.3560030058602846</v>
      </c>
    </row>
    <row r="378" spans="1:35">
      <c r="A378" t="s">
        <v>1230</v>
      </c>
      <c r="B378" s="5">
        <v>45655</v>
      </c>
      <c r="C378" s="5">
        <v>45657</v>
      </c>
      <c r="D378" s="13">
        <f t="shared" si="45"/>
        <v>2</v>
      </c>
      <c r="E378" t="s">
        <v>1231</v>
      </c>
      <c r="F378" t="s">
        <v>47</v>
      </c>
      <c r="G378" t="s">
        <v>37</v>
      </c>
      <c r="H378" t="s">
        <v>38</v>
      </c>
      <c r="I378" t="s">
        <v>145</v>
      </c>
      <c r="J378" t="s">
        <v>146</v>
      </c>
      <c r="K378" t="s">
        <v>41</v>
      </c>
      <c r="L378" t="s">
        <v>66</v>
      </c>
      <c r="M378" t="s">
        <v>1232</v>
      </c>
      <c r="N378" t="s">
        <v>50</v>
      </c>
      <c r="O378">
        <v>6</v>
      </c>
      <c r="P378">
        <v>1844.78</v>
      </c>
      <c r="Q378" s="11">
        <v>0.2</v>
      </c>
      <c r="R378">
        <v>8854.94</v>
      </c>
      <c r="S378">
        <v>7433.95</v>
      </c>
      <c r="T378">
        <v>1420.99</v>
      </c>
      <c r="U378" t="s">
        <v>32</v>
      </c>
      <c r="V378" t="s">
        <v>33</v>
      </c>
      <c r="X378" s="8" t="str">
        <f>IF(C378&gt;=B378,"Valid", "Invalid-Date")</f>
        <v>Valid</v>
      </c>
      <c r="Y378" s="8" t="str">
        <f t="shared" si="46"/>
        <v>Valid</v>
      </c>
      <c r="Z378" s="8" t="str">
        <f t="shared" si="47"/>
        <v>Pass</v>
      </c>
      <c r="AA378" s="8" t="str">
        <f t="shared" si="48"/>
        <v>Pass</v>
      </c>
      <c r="AB378" s="8" t="str">
        <f>TEXT(B378,"mmmm")</f>
        <v>December</v>
      </c>
      <c r="AC378" s="8" t="str">
        <f>TEXT(B378,"yyyy")</f>
        <v>2024</v>
      </c>
      <c r="AE378">
        <f t="shared" si="49"/>
        <v>11068.68</v>
      </c>
      <c r="AF378" s="11">
        <f t="shared" si="50"/>
        <v>8854.9440000000013</v>
      </c>
      <c r="AG378">
        <f t="shared" si="51"/>
        <v>3634.7300000000005</v>
      </c>
      <c r="AH378" s="11">
        <f t="shared" si="52"/>
        <v>0.32837971646122216</v>
      </c>
      <c r="AI378" s="44">
        <f t="shared" si="53"/>
        <v>0.32837971646122216</v>
      </c>
    </row>
    <row r="379" spans="1:35" s="15" customFormat="1">
      <c r="A379" s="15" t="s">
        <v>1233</v>
      </c>
      <c r="B379" s="16">
        <v>45801</v>
      </c>
      <c r="C379" s="16">
        <v>45807</v>
      </c>
      <c r="D379" s="17">
        <f t="shared" si="45"/>
        <v>6</v>
      </c>
      <c r="E379" s="15" t="s">
        <v>1234</v>
      </c>
      <c r="F379" s="15" t="s">
        <v>264</v>
      </c>
      <c r="G379" s="15" t="s">
        <v>37</v>
      </c>
      <c r="H379" s="15" t="s">
        <v>38</v>
      </c>
      <c r="I379" s="15" t="s">
        <v>39</v>
      </c>
      <c r="J379" s="15" t="s">
        <v>40</v>
      </c>
      <c r="K379" s="15" t="s">
        <v>28</v>
      </c>
      <c r="L379" s="15" t="s">
        <v>124</v>
      </c>
      <c r="M379" s="15" t="s">
        <v>1235</v>
      </c>
      <c r="N379" s="15" t="s">
        <v>44</v>
      </c>
      <c r="O379" s="15">
        <v>1</v>
      </c>
      <c r="P379" s="15">
        <v>2564.7399999999998</v>
      </c>
      <c r="Q379" s="18">
        <v>0</v>
      </c>
      <c r="R379" s="15">
        <v>2564.7399999999998</v>
      </c>
      <c r="S379" s="15">
        <v>1754.58</v>
      </c>
      <c r="T379" s="15">
        <v>810.16</v>
      </c>
      <c r="U379" s="15" t="s">
        <v>32</v>
      </c>
      <c r="V379" s="15" t="s">
        <v>33</v>
      </c>
      <c r="W379" s="25"/>
      <c r="X379" s="8" t="str">
        <f>IF(C379&gt;=B379,"Valid", "Invalid-Date")</f>
        <v>Valid</v>
      </c>
      <c r="Y379" s="8" t="str">
        <f t="shared" si="46"/>
        <v>Valid</v>
      </c>
      <c r="Z379" s="19" t="str">
        <f t="shared" si="47"/>
        <v>Pass</v>
      </c>
      <c r="AA379" s="19" t="str">
        <f t="shared" si="48"/>
        <v>Pass</v>
      </c>
      <c r="AB379" s="19" t="str">
        <f>TEXT(B379,"mmmm")</f>
        <v>May</v>
      </c>
      <c r="AC379" s="19" t="str">
        <f>TEXT(B379,"yyyy")</f>
        <v>2025</v>
      </c>
      <c r="AD379" s="20"/>
      <c r="AE379" s="15">
        <f t="shared" si="49"/>
        <v>2564.7399999999998</v>
      </c>
      <c r="AF379" s="11">
        <f t="shared" si="50"/>
        <v>2564.7399999999998</v>
      </c>
      <c r="AG379" s="15">
        <f t="shared" si="51"/>
        <v>810.15999999999985</v>
      </c>
      <c r="AH379" s="18">
        <f t="shared" si="52"/>
        <v>0.31588387126960232</v>
      </c>
      <c r="AI379" s="45">
        <f t="shared" si="53"/>
        <v>0.31588387126960232</v>
      </c>
    </row>
    <row r="380" spans="1:35">
      <c r="A380" t="s">
        <v>1236</v>
      </c>
      <c r="B380" s="5">
        <v>45799</v>
      </c>
      <c r="C380" s="5">
        <v>45799</v>
      </c>
      <c r="D380" s="13">
        <f t="shared" si="45"/>
        <v>0</v>
      </c>
      <c r="E380" t="s">
        <v>1237</v>
      </c>
      <c r="F380" t="s">
        <v>36</v>
      </c>
      <c r="G380" t="s">
        <v>24</v>
      </c>
      <c r="H380" t="s">
        <v>63</v>
      </c>
      <c r="I380" t="s">
        <v>190</v>
      </c>
      <c r="J380" t="s">
        <v>191</v>
      </c>
      <c r="K380" t="s">
        <v>74</v>
      </c>
      <c r="L380" t="s">
        <v>75</v>
      </c>
      <c r="M380" t="s">
        <v>1238</v>
      </c>
      <c r="N380" t="s">
        <v>59</v>
      </c>
      <c r="O380">
        <v>2</v>
      </c>
      <c r="P380">
        <v>3910.61</v>
      </c>
      <c r="Q380" s="11">
        <v>0</v>
      </c>
      <c r="R380">
        <v>7821.22</v>
      </c>
      <c r="S380">
        <v>4994.46</v>
      </c>
      <c r="T380">
        <v>2826.76</v>
      </c>
      <c r="U380" t="s">
        <v>32</v>
      </c>
      <c r="V380" t="s">
        <v>33</v>
      </c>
      <c r="X380" s="8" t="str">
        <f>IF(C380&gt;=B380,"Valid", "Invalid-Date")</f>
        <v>Valid</v>
      </c>
      <c r="Y380" s="8" t="str">
        <f t="shared" si="46"/>
        <v>Valid</v>
      </c>
      <c r="Z380" s="8" t="str">
        <f t="shared" si="47"/>
        <v>Pass</v>
      </c>
      <c r="AA380" s="8" t="str">
        <f t="shared" si="48"/>
        <v>Pass</v>
      </c>
      <c r="AB380" s="8" t="str">
        <f>TEXT(B380,"mmmm")</f>
        <v>May</v>
      </c>
      <c r="AC380" s="8" t="str">
        <f>TEXT(B380,"yyyy")</f>
        <v>2025</v>
      </c>
      <c r="AE380">
        <f t="shared" si="49"/>
        <v>7821.22</v>
      </c>
      <c r="AF380" s="11">
        <f t="shared" si="50"/>
        <v>7821.22</v>
      </c>
      <c r="AG380">
        <f t="shared" si="51"/>
        <v>2826.76</v>
      </c>
      <c r="AH380" s="11">
        <f t="shared" si="52"/>
        <v>0.36142187535959863</v>
      </c>
      <c r="AI380" s="44">
        <f t="shared" si="53"/>
        <v>0.36142187535959863</v>
      </c>
    </row>
    <row r="381" spans="1:35">
      <c r="A381" t="s">
        <v>1239</v>
      </c>
      <c r="B381" s="5">
        <v>45554</v>
      </c>
      <c r="C381" s="5">
        <v>45558</v>
      </c>
      <c r="D381" s="13">
        <f t="shared" si="45"/>
        <v>4</v>
      </c>
      <c r="E381" t="s">
        <v>1240</v>
      </c>
      <c r="F381" t="s">
        <v>36</v>
      </c>
      <c r="G381" t="s">
        <v>37</v>
      </c>
      <c r="H381" t="s">
        <v>54</v>
      </c>
      <c r="I381" t="s">
        <v>185</v>
      </c>
      <c r="J381" t="s">
        <v>186</v>
      </c>
      <c r="K381" t="s">
        <v>28</v>
      </c>
      <c r="L381" t="s">
        <v>29</v>
      </c>
      <c r="M381" t="s">
        <v>1241</v>
      </c>
      <c r="N381" t="s">
        <v>59</v>
      </c>
      <c r="O381">
        <v>7</v>
      </c>
      <c r="P381">
        <v>1136.68</v>
      </c>
      <c r="Q381" s="11">
        <v>0</v>
      </c>
      <c r="R381">
        <v>7956.76</v>
      </c>
      <c r="S381">
        <v>4799.54</v>
      </c>
      <c r="T381">
        <v>3157.22</v>
      </c>
      <c r="U381" t="s">
        <v>32</v>
      </c>
      <c r="V381" t="s">
        <v>33</v>
      </c>
      <c r="X381" s="8" t="str">
        <f>IF(C381&gt;=B381,"Valid", "Invalid-Date")</f>
        <v>Valid</v>
      </c>
      <c r="Y381" s="8" t="str">
        <f t="shared" si="46"/>
        <v>Valid</v>
      </c>
      <c r="Z381" s="8" t="str">
        <f t="shared" si="47"/>
        <v>Pass</v>
      </c>
      <c r="AA381" s="8" t="str">
        <f t="shared" si="48"/>
        <v>Pass</v>
      </c>
      <c r="AB381" s="8" t="str">
        <f>TEXT(B381,"mmmm")</f>
        <v>September</v>
      </c>
      <c r="AC381" s="8" t="str">
        <f>TEXT(B381,"yyyy")</f>
        <v>2024</v>
      </c>
      <c r="AE381">
        <f t="shared" si="49"/>
        <v>7956.76</v>
      </c>
      <c r="AF381" s="11">
        <f t="shared" si="50"/>
        <v>7956.76</v>
      </c>
      <c r="AG381">
        <f t="shared" si="51"/>
        <v>3157.2200000000003</v>
      </c>
      <c r="AH381" s="11">
        <f t="shared" si="52"/>
        <v>0.39679718880549369</v>
      </c>
      <c r="AI381" s="44">
        <f t="shared" si="53"/>
        <v>0.39679718880549369</v>
      </c>
    </row>
    <row r="382" spans="1:35">
      <c r="A382" t="s">
        <v>1242</v>
      </c>
      <c r="B382" s="5">
        <v>45389</v>
      </c>
      <c r="C382" s="5">
        <v>45396</v>
      </c>
      <c r="D382" s="13">
        <f t="shared" si="45"/>
        <v>7</v>
      </c>
      <c r="E382" t="s">
        <v>1243</v>
      </c>
      <c r="F382" t="s">
        <v>71</v>
      </c>
      <c r="G382" t="s">
        <v>24</v>
      </c>
      <c r="H382" t="s">
        <v>63</v>
      </c>
      <c r="I382" t="s">
        <v>64</v>
      </c>
      <c r="J382" t="s">
        <v>65</v>
      </c>
      <c r="K382" t="s">
        <v>41</v>
      </c>
      <c r="L382" t="s">
        <v>158</v>
      </c>
      <c r="M382" t="s">
        <v>1244</v>
      </c>
      <c r="N382" t="s">
        <v>44</v>
      </c>
      <c r="O382">
        <v>5</v>
      </c>
      <c r="P382">
        <v>2235.85</v>
      </c>
      <c r="Q382" s="11">
        <v>0.25</v>
      </c>
      <c r="R382">
        <v>8384.44</v>
      </c>
      <c r="S382">
        <v>4765.96</v>
      </c>
      <c r="T382">
        <v>3618.48</v>
      </c>
      <c r="U382" t="s">
        <v>32</v>
      </c>
      <c r="V382" t="s">
        <v>103</v>
      </c>
      <c r="X382" s="8" t="str">
        <f>IF(C382&gt;=B382,"Valid", "Invalid-Date")</f>
        <v>Valid</v>
      </c>
      <c r="Y382" s="8" t="str">
        <f t="shared" si="46"/>
        <v>Valid</v>
      </c>
      <c r="Z382" s="8" t="str">
        <f t="shared" si="47"/>
        <v>Pass</v>
      </c>
      <c r="AA382" s="8" t="str">
        <f t="shared" si="48"/>
        <v>Pass</v>
      </c>
      <c r="AB382" s="8" t="str">
        <f>TEXT(B382,"mmmm")</f>
        <v>April</v>
      </c>
      <c r="AC382" s="8" t="str">
        <f>TEXT(B382,"yyyy")</f>
        <v>2024</v>
      </c>
      <c r="AE382">
        <f t="shared" si="49"/>
        <v>11179.25</v>
      </c>
      <c r="AF382" s="11">
        <f t="shared" si="50"/>
        <v>8384.4375</v>
      </c>
      <c r="AG382">
        <f t="shared" si="51"/>
        <v>6413.29</v>
      </c>
      <c r="AH382" s="11">
        <f t="shared" si="52"/>
        <v>0.57367801954513942</v>
      </c>
      <c r="AI382" s="44">
        <f t="shared" si="53"/>
        <v>0.57367801954513942</v>
      </c>
    </row>
    <row r="383" spans="1:35">
      <c r="A383" t="s">
        <v>1245</v>
      </c>
      <c r="B383" s="5">
        <v>45919</v>
      </c>
      <c r="C383" s="5">
        <v>45923</v>
      </c>
      <c r="D383" s="13">
        <f t="shared" si="45"/>
        <v>4</v>
      </c>
      <c r="E383" t="s">
        <v>1246</v>
      </c>
      <c r="F383" t="s">
        <v>53</v>
      </c>
      <c r="G383" t="s">
        <v>95</v>
      </c>
      <c r="H383" t="s">
        <v>25</v>
      </c>
      <c r="I383" t="s">
        <v>350</v>
      </c>
      <c r="J383" t="s">
        <v>351</v>
      </c>
      <c r="K383" t="s">
        <v>28</v>
      </c>
      <c r="L383" t="s">
        <v>153</v>
      </c>
      <c r="M383" t="s">
        <v>1247</v>
      </c>
      <c r="N383" t="s">
        <v>59</v>
      </c>
      <c r="O383">
        <v>4</v>
      </c>
      <c r="P383">
        <v>4387.1499999999996</v>
      </c>
      <c r="Q383" s="11">
        <v>0.05</v>
      </c>
      <c r="R383">
        <v>16671.169999999998</v>
      </c>
      <c r="S383">
        <v>10833.19</v>
      </c>
      <c r="T383">
        <v>5837.98</v>
      </c>
      <c r="U383" t="s">
        <v>155</v>
      </c>
      <c r="V383" t="s">
        <v>68</v>
      </c>
      <c r="X383" s="8" t="str">
        <f>IF(C383&gt;=B383,"Valid", "Invalid-Date")</f>
        <v>Valid</v>
      </c>
      <c r="Y383" s="8" t="str">
        <f t="shared" si="46"/>
        <v>Valid</v>
      </c>
      <c r="Z383" s="8" t="str">
        <f t="shared" si="47"/>
        <v>Pass</v>
      </c>
      <c r="AA383" s="8" t="str">
        <f t="shared" si="48"/>
        <v>Pass</v>
      </c>
      <c r="AB383" s="8" t="str">
        <f>TEXT(B383,"mmmm")</f>
        <v>September</v>
      </c>
      <c r="AC383" s="8" t="str">
        <f>TEXT(B383,"yyyy")</f>
        <v>2025</v>
      </c>
      <c r="AE383">
        <f t="shared" si="49"/>
        <v>17548.599999999999</v>
      </c>
      <c r="AF383" s="11">
        <f t="shared" si="50"/>
        <v>16671.169999999998</v>
      </c>
      <c r="AG383">
        <f t="shared" si="51"/>
        <v>6715.409999999998</v>
      </c>
      <c r="AH383" s="11">
        <f t="shared" si="52"/>
        <v>0.38267497122277555</v>
      </c>
      <c r="AI383" s="44">
        <f t="shared" si="53"/>
        <v>0.38267497122277555</v>
      </c>
    </row>
    <row r="384" spans="1:35">
      <c r="A384" t="s">
        <v>1248</v>
      </c>
      <c r="B384" s="5">
        <v>45720</v>
      </c>
      <c r="C384" s="5">
        <v>45872</v>
      </c>
      <c r="D384" s="13">
        <f t="shared" si="45"/>
        <v>152</v>
      </c>
      <c r="E384" t="s">
        <v>157</v>
      </c>
      <c r="F384" t="s">
        <v>53</v>
      </c>
      <c r="G384" t="s">
        <v>37</v>
      </c>
      <c r="H384" t="s">
        <v>38</v>
      </c>
      <c r="I384" t="s">
        <v>145</v>
      </c>
      <c r="J384" t="s">
        <v>146</v>
      </c>
      <c r="K384" t="s">
        <v>74</v>
      </c>
      <c r="L384" t="s">
        <v>171</v>
      </c>
      <c r="M384" t="s">
        <v>1249</v>
      </c>
      <c r="N384" t="s">
        <v>50</v>
      </c>
      <c r="O384">
        <v>3</v>
      </c>
      <c r="P384">
        <v>4361.8500000000004</v>
      </c>
      <c r="Q384" s="11">
        <v>0.2</v>
      </c>
      <c r="R384">
        <v>10468.44</v>
      </c>
      <c r="S384">
        <v>8399.8700000000008</v>
      </c>
      <c r="T384">
        <v>2068.5700000000002</v>
      </c>
      <c r="U384" t="s">
        <v>32</v>
      </c>
      <c r="V384" t="s">
        <v>33</v>
      </c>
      <c r="X384" s="8" t="str">
        <f>IF(C384&gt;=B384,"Valid", "Invalid-Date")</f>
        <v>Valid</v>
      </c>
      <c r="Y384" s="8" t="str">
        <f t="shared" si="46"/>
        <v>Valid</v>
      </c>
      <c r="Z384" s="8" t="str">
        <f t="shared" si="47"/>
        <v>Pass</v>
      </c>
      <c r="AA384" s="8" t="str">
        <f t="shared" si="48"/>
        <v>Pass</v>
      </c>
      <c r="AB384" s="8" t="str">
        <f>TEXT(B384,"mmmm")</f>
        <v>March</v>
      </c>
      <c r="AC384" s="8" t="str">
        <f>TEXT(B384,"yyyy")</f>
        <v>2025</v>
      </c>
      <c r="AE384">
        <f t="shared" si="49"/>
        <v>13085.550000000001</v>
      </c>
      <c r="AF384" s="11">
        <f t="shared" si="50"/>
        <v>10468.440000000002</v>
      </c>
      <c r="AG384">
        <f t="shared" si="51"/>
        <v>4685.68</v>
      </c>
      <c r="AH384" s="11">
        <f t="shared" si="52"/>
        <v>0.35808047808460475</v>
      </c>
      <c r="AI384" s="44">
        <f t="shared" si="53"/>
        <v>0.35808047808460475</v>
      </c>
    </row>
    <row r="385" spans="1:35">
      <c r="A385" t="s">
        <v>1250</v>
      </c>
      <c r="B385" s="5">
        <v>45836</v>
      </c>
      <c r="C385" s="5">
        <v>45784</v>
      </c>
      <c r="D385" s="13">
        <f t="shared" si="45"/>
        <v>-52</v>
      </c>
      <c r="E385" t="s">
        <v>1251</v>
      </c>
      <c r="F385" t="s">
        <v>71</v>
      </c>
      <c r="G385" t="s">
        <v>90</v>
      </c>
      <c r="H385" t="s">
        <v>38</v>
      </c>
      <c r="I385" t="s">
        <v>99</v>
      </c>
      <c r="J385" t="s">
        <v>100</v>
      </c>
      <c r="K385" t="s">
        <v>28</v>
      </c>
      <c r="L385" t="s">
        <v>48</v>
      </c>
      <c r="M385" t="s">
        <v>1252</v>
      </c>
      <c r="N385" t="s">
        <v>50</v>
      </c>
      <c r="O385">
        <v>2</v>
      </c>
      <c r="P385">
        <v>2242.75</v>
      </c>
      <c r="Q385" s="11">
        <v>0</v>
      </c>
      <c r="R385">
        <v>4485.5</v>
      </c>
      <c r="S385">
        <v>3131.86</v>
      </c>
      <c r="T385">
        <v>1353.64</v>
      </c>
      <c r="U385" t="s">
        <v>32</v>
      </c>
      <c r="V385" t="s">
        <v>68</v>
      </c>
      <c r="X385" s="8" t="str">
        <f>IF(C385&gt;=B385,"Valid", "Invalid-Date")</f>
        <v>Invalid-Date</v>
      </c>
      <c r="Y385" s="8" t="str">
        <f t="shared" si="46"/>
        <v>Valid</v>
      </c>
      <c r="Z385" s="8" t="str">
        <f t="shared" si="47"/>
        <v>Pass</v>
      </c>
      <c r="AA385" s="8" t="str">
        <f t="shared" si="48"/>
        <v>Pass</v>
      </c>
      <c r="AB385" s="8" t="str">
        <f>TEXT(B385,"mmmm")</f>
        <v>June</v>
      </c>
      <c r="AC385" s="8" t="str">
        <f>TEXT(B385,"yyyy")</f>
        <v>2025</v>
      </c>
      <c r="AE385">
        <f t="shared" si="49"/>
        <v>4485.5</v>
      </c>
      <c r="AF385" s="11">
        <f t="shared" si="50"/>
        <v>4485.5</v>
      </c>
      <c r="AG385">
        <f t="shared" si="51"/>
        <v>1353.6399999999999</v>
      </c>
      <c r="AH385" s="11">
        <f t="shared" si="52"/>
        <v>0.30178129528480657</v>
      </c>
      <c r="AI385" s="44">
        <f t="shared" si="53"/>
        <v>0.30178129528480657</v>
      </c>
    </row>
    <row r="386" spans="1:35">
      <c r="A386" t="s">
        <v>1253</v>
      </c>
      <c r="B386" s="5">
        <v>45366</v>
      </c>
      <c r="C386" s="5">
        <v>45371</v>
      </c>
      <c r="D386" s="13">
        <f t="shared" si="45"/>
        <v>5</v>
      </c>
      <c r="E386" t="s">
        <v>1254</v>
      </c>
      <c r="F386" t="s">
        <v>141</v>
      </c>
      <c r="G386" t="s">
        <v>24</v>
      </c>
      <c r="H386" t="s">
        <v>38</v>
      </c>
      <c r="I386" t="s">
        <v>228</v>
      </c>
      <c r="J386" t="s">
        <v>229</v>
      </c>
      <c r="K386" t="s">
        <v>74</v>
      </c>
      <c r="L386" t="s">
        <v>80</v>
      </c>
      <c r="M386" t="s">
        <v>1255</v>
      </c>
      <c r="N386" t="s">
        <v>59</v>
      </c>
      <c r="O386">
        <v>2</v>
      </c>
      <c r="P386">
        <v>1881.4</v>
      </c>
      <c r="Q386" s="11">
        <v>0.25</v>
      </c>
      <c r="R386">
        <v>2822.1</v>
      </c>
      <c r="S386">
        <v>1624.57</v>
      </c>
      <c r="T386">
        <v>1197.53</v>
      </c>
      <c r="U386" t="s">
        <v>32</v>
      </c>
      <c r="V386" t="s">
        <v>103</v>
      </c>
      <c r="X386" s="8" t="str">
        <f>IF(C386&gt;=B386,"Valid", "Invalid-Date")</f>
        <v>Valid</v>
      </c>
      <c r="Y386" s="8" t="str">
        <f t="shared" si="46"/>
        <v>Valid</v>
      </c>
      <c r="Z386" s="8" t="str">
        <f t="shared" si="47"/>
        <v>Pass</v>
      </c>
      <c r="AA386" s="8" t="str">
        <f t="shared" si="48"/>
        <v>Pass</v>
      </c>
      <c r="AB386" s="8" t="str">
        <f>TEXT(B386,"mmmm")</f>
        <v>March</v>
      </c>
      <c r="AC386" s="8" t="str">
        <f>TEXT(B386,"yyyy")</f>
        <v>2024</v>
      </c>
      <c r="AE386">
        <f t="shared" si="49"/>
        <v>3762.8</v>
      </c>
      <c r="AF386" s="11">
        <f t="shared" si="50"/>
        <v>2822.1000000000004</v>
      </c>
      <c r="AG386">
        <f t="shared" si="51"/>
        <v>2138.2300000000005</v>
      </c>
      <c r="AH386" s="11">
        <f t="shared" si="52"/>
        <v>0.56825502285532059</v>
      </c>
      <c r="AI386" s="44">
        <f t="shared" si="53"/>
        <v>0.56825502285532059</v>
      </c>
    </row>
    <row r="387" spans="1:35">
      <c r="A387" t="s">
        <v>1256</v>
      </c>
      <c r="B387" s="5">
        <v>45832</v>
      </c>
      <c r="C387" s="5">
        <v>45838</v>
      </c>
      <c r="D387" s="13">
        <f t="shared" ref="D387:D450" si="54">C387-B387</f>
        <v>6</v>
      </c>
      <c r="E387" t="s">
        <v>1257</v>
      </c>
      <c r="F387" t="s">
        <v>53</v>
      </c>
      <c r="G387" t="s">
        <v>24</v>
      </c>
      <c r="H387" t="s">
        <v>25</v>
      </c>
      <c r="I387" t="s">
        <v>236</v>
      </c>
      <c r="J387" t="s">
        <v>237</v>
      </c>
      <c r="K387" t="s">
        <v>28</v>
      </c>
      <c r="L387" t="s">
        <v>91</v>
      </c>
      <c r="M387" t="s">
        <v>1258</v>
      </c>
      <c r="N387" t="s">
        <v>59</v>
      </c>
      <c r="O387">
        <v>6</v>
      </c>
      <c r="P387">
        <v>365.76</v>
      </c>
      <c r="Q387" s="11">
        <v>0.1</v>
      </c>
      <c r="R387">
        <v>1975.1</v>
      </c>
      <c r="S387">
        <v>1115.3499999999999</v>
      </c>
      <c r="T387">
        <v>859.75</v>
      </c>
      <c r="U387" t="s">
        <v>32</v>
      </c>
      <c r="V387" t="s">
        <v>33</v>
      </c>
      <c r="X387" s="8" t="str">
        <f>IF(C387&gt;=B387,"Valid", "Invalid-Date")</f>
        <v>Valid</v>
      </c>
      <c r="Y387" s="8" t="str">
        <f t="shared" ref="Y387:Y450" si="55">IF(OR(Q387&lt;0, Q387&gt;0.5), "Invalid-Discount", "Valid")</f>
        <v>Valid</v>
      </c>
      <c r="Z387" s="8" t="str">
        <f t="shared" ref="Z387:Z450" si="56">IF(N387="Unknown","Flagged","Pass")</f>
        <v>Pass</v>
      </c>
      <c r="AA387" s="8" t="str">
        <f t="shared" ref="AA387:AA450" si="57">IF(H387="Unknown","Flagged","Pass")</f>
        <v>Pass</v>
      </c>
      <c r="AB387" s="8" t="str">
        <f>TEXT(B387,"mmmm")</f>
        <v>June</v>
      </c>
      <c r="AC387" s="8" t="str">
        <f>TEXT(B387,"yyyy")</f>
        <v>2025</v>
      </c>
      <c r="AE387">
        <f t="shared" ref="AE387:AE450" si="58">O387*P387</f>
        <v>2194.56</v>
      </c>
      <c r="AF387" s="11">
        <f t="shared" ref="AF387:AF450" si="59">AE387*(1-Q387)</f>
        <v>1975.104</v>
      </c>
      <c r="AG387">
        <f t="shared" ref="AG387:AG450" si="60">AE387-S387</f>
        <v>1079.21</v>
      </c>
      <c r="AH387" s="11">
        <f t="shared" ref="AH387:AH450" si="61">AG387/AE387</f>
        <v>0.49176600320793235</v>
      </c>
      <c r="AI387" s="44">
        <f t="shared" ref="AI387:AI450" si="62">AG387/AE387</f>
        <v>0.49176600320793235</v>
      </c>
    </row>
    <row r="388" spans="1:35">
      <c r="A388" t="s">
        <v>1259</v>
      </c>
      <c r="B388" s="5">
        <v>45993</v>
      </c>
      <c r="C388" s="5">
        <v>45702</v>
      </c>
      <c r="D388" s="13">
        <f t="shared" si="54"/>
        <v>-291</v>
      </c>
      <c r="E388" t="s">
        <v>1260</v>
      </c>
      <c r="F388" t="s">
        <v>132</v>
      </c>
      <c r="G388" t="s">
        <v>24</v>
      </c>
      <c r="H388" t="s">
        <v>63</v>
      </c>
      <c r="I388" t="s">
        <v>64</v>
      </c>
      <c r="J388" t="s">
        <v>65</v>
      </c>
      <c r="K388" t="s">
        <v>41</v>
      </c>
      <c r="L388" t="s">
        <v>57</v>
      </c>
      <c r="M388" t="s">
        <v>1261</v>
      </c>
      <c r="N388" t="s">
        <v>31</v>
      </c>
      <c r="O388">
        <v>8</v>
      </c>
      <c r="P388">
        <v>2786.66</v>
      </c>
      <c r="Q388" s="11">
        <v>0.1</v>
      </c>
      <c r="R388">
        <v>20063.95</v>
      </c>
      <c r="S388">
        <v>14363.38</v>
      </c>
      <c r="T388">
        <v>5700.57</v>
      </c>
      <c r="U388" t="s">
        <v>32</v>
      </c>
      <c r="V388" t="s">
        <v>33</v>
      </c>
      <c r="X388" s="8" t="str">
        <f>IF(C388&gt;=B388,"Valid", "Invalid-Date")</f>
        <v>Invalid-Date</v>
      </c>
      <c r="Y388" s="8" t="str">
        <f t="shared" si="55"/>
        <v>Valid</v>
      </c>
      <c r="Z388" s="8" t="str">
        <f t="shared" si="56"/>
        <v>Pass</v>
      </c>
      <c r="AA388" s="8" t="str">
        <f t="shared" si="57"/>
        <v>Pass</v>
      </c>
      <c r="AB388" s="8" t="str">
        <f>TEXT(B388,"mmmm")</f>
        <v>December</v>
      </c>
      <c r="AC388" s="8" t="str">
        <f>TEXT(B388,"yyyy")</f>
        <v>2025</v>
      </c>
      <c r="AE388">
        <f t="shared" si="58"/>
        <v>22293.279999999999</v>
      </c>
      <c r="AF388" s="11">
        <f t="shared" si="59"/>
        <v>20063.952000000001</v>
      </c>
      <c r="AG388">
        <f t="shared" si="60"/>
        <v>7929.9</v>
      </c>
      <c r="AH388" s="11">
        <f t="shared" si="61"/>
        <v>0.35570808781839192</v>
      </c>
      <c r="AI388" s="44">
        <f t="shared" si="62"/>
        <v>0.35570808781839192</v>
      </c>
    </row>
    <row r="389" spans="1:35">
      <c r="A389" t="s">
        <v>1262</v>
      </c>
      <c r="B389" s="5">
        <v>45879</v>
      </c>
      <c r="C389" s="5">
        <v>45882</v>
      </c>
      <c r="D389" s="13">
        <f t="shared" si="54"/>
        <v>3</v>
      </c>
      <c r="E389" t="s">
        <v>1263</v>
      </c>
      <c r="F389" t="s">
        <v>114</v>
      </c>
      <c r="G389" t="s">
        <v>37</v>
      </c>
      <c r="H389" t="s">
        <v>63</v>
      </c>
      <c r="I389" t="s">
        <v>72</v>
      </c>
      <c r="J389" t="s">
        <v>73</v>
      </c>
      <c r="K389" t="s">
        <v>41</v>
      </c>
      <c r="L389" t="s">
        <v>66</v>
      </c>
      <c r="M389" t="s">
        <v>1264</v>
      </c>
      <c r="N389" t="s">
        <v>59</v>
      </c>
      <c r="O389">
        <v>5</v>
      </c>
      <c r="P389">
        <v>352.86</v>
      </c>
      <c r="Q389" s="11">
        <v>0</v>
      </c>
      <c r="R389">
        <v>1764.3</v>
      </c>
      <c r="S389">
        <v>1332.49</v>
      </c>
      <c r="T389">
        <v>431.81</v>
      </c>
      <c r="U389" t="s">
        <v>111</v>
      </c>
      <c r="V389" t="s">
        <v>68</v>
      </c>
      <c r="X389" s="8" t="str">
        <f>IF(C389&gt;=B389,"Valid", "Invalid-Date")</f>
        <v>Valid</v>
      </c>
      <c r="Y389" s="8" t="str">
        <f t="shared" si="55"/>
        <v>Valid</v>
      </c>
      <c r="Z389" s="8" t="str">
        <f t="shared" si="56"/>
        <v>Pass</v>
      </c>
      <c r="AA389" s="8" t="str">
        <f t="shared" si="57"/>
        <v>Pass</v>
      </c>
      <c r="AB389" s="8" t="str">
        <f>TEXT(B389,"mmmm")</f>
        <v>August</v>
      </c>
      <c r="AC389" s="8" t="str">
        <f>TEXT(B389,"yyyy")</f>
        <v>2025</v>
      </c>
      <c r="AE389">
        <f t="shared" si="58"/>
        <v>1764.3000000000002</v>
      </c>
      <c r="AF389" s="11">
        <f t="shared" si="59"/>
        <v>1764.3000000000002</v>
      </c>
      <c r="AG389">
        <f t="shared" si="60"/>
        <v>431.81000000000017</v>
      </c>
      <c r="AH389" s="11">
        <f t="shared" si="61"/>
        <v>0.24474862551720236</v>
      </c>
      <c r="AI389" s="44">
        <f t="shared" si="62"/>
        <v>0.24474862551720236</v>
      </c>
    </row>
    <row r="390" spans="1:35">
      <c r="A390" t="s">
        <v>1265</v>
      </c>
      <c r="B390" s="5">
        <v>45425</v>
      </c>
      <c r="C390" s="5">
        <v>45430</v>
      </c>
      <c r="D390" s="13">
        <f t="shared" si="54"/>
        <v>5</v>
      </c>
      <c r="E390" t="s">
        <v>1266</v>
      </c>
      <c r="F390" t="s">
        <v>47</v>
      </c>
      <c r="G390" t="s">
        <v>37</v>
      </c>
      <c r="H390" t="s">
        <v>63</v>
      </c>
      <c r="I390" t="s">
        <v>180</v>
      </c>
      <c r="J390" t="s">
        <v>181</v>
      </c>
      <c r="K390" t="s">
        <v>41</v>
      </c>
      <c r="L390" t="s">
        <v>66</v>
      </c>
      <c r="M390" t="s">
        <v>1267</v>
      </c>
      <c r="N390" t="s">
        <v>59</v>
      </c>
      <c r="O390">
        <v>3</v>
      </c>
      <c r="P390">
        <v>3128.59</v>
      </c>
      <c r="Q390" s="11">
        <v>0</v>
      </c>
      <c r="R390">
        <v>9385.77</v>
      </c>
      <c r="S390">
        <v>6872.44</v>
      </c>
      <c r="T390">
        <v>2783.66</v>
      </c>
      <c r="U390" t="s">
        <v>32</v>
      </c>
      <c r="V390" t="s">
        <v>33</v>
      </c>
      <c r="X390" s="8" t="str">
        <f>IF(C390&gt;=B390,"Valid", "Invalid-Date")</f>
        <v>Valid</v>
      </c>
      <c r="Y390" s="8" t="str">
        <f t="shared" si="55"/>
        <v>Valid</v>
      </c>
      <c r="Z390" s="8" t="str">
        <f t="shared" si="56"/>
        <v>Pass</v>
      </c>
      <c r="AA390" s="8" t="str">
        <f t="shared" si="57"/>
        <v>Pass</v>
      </c>
      <c r="AB390" s="8" t="str">
        <f>TEXT(B390,"mmmm")</f>
        <v>May</v>
      </c>
      <c r="AC390" s="8" t="str">
        <f>TEXT(B390,"yyyy")</f>
        <v>2024</v>
      </c>
      <c r="AE390">
        <f t="shared" si="58"/>
        <v>9385.77</v>
      </c>
      <c r="AF390" s="11">
        <f t="shared" si="59"/>
        <v>9385.77</v>
      </c>
      <c r="AG390">
        <f t="shared" si="60"/>
        <v>2513.3300000000008</v>
      </c>
      <c r="AH390" s="11">
        <f t="shared" si="61"/>
        <v>0.26778090662779941</v>
      </c>
      <c r="AI390" s="44">
        <f t="shared" si="62"/>
        <v>0.26778090662779941</v>
      </c>
    </row>
    <row r="391" spans="1:35">
      <c r="A391" t="s">
        <v>1268</v>
      </c>
      <c r="B391" s="5">
        <v>45387</v>
      </c>
      <c r="C391" s="5">
        <v>45395</v>
      </c>
      <c r="D391" s="13">
        <f t="shared" si="54"/>
        <v>8</v>
      </c>
      <c r="E391" t="s">
        <v>1269</v>
      </c>
      <c r="F391" t="s">
        <v>162</v>
      </c>
      <c r="G391" t="s">
        <v>90</v>
      </c>
      <c r="H391" t="s">
        <v>63</v>
      </c>
      <c r="I391" t="s">
        <v>180</v>
      </c>
      <c r="J391" t="s">
        <v>181</v>
      </c>
      <c r="K391" t="s">
        <v>74</v>
      </c>
      <c r="L391" t="s">
        <v>274</v>
      </c>
      <c r="M391" t="s">
        <v>1270</v>
      </c>
      <c r="N391" t="s">
        <v>31</v>
      </c>
      <c r="O391">
        <v>5</v>
      </c>
      <c r="P391">
        <v>1937.54</v>
      </c>
      <c r="Q391" s="11">
        <v>0.2</v>
      </c>
      <c r="R391">
        <v>7750.16</v>
      </c>
      <c r="S391">
        <v>5434.3</v>
      </c>
      <c r="T391">
        <v>2315.86</v>
      </c>
      <c r="U391" t="s">
        <v>111</v>
      </c>
      <c r="V391" t="s">
        <v>68</v>
      </c>
      <c r="X391" s="8" t="str">
        <f>IF(C391&gt;=B391,"Valid", "Invalid-Date")</f>
        <v>Valid</v>
      </c>
      <c r="Y391" s="8" t="str">
        <f t="shared" si="55"/>
        <v>Valid</v>
      </c>
      <c r="Z391" s="8" t="str">
        <f t="shared" si="56"/>
        <v>Pass</v>
      </c>
      <c r="AA391" s="8" t="str">
        <f t="shared" si="57"/>
        <v>Pass</v>
      </c>
      <c r="AB391" s="8" t="str">
        <f>TEXT(B391,"mmmm")</f>
        <v>April</v>
      </c>
      <c r="AC391" s="8" t="str">
        <f>TEXT(B391,"yyyy")</f>
        <v>2024</v>
      </c>
      <c r="AE391">
        <f t="shared" si="58"/>
        <v>9687.7000000000007</v>
      </c>
      <c r="AF391" s="11">
        <f t="shared" si="59"/>
        <v>7750.1600000000008</v>
      </c>
      <c r="AG391">
        <f t="shared" si="60"/>
        <v>4253.4000000000005</v>
      </c>
      <c r="AH391" s="11">
        <f t="shared" si="61"/>
        <v>0.43905158087058849</v>
      </c>
      <c r="AI391" s="44">
        <f t="shared" si="62"/>
        <v>0.43905158087058849</v>
      </c>
    </row>
    <row r="392" spans="1:35">
      <c r="A392" t="s">
        <v>1271</v>
      </c>
      <c r="B392" s="5">
        <v>45602</v>
      </c>
      <c r="C392" s="5">
        <v>45607</v>
      </c>
      <c r="D392" s="13">
        <f t="shared" si="54"/>
        <v>5</v>
      </c>
      <c r="E392" t="s">
        <v>1272</v>
      </c>
      <c r="F392" t="s">
        <v>47</v>
      </c>
      <c r="G392" t="s">
        <v>24</v>
      </c>
      <c r="H392" t="s">
        <v>63</v>
      </c>
      <c r="I392" t="s">
        <v>180</v>
      </c>
      <c r="J392" t="s">
        <v>181</v>
      </c>
      <c r="K392" t="s">
        <v>41</v>
      </c>
      <c r="L392" t="s">
        <v>57</v>
      </c>
      <c r="M392" t="s">
        <v>1273</v>
      </c>
      <c r="N392" t="s">
        <v>59</v>
      </c>
      <c r="O392">
        <v>4</v>
      </c>
      <c r="P392">
        <v>1917.26</v>
      </c>
      <c r="Q392" s="11">
        <v>0.2</v>
      </c>
      <c r="R392">
        <v>6135.23</v>
      </c>
      <c r="S392">
        <v>3439.79</v>
      </c>
      <c r="T392">
        <v>2695.44</v>
      </c>
      <c r="U392" t="s">
        <v>32</v>
      </c>
      <c r="V392" t="s">
        <v>33</v>
      </c>
      <c r="X392" s="8" t="str">
        <f>IF(C392&gt;=B392,"Valid", "Invalid-Date")</f>
        <v>Valid</v>
      </c>
      <c r="Y392" s="8" t="str">
        <f t="shared" si="55"/>
        <v>Valid</v>
      </c>
      <c r="Z392" s="8" t="str">
        <f t="shared" si="56"/>
        <v>Pass</v>
      </c>
      <c r="AA392" s="8" t="str">
        <f t="shared" si="57"/>
        <v>Pass</v>
      </c>
      <c r="AB392" s="8" t="str">
        <f>TEXT(B392,"mmmm")</f>
        <v>November</v>
      </c>
      <c r="AC392" s="8" t="str">
        <f>TEXT(B392,"yyyy")</f>
        <v>2024</v>
      </c>
      <c r="AE392">
        <f t="shared" si="58"/>
        <v>7669.04</v>
      </c>
      <c r="AF392" s="11">
        <f t="shared" si="59"/>
        <v>6135.232</v>
      </c>
      <c r="AG392">
        <f t="shared" si="60"/>
        <v>4229.25</v>
      </c>
      <c r="AH392" s="11">
        <f t="shared" si="61"/>
        <v>0.55147058823529416</v>
      </c>
      <c r="AI392" s="44">
        <f t="shared" si="62"/>
        <v>0.55147058823529416</v>
      </c>
    </row>
    <row r="393" spans="1:35">
      <c r="A393" t="s">
        <v>1274</v>
      </c>
      <c r="B393" s="5">
        <v>45702</v>
      </c>
      <c r="C393" s="5">
        <v>45702</v>
      </c>
      <c r="D393" s="13">
        <f t="shared" si="54"/>
        <v>0</v>
      </c>
      <c r="E393" t="s">
        <v>1275</v>
      </c>
      <c r="F393" t="s">
        <v>162</v>
      </c>
      <c r="G393" t="s">
        <v>24</v>
      </c>
      <c r="H393" t="s">
        <v>54</v>
      </c>
      <c r="I393" t="s">
        <v>175</v>
      </c>
      <c r="J393" t="s">
        <v>176</v>
      </c>
      <c r="K393" t="s">
        <v>28</v>
      </c>
      <c r="L393" t="s">
        <v>124</v>
      </c>
      <c r="M393" t="s">
        <v>1276</v>
      </c>
      <c r="N393" t="s">
        <v>50</v>
      </c>
      <c r="O393">
        <v>1</v>
      </c>
      <c r="P393">
        <v>714.43</v>
      </c>
      <c r="Q393" s="11">
        <v>0</v>
      </c>
      <c r="R393">
        <v>714.43</v>
      </c>
      <c r="S393">
        <v>565.44000000000005</v>
      </c>
      <c r="T393">
        <v>148.99</v>
      </c>
      <c r="U393" t="s">
        <v>32</v>
      </c>
      <c r="V393" t="s">
        <v>33</v>
      </c>
      <c r="X393" s="8" t="str">
        <f>IF(C393&gt;=B393,"Valid", "Invalid-Date")</f>
        <v>Valid</v>
      </c>
      <c r="Y393" s="8" t="str">
        <f t="shared" si="55"/>
        <v>Valid</v>
      </c>
      <c r="Z393" s="8" t="str">
        <f t="shared" si="56"/>
        <v>Pass</v>
      </c>
      <c r="AA393" s="8" t="str">
        <f t="shared" si="57"/>
        <v>Pass</v>
      </c>
      <c r="AB393" s="8" t="str">
        <f>TEXT(B393,"mmmm")</f>
        <v>February</v>
      </c>
      <c r="AC393" s="8" t="str">
        <f>TEXT(B393,"yyyy")</f>
        <v>2025</v>
      </c>
      <c r="AE393">
        <f t="shared" si="58"/>
        <v>714.43</v>
      </c>
      <c r="AF393" s="11">
        <f t="shared" si="59"/>
        <v>714.43</v>
      </c>
      <c r="AG393">
        <f t="shared" si="60"/>
        <v>148.9899999999999</v>
      </c>
      <c r="AH393" s="11">
        <f t="shared" si="61"/>
        <v>0.20854387413742412</v>
      </c>
      <c r="AI393" s="44">
        <f t="shared" si="62"/>
        <v>0.20854387413742412</v>
      </c>
    </row>
    <row r="394" spans="1:35">
      <c r="A394" t="s">
        <v>1277</v>
      </c>
      <c r="B394" s="5">
        <v>45341</v>
      </c>
      <c r="C394" s="5">
        <v>45344</v>
      </c>
      <c r="D394" s="13">
        <f t="shared" si="54"/>
        <v>3</v>
      </c>
      <c r="E394" t="s">
        <v>1278</v>
      </c>
      <c r="F394" t="s">
        <v>89</v>
      </c>
      <c r="G394" t="s">
        <v>37</v>
      </c>
      <c r="H394" t="s">
        <v>54</v>
      </c>
      <c r="I394" t="s">
        <v>185</v>
      </c>
      <c r="J394" t="s">
        <v>186</v>
      </c>
      <c r="K394" t="s">
        <v>41</v>
      </c>
      <c r="L394" t="s">
        <v>57</v>
      </c>
      <c r="M394" t="s">
        <v>1279</v>
      </c>
      <c r="N394" t="s">
        <v>44</v>
      </c>
      <c r="O394">
        <v>9</v>
      </c>
      <c r="P394">
        <v>4053.01</v>
      </c>
      <c r="Q394" s="11">
        <v>0</v>
      </c>
      <c r="R394">
        <v>36477.089999999997</v>
      </c>
      <c r="S394">
        <v>24525.48</v>
      </c>
      <c r="T394">
        <v>11951.61</v>
      </c>
      <c r="U394" t="s">
        <v>32</v>
      </c>
      <c r="V394" t="s">
        <v>33</v>
      </c>
      <c r="X394" s="8" t="str">
        <f>IF(C394&gt;=B394,"Valid", "Invalid-Date")</f>
        <v>Valid</v>
      </c>
      <c r="Y394" s="8" t="str">
        <f t="shared" si="55"/>
        <v>Valid</v>
      </c>
      <c r="Z394" s="8" t="str">
        <f t="shared" si="56"/>
        <v>Pass</v>
      </c>
      <c r="AA394" s="8" t="str">
        <f t="shared" si="57"/>
        <v>Pass</v>
      </c>
      <c r="AB394" s="8" t="str">
        <f>TEXT(B394,"mmmm")</f>
        <v>February</v>
      </c>
      <c r="AC394" s="8" t="str">
        <f>TEXT(B394,"yyyy")</f>
        <v>2024</v>
      </c>
      <c r="AE394">
        <f t="shared" si="58"/>
        <v>36477.090000000004</v>
      </c>
      <c r="AF394" s="11">
        <f t="shared" si="59"/>
        <v>36477.090000000004</v>
      </c>
      <c r="AG394">
        <f t="shared" si="60"/>
        <v>11951.610000000004</v>
      </c>
      <c r="AH394" s="11">
        <f t="shared" si="61"/>
        <v>0.32764702447481425</v>
      </c>
      <c r="AI394" s="44">
        <f t="shared" si="62"/>
        <v>0.32764702447481425</v>
      </c>
    </row>
    <row r="395" spans="1:35">
      <c r="A395" t="s">
        <v>1280</v>
      </c>
      <c r="B395" s="5">
        <v>45527</v>
      </c>
      <c r="C395" s="5">
        <v>45533</v>
      </c>
      <c r="D395" s="13">
        <f t="shared" si="54"/>
        <v>6</v>
      </c>
      <c r="E395" t="s">
        <v>1281</v>
      </c>
      <c r="F395" t="s">
        <v>36</v>
      </c>
      <c r="G395" t="s">
        <v>90</v>
      </c>
      <c r="H395" t="s">
        <v>25</v>
      </c>
      <c r="I395" t="s">
        <v>136</v>
      </c>
      <c r="J395" t="s">
        <v>137</v>
      </c>
      <c r="K395" t="s">
        <v>28</v>
      </c>
      <c r="L395" t="s">
        <v>91</v>
      </c>
      <c r="M395" t="s">
        <v>1282</v>
      </c>
      <c r="N395" t="s">
        <v>44</v>
      </c>
      <c r="O395">
        <v>2</v>
      </c>
      <c r="P395">
        <v>1936.91</v>
      </c>
      <c r="Q395" s="11">
        <v>0.05</v>
      </c>
      <c r="R395">
        <v>3680.13</v>
      </c>
      <c r="S395">
        <v>2967.46</v>
      </c>
      <c r="T395">
        <v>712.67</v>
      </c>
      <c r="U395" t="s">
        <v>32</v>
      </c>
      <c r="V395" t="s">
        <v>33</v>
      </c>
      <c r="X395" s="8" t="str">
        <f>IF(C395&gt;=B395,"Valid", "Invalid-Date")</f>
        <v>Valid</v>
      </c>
      <c r="Y395" s="8" t="str">
        <f t="shared" si="55"/>
        <v>Valid</v>
      </c>
      <c r="Z395" s="8" t="str">
        <f t="shared" si="56"/>
        <v>Pass</v>
      </c>
      <c r="AA395" s="8" t="str">
        <f t="shared" si="57"/>
        <v>Pass</v>
      </c>
      <c r="AB395" s="8" t="str">
        <f>TEXT(B395,"mmmm")</f>
        <v>August</v>
      </c>
      <c r="AC395" s="8" t="str">
        <f>TEXT(B395,"yyyy")</f>
        <v>2024</v>
      </c>
      <c r="AE395">
        <f t="shared" si="58"/>
        <v>3873.82</v>
      </c>
      <c r="AF395" s="11">
        <f t="shared" si="59"/>
        <v>3680.1289999999999</v>
      </c>
      <c r="AG395">
        <f t="shared" si="60"/>
        <v>906.36000000000013</v>
      </c>
      <c r="AH395" s="11">
        <f t="shared" si="61"/>
        <v>0.23397060266093936</v>
      </c>
      <c r="AI395" s="44">
        <f t="shared" si="62"/>
        <v>0.23397060266093936</v>
      </c>
    </row>
    <row r="396" spans="1:35">
      <c r="A396" t="s">
        <v>1283</v>
      </c>
      <c r="B396" s="5">
        <v>45385</v>
      </c>
      <c r="C396" s="5">
        <v>45386</v>
      </c>
      <c r="D396" s="13">
        <f t="shared" si="54"/>
        <v>1</v>
      </c>
      <c r="E396" t="s">
        <v>1284</v>
      </c>
      <c r="F396" t="s">
        <v>264</v>
      </c>
      <c r="G396" t="s">
        <v>24</v>
      </c>
      <c r="H396" t="s">
        <v>63</v>
      </c>
      <c r="I396" t="s">
        <v>64</v>
      </c>
      <c r="J396" t="s">
        <v>65</v>
      </c>
      <c r="K396" t="s">
        <v>41</v>
      </c>
      <c r="L396" t="s">
        <v>57</v>
      </c>
      <c r="M396" t="s">
        <v>1285</v>
      </c>
      <c r="N396" t="s">
        <v>50</v>
      </c>
      <c r="O396">
        <v>7</v>
      </c>
      <c r="P396">
        <v>3945.21</v>
      </c>
      <c r="Q396" s="11">
        <v>0</v>
      </c>
      <c r="R396">
        <v>27616.47</v>
      </c>
      <c r="S396">
        <v>21225.26</v>
      </c>
      <c r="T396">
        <v>6391.21</v>
      </c>
      <c r="U396" t="s">
        <v>32</v>
      </c>
      <c r="V396" t="s">
        <v>33</v>
      </c>
      <c r="X396" s="8" t="str">
        <f>IF(C396&gt;=B396,"Valid", "Invalid-Date")</f>
        <v>Valid</v>
      </c>
      <c r="Y396" s="8" t="str">
        <f t="shared" si="55"/>
        <v>Valid</v>
      </c>
      <c r="Z396" s="8" t="str">
        <f t="shared" si="56"/>
        <v>Pass</v>
      </c>
      <c r="AA396" s="8" t="str">
        <f t="shared" si="57"/>
        <v>Pass</v>
      </c>
      <c r="AB396" s="8" t="str">
        <f>TEXT(B396,"mmmm")</f>
        <v>April</v>
      </c>
      <c r="AC396" s="8" t="str">
        <f>TEXT(B396,"yyyy")</f>
        <v>2024</v>
      </c>
      <c r="AE396">
        <f t="shared" si="58"/>
        <v>27616.47</v>
      </c>
      <c r="AF396" s="11">
        <f t="shared" si="59"/>
        <v>27616.47</v>
      </c>
      <c r="AG396">
        <f t="shared" si="60"/>
        <v>6391.2100000000028</v>
      </c>
      <c r="AH396" s="11">
        <f t="shared" si="61"/>
        <v>0.23142747787823725</v>
      </c>
      <c r="AI396" s="44">
        <f t="shared" si="62"/>
        <v>0.23142747787823725</v>
      </c>
    </row>
    <row r="397" spans="1:35">
      <c r="A397" t="s">
        <v>1286</v>
      </c>
      <c r="B397" s="5">
        <v>45449</v>
      </c>
      <c r="C397" s="5">
        <v>45479</v>
      </c>
      <c r="D397" s="13">
        <f t="shared" si="54"/>
        <v>30</v>
      </c>
      <c r="E397" t="s">
        <v>1287</v>
      </c>
      <c r="F397" t="s">
        <v>118</v>
      </c>
      <c r="G397" t="s">
        <v>95</v>
      </c>
      <c r="H397" t="s">
        <v>54</v>
      </c>
      <c r="I397" t="s">
        <v>247</v>
      </c>
      <c r="J397" t="s">
        <v>248</v>
      </c>
      <c r="K397" t="s">
        <v>41</v>
      </c>
      <c r="L397" t="s">
        <v>42</v>
      </c>
      <c r="M397" t="s">
        <v>1288</v>
      </c>
      <c r="N397" t="s">
        <v>44</v>
      </c>
      <c r="O397">
        <v>7</v>
      </c>
      <c r="P397">
        <v>861.91</v>
      </c>
      <c r="Q397" s="11">
        <v>0.05</v>
      </c>
      <c r="R397">
        <v>5731.7</v>
      </c>
      <c r="S397">
        <v>4115.5600000000004</v>
      </c>
      <c r="T397">
        <v>1616.14</v>
      </c>
      <c r="U397" t="s">
        <v>32</v>
      </c>
      <c r="V397" t="s">
        <v>33</v>
      </c>
      <c r="X397" s="8" t="str">
        <f>IF(C397&gt;=B397,"Valid", "Invalid-Date")</f>
        <v>Valid</v>
      </c>
      <c r="Y397" s="8" t="str">
        <f t="shared" si="55"/>
        <v>Valid</v>
      </c>
      <c r="Z397" s="8" t="str">
        <f t="shared" si="56"/>
        <v>Pass</v>
      </c>
      <c r="AA397" s="8" t="str">
        <f t="shared" si="57"/>
        <v>Pass</v>
      </c>
      <c r="AB397" s="8" t="str">
        <f>TEXT(B397,"mmmm")</f>
        <v>June</v>
      </c>
      <c r="AC397" s="8" t="str">
        <f>TEXT(B397,"yyyy")</f>
        <v>2024</v>
      </c>
      <c r="AE397">
        <f t="shared" si="58"/>
        <v>6033.37</v>
      </c>
      <c r="AF397" s="11">
        <f t="shared" si="59"/>
        <v>5731.7014999999992</v>
      </c>
      <c r="AG397">
        <f t="shared" si="60"/>
        <v>1917.8099999999995</v>
      </c>
      <c r="AH397" s="11">
        <f t="shared" si="61"/>
        <v>0.31786712898429892</v>
      </c>
      <c r="AI397" s="44">
        <f t="shared" si="62"/>
        <v>0.31786712898429892</v>
      </c>
    </row>
    <row r="398" spans="1:35">
      <c r="A398" t="s">
        <v>1289</v>
      </c>
      <c r="B398" s="5">
        <v>45761</v>
      </c>
      <c r="C398" s="5">
        <v>45769</v>
      </c>
      <c r="D398" s="13">
        <f t="shared" si="54"/>
        <v>8</v>
      </c>
      <c r="E398" t="s">
        <v>1290</v>
      </c>
      <c r="F398" t="s">
        <v>89</v>
      </c>
      <c r="G398" t="s">
        <v>37</v>
      </c>
      <c r="H398" t="s">
        <v>54</v>
      </c>
      <c r="I398" t="s">
        <v>175</v>
      </c>
      <c r="J398" t="s">
        <v>176</v>
      </c>
      <c r="K398" t="s">
        <v>74</v>
      </c>
      <c r="L398" t="s">
        <v>274</v>
      </c>
      <c r="M398" t="s">
        <v>1291</v>
      </c>
      <c r="N398" t="s">
        <v>59</v>
      </c>
      <c r="O398">
        <v>2</v>
      </c>
      <c r="P398">
        <v>638.73</v>
      </c>
      <c r="Q398" s="11">
        <v>0.05</v>
      </c>
      <c r="R398">
        <v>1213.5899999999999</v>
      </c>
      <c r="S398">
        <v>956.22</v>
      </c>
      <c r="T398">
        <v>257.37</v>
      </c>
      <c r="U398" t="s">
        <v>32</v>
      </c>
      <c r="V398" t="s">
        <v>33</v>
      </c>
      <c r="X398" s="8" t="str">
        <f>IF(C398&gt;=B398,"Valid", "Invalid-Date")</f>
        <v>Valid</v>
      </c>
      <c r="Y398" s="8" t="str">
        <f t="shared" si="55"/>
        <v>Valid</v>
      </c>
      <c r="Z398" s="8" t="str">
        <f t="shared" si="56"/>
        <v>Pass</v>
      </c>
      <c r="AA398" s="8" t="str">
        <f t="shared" si="57"/>
        <v>Pass</v>
      </c>
      <c r="AB398" s="8" t="str">
        <f>TEXT(B398,"mmmm")</f>
        <v>April</v>
      </c>
      <c r="AC398" s="8" t="str">
        <f>TEXT(B398,"yyyy")</f>
        <v>2025</v>
      </c>
      <c r="AE398">
        <f t="shared" si="58"/>
        <v>1277.46</v>
      </c>
      <c r="AF398" s="11">
        <f t="shared" si="59"/>
        <v>1213.587</v>
      </c>
      <c r="AG398">
        <f t="shared" si="60"/>
        <v>321.24</v>
      </c>
      <c r="AH398" s="11">
        <f t="shared" si="61"/>
        <v>0.25146775632896529</v>
      </c>
      <c r="AI398" s="44">
        <f t="shared" si="62"/>
        <v>0.25146775632896529</v>
      </c>
    </row>
    <row r="399" spans="1:35">
      <c r="A399" t="s">
        <v>1292</v>
      </c>
      <c r="B399" s="5">
        <v>45817</v>
      </c>
      <c r="C399" s="5">
        <v>45936</v>
      </c>
      <c r="D399" s="13">
        <f t="shared" si="54"/>
        <v>119</v>
      </c>
      <c r="E399" t="s">
        <v>1293</v>
      </c>
      <c r="F399" t="s">
        <v>132</v>
      </c>
      <c r="G399" t="s">
        <v>37</v>
      </c>
      <c r="H399" t="s">
        <v>25</v>
      </c>
      <c r="I399" t="s">
        <v>136</v>
      </c>
      <c r="J399" t="s">
        <v>137</v>
      </c>
      <c r="K399" t="s">
        <v>41</v>
      </c>
      <c r="L399" t="s">
        <v>42</v>
      </c>
      <c r="M399" t="s">
        <v>1294</v>
      </c>
      <c r="N399" t="s">
        <v>31</v>
      </c>
      <c r="O399">
        <v>2</v>
      </c>
      <c r="P399">
        <v>1731.88</v>
      </c>
      <c r="Q399" s="11">
        <v>0</v>
      </c>
      <c r="R399">
        <v>3463.76</v>
      </c>
      <c r="S399">
        <v>2143.7399999999998</v>
      </c>
      <c r="T399">
        <v>1320.02</v>
      </c>
      <c r="U399" t="s">
        <v>32</v>
      </c>
      <c r="V399" t="s">
        <v>33</v>
      </c>
      <c r="X399" s="8" t="str">
        <f>IF(C399&gt;=B399,"Valid", "Invalid-Date")</f>
        <v>Valid</v>
      </c>
      <c r="Y399" s="8" t="str">
        <f t="shared" si="55"/>
        <v>Valid</v>
      </c>
      <c r="Z399" s="8" t="str">
        <f t="shared" si="56"/>
        <v>Pass</v>
      </c>
      <c r="AA399" s="8" t="str">
        <f t="shared" si="57"/>
        <v>Pass</v>
      </c>
      <c r="AB399" s="8" t="str">
        <f>TEXT(B399,"mmmm")</f>
        <v>June</v>
      </c>
      <c r="AC399" s="8" t="str">
        <f>TEXT(B399,"yyyy")</f>
        <v>2025</v>
      </c>
      <c r="AE399">
        <f t="shared" si="58"/>
        <v>3463.76</v>
      </c>
      <c r="AF399" s="11">
        <f t="shared" si="59"/>
        <v>3463.76</v>
      </c>
      <c r="AG399">
        <f t="shared" si="60"/>
        <v>1320.0200000000004</v>
      </c>
      <c r="AH399" s="11">
        <f t="shared" si="61"/>
        <v>0.38109453310852959</v>
      </c>
      <c r="AI399" s="44">
        <f t="shared" si="62"/>
        <v>0.38109453310852959</v>
      </c>
    </row>
    <row r="400" spans="1:35">
      <c r="A400" t="s">
        <v>1295</v>
      </c>
      <c r="B400" s="5">
        <v>45492</v>
      </c>
      <c r="C400" s="5">
        <v>45499</v>
      </c>
      <c r="D400" s="13">
        <f t="shared" si="54"/>
        <v>7</v>
      </c>
      <c r="E400" t="s">
        <v>1296</v>
      </c>
      <c r="F400" t="s">
        <v>71</v>
      </c>
      <c r="G400" t="s">
        <v>90</v>
      </c>
      <c r="H400" t="s">
        <v>25</v>
      </c>
      <c r="I400" t="s">
        <v>122</v>
      </c>
      <c r="J400" t="s">
        <v>123</v>
      </c>
      <c r="K400" t="s">
        <v>74</v>
      </c>
      <c r="L400" t="s">
        <v>274</v>
      </c>
      <c r="M400" t="s">
        <v>1297</v>
      </c>
      <c r="N400" t="s">
        <v>44</v>
      </c>
      <c r="O400">
        <v>2</v>
      </c>
      <c r="P400">
        <v>1263.6500000000001</v>
      </c>
      <c r="Q400" s="11">
        <v>0.2</v>
      </c>
      <c r="R400">
        <v>2021.84</v>
      </c>
      <c r="S400">
        <v>1355.22</v>
      </c>
      <c r="T400">
        <v>666.62</v>
      </c>
      <c r="U400" t="s">
        <v>32</v>
      </c>
      <c r="V400" t="s">
        <v>33</v>
      </c>
      <c r="X400" s="8" t="str">
        <f>IF(C400&gt;=B400,"Valid", "Invalid-Date")</f>
        <v>Valid</v>
      </c>
      <c r="Y400" s="8" t="str">
        <f t="shared" si="55"/>
        <v>Valid</v>
      </c>
      <c r="Z400" s="8" t="str">
        <f t="shared" si="56"/>
        <v>Pass</v>
      </c>
      <c r="AA400" s="8" t="str">
        <f t="shared" si="57"/>
        <v>Pass</v>
      </c>
      <c r="AB400" s="8" t="str">
        <f>TEXT(B400,"mmmm")</f>
        <v>July</v>
      </c>
      <c r="AC400" s="8" t="str">
        <f>TEXT(B400,"yyyy")</f>
        <v>2024</v>
      </c>
      <c r="AE400">
        <f t="shared" si="58"/>
        <v>2527.3000000000002</v>
      </c>
      <c r="AF400" s="11">
        <f t="shared" si="59"/>
        <v>2021.8400000000001</v>
      </c>
      <c r="AG400">
        <f t="shared" si="60"/>
        <v>1172.0800000000002</v>
      </c>
      <c r="AH400" s="11">
        <f t="shared" si="61"/>
        <v>0.46376765718355561</v>
      </c>
      <c r="AI400" s="44">
        <f t="shared" si="62"/>
        <v>0.46376765718355561</v>
      </c>
    </row>
    <row r="401" spans="1:35" s="15" customFormat="1">
      <c r="A401" s="15" t="s">
        <v>1298</v>
      </c>
      <c r="B401" s="16">
        <v>45771</v>
      </c>
      <c r="C401" s="16">
        <v>45776</v>
      </c>
      <c r="D401" s="17">
        <f t="shared" si="54"/>
        <v>5</v>
      </c>
      <c r="E401" s="15" t="s">
        <v>1299</v>
      </c>
      <c r="F401" s="15" t="s">
        <v>162</v>
      </c>
      <c r="G401" s="15" t="s">
        <v>37</v>
      </c>
      <c r="H401" s="15" t="s">
        <v>54</v>
      </c>
      <c r="I401" s="15" t="s">
        <v>84</v>
      </c>
      <c r="J401" s="15" t="s">
        <v>85</v>
      </c>
      <c r="K401" s="15" t="s">
        <v>28</v>
      </c>
      <c r="L401" s="15" t="s">
        <v>29</v>
      </c>
      <c r="M401" s="15" t="s">
        <v>1300</v>
      </c>
      <c r="N401" s="15" t="s">
        <v>44</v>
      </c>
      <c r="O401" s="15">
        <v>1</v>
      </c>
      <c r="P401" s="15">
        <v>4358.5</v>
      </c>
      <c r="Q401" s="18">
        <v>0.25</v>
      </c>
      <c r="R401" s="15">
        <v>3268.88</v>
      </c>
      <c r="S401" s="15">
        <v>1993.74</v>
      </c>
      <c r="T401" s="15">
        <v>1275.1400000000001</v>
      </c>
      <c r="U401" s="15" t="s">
        <v>32</v>
      </c>
      <c r="V401" s="15" t="s">
        <v>33</v>
      </c>
      <c r="W401" s="25"/>
      <c r="X401" s="8" t="str">
        <f>IF(C401&gt;=B401,"Valid", "Invalid-Date")</f>
        <v>Valid</v>
      </c>
      <c r="Y401" s="8" t="str">
        <f t="shared" si="55"/>
        <v>Valid</v>
      </c>
      <c r="Z401" s="19" t="str">
        <f t="shared" si="56"/>
        <v>Pass</v>
      </c>
      <c r="AA401" s="19" t="str">
        <f t="shared" si="57"/>
        <v>Pass</v>
      </c>
      <c r="AB401" s="19" t="str">
        <f>TEXT(B401,"mmmm")</f>
        <v>April</v>
      </c>
      <c r="AC401" s="19" t="str">
        <f>TEXT(B401,"yyyy")</f>
        <v>2025</v>
      </c>
      <c r="AD401" s="20"/>
      <c r="AE401" s="15">
        <f t="shared" si="58"/>
        <v>4358.5</v>
      </c>
      <c r="AF401" s="11">
        <f t="shared" si="59"/>
        <v>3268.875</v>
      </c>
      <c r="AG401" s="15">
        <f t="shared" si="60"/>
        <v>2364.7600000000002</v>
      </c>
      <c r="AH401" s="18">
        <f t="shared" si="61"/>
        <v>0.54256280830560977</v>
      </c>
      <c r="AI401" s="45">
        <f t="shared" si="62"/>
        <v>0.54256280830560977</v>
      </c>
    </row>
    <row r="402" spans="1:35">
      <c r="A402" t="s">
        <v>1301</v>
      </c>
      <c r="B402" s="5">
        <v>45814</v>
      </c>
      <c r="C402" s="5">
        <v>45967</v>
      </c>
      <c r="D402" s="13">
        <f t="shared" si="54"/>
        <v>153</v>
      </c>
      <c r="E402" t="s">
        <v>1302</v>
      </c>
      <c r="F402" t="s">
        <v>132</v>
      </c>
      <c r="G402" t="s">
        <v>37</v>
      </c>
      <c r="H402" t="s">
        <v>25</v>
      </c>
      <c r="I402" t="s">
        <v>136</v>
      </c>
      <c r="J402" t="s">
        <v>137</v>
      </c>
      <c r="K402" t="s">
        <v>28</v>
      </c>
      <c r="L402" t="s">
        <v>29</v>
      </c>
      <c r="M402" t="s">
        <v>1303</v>
      </c>
      <c r="N402" t="s">
        <v>44</v>
      </c>
      <c r="O402">
        <v>7</v>
      </c>
      <c r="P402">
        <v>878.09</v>
      </c>
      <c r="Q402" s="11">
        <v>-0.1</v>
      </c>
      <c r="R402">
        <v>5839.3</v>
      </c>
      <c r="S402">
        <v>4877.38</v>
      </c>
      <c r="T402">
        <v>961.92</v>
      </c>
      <c r="U402" t="s">
        <v>32</v>
      </c>
      <c r="V402" t="s">
        <v>33</v>
      </c>
      <c r="X402" s="8" t="str">
        <f>IF(C402&gt;=B402,"Valid", "Invalid-Date")</f>
        <v>Valid</v>
      </c>
      <c r="Y402" s="8" t="str">
        <f t="shared" si="55"/>
        <v>Invalid-Discount</v>
      </c>
      <c r="Z402" s="8" t="str">
        <f t="shared" si="56"/>
        <v>Pass</v>
      </c>
      <c r="AA402" s="8" t="str">
        <f t="shared" si="57"/>
        <v>Pass</v>
      </c>
      <c r="AB402" s="8" t="str">
        <f>TEXT(B402,"mmmm")</f>
        <v>June</v>
      </c>
      <c r="AC402" s="8" t="str">
        <f>TEXT(B402,"yyyy")</f>
        <v>2025</v>
      </c>
      <c r="AE402">
        <f t="shared" si="58"/>
        <v>6146.63</v>
      </c>
      <c r="AF402" s="11">
        <f t="shared" si="59"/>
        <v>6761.2930000000006</v>
      </c>
      <c r="AG402">
        <f t="shared" si="60"/>
        <v>1269.25</v>
      </c>
      <c r="AH402" s="11">
        <f t="shared" si="61"/>
        <v>0.20649526651189351</v>
      </c>
      <c r="AI402" s="44">
        <f t="shared" si="62"/>
        <v>0.20649526651189351</v>
      </c>
    </row>
    <row r="403" spans="1:35">
      <c r="A403" t="s">
        <v>1304</v>
      </c>
      <c r="B403" s="5">
        <v>45725</v>
      </c>
      <c r="C403" s="5">
        <v>45732</v>
      </c>
      <c r="D403" s="13">
        <f t="shared" si="54"/>
        <v>7</v>
      </c>
      <c r="E403" t="s">
        <v>1305</v>
      </c>
      <c r="F403" t="s">
        <v>53</v>
      </c>
      <c r="G403" t="s">
        <v>37</v>
      </c>
      <c r="H403" t="s">
        <v>38</v>
      </c>
      <c r="I403" t="s">
        <v>228</v>
      </c>
      <c r="J403" t="s">
        <v>229</v>
      </c>
      <c r="K403" t="s">
        <v>41</v>
      </c>
      <c r="L403" t="s">
        <v>42</v>
      </c>
      <c r="M403" t="s">
        <v>1306</v>
      </c>
      <c r="N403" t="s">
        <v>44</v>
      </c>
      <c r="O403">
        <v>3</v>
      </c>
      <c r="P403">
        <v>2625.85</v>
      </c>
      <c r="Q403" s="11">
        <v>0</v>
      </c>
      <c r="R403">
        <v>7877.55</v>
      </c>
      <c r="S403">
        <v>5562.77</v>
      </c>
      <c r="T403">
        <v>2314.7800000000002</v>
      </c>
      <c r="U403" t="s">
        <v>32</v>
      </c>
      <c r="V403" t="s">
        <v>33</v>
      </c>
      <c r="X403" s="8" t="str">
        <f>IF(C403&gt;=B403,"Valid", "Invalid-Date")</f>
        <v>Valid</v>
      </c>
      <c r="Y403" s="8" t="str">
        <f t="shared" si="55"/>
        <v>Valid</v>
      </c>
      <c r="Z403" s="8" t="str">
        <f t="shared" si="56"/>
        <v>Pass</v>
      </c>
      <c r="AA403" s="8" t="str">
        <f t="shared" si="57"/>
        <v>Pass</v>
      </c>
      <c r="AB403" s="8" t="str">
        <f>TEXT(B403,"mmmm")</f>
        <v>March</v>
      </c>
      <c r="AC403" s="8" t="str">
        <f>TEXT(B403,"yyyy")</f>
        <v>2025</v>
      </c>
      <c r="AE403">
        <f t="shared" si="58"/>
        <v>7877.5499999999993</v>
      </c>
      <c r="AF403" s="11">
        <f t="shared" si="59"/>
        <v>7877.5499999999993</v>
      </c>
      <c r="AG403">
        <f t="shared" si="60"/>
        <v>2314.7799999999988</v>
      </c>
      <c r="AH403" s="11">
        <f t="shared" si="61"/>
        <v>0.29384516759652418</v>
      </c>
      <c r="AI403" s="44">
        <f t="shared" si="62"/>
        <v>0.29384516759652418</v>
      </c>
    </row>
    <row r="404" spans="1:35">
      <c r="A404" t="s">
        <v>1307</v>
      </c>
      <c r="B404" s="5">
        <v>45373</v>
      </c>
      <c r="C404" s="5">
        <v>45373</v>
      </c>
      <c r="D404" s="13">
        <f t="shared" si="54"/>
        <v>0</v>
      </c>
      <c r="E404" t="s">
        <v>1308</v>
      </c>
      <c r="F404" t="s">
        <v>114</v>
      </c>
      <c r="G404" t="s">
        <v>37</v>
      </c>
      <c r="H404" t="s">
        <v>54</v>
      </c>
      <c r="I404" t="s">
        <v>175</v>
      </c>
      <c r="J404" t="s">
        <v>176</v>
      </c>
      <c r="K404" t="s">
        <v>41</v>
      </c>
      <c r="L404" t="s">
        <v>42</v>
      </c>
      <c r="M404" t="s">
        <v>1309</v>
      </c>
      <c r="N404" t="s">
        <v>2785</v>
      </c>
      <c r="O404">
        <v>3</v>
      </c>
      <c r="P404">
        <v>1365.26</v>
      </c>
      <c r="Q404" s="11">
        <v>0</v>
      </c>
      <c r="R404">
        <v>4095.78</v>
      </c>
      <c r="S404">
        <v>2807.77</v>
      </c>
      <c r="T404">
        <v>1288.01</v>
      </c>
      <c r="U404" t="s">
        <v>32</v>
      </c>
      <c r="V404" t="s">
        <v>33</v>
      </c>
      <c r="X404" s="8" t="str">
        <f>IF(C404&gt;=B404,"Valid", "Invalid-Date")</f>
        <v>Valid</v>
      </c>
      <c r="Y404" s="8" t="str">
        <f t="shared" si="55"/>
        <v>Valid</v>
      </c>
      <c r="Z404" s="8" t="str">
        <f t="shared" si="56"/>
        <v>Flagged</v>
      </c>
      <c r="AA404" s="8" t="str">
        <f t="shared" si="57"/>
        <v>Pass</v>
      </c>
      <c r="AB404" s="8" t="str">
        <f>TEXT(B404,"mmmm")</f>
        <v>March</v>
      </c>
      <c r="AC404" s="8" t="str">
        <f>TEXT(B404,"yyyy")</f>
        <v>2024</v>
      </c>
      <c r="AE404">
        <f t="shared" si="58"/>
        <v>4095.7799999999997</v>
      </c>
      <c r="AF404" s="11">
        <f t="shared" si="59"/>
        <v>4095.7799999999997</v>
      </c>
      <c r="AG404">
        <f t="shared" si="60"/>
        <v>1288.0099999999998</v>
      </c>
      <c r="AH404" s="11">
        <f t="shared" si="61"/>
        <v>0.31447245701673426</v>
      </c>
      <c r="AI404" s="44">
        <f t="shared" si="62"/>
        <v>0.31447245701673426</v>
      </c>
    </row>
    <row r="405" spans="1:35">
      <c r="A405" t="s">
        <v>1310</v>
      </c>
      <c r="B405" s="5">
        <v>45565</v>
      </c>
      <c r="C405" s="5">
        <v>45569</v>
      </c>
      <c r="D405" s="13">
        <f t="shared" si="54"/>
        <v>4</v>
      </c>
      <c r="E405" t="s">
        <v>1311</v>
      </c>
      <c r="F405" t="s">
        <v>53</v>
      </c>
      <c r="G405" t="s">
        <v>37</v>
      </c>
      <c r="H405" t="s">
        <v>54</v>
      </c>
      <c r="I405" t="s">
        <v>185</v>
      </c>
      <c r="J405" t="s">
        <v>186</v>
      </c>
      <c r="K405" t="s">
        <v>28</v>
      </c>
      <c r="L405" t="s">
        <v>29</v>
      </c>
      <c r="M405" t="s">
        <v>1312</v>
      </c>
      <c r="N405" t="s">
        <v>44</v>
      </c>
      <c r="O405">
        <v>5</v>
      </c>
      <c r="P405">
        <v>3512.25</v>
      </c>
      <c r="Q405" s="11">
        <v>0.05</v>
      </c>
      <c r="R405">
        <v>16683.189999999999</v>
      </c>
      <c r="S405">
        <v>10301.16</v>
      </c>
      <c r="T405">
        <v>6382.03</v>
      </c>
      <c r="U405" t="s">
        <v>32</v>
      </c>
      <c r="V405" t="s">
        <v>103</v>
      </c>
      <c r="X405" s="8" t="str">
        <f>IF(C405&gt;=B405,"Valid", "Invalid-Date")</f>
        <v>Valid</v>
      </c>
      <c r="Y405" s="8" t="str">
        <f t="shared" si="55"/>
        <v>Valid</v>
      </c>
      <c r="Z405" s="8" t="str">
        <f t="shared" si="56"/>
        <v>Pass</v>
      </c>
      <c r="AA405" s="8" t="str">
        <f t="shared" si="57"/>
        <v>Pass</v>
      </c>
      <c r="AB405" s="8" t="str">
        <f>TEXT(B405,"mmmm")</f>
        <v>September</v>
      </c>
      <c r="AC405" s="8" t="str">
        <f>TEXT(B405,"yyyy")</f>
        <v>2024</v>
      </c>
      <c r="AE405">
        <f t="shared" si="58"/>
        <v>17561.25</v>
      </c>
      <c r="AF405" s="11">
        <f t="shared" si="59"/>
        <v>16683.1875</v>
      </c>
      <c r="AG405">
        <f t="shared" si="60"/>
        <v>7260.09</v>
      </c>
      <c r="AH405" s="11">
        <f t="shared" si="61"/>
        <v>0.41341533205210335</v>
      </c>
      <c r="AI405" s="44">
        <f t="shared" si="62"/>
        <v>0.41341533205210335</v>
      </c>
    </row>
    <row r="406" spans="1:35">
      <c r="A406" t="s">
        <v>1313</v>
      </c>
      <c r="B406" s="5">
        <v>45318</v>
      </c>
      <c r="C406" s="5">
        <v>45353</v>
      </c>
      <c r="D406" s="13">
        <f t="shared" si="54"/>
        <v>35</v>
      </c>
      <c r="E406" t="s">
        <v>1314</v>
      </c>
      <c r="F406" t="s">
        <v>89</v>
      </c>
      <c r="G406" t="s">
        <v>90</v>
      </c>
      <c r="H406" t="s">
        <v>63</v>
      </c>
      <c r="I406" t="s">
        <v>26</v>
      </c>
      <c r="J406" t="s">
        <v>109</v>
      </c>
      <c r="K406" t="s">
        <v>41</v>
      </c>
      <c r="L406" t="s">
        <v>66</v>
      </c>
      <c r="M406" t="s">
        <v>1315</v>
      </c>
      <c r="N406" t="s">
        <v>44</v>
      </c>
      <c r="O406">
        <v>3</v>
      </c>
      <c r="P406">
        <v>359.61</v>
      </c>
      <c r="Q406" s="11">
        <v>0</v>
      </c>
      <c r="R406">
        <v>1078.83</v>
      </c>
      <c r="S406">
        <v>926.35</v>
      </c>
      <c r="T406">
        <v>152.47999999999999</v>
      </c>
      <c r="U406" t="s">
        <v>32</v>
      </c>
      <c r="V406" t="s">
        <v>33</v>
      </c>
      <c r="X406" s="8" t="str">
        <f>IF(C406&gt;=B406,"Valid", "Invalid-Date")</f>
        <v>Valid</v>
      </c>
      <c r="Y406" s="8" t="str">
        <f t="shared" si="55"/>
        <v>Valid</v>
      </c>
      <c r="Z406" s="8" t="str">
        <f t="shared" si="56"/>
        <v>Pass</v>
      </c>
      <c r="AA406" s="8" t="str">
        <f t="shared" si="57"/>
        <v>Pass</v>
      </c>
      <c r="AB406" s="8" t="str">
        <f>TEXT(B406,"mmmm")</f>
        <v>January</v>
      </c>
      <c r="AC406" s="8" t="str">
        <f>TEXT(B406,"yyyy")</f>
        <v>2024</v>
      </c>
      <c r="AE406">
        <f t="shared" si="58"/>
        <v>1078.83</v>
      </c>
      <c r="AF406" s="11">
        <f t="shared" si="59"/>
        <v>1078.83</v>
      </c>
      <c r="AG406">
        <f t="shared" si="60"/>
        <v>152.4799999999999</v>
      </c>
      <c r="AH406" s="11">
        <f t="shared" si="61"/>
        <v>0.14133830167867034</v>
      </c>
      <c r="AI406" s="44">
        <f t="shared" si="62"/>
        <v>0.14133830167867034</v>
      </c>
    </row>
    <row r="407" spans="1:35">
      <c r="A407" t="s">
        <v>1316</v>
      </c>
      <c r="B407" s="5">
        <v>45558</v>
      </c>
      <c r="C407" s="5">
        <v>45559</v>
      </c>
      <c r="D407" s="13">
        <f t="shared" si="54"/>
        <v>1</v>
      </c>
      <c r="E407" t="s">
        <v>1317</v>
      </c>
      <c r="F407" t="s">
        <v>89</v>
      </c>
      <c r="G407" t="s">
        <v>95</v>
      </c>
      <c r="H407" t="s">
        <v>63</v>
      </c>
      <c r="I407" t="s">
        <v>180</v>
      </c>
      <c r="J407" t="s">
        <v>181</v>
      </c>
      <c r="K407" t="s">
        <v>41</v>
      </c>
      <c r="L407" t="s">
        <v>158</v>
      </c>
      <c r="M407" t="s">
        <v>1318</v>
      </c>
      <c r="N407" t="s">
        <v>2785</v>
      </c>
      <c r="O407">
        <v>7</v>
      </c>
      <c r="P407">
        <v>3878.01</v>
      </c>
      <c r="Q407" s="11">
        <v>0.1</v>
      </c>
      <c r="R407">
        <v>24431.46</v>
      </c>
      <c r="S407">
        <v>18202.36</v>
      </c>
      <c r="T407">
        <v>6229.1</v>
      </c>
      <c r="U407" t="s">
        <v>32</v>
      </c>
      <c r="V407" t="s">
        <v>33</v>
      </c>
      <c r="X407" s="8" t="str">
        <f>IF(C407&gt;=B407,"Valid", "Invalid-Date")</f>
        <v>Valid</v>
      </c>
      <c r="Y407" s="8" t="str">
        <f t="shared" si="55"/>
        <v>Valid</v>
      </c>
      <c r="Z407" s="8" t="str">
        <f t="shared" si="56"/>
        <v>Flagged</v>
      </c>
      <c r="AA407" s="8" t="str">
        <f t="shared" si="57"/>
        <v>Pass</v>
      </c>
      <c r="AB407" s="8" t="str">
        <f>TEXT(B407,"mmmm")</f>
        <v>September</v>
      </c>
      <c r="AC407" s="8" t="str">
        <f>TEXT(B407,"yyyy")</f>
        <v>2024</v>
      </c>
      <c r="AE407">
        <f t="shared" si="58"/>
        <v>27146.07</v>
      </c>
      <c r="AF407" s="11">
        <f t="shared" si="59"/>
        <v>24431.463</v>
      </c>
      <c r="AG407">
        <f t="shared" si="60"/>
        <v>8943.7099999999991</v>
      </c>
      <c r="AH407" s="11">
        <f t="shared" si="61"/>
        <v>0.32946610688029609</v>
      </c>
      <c r="AI407" s="44">
        <f t="shared" si="62"/>
        <v>0.32946610688029609</v>
      </c>
    </row>
    <row r="408" spans="1:35">
      <c r="A408" t="s">
        <v>1319</v>
      </c>
      <c r="B408" s="5">
        <v>45713</v>
      </c>
      <c r="C408" s="5">
        <v>45713</v>
      </c>
      <c r="D408" s="13">
        <f t="shared" si="54"/>
        <v>0</v>
      </c>
      <c r="E408" t="s">
        <v>1320</v>
      </c>
      <c r="F408" t="s">
        <v>264</v>
      </c>
      <c r="G408" t="s">
        <v>37</v>
      </c>
      <c r="H408" t="s">
        <v>63</v>
      </c>
      <c r="I408" t="s">
        <v>190</v>
      </c>
      <c r="J408" t="s">
        <v>191</v>
      </c>
      <c r="K408" t="s">
        <v>41</v>
      </c>
      <c r="L408" t="s">
        <v>57</v>
      </c>
      <c r="M408" t="s">
        <v>1321</v>
      </c>
      <c r="N408" t="s">
        <v>59</v>
      </c>
      <c r="O408">
        <v>2</v>
      </c>
      <c r="P408">
        <v>3924.2</v>
      </c>
      <c r="Q408" s="11">
        <v>0.25</v>
      </c>
      <c r="R408">
        <v>5886.3</v>
      </c>
      <c r="S408">
        <v>3621.76</v>
      </c>
      <c r="T408">
        <v>2264.54</v>
      </c>
      <c r="U408" t="s">
        <v>111</v>
      </c>
      <c r="V408" t="s">
        <v>103</v>
      </c>
      <c r="X408" s="8" t="str">
        <f>IF(C408&gt;=B408,"Valid", "Invalid-Date")</f>
        <v>Valid</v>
      </c>
      <c r="Y408" s="8" t="str">
        <f t="shared" si="55"/>
        <v>Valid</v>
      </c>
      <c r="Z408" s="8" t="str">
        <f t="shared" si="56"/>
        <v>Pass</v>
      </c>
      <c r="AA408" s="8" t="str">
        <f t="shared" si="57"/>
        <v>Pass</v>
      </c>
      <c r="AB408" s="8" t="str">
        <f>TEXT(B408,"mmmm")</f>
        <v>February</v>
      </c>
      <c r="AC408" s="8" t="str">
        <f>TEXT(B408,"yyyy")</f>
        <v>2025</v>
      </c>
      <c r="AE408">
        <f t="shared" si="58"/>
        <v>7848.4</v>
      </c>
      <c r="AF408" s="11">
        <f t="shared" si="59"/>
        <v>5886.2999999999993</v>
      </c>
      <c r="AG408">
        <f t="shared" si="60"/>
        <v>4226.6399999999994</v>
      </c>
      <c r="AH408" s="11">
        <f t="shared" si="61"/>
        <v>0.53853524285204624</v>
      </c>
      <c r="AI408" s="44">
        <f t="shared" si="62"/>
        <v>0.53853524285204624</v>
      </c>
    </row>
    <row r="409" spans="1:35">
      <c r="A409" t="s">
        <v>1322</v>
      </c>
      <c r="B409" s="5">
        <v>45424</v>
      </c>
      <c r="C409" s="5">
        <v>45425</v>
      </c>
      <c r="D409" s="13">
        <f t="shared" si="54"/>
        <v>1</v>
      </c>
      <c r="E409" t="s">
        <v>1323</v>
      </c>
      <c r="F409" t="s">
        <v>118</v>
      </c>
      <c r="G409" t="s">
        <v>90</v>
      </c>
      <c r="H409" t="s">
        <v>63</v>
      </c>
      <c r="I409" t="s">
        <v>190</v>
      </c>
      <c r="J409" t="s">
        <v>191</v>
      </c>
      <c r="K409" t="s">
        <v>28</v>
      </c>
      <c r="L409" t="s">
        <v>91</v>
      </c>
      <c r="M409" t="s">
        <v>1324</v>
      </c>
      <c r="N409" t="s">
        <v>31</v>
      </c>
      <c r="O409">
        <v>3</v>
      </c>
      <c r="P409">
        <v>2644.55</v>
      </c>
      <c r="Q409" s="11">
        <v>0</v>
      </c>
      <c r="R409">
        <v>7933.65</v>
      </c>
      <c r="S409">
        <v>5698.42</v>
      </c>
      <c r="T409">
        <v>2235.23</v>
      </c>
      <c r="U409" t="s">
        <v>32</v>
      </c>
      <c r="V409" t="s">
        <v>33</v>
      </c>
      <c r="X409" s="8" t="str">
        <f>IF(C409&gt;=B409,"Valid", "Invalid-Date")</f>
        <v>Valid</v>
      </c>
      <c r="Y409" s="8" t="str">
        <f t="shared" si="55"/>
        <v>Valid</v>
      </c>
      <c r="Z409" s="8" t="str">
        <f t="shared" si="56"/>
        <v>Pass</v>
      </c>
      <c r="AA409" s="8" t="str">
        <f t="shared" si="57"/>
        <v>Pass</v>
      </c>
      <c r="AB409" s="8" t="str">
        <f>TEXT(B409,"mmmm")</f>
        <v>May</v>
      </c>
      <c r="AC409" s="8" t="str">
        <f>TEXT(B409,"yyyy")</f>
        <v>2024</v>
      </c>
      <c r="AE409">
        <f t="shared" si="58"/>
        <v>7933.6500000000005</v>
      </c>
      <c r="AF409" s="11">
        <f t="shared" si="59"/>
        <v>7933.6500000000005</v>
      </c>
      <c r="AG409">
        <f t="shared" si="60"/>
        <v>2235.2300000000005</v>
      </c>
      <c r="AH409" s="11">
        <f t="shared" si="61"/>
        <v>0.2817404347305465</v>
      </c>
      <c r="AI409" s="44">
        <f t="shared" si="62"/>
        <v>0.2817404347305465</v>
      </c>
    </row>
    <row r="410" spans="1:35">
      <c r="A410" t="s">
        <v>1325</v>
      </c>
      <c r="B410" s="5">
        <v>45665</v>
      </c>
      <c r="C410" s="5">
        <v>45724</v>
      </c>
      <c r="D410" s="13">
        <f t="shared" si="54"/>
        <v>59</v>
      </c>
      <c r="E410" t="s">
        <v>1326</v>
      </c>
      <c r="F410" t="s">
        <v>132</v>
      </c>
      <c r="G410" t="s">
        <v>24</v>
      </c>
      <c r="H410" t="s">
        <v>63</v>
      </c>
      <c r="I410" t="s">
        <v>64</v>
      </c>
      <c r="J410" t="s">
        <v>65</v>
      </c>
      <c r="K410" t="s">
        <v>41</v>
      </c>
      <c r="L410" t="s">
        <v>66</v>
      </c>
      <c r="M410" t="s">
        <v>1327</v>
      </c>
      <c r="N410" t="s">
        <v>50</v>
      </c>
      <c r="O410">
        <v>4</v>
      </c>
      <c r="P410">
        <v>1773.46</v>
      </c>
      <c r="Q410" s="11">
        <v>0</v>
      </c>
      <c r="R410">
        <v>7093.84</v>
      </c>
      <c r="S410">
        <v>4587.49</v>
      </c>
      <c r="T410">
        <v>2506.35</v>
      </c>
      <c r="U410" t="s">
        <v>155</v>
      </c>
      <c r="V410" t="s">
        <v>103</v>
      </c>
      <c r="X410" s="8" t="str">
        <f>IF(C410&gt;=B410,"Valid", "Invalid-Date")</f>
        <v>Valid</v>
      </c>
      <c r="Y410" s="8" t="str">
        <f t="shared" si="55"/>
        <v>Valid</v>
      </c>
      <c r="Z410" s="8" t="str">
        <f t="shared" si="56"/>
        <v>Pass</v>
      </c>
      <c r="AA410" s="8" t="str">
        <f t="shared" si="57"/>
        <v>Pass</v>
      </c>
      <c r="AB410" s="8" t="str">
        <f>TEXT(B410,"mmmm")</f>
        <v>January</v>
      </c>
      <c r="AC410" s="8" t="str">
        <f>TEXT(B410,"yyyy")</f>
        <v>2025</v>
      </c>
      <c r="AE410">
        <f t="shared" si="58"/>
        <v>7093.84</v>
      </c>
      <c r="AF410" s="11">
        <f t="shared" si="59"/>
        <v>7093.84</v>
      </c>
      <c r="AG410">
        <f t="shared" si="60"/>
        <v>2506.3500000000004</v>
      </c>
      <c r="AH410" s="11">
        <f t="shared" si="61"/>
        <v>0.35331357910525191</v>
      </c>
      <c r="AI410" s="44">
        <f t="shared" si="62"/>
        <v>0.35331357910525191</v>
      </c>
    </row>
    <row r="411" spans="1:35">
      <c r="A411" t="s">
        <v>1328</v>
      </c>
      <c r="B411" s="5">
        <v>45701</v>
      </c>
      <c r="C411" s="5">
        <v>45703</v>
      </c>
      <c r="D411" s="13">
        <f t="shared" si="54"/>
        <v>2</v>
      </c>
      <c r="E411" t="s">
        <v>1329</v>
      </c>
      <c r="F411" t="s">
        <v>23</v>
      </c>
      <c r="G411" t="s">
        <v>24</v>
      </c>
      <c r="H411" t="s">
        <v>38</v>
      </c>
      <c r="I411" t="s">
        <v>166</v>
      </c>
      <c r="J411" t="s">
        <v>167</v>
      </c>
      <c r="K411" t="s">
        <v>74</v>
      </c>
      <c r="L411" t="s">
        <v>75</v>
      </c>
      <c r="M411" t="s">
        <v>1330</v>
      </c>
      <c r="N411" t="s">
        <v>44</v>
      </c>
      <c r="O411">
        <v>1</v>
      </c>
      <c r="P411">
        <v>3025.46</v>
      </c>
      <c r="Q411" s="11">
        <v>0.25</v>
      </c>
      <c r="R411">
        <v>2269.1</v>
      </c>
      <c r="S411">
        <v>1593.59</v>
      </c>
      <c r="T411">
        <v>675.51</v>
      </c>
      <c r="U411" t="s">
        <v>102</v>
      </c>
      <c r="V411" t="s">
        <v>103</v>
      </c>
      <c r="X411" s="8" t="str">
        <f>IF(C411&gt;=B411,"Valid", "Invalid-Date")</f>
        <v>Valid</v>
      </c>
      <c r="Y411" s="8" t="str">
        <f t="shared" si="55"/>
        <v>Valid</v>
      </c>
      <c r="Z411" s="8" t="str">
        <f t="shared" si="56"/>
        <v>Pass</v>
      </c>
      <c r="AA411" s="8" t="str">
        <f t="shared" si="57"/>
        <v>Pass</v>
      </c>
      <c r="AB411" s="8" t="str">
        <f>TEXT(B411,"mmmm")</f>
        <v>February</v>
      </c>
      <c r="AC411" s="8" t="str">
        <f>TEXT(B411,"yyyy")</f>
        <v>2025</v>
      </c>
      <c r="AE411">
        <f t="shared" si="58"/>
        <v>3025.46</v>
      </c>
      <c r="AF411" s="11">
        <f t="shared" si="59"/>
        <v>2269.0950000000003</v>
      </c>
      <c r="AG411">
        <f t="shared" si="60"/>
        <v>1431.8700000000001</v>
      </c>
      <c r="AH411" s="11">
        <f t="shared" si="61"/>
        <v>0.47327348568482153</v>
      </c>
      <c r="AI411" s="44">
        <f t="shared" si="62"/>
        <v>0.47327348568482153</v>
      </c>
    </row>
    <row r="412" spans="1:35">
      <c r="A412" t="s">
        <v>1331</v>
      </c>
      <c r="B412" s="5">
        <v>45394</v>
      </c>
      <c r="C412" s="5">
        <v>45402</v>
      </c>
      <c r="D412" s="13">
        <f t="shared" si="54"/>
        <v>8</v>
      </c>
      <c r="E412" t="s">
        <v>1332</v>
      </c>
      <c r="F412" t="s">
        <v>162</v>
      </c>
      <c r="G412" t="s">
        <v>24</v>
      </c>
      <c r="H412" t="s">
        <v>63</v>
      </c>
      <c r="I412" t="s">
        <v>190</v>
      </c>
      <c r="J412" t="s">
        <v>191</v>
      </c>
      <c r="K412" t="s">
        <v>41</v>
      </c>
      <c r="L412" t="s">
        <v>42</v>
      </c>
      <c r="M412" t="s">
        <v>1333</v>
      </c>
      <c r="N412" t="s">
        <v>50</v>
      </c>
      <c r="O412">
        <v>9</v>
      </c>
      <c r="P412">
        <v>1302.6099999999999</v>
      </c>
      <c r="Q412" s="11">
        <v>0.2</v>
      </c>
      <c r="R412">
        <v>9378.7900000000009</v>
      </c>
      <c r="S412">
        <v>6774.48</v>
      </c>
      <c r="T412">
        <v>2604.31</v>
      </c>
      <c r="U412" t="s">
        <v>32</v>
      </c>
      <c r="V412" t="s">
        <v>33</v>
      </c>
      <c r="X412" s="8" t="str">
        <f>IF(C412&gt;=B412,"Valid", "Invalid-Date")</f>
        <v>Valid</v>
      </c>
      <c r="Y412" s="8" t="str">
        <f t="shared" si="55"/>
        <v>Valid</v>
      </c>
      <c r="Z412" s="8" t="str">
        <f t="shared" si="56"/>
        <v>Pass</v>
      </c>
      <c r="AA412" s="8" t="str">
        <f t="shared" si="57"/>
        <v>Pass</v>
      </c>
      <c r="AB412" s="8" t="str">
        <f>TEXT(B412,"mmmm")</f>
        <v>April</v>
      </c>
      <c r="AC412" s="8" t="str">
        <f>TEXT(B412,"yyyy")</f>
        <v>2024</v>
      </c>
      <c r="AE412">
        <f t="shared" si="58"/>
        <v>11723.49</v>
      </c>
      <c r="AF412" s="11">
        <f t="shared" si="59"/>
        <v>9378.7919999999995</v>
      </c>
      <c r="AG412">
        <f t="shared" si="60"/>
        <v>4949.01</v>
      </c>
      <c r="AH412" s="11">
        <f t="shared" si="61"/>
        <v>0.42214477088307323</v>
      </c>
      <c r="AI412" s="44">
        <f t="shared" si="62"/>
        <v>0.42214477088307323</v>
      </c>
    </row>
    <row r="413" spans="1:35">
      <c r="A413" t="s">
        <v>1334</v>
      </c>
      <c r="B413" s="5">
        <v>45892</v>
      </c>
      <c r="C413" s="5">
        <v>45897</v>
      </c>
      <c r="D413" s="13">
        <f t="shared" si="54"/>
        <v>5</v>
      </c>
      <c r="E413" t="s">
        <v>1335</v>
      </c>
      <c r="F413" t="s">
        <v>53</v>
      </c>
      <c r="G413" t="s">
        <v>95</v>
      </c>
      <c r="H413" t="s">
        <v>63</v>
      </c>
      <c r="I413" t="s">
        <v>26</v>
      </c>
      <c r="J413" t="s">
        <v>109</v>
      </c>
      <c r="K413" t="s">
        <v>41</v>
      </c>
      <c r="L413" t="s">
        <v>42</v>
      </c>
      <c r="M413" t="s">
        <v>1336</v>
      </c>
      <c r="N413" t="s">
        <v>50</v>
      </c>
      <c r="O413">
        <v>1</v>
      </c>
      <c r="P413">
        <v>4167.8100000000004</v>
      </c>
      <c r="Q413" s="11">
        <v>0.2</v>
      </c>
      <c r="R413">
        <v>3334.25</v>
      </c>
      <c r="S413">
        <v>2768.77</v>
      </c>
      <c r="T413">
        <v>565.48</v>
      </c>
      <c r="U413" t="s">
        <v>155</v>
      </c>
      <c r="V413" t="s">
        <v>103</v>
      </c>
      <c r="X413" s="8" t="str">
        <f>IF(C413&gt;=B413,"Valid", "Invalid-Date")</f>
        <v>Valid</v>
      </c>
      <c r="Y413" s="8" t="str">
        <f t="shared" si="55"/>
        <v>Valid</v>
      </c>
      <c r="Z413" s="8" t="str">
        <f t="shared" si="56"/>
        <v>Pass</v>
      </c>
      <c r="AA413" s="8" t="str">
        <f t="shared" si="57"/>
        <v>Pass</v>
      </c>
      <c r="AB413" s="8" t="str">
        <f>TEXT(B413,"mmmm")</f>
        <v>August</v>
      </c>
      <c r="AC413" s="8" t="str">
        <f>TEXT(B413,"yyyy")</f>
        <v>2025</v>
      </c>
      <c r="AE413">
        <f t="shared" si="58"/>
        <v>4167.8100000000004</v>
      </c>
      <c r="AF413" s="11">
        <f t="shared" si="59"/>
        <v>3334.2480000000005</v>
      </c>
      <c r="AG413">
        <f t="shared" si="60"/>
        <v>1399.0400000000004</v>
      </c>
      <c r="AH413" s="11">
        <f t="shared" si="61"/>
        <v>0.33567749009671755</v>
      </c>
      <c r="AI413" s="44">
        <f t="shared" si="62"/>
        <v>0.33567749009671755</v>
      </c>
    </row>
    <row r="414" spans="1:35">
      <c r="A414" t="s">
        <v>1337</v>
      </c>
      <c r="B414" s="5">
        <v>45313</v>
      </c>
      <c r="C414" s="5">
        <v>45321</v>
      </c>
      <c r="D414" s="13">
        <f t="shared" si="54"/>
        <v>8</v>
      </c>
      <c r="E414" t="s">
        <v>1338</v>
      </c>
      <c r="F414" t="s">
        <v>47</v>
      </c>
      <c r="G414" t="s">
        <v>90</v>
      </c>
      <c r="H414" t="s">
        <v>54</v>
      </c>
      <c r="I414" t="s">
        <v>175</v>
      </c>
      <c r="J414" t="s">
        <v>176</v>
      </c>
      <c r="K414" t="s">
        <v>41</v>
      </c>
      <c r="L414" t="s">
        <v>66</v>
      </c>
      <c r="M414" t="s">
        <v>1339</v>
      </c>
      <c r="N414" t="s">
        <v>44</v>
      </c>
      <c r="O414">
        <v>1</v>
      </c>
      <c r="P414">
        <v>2111.39</v>
      </c>
      <c r="Q414" s="11">
        <v>0.25</v>
      </c>
      <c r="R414">
        <v>1583.54</v>
      </c>
      <c r="S414">
        <v>1014.19</v>
      </c>
      <c r="T414">
        <v>569.35</v>
      </c>
      <c r="U414" t="s">
        <v>32</v>
      </c>
      <c r="V414" t="s">
        <v>33</v>
      </c>
      <c r="X414" s="8" t="str">
        <f>IF(C414&gt;=B414,"Valid", "Invalid-Date")</f>
        <v>Valid</v>
      </c>
      <c r="Y414" s="8" t="str">
        <f t="shared" si="55"/>
        <v>Valid</v>
      </c>
      <c r="Z414" s="8" t="str">
        <f t="shared" si="56"/>
        <v>Pass</v>
      </c>
      <c r="AA414" s="8" t="str">
        <f t="shared" si="57"/>
        <v>Pass</v>
      </c>
      <c r="AB414" s="8" t="str">
        <f>TEXT(B414,"mmmm")</f>
        <v>January</v>
      </c>
      <c r="AC414" s="8" t="str">
        <f>TEXT(B414,"yyyy")</f>
        <v>2024</v>
      </c>
      <c r="AE414">
        <f t="shared" si="58"/>
        <v>2111.39</v>
      </c>
      <c r="AF414" s="11">
        <f t="shared" si="59"/>
        <v>1583.5425</v>
      </c>
      <c r="AG414">
        <f t="shared" si="60"/>
        <v>1097.1999999999998</v>
      </c>
      <c r="AH414" s="11">
        <f t="shared" si="61"/>
        <v>0.51965766627671817</v>
      </c>
      <c r="AI414" s="44">
        <f t="shared" si="62"/>
        <v>0.51965766627671817</v>
      </c>
    </row>
    <row r="415" spans="1:35">
      <c r="A415" t="s">
        <v>1340</v>
      </c>
      <c r="B415" s="5">
        <v>45882</v>
      </c>
      <c r="C415" s="5">
        <v>45886</v>
      </c>
      <c r="D415" s="13">
        <f t="shared" si="54"/>
        <v>4</v>
      </c>
      <c r="E415" t="s">
        <v>1341</v>
      </c>
      <c r="F415" t="s">
        <v>79</v>
      </c>
      <c r="G415" t="s">
        <v>95</v>
      </c>
      <c r="H415" t="s">
        <v>63</v>
      </c>
      <c r="I415" t="s">
        <v>72</v>
      </c>
      <c r="J415" t="s">
        <v>73</v>
      </c>
      <c r="K415" t="s">
        <v>74</v>
      </c>
      <c r="L415" t="s">
        <v>75</v>
      </c>
      <c r="M415" t="s">
        <v>1342</v>
      </c>
      <c r="N415" t="s">
        <v>31</v>
      </c>
      <c r="O415">
        <v>8</v>
      </c>
      <c r="P415">
        <v>1918.23</v>
      </c>
      <c r="Q415" s="11">
        <v>0</v>
      </c>
      <c r="R415">
        <v>15345.84</v>
      </c>
      <c r="S415">
        <v>10735.33</v>
      </c>
      <c r="T415">
        <v>4610.51</v>
      </c>
      <c r="U415" t="s">
        <v>111</v>
      </c>
      <c r="V415" t="s">
        <v>68</v>
      </c>
      <c r="X415" s="8" t="str">
        <f>IF(C415&gt;=B415,"Valid", "Invalid-Date")</f>
        <v>Valid</v>
      </c>
      <c r="Y415" s="8" t="str">
        <f t="shared" si="55"/>
        <v>Valid</v>
      </c>
      <c r="Z415" s="8" t="str">
        <f t="shared" si="56"/>
        <v>Pass</v>
      </c>
      <c r="AA415" s="8" t="str">
        <f t="shared" si="57"/>
        <v>Pass</v>
      </c>
      <c r="AB415" s="8" t="str">
        <f>TEXT(B415,"mmmm")</f>
        <v>August</v>
      </c>
      <c r="AC415" s="8" t="str">
        <f>TEXT(B415,"yyyy")</f>
        <v>2025</v>
      </c>
      <c r="AE415">
        <f t="shared" si="58"/>
        <v>15345.84</v>
      </c>
      <c r="AF415" s="11">
        <f t="shared" si="59"/>
        <v>15345.84</v>
      </c>
      <c r="AG415">
        <f t="shared" si="60"/>
        <v>4610.51</v>
      </c>
      <c r="AH415" s="11">
        <f t="shared" si="61"/>
        <v>0.30044037993358463</v>
      </c>
      <c r="AI415" s="44">
        <f t="shared" si="62"/>
        <v>0.30044037993358463</v>
      </c>
    </row>
    <row r="416" spans="1:35">
      <c r="A416" t="s">
        <v>1343</v>
      </c>
      <c r="B416" s="5">
        <v>45533</v>
      </c>
      <c r="C416" s="5">
        <v>45534</v>
      </c>
      <c r="D416" s="13">
        <f t="shared" si="54"/>
        <v>1</v>
      </c>
      <c r="E416" t="s">
        <v>1344</v>
      </c>
      <c r="F416" t="s">
        <v>53</v>
      </c>
      <c r="G416" t="s">
        <v>95</v>
      </c>
      <c r="H416" t="s">
        <v>38</v>
      </c>
      <c r="I416" t="s">
        <v>166</v>
      </c>
      <c r="J416" t="s">
        <v>167</v>
      </c>
      <c r="K416" t="s">
        <v>28</v>
      </c>
      <c r="L416" t="s">
        <v>124</v>
      </c>
      <c r="M416" t="s">
        <v>1345</v>
      </c>
      <c r="N416" t="s">
        <v>50</v>
      </c>
      <c r="O416">
        <v>4</v>
      </c>
      <c r="P416">
        <v>2484.08</v>
      </c>
      <c r="Q416" s="11">
        <v>0.05</v>
      </c>
      <c r="R416">
        <v>9439.5</v>
      </c>
      <c r="S416">
        <v>5519.39</v>
      </c>
      <c r="T416">
        <v>3920.11</v>
      </c>
      <c r="U416" t="s">
        <v>32</v>
      </c>
      <c r="V416" t="s">
        <v>33</v>
      </c>
      <c r="X416" s="8" t="str">
        <f>IF(C416&gt;=B416,"Valid", "Invalid-Date")</f>
        <v>Valid</v>
      </c>
      <c r="Y416" s="8" t="str">
        <f t="shared" si="55"/>
        <v>Valid</v>
      </c>
      <c r="Z416" s="8" t="str">
        <f t="shared" si="56"/>
        <v>Pass</v>
      </c>
      <c r="AA416" s="8" t="str">
        <f t="shared" si="57"/>
        <v>Pass</v>
      </c>
      <c r="AB416" s="8" t="str">
        <f>TEXT(B416,"mmmm")</f>
        <v>August</v>
      </c>
      <c r="AC416" s="8" t="str">
        <f>TEXT(B416,"yyyy")</f>
        <v>2024</v>
      </c>
      <c r="AE416">
        <f t="shared" si="58"/>
        <v>9936.32</v>
      </c>
      <c r="AF416" s="11">
        <f t="shared" si="59"/>
        <v>9439.503999999999</v>
      </c>
      <c r="AG416">
        <f t="shared" si="60"/>
        <v>4416.9299999999994</v>
      </c>
      <c r="AH416" s="11">
        <f t="shared" si="61"/>
        <v>0.4445237270941354</v>
      </c>
      <c r="AI416" s="44">
        <f t="shared" si="62"/>
        <v>0.4445237270941354</v>
      </c>
    </row>
    <row r="417" spans="1:35">
      <c r="A417" t="s">
        <v>1346</v>
      </c>
      <c r="B417" s="5">
        <v>45316</v>
      </c>
      <c r="C417" s="5">
        <v>45318</v>
      </c>
      <c r="D417" s="13">
        <f t="shared" si="54"/>
        <v>2</v>
      </c>
      <c r="E417" t="s">
        <v>1347</v>
      </c>
      <c r="F417" t="s">
        <v>128</v>
      </c>
      <c r="G417" t="s">
        <v>90</v>
      </c>
      <c r="H417" t="s">
        <v>54</v>
      </c>
      <c r="I417" t="s">
        <v>175</v>
      </c>
      <c r="J417" t="s">
        <v>176</v>
      </c>
      <c r="K417" t="s">
        <v>28</v>
      </c>
      <c r="L417" t="s">
        <v>124</v>
      </c>
      <c r="M417" t="s">
        <v>1348</v>
      </c>
      <c r="N417" t="s">
        <v>44</v>
      </c>
      <c r="O417">
        <v>7</v>
      </c>
      <c r="P417">
        <v>1727.26</v>
      </c>
      <c r="Q417" s="11">
        <v>0.15</v>
      </c>
      <c r="R417">
        <v>10277.200000000001</v>
      </c>
      <c r="S417">
        <v>7906.5</v>
      </c>
      <c r="T417">
        <v>2370.6999999999998</v>
      </c>
      <c r="U417" t="s">
        <v>32</v>
      </c>
      <c r="V417" t="s">
        <v>103</v>
      </c>
      <c r="X417" s="8" t="str">
        <f>IF(C417&gt;=B417,"Valid", "Invalid-Date")</f>
        <v>Valid</v>
      </c>
      <c r="Y417" s="8" t="str">
        <f t="shared" si="55"/>
        <v>Valid</v>
      </c>
      <c r="Z417" s="8" t="str">
        <f t="shared" si="56"/>
        <v>Pass</v>
      </c>
      <c r="AA417" s="8" t="str">
        <f t="shared" si="57"/>
        <v>Pass</v>
      </c>
      <c r="AB417" s="8" t="str">
        <f>TEXT(B417,"mmmm")</f>
        <v>January</v>
      </c>
      <c r="AC417" s="8" t="str">
        <f>TEXT(B417,"yyyy")</f>
        <v>2024</v>
      </c>
      <c r="AE417">
        <f t="shared" si="58"/>
        <v>12090.82</v>
      </c>
      <c r="AF417" s="11">
        <f t="shared" si="59"/>
        <v>10277.197</v>
      </c>
      <c r="AG417">
        <f t="shared" si="60"/>
        <v>4184.32</v>
      </c>
      <c r="AH417" s="11">
        <f t="shared" si="61"/>
        <v>0.34607412896726608</v>
      </c>
      <c r="AI417" s="44">
        <f t="shared" si="62"/>
        <v>0.34607412896726608</v>
      </c>
    </row>
    <row r="418" spans="1:35">
      <c r="A418" t="s">
        <v>1349</v>
      </c>
      <c r="B418" s="5">
        <v>45665</v>
      </c>
      <c r="C418" s="5">
        <v>45673</v>
      </c>
      <c r="D418" s="13">
        <f t="shared" si="54"/>
        <v>8</v>
      </c>
      <c r="E418" t="s">
        <v>1350</v>
      </c>
      <c r="F418" t="s">
        <v>79</v>
      </c>
      <c r="G418" t="s">
        <v>24</v>
      </c>
      <c r="H418" t="s">
        <v>54</v>
      </c>
      <c r="I418" t="s">
        <v>55</v>
      </c>
      <c r="J418" t="s">
        <v>56</v>
      </c>
      <c r="K418" t="s">
        <v>41</v>
      </c>
      <c r="L418" t="s">
        <v>57</v>
      </c>
      <c r="M418" t="s">
        <v>1351</v>
      </c>
      <c r="N418" t="s">
        <v>50</v>
      </c>
      <c r="O418">
        <v>8</v>
      </c>
      <c r="P418">
        <v>638.95000000000005</v>
      </c>
      <c r="Q418" s="11">
        <v>0.25</v>
      </c>
      <c r="R418">
        <v>3833.7</v>
      </c>
      <c r="S418">
        <v>2886.35</v>
      </c>
      <c r="T418">
        <v>947.35</v>
      </c>
      <c r="U418" t="s">
        <v>32</v>
      </c>
      <c r="V418" t="s">
        <v>33</v>
      </c>
      <c r="X418" s="8" t="str">
        <f>IF(C418&gt;=B418,"Valid", "Invalid-Date")</f>
        <v>Valid</v>
      </c>
      <c r="Y418" s="8" t="str">
        <f t="shared" si="55"/>
        <v>Valid</v>
      </c>
      <c r="Z418" s="8" t="str">
        <f t="shared" si="56"/>
        <v>Pass</v>
      </c>
      <c r="AA418" s="8" t="str">
        <f t="shared" si="57"/>
        <v>Pass</v>
      </c>
      <c r="AB418" s="8" t="str">
        <f>TEXT(B418,"mmmm")</f>
        <v>January</v>
      </c>
      <c r="AC418" s="8" t="str">
        <f>TEXT(B418,"yyyy")</f>
        <v>2025</v>
      </c>
      <c r="AE418">
        <f t="shared" si="58"/>
        <v>5111.6000000000004</v>
      </c>
      <c r="AF418" s="11">
        <f t="shared" si="59"/>
        <v>3833.7000000000003</v>
      </c>
      <c r="AG418">
        <f t="shared" si="60"/>
        <v>2225.2500000000005</v>
      </c>
      <c r="AH418" s="11">
        <f t="shared" si="61"/>
        <v>0.43533335941779489</v>
      </c>
      <c r="AI418" s="44">
        <f t="shared" si="62"/>
        <v>0.43533335941779489</v>
      </c>
    </row>
    <row r="419" spans="1:35">
      <c r="A419" t="s">
        <v>1352</v>
      </c>
      <c r="B419" s="5">
        <v>45686</v>
      </c>
      <c r="C419" s="5">
        <v>45779</v>
      </c>
      <c r="D419" s="13">
        <f t="shared" si="54"/>
        <v>93</v>
      </c>
      <c r="E419" t="s">
        <v>1353</v>
      </c>
      <c r="F419" t="s">
        <v>36</v>
      </c>
      <c r="G419" t="s">
        <v>24</v>
      </c>
      <c r="H419" t="s">
        <v>63</v>
      </c>
      <c r="I419" t="s">
        <v>180</v>
      </c>
      <c r="J419" t="s">
        <v>181</v>
      </c>
      <c r="K419" t="s">
        <v>28</v>
      </c>
      <c r="L419" t="s">
        <v>48</v>
      </c>
      <c r="M419" t="s">
        <v>1354</v>
      </c>
      <c r="N419" t="s">
        <v>50</v>
      </c>
      <c r="O419">
        <v>6</v>
      </c>
      <c r="P419">
        <v>3863</v>
      </c>
      <c r="Q419" s="11">
        <v>0.2</v>
      </c>
      <c r="R419">
        <v>18542.400000000001</v>
      </c>
      <c r="S419">
        <v>11193.75</v>
      </c>
      <c r="T419">
        <v>7348.65</v>
      </c>
      <c r="U419" t="s">
        <v>32</v>
      </c>
      <c r="V419" t="s">
        <v>33</v>
      </c>
      <c r="X419" s="8" t="str">
        <f>IF(C419&gt;=B419,"Valid", "Invalid-Date")</f>
        <v>Valid</v>
      </c>
      <c r="Y419" s="8" t="str">
        <f t="shared" si="55"/>
        <v>Valid</v>
      </c>
      <c r="Z419" s="8" t="str">
        <f t="shared" si="56"/>
        <v>Pass</v>
      </c>
      <c r="AA419" s="8" t="str">
        <f t="shared" si="57"/>
        <v>Pass</v>
      </c>
      <c r="AB419" s="8" t="str">
        <f>TEXT(B419,"mmmm")</f>
        <v>January</v>
      </c>
      <c r="AC419" s="8" t="str">
        <f>TEXT(B419,"yyyy")</f>
        <v>2025</v>
      </c>
      <c r="AE419">
        <f t="shared" si="58"/>
        <v>23178</v>
      </c>
      <c r="AF419" s="11">
        <f t="shared" si="59"/>
        <v>18542.400000000001</v>
      </c>
      <c r="AG419">
        <f t="shared" si="60"/>
        <v>11984.25</v>
      </c>
      <c r="AH419" s="11">
        <f t="shared" si="61"/>
        <v>0.51705280869790315</v>
      </c>
      <c r="AI419" s="44">
        <f t="shared" si="62"/>
        <v>0.51705280869790315</v>
      </c>
    </row>
    <row r="420" spans="1:35">
      <c r="A420" t="s">
        <v>1355</v>
      </c>
      <c r="B420" s="5">
        <v>45546</v>
      </c>
      <c r="C420" s="5">
        <v>45613</v>
      </c>
      <c r="D420" s="13">
        <f t="shared" si="54"/>
        <v>67</v>
      </c>
      <c r="E420" t="s">
        <v>1356</v>
      </c>
      <c r="F420" t="s">
        <v>132</v>
      </c>
      <c r="G420" t="s">
        <v>90</v>
      </c>
      <c r="H420" t="s">
        <v>38</v>
      </c>
      <c r="I420" t="s">
        <v>39</v>
      </c>
      <c r="J420" t="s">
        <v>40</v>
      </c>
      <c r="K420" t="s">
        <v>74</v>
      </c>
      <c r="L420" t="s">
        <v>80</v>
      </c>
      <c r="M420" t="s">
        <v>1357</v>
      </c>
      <c r="N420" t="s">
        <v>59</v>
      </c>
      <c r="O420">
        <v>6</v>
      </c>
      <c r="P420">
        <v>3660.4</v>
      </c>
      <c r="Q420" s="11">
        <v>0</v>
      </c>
      <c r="R420">
        <v>21962.400000000001</v>
      </c>
      <c r="S420">
        <v>15331.99</v>
      </c>
      <c r="T420">
        <v>6630.41</v>
      </c>
      <c r="U420" t="s">
        <v>155</v>
      </c>
      <c r="V420" t="s">
        <v>68</v>
      </c>
      <c r="X420" s="8" t="str">
        <f>IF(C420&gt;=B420,"Valid", "Invalid-Date")</f>
        <v>Valid</v>
      </c>
      <c r="Y420" s="8" t="str">
        <f t="shared" si="55"/>
        <v>Valid</v>
      </c>
      <c r="Z420" s="8" t="str">
        <f t="shared" si="56"/>
        <v>Pass</v>
      </c>
      <c r="AA420" s="8" t="str">
        <f t="shared" si="57"/>
        <v>Pass</v>
      </c>
      <c r="AB420" s="8" t="str">
        <f>TEXT(B420,"mmmm")</f>
        <v>September</v>
      </c>
      <c r="AC420" s="8" t="str">
        <f>TEXT(B420,"yyyy")</f>
        <v>2024</v>
      </c>
      <c r="AE420">
        <f t="shared" si="58"/>
        <v>21962.400000000001</v>
      </c>
      <c r="AF420" s="11">
        <f t="shared" si="59"/>
        <v>21962.400000000001</v>
      </c>
      <c r="AG420">
        <f t="shared" si="60"/>
        <v>6630.4100000000017</v>
      </c>
      <c r="AH420" s="11">
        <f t="shared" si="61"/>
        <v>0.3018982442720286</v>
      </c>
      <c r="AI420" s="44">
        <f t="shared" si="62"/>
        <v>0.3018982442720286</v>
      </c>
    </row>
    <row r="421" spans="1:35">
      <c r="A421" t="s">
        <v>1358</v>
      </c>
      <c r="B421" s="5">
        <v>45926</v>
      </c>
      <c r="C421" s="5">
        <v>45930</v>
      </c>
      <c r="D421" s="13">
        <f t="shared" si="54"/>
        <v>4</v>
      </c>
      <c r="E421" t="s">
        <v>1359</v>
      </c>
      <c r="F421" t="s">
        <v>132</v>
      </c>
      <c r="G421" t="s">
        <v>95</v>
      </c>
      <c r="H421" t="s">
        <v>25</v>
      </c>
      <c r="I421" t="s">
        <v>236</v>
      </c>
      <c r="J421" t="s">
        <v>237</v>
      </c>
      <c r="K421" t="s">
        <v>74</v>
      </c>
      <c r="L421" t="s">
        <v>171</v>
      </c>
      <c r="M421" t="s">
        <v>1360</v>
      </c>
      <c r="N421" t="s">
        <v>44</v>
      </c>
      <c r="O421">
        <v>2</v>
      </c>
      <c r="P421">
        <v>688.83</v>
      </c>
      <c r="Q421" s="11">
        <v>0.05</v>
      </c>
      <c r="R421">
        <v>1308.78</v>
      </c>
      <c r="S421">
        <v>843</v>
      </c>
      <c r="T421">
        <v>465.78</v>
      </c>
      <c r="U421" t="s">
        <v>32</v>
      </c>
      <c r="V421" t="s">
        <v>33</v>
      </c>
      <c r="X421" s="8" t="str">
        <f>IF(C421&gt;=B421,"Valid", "Invalid-Date")</f>
        <v>Valid</v>
      </c>
      <c r="Y421" s="8" t="str">
        <f t="shared" si="55"/>
        <v>Valid</v>
      </c>
      <c r="Z421" s="8" t="str">
        <f t="shared" si="56"/>
        <v>Pass</v>
      </c>
      <c r="AA421" s="8" t="str">
        <f t="shared" si="57"/>
        <v>Pass</v>
      </c>
      <c r="AB421" s="8" t="str">
        <f>TEXT(B421,"mmmm")</f>
        <v>September</v>
      </c>
      <c r="AC421" s="8" t="str">
        <f>TEXT(B421,"yyyy")</f>
        <v>2025</v>
      </c>
      <c r="AE421">
        <f t="shared" si="58"/>
        <v>1377.66</v>
      </c>
      <c r="AF421" s="11">
        <f t="shared" si="59"/>
        <v>1308.777</v>
      </c>
      <c r="AG421">
        <f t="shared" si="60"/>
        <v>534.66000000000008</v>
      </c>
      <c r="AH421" s="11">
        <f t="shared" si="61"/>
        <v>0.38809285309873265</v>
      </c>
      <c r="AI421" s="44">
        <f t="shared" si="62"/>
        <v>0.38809285309873265</v>
      </c>
    </row>
    <row r="422" spans="1:35">
      <c r="A422" t="s">
        <v>1361</v>
      </c>
      <c r="B422" s="5">
        <v>45734</v>
      </c>
      <c r="C422" s="5">
        <v>45735</v>
      </c>
      <c r="D422" s="13">
        <f t="shared" si="54"/>
        <v>1</v>
      </c>
      <c r="E422" t="s">
        <v>1362</v>
      </c>
      <c r="F422" t="s">
        <v>47</v>
      </c>
      <c r="G422" t="s">
        <v>90</v>
      </c>
      <c r="H422" t="s">
        <v>54</v>
      </c>
      <c r="I422" t="s">
        <v>247</v>
      </c>
      <c r="J422" t="s">
        <v>248</v>
      </c>
      <c r="K422" t="s">
        <v>74</v>
      </c>
      <c r="L422" t="s">
        <v>274</v>
      </c>
      <c r="M422" t="s">
        <v>1363</v>
      </c>
      <c r="N422" t="s">
        <v>59</v>
      </c>
      <c r="O422">
        <v>2</v>
      </c>
      <c r="P422">
        <v>1209.99</v>
      </c>
      <c r="Q422" s="11">
        <v>0.25</v>
      </c>
      <c r="R422">
        <v>1814.99</v>
      </c>
      <c r="S422">
        <v>1120.06</v>
      </c>
      <c r="T422">
        <v>694.93</v>
      </c>
      <c r="U422" t="s">
        <v>111</v>
      </c>
      <c r="V422" t="s">
        <v>68</v>
      </c>
      <c r="X422" s="8" t="str">
        <f>IF(C422&gt;=B422,"Valid", "Invalid-Date")</f>
        <v>Valid</v>
      </c>
      <c r="Y422" s="8" t="str">
        <f t="shared" si="55"/>
        <v>Valid</v>
      </c>
      <c r="Z422" s="8" t="str">
        <f t="shared" si="56"/>
        <v>Pass</v>
      </c>
      <c r="AA422" s="8" t="str">
        <f t="shared" si="57"/>
        <v>Pass</v>
      </c>
      <c r="AB422" s="8" t="str">
        <f>TEXT(B422,"mmmm")</f>
        <v>March</v>
      </c>
      <c r="AC422" s="8" t="str">
        <f>TEXT(B422,"yyyy")</f>
        <v>2025</v>
      </c>
      <c r="AE422">
        <f t="shared" si="58"/>
        <v>2419.98</v>
      </c>
      <c r="AF422" s="11">
        <f t="shared" si="59"/>
        <v>1814.9850000000001</v>
      </c>
      <c r="AG422">
        <f t="shared" si="60"/>
        <v>1299.92</v>
      </c>
      <c r="AH422" s="11">
        <f t="shared" si="61"/>
        <v>0.53716146414433175</v>
      </c>
      <c r="AI422" s="44">
        <f t="shared" si="62"/>
        <v>0.53716146414433175</v>
      </c>
    </row>
    <row r="423" spans="1:35">
      <c r="A423" t="s">
        <v>1364</v>
      </c>
      <c r="B423" s="5">
        <v>45822</v>
      </c>
      <c r="C423" s="5">
        <v>45827</v>
      </c>
      <c r="D423" s="13">
        <f t="shared" si="54"/>
        <v>5</v>
      </c>
      <c r="E423" t="s">
        <v>1365</v>
      </c>
      <c r="F423" t="s">
        <v>141</v>
      </c>
      <c r="G423" t="s">
        <v>37</v>
      </c>
      <c r="H423" t="s">
        <v>25</v>
      </c>
      <c r="I423" t="s">
        <v>350</v>
      </c>
      <c r="J423" t="s">
        <v>351</v>
      </c>
      <c r="K423" t="s">
        <v>28</v>
      </c>
      <c r="L423" t="s">
        <v>153</v>
      </c>
      <c r="M423" t="s">
        <v>1366</v>
      </c>
      <c r="N423" t="s">
        <v>44</v>
      </c>
      <c r="O423">
        <v>3</v>
      </c>
      <c r="P423">
        <v>1037.45</v>
      </c>
      <c r="Q423" s="11">
        <v>0.2</v>
      </c>
      <c r="R423">
        <v>2489.88</v>
      </c>
      <c r="S423">
        <v>1707.52</v>
      </c>
      <c r="T423">
        <v>782.36</v>
      </c>
      <c r="U423" t="s">
        <v>111</v>
      </c>
      <c r="V423" t="s">
        <v>103</v>
      </c>
      <c r="X423" s="8" t="str">
        <f>IF(C423&gt;=B423,"Valid", "Invalid-Date")</f>
        <v>Valid</v>
      </c>
      <c r="Y423" s="8" t="str">
        <f t="shared" si="55"/>
        <v>Valid</v>
      </c>
      <c r="Z423" s="8" t="str">
        <f t="shared" si="56"/>
        <v>Pass</v>
      </c>
      <c r="AA423" s="8" t="str">
        <f t="shared" si="57"/>
        <v>Pass</v>
      </c>
      <c r="AB423" s="8" t="str">
        <f>TEXT(B423,"mmmm")</f>
        <v>June</v>
      </c>
      <c r="AC423" s="8" t="str">
        <f>TEXT(B423,"yyyy")</f>
        <v>2025</v>
      </c>
      <c r="AE423">
        <f t="shared" si="58"/>
        <v>3112.3500000000004</v>
      </c>
      <c r="AF423" s="11">
        <f t="shared" si="59"/>
        <v>2489.8800000000006</v>
      </c>
      <c r="AG423">
        <f t="shared" si="60"/>
        <v>1404.8300000000004</v>
      </c>
      <c r="AH423" s="11">
        <f t="shared" si="61"/>
        <v>0.45137275692001227</v>
      </c>
      <c r="AI423" s="44">
        <f t="shared" si="62"/>
        <v>0.45137275692001227</v>
      </c>
    </row>
    <row r="424" spans="1:35">
      <c r="A424" t="s">
        <v>1367</v>
      </c>
      <c r="B424" s="5">
        <v>45725</v>
      </c>
      <c r="C424" s="5">
        <v>45817</v>
      </c>
      <c r="D424" s="13">
        <f t="shared" si="54"/>
        <v>92</v>
      </c>
      <c r="E424" t="s">
        <v>1368</v>
      </c>
      <c r="F424" t="s">
        <v>264</v>
      </c>
      <c r="G424" t="s">
        <v>24</v>
      </c>
      <c r="H424" t="s">
        <v>63</v>
      </c>
      <c r="I424" t="s">
        <v>72</v>
      </c>
      <c r="J424" t="s">
        <v>73</v>
      </c>
      <c r="K424" t="s">
        <v>74</v>
      </c>
      <c r="L424" t="s">
        <v>80</v>
      </c>
      <c r="M424" t="s">
        <v>1369</v>
      </c>
      <c r="N424" t="s">
        <v>44</v>
      </c>
      <c r="O424">
        <v>7</v>
      </c>
      <c r="P424">
        <v>688.85</v>
      </c>
      <c r="Q424" s="11">
        <v>0.15</v>
      </c>
      <c r="R424">
        <v>4098.66</v>
      </c>
      <c r="S424">
        <v>2678.06</v>
      </c>
      <c r="T424">
        <v>1420.6</v>
      </c>
      <c r="U424" t="s">
        <v>32</v>
      </c>
      <c r="V424" t="s">
        <v>33</v>
      </c>
      <c r="X424" s="8" t="str">
        <f>IF(C424&gt;=B424,"Valid", "Invalid-Date")</f>
        <v>Valid</v>
      </c>
      <c r="Y424" s="8" t="str">
        <f t="shared" si="55"/>
        <v>Valid</v>
      </c>
      <c r="Z424" s="8" t="str">
        <f t="shared" si="56"/>
        <v>Pass</v>
      </c>
      <c r="AA424" s="8" t="str">
        <f t="shared" si="57"/>
        <v>Pass</v>
      </c>
      <c r="AB424" s="8" t="str">
        <f>TEXT(B424,"mmmm")</f>
        <v>March</v>
      </c>
      <c r="AC424" s="8" t="str">
        <f>TEXT(B424,"yyyy")</f>
        <v>2025</v>
      </c>
      <c r="AE424">
        <f t="shared" si="58"/>
        <v>4821.95</v>
      </c>
      <c r="AF424" s="11">
        <f t="shared" si="59"/>
        <v>4098.6574999999993</v>
      </c>
      <c r="AG424">
        <f t="shared" si="60"/>
        <v>2143.89</v>
      </c>
      <c r="AH424" s="11">
        <f t="shared" si="61"/>
        <v>0.44461058285548377</v>
      </c>
      <c r="AI424" s="44">
        <f t="shared" si="62"/>
        <v>0.44461058285548377</v>
      </c>
    </row>
    <row r="425" spans="1:35" s="15" customFormat="1">
      <c r="A425" s="15" t="s">
        <v>1370</v>
      </c>
      <c r="B425" s="16">
        <v>45342</v>
      </c>
      <c r="C425" s="16">
        <v>45349</v>
      </c>
      <c r="D425" s="17">
        <f t="shared" si="54"/>
        <v>7</v>
      </c>
      <c r="E425" s="15" t="s">
        <v>1371</v>
      </c>
      <c r="F425" s="15" t="s">
        <v>162</v>
      </c>
      <c r="G425" s="15" t="s">
        <v>24</v>
      </c>
      <c r="H425" s="15" t="s">
        <v>54</v>
      </c>
      <c r="I425" s="15" t="s">
        <v>185</v>
      </c>
      <c r="J425" s="15" t="s">
        <v>186</v>
      </c>
      <c r="K425" s="15" t="s">
        <v>74</v>
      </c>
      <c r="L425" s="15" t="s">
        <v>75</v>
      </c>
      <c r="M425" s="15" t="s">
        <v>1372</v>
      </c>
      <c r="N425" s="15" t="s">
        <v>50</v>
      </c>
      <c r="O425" s="15">
        <v>9</v>
      </c>
      <c r="P425" s="15">
        <v>3779.31</v>
      </c>
      <c r="Q425" s="18">
        <v>0.2</v>
      </c>
      <c r="R425" s="15">
        <v>27211.03</v>
      </c>
      <c r="S425" s="15">
        <v>17940.43</v>
      </c>
      <c r="T425" s="15">
        <v>9270.6</v>
      </c>
      <c r="U425" s="15" t="s">
        <v>32</v>
      </c>
      <c r="V425" s="15" t="s">
        <v>33</v>
      </c>
      <c r="W425" s="25"/>
      <c r="X425" s="8" t="str">
        <f>IF(C425&gt;=B425,"Valid", "Invalid-Date")</f>
        <v>Valid</v>
      </c>
      <c r="Y425" s="8" t="str">
        <f t="shared" si="55"/>
        <v>Valid</v>
      </c>
      <c r="Z425" s="19" t="str">
        <f t="shared" si="56"/>
        <v>Pass</v>
      </c>
      <c r="AA425" s="19" t="str">
        <f t="shared" si="57"/>
        <v>Pass</v>
      </c>
      <c r="AB425" s="19" t="str">
        <f>TEXT(B425,"mmmm")</f>
        <v>February</v>
      </c>
      <c r="AC425" s="19" t="str">
        <f>TEXT(B425,"yyyy")</f>
        <v>2024</v>
      </c>
      <c r="AD425" s="20"/>
      <c r="AE425" s="15">
        <f t="shared" si="58"/>
        <v>34013.79</v>
      </c>
      <c r="AF425" s="11">
        <f t="shared" si="59"/>
        <v>27211.032000000003</v>
      </c>
      <c r="AG425" s="15">
        <f t="shared" si="60"/>
        <v>16073.36</v>
      </c>
      <c r="AH425" s="18">
        <f t="shared" si="61"/>
        <v>0.47255421992080271</v>
      </c>
      <c r="AI425" s="45">
        <f t="shared" si="62"/>
        <v>0.47255421992080271</v>
      </c>
    </row>
    <row r="426" spans="1:35">
      <c r="A426" t="s">
        <v>1373</v>
      </c>
      <c r="B426" s="5">
        <v>45469</v>
      </c>
      <c r="C426" s="5">
        <v>45472</v>
      </c>
      <c r="D426" s="13">
        <f t="shared" si="54"/>
        <v>3</v>
      </c>
      <c r="E426" t="s">
        <v>1374</v>
      </c>
      <c r="F426" t="s">
        <v>79</v>
      </c>
      <c r="G426" t="s">
        <v>90</v>
      </c>
      <c r="H426" t="s">
        <v>25</v>
      </c>
      <c r="I426" t="s">
        <v>122</v>
      </c>
      <c r="J426" t="s">
        <v>123</v>
      </c>
      <c r="K426" t="s">
        <v>74</v>
      </c>
      <c r="L426" t="s">
        <v>171</v>
      </c>
      <c r="M426" t="s">
        <v>1375</v>
      </c>
      <c r="N426" t="s">
        <v>59</v>
      </c>
      <c r="O426">
        <v>8</v>
      </c>
      <c r="P426">
        <v>804.52</v>
      </c>
      <c r="Q426" s="11">
        <v>0</v>
      </c>
      <c r="R426">
        <v>6436.16</v>
      </c>
      <c r="S426">
        <v>4263.83</v>
      </c>
      <c r="T426">
        <v>2172.33</v>
      </c>
      <c r="U426" t="s">
        <v>32</v>
      </c>
      <c r="V426" t="s">
        <v>33</v>
      </c>
      <c r="X426" s="8" t="str">
        <f>IF(C426&gt;=B426,"Valid", "Invalid-Date")</f>
        <v>Valid</v>
      </c>
      <c r="Y426" s="8" t="str">
        <f t="shared" si="55"/>
        <v>Valid</v>
      </c>
      <c r="Z426" s="8" t="str">
        <f t="shared" si="56"/>
        <v>Pass</v>
      </c>
      <c r="AA426" s="8" t="str">
        <f t="shared" si="57"/>
        <v>Pass</v>
      </c>
      <c r="AB426" s="8" t="str">
        <f>TEXT(B426,"mmmm")</f>
        <v>June</v>
      </c>
      <c r="AC426" s="8" t="str">
        <f>TEXT(B426,"yyyy")</f>
        <v>2024</v>
      </c>
      <c r="AE426">
        <f t="shared" si="58"/>
        <v>6436.16</v>
      </c>
      <c r="AF426" s="11">
        <f t="shared" si="59"/>
        <v>6436.16</v>
      </c>
      <c r="AG426">
        <f t="shared" si="60"/>
        <v>2172.33</v>
      </c>
      <c r="AH426" s="11">
        <f t="shared" si="61"/>
        <v>0.33751957689056827</v>
      </c>
      <c r="AI426" s="44">
        <f t="shared" si="62"/>
        <v>0.33751957689056827</v>
      </c>
    </row>
    <row r="427" spans="1:35">
      <c r="A427" t="s">
        <v>1376</v>
      </c>
      <c r="B427" s="5">
        <v>45561</v>
      </c>
      <c r="C427" s="5">
        <v>45562</v>
      </c>
      <c r="D427" s="13">
        <f t="shared" si="54"/>
        <v>1</v>
      </c>
      <c r="E427" t="s">
        <v>1377</v>
      </c>
      <c r="F427" t="s">
        <v>47</v>
      </c>
      <c r="G427" t="s">
        <v>95</v>
      </c>
      <c r="H427" t="s">
        <v>25</v>
      </c>
      <c r="I427" t="s">
        <v>350</v>
      </c>
      <c r="J427" t="s">
        <v>351</v>
      </c>
      <c r="K427" t="s">
        <v>28</v>
      </c>
      <c r="L427" t="s">
        <v>91</v>
      </c>
      <c r="M427" t="s">
        <v>1378</v>
      </c>
      <c r="N427" t="s">
        <v>50</v>
      </c>
      <c r="O427">
        <v>2</v>
      </c>
      <c r="P427">
        <v>1065.69</v>
      </c>
      <c r="Q427" s="11">
        <v>0.1</v>
      </c>
      <c r="R427">
        <v>1918.24</v>
      </c>
      <c r="S427">
        <v>1373.52</v>
      </c>
      <c r="T427">
        <v>544.72</v>
      </c>
      <c r="U427" t="s">
        <v>102</v>
      </c>
      <c r="V427" t="s">
        <v>68</v>
      </c>
      <c r="X427" s="8" t="str">
        <f>IF(C427&gt;=B427,"Valid", "Invalid-Date")</f>
        <v>Valid</v>
      </c>
      <c r="Y427" s="8" t="str">
        <f t="shared" si="55"/>
        <v>Valid</v>
      </c>
      <c r="Z427" s="8" t="str">
        <f t="shared" si="56"/>
        <v>Pass</v>
      </c>
      <c r="AA427" s="8" t="str">
        <f t="shared" si="57"/>
        <v>Pass</v>
      </c>
      <c r="AB427" s="8" t="str">
        <f>TEXT(B427,"mmmm")</f>
        <v>September</v>
      </c>
      <c r="AC427" s="8" t="str">
        <f>TEXT(B427,"yyyy")</f>
        <v>2024</v>
      </c>
      <c r="AE427">
        <f t="shared" si="58"/>
        <v>2131.38</v>
      </c>
      <c r="AF427" s="11">
        <f t="shared" si="59"/>
        <v>1918.2420000000002</v>
      </c>
      <c r="AG427">
        <f t="shared" si="60"/>
        <v>757.86000000000013</v>
      </c>
      <c r="AH427" s="11">
        <f t="shared" si="61"/>
        <v>0.35557244602088794</v>
      </c>
      <c r="AI427" s="44">
        <f t="shared" si="62"/>
        <v>0.35557244602088794</v>
      </c>
    </row>
    <row r="428" spans="1:35">
      <c r="A428" t="s">
        <v>1379</v>
      </c>
      <c r="B428" s="5">
        <v>45473</v>
      </c>
      <c r="C428" s="5">
        <v>45474</v>
      </c>
      <c r="D428" s="13">
        <f t="shared" si="54"/>
        <v>1</v>
      </c>
      <c r="E428" t="s">
        <v>1380</v>
      </c>
      <c r="F428" t="s">
        <v>89</v>
      </c>
      <c r="G428" t="s">
        <v>24</v>
      </c>
      <c r="H428" t="s">
        <v>25</v>
      </c>
      <c r="I428" t="s">
        <v>236</v>
      </c>
      <c r="J428" t="s">
        <v>237</v>
      </c>
      <c r="K428" t="s">
        <v>74</v>
      </c>
      <c r="L428" t="s">
        <v>80</v>
      </c>
      <c r="M428" t="s">
        <v>1381</v>
      </c>
      <c r="N428" t="s">
        <v>44</v>
      </c>
      <c r="O428">
        <v>8</v>
      </c>
      <c r="P428">
        <v>3756.66</v>
      </c>
      <c r="Q428" s="11">
        <v>0.1</v>
      </c>
      <c r="R428">
        <v>27047.95</v>
      </c>
      <c r="S428">
        <v>18431.330000000002</v>
      </c>
      <c r="T428">
        <v>8616.6200000000008</v>
      </c>
      <c r="U428" t="s">
        <v>32</v>
      </c>
      <c r="V428" t="s">
        <v>33</v>
      </c>
      <c r="X428" s="8" t="str">
        <f>IF(C428&gt;=B428,"Valid", "Invalid-Date")</f>
        <v>Valid</v>
      </c>
      <c r="Y428" s="8" t="str">
        <f t="shared" si="55"/>
        <v>Valid</v>
      </c>
      <c r="Z428" s="8" t="str">
        <f t="shared" si="56"/>
        <v>Pass</v>
      </c>
      <c r="AA428" s="8" t="str">
        <f t="shared" si="57"/>
        <v>Pass</v>
      </c>
      <c r="AB428" s="8" t="str">
        <f>TEXT(B428,"mmmm")</f>
        <v>June</v>
      </c>
      <c r="AC428" s="8" t="str">
        <f>TEXT(B428,"yyyy")</f>
        <v>2024</v>
      </c>
      <c r="AE428">
        <f t="shared" si="58"/>
        <v>30053.279999999999</v>
      </c>
      <c r="AF428" s="11">
        <f t="shared" si="59"/>
        <v>27047.952000000001</v>
      </c>
      <c r="AG428">
        <f t="shared" si="60"/>
        <v>11621.949999999997</v>
      </c>
      <c r="AH428" s="11">
        <f t="shared" si="61"/>
        <v>0.38671153364957161</v>
      </c>
      <c r="AI428" s="44">
        <f t="shared" si="62"/>
        <v>0.38671153364957161</v>
      </c>
    </row>
    <row r="429" spans="1:35">
      <c r="A429" t="s">
        <v>1382</v>
      </c>
      <c r="B429" s="5">
        <v>45769</v>
      </c>
      <c r="C429" s="5">
        <v>45771</v>
      </c>
      <c r="D429" s="13">
        <f t="shared" si="54"/>
        <v>2</v>
      </c>
      <c r="E429" t="s">
        <v>1383</v>
      </c>
      <c r="F429" t="s">
        <v>47</v>
      </c>
      <c r="G429" t="s">
        <v>90</v>
      </c>
      <c r="H429" t="s">
        <v>2785</v>
      </c>
      <c r="I429" t="s">
        <v>228</v>
      </c>
      <c r="J429" t="s">
        <v>229</v>
      </c>
      <c r="K429" t="s">
        <v>74</v>
      </c>
      <c r="L429" t="s">
        <v>75</v>
      </c>
      <c r="M429" t="s">
        <v>1384</v>
      </c>
      <c r="N429" t="s">
        <v>59</v>
      </c>
      <c r="O429">
        <v>9</v>
      </c>
      <c r="P429">
        <v>2939.44</v>
      </c>
      <c r="Q429" s="11">
        <v>0</v>
      </c>
      <c r="R429">
        <v>26454.959999999999</v>
      </c>
      <c r="S429">
        <v>17630.25</v>
      </c>
      <c r="T429">
        <v>8824.7099999999991</v>
      </c>
      <c r="U429" t="s">
        <v>32</v>
      </c>
      <c r="V429" t="s">
        <v>33</v>
      </c>
      <c r="X429" s="8" t="str">
        <f>IF(C429&gt;=B429,"Valid", "Invalid-Date")</f>
        <v>Valid</v>
      </c>
      <c r="Y429" s="8" t="str">
        <f t="shared" si="55"/>
        <v>Valid</v>
      </c>
      <c r="Z429" s="8" t="str">
        <f t="shared" si="56"/>
        <v>Pass</v>
      </c>
      <c r="AA429" s="8" t="str">
        <f t="shared" si="57"/>
        <v>Flagged</v>
      </c>
      <c r="AB429" s="8" t="str">
        <f>TEXT(B429,"mmmm")</f>
        <v>April</v>
      </c>
      <c r="AC429" s="8" t="str">
        <f>TEXT(B429,"yyyy")</f>
        <v>2025</v>
      </c>
      <c r="AE429">
        <f t="shared" si="58"/>
        <v>26454.959999999999</v>
      </c>
      <c r="AF429" s="11">
        <f t="shared" si="59"/>
        <v>26454.959999999999</v>
      </c>
      <c r="AG429">
        <f t="shared" si="60"/>
        <v>8824.7099999999991</v>
      </c>
      <c r="AH429" s="11">
        <f t="shared" si="61"/>
        <v>0.33357487594008833</v>
      </c>
      <c r="AI429" s="44">
        <f t="shared" si="62"/>
        <v>0.33357487594008833</v>
      </c>
    </row>
    <row r="430" spans="1:35">
      <c r="A430" t="s">
        <v>1385</v>
      </c>
      <c r="B430" s="5">
        <v>45731</v>
      </c>
      <c r="C430" s="5">
        <v>45738</v>
      </c>
      <c r="D430" s="13">
        <f t="shared" si="54"/>
        <v>7</v>
      </c>
      <c r="E430" t="s">
        <v>1386</v>
      </c>
      <c r="F430" t="s">
        <v>23</v>
      </c>
      <c r="G430" t="s">
        <v>37</v>
      </c>
      <c r="H430" t="s">
        <v>38</v>
      </c>
      <c r="I430" t="s">
        <v>99</v>
      </c>
      <c r="J430" t="s">
        <v>100</v>
      </c>
      <c r="K430" t="s">
        <v>74</v>
      </c>
      <c r="L430" t="s">
        <v>171</v>
      </c>
      <c r="M430" t="s">
        <v>1387</v>
      </c>
      <c r="N430" t="s">
        <v>44</v>
      </c>
      <c r="O430">
        <v>2</v>
      </c>
      <c r="P430">
        <v>1235.93</v>
      </c>
      <c r="Q430" s="11">
        <v>0.25</v>
      </c>
      <c r="R430">
        <v>1853.89</v>
      </c>
      <c r="S430">
        <v>1101.23</v>
      </c>
      <c r="T430">
        <v>752.66</v>
      </c>
      <c r="U430" t="s">
        <v>111</v>
      </c>
      <c r="V430" t="s">
        <v>68</v>
      </c>
      <c r="X430" s="8" t="str">
        <f>IF(C430&gt;=B430,"Valid", "Invalid-Date")</f>
        <v>Valid</v>
      </c>
      <c r="Y430" s="8" t="str">
        <f t="shared" si="55"/>
        <v>Valid</v>
      </c>
      <c r="Z430" s="8" t="str">
        <f t="shared" si="56"/>
        <v>Pass</v>
      </c>
      <c r="AA430" s="8" t="str">
        <f t="shared" si="57"/>
        <v>Pass</v>
      </c>
      <c r="AB430" s="8" t="str">
        <f>TEXT(B430,"mmmm")</f>
        <v>March</v>
      </c>
      <c r="AC430" s="8" t="str">
        <f>TEXT(B430,"yyyy")</f>
        <v>2025</v>
      </c>
      <c r="AE430">
        <f t="shared" si="58"/>
        <v>2471.86</v>
      </c>
      <c r="AF430" s="11">
        <f t="shared" si="59"/>
        <v>1853.895</v>
      </c>
      <c r="AG430">
        <f t="shared" si="60"/>
        <v>1370.63</v>
      </c>
      <c r="AH430" s="11">
        <f t="shared" si="61"/>
        <v>0.55449337745665206</v>
      </c>
      <c r="AI430" s="44">
        <f t="shared" si="62"/>
        <v>0.55449337745665206</v>
      </c>
    </row>
    <row r="431" spans="1:35">
      <c r="A431" t="s">
        <v>1388</v>
      </c>
      <c r="B431" s="5">
        <v>45717</v>
      </c>
      <c r="C431" s="5">
        <v>45724</v>
      </c>
      <c r="D431" s="13">
        <f t="shared" si="54"/>
        <v>7</v>
      </c>
      <c r="E431" t="s">
        <v>1389</v>
      </c>
      <c r="F431" t="s">
        <v>79</v>
      </c>
      <c r="G431" t="s">
        <v>95</v>
      </c>
      <c r="H431" t="s">
        <v>25</v>
      </c>
      <c r="I431" t="s">
        <v>26</v>
      </c>
      <c r="J431" t="s">
        <v>27</v>
      </c>
      <c r="K431" t="s">
        <v>74</v>
      </c>
      <c r="L431" t="s">
        <v>80</v>
      </c>
      <c r="M431" t="s">
        <v>1390</v>
      </c>
      <c r="N431" t="s">
        <v>44</v>
      </c>
      <c r="O431">
        <v>8</v>
      </c>
      <c r="P431">
        <v>2943.1</v>
      </c>
      <c r="Q431" s="11">
        <v>0.25</v>
      </c>
      <c r="R431">
        <v>17658.599999999999</v>
      </c>
      <c r="S431">
        <v>13842.48</v>
      </c>
      <c r="T431">
        <v>3816.12</v>
      </c>
      <c r="U431" t="s">
        <v>32</v>
      </c>
      <c r="V431" t="s">
        <v>33</v>
      </c>
      <c r="X431" s="8" t="str">
        <f>IF(C431&gt;=B431,"Valid", "Invalid-Date")</f>
        <v>Valid</v>
      </c>
      <c r="Y431" s="8" t="str">
        <f t="shared" si="55"/>
        <v>Valid</v>
      </c>
      <c r="Z431" s="8" t="str">
        <f t="shared" si="56"/>
        <v>Pass</v>
      </c>
      <c r="AA431" s="8" t="str">
        <f t="shared" si="57"/>
        <v>Pass</v>
      </c>
      <c r="AB431" s="8" t="str">
        <f>TEXT(B431,"mmmm")</f>
        <v>March</v>
      </c>
      <c r="AC431" s="8" t="str">
        <f>TEXT(B431,"yyyy")</f>
        <v>2025</v>
      </c>
      <c r="AE431">
        <f t="shared" si="58"/>
        <v>23544.799999999999</v>
      </c>
      <c r="AF431" s="11">
        <f t="shared" si="59"/>
        <v>17658.599999999999</v>
      </c>
      <c r="AG431">
        <f t="shared" si="60"/>
        <v>9702.32</v>
      </c>
      <c r="AH431" s="11">
        <f t="shared" si="61"/>
        <v>0.41207910026842443</v>
      </c>
      <c r="AI431" s="44">
        <f t="shared" si="62"/>
        <v>0.41207910026842443</v>
      </c>
    </row>
    <row r="432" spans="1:35">
      <c r="A432" t="s">
        <v>1391</v>
      </c>
      <c r="B432" s="5">
        <v>45534</v>
      </c>
      <c r="C432" s="5">
        <v>45537</v>
      </c>
      <c r="D432" s="13">
        <f t="shared" si="54"/>
        <v>3</v>
      </c>
      <c r="E432" t="s">
        <v>1392</v>
      </c>
      <c r="F432" t="s">
        <v>79</v>
      </c>
      <c r="G432" t="s">
        <v>37</v>
      </c>
      <c r="H432" t="s">
        <v>25</v>
      </c>
      <c r="I432" t="s">
        <v>236</v>
      </c>
      <c r="J432" t="s">
        <v>237</v>
      </c>
      <c r="K432" t="s">
        <v>28</v>
      </c>
      <c r="L432" t="s">
        <v>29</v>
      </c>
      <c r="M432" t="s">
        <v>1393</v>
      </c>
      <c r="N432" t="s">
        <v>31</v>
      </c>
      <c r="O432">
        <v>1</v>
      </c>
      <c r="P432">
        <v>4320.84</v>
      </c>
      <c r="Q432" s="11">
        <v>0.15</v>
      </c>
      <c r="R432">
        <v>3672.71</v>
      </c>
      <c r="S432">
        <v>2714.23</v>
      </c>
      <c r="T432">
        <v>763.38</v>
      </c>
      <c r="U432" t="s">
        <v>32</v>
      </c>
      <c r="V432" t="s">
        <v>33</v>
      </c>
      <c r="X432" s="8" t="str">
        <f>IF(C432&gt;=B432,"Valid", "Invalid-Date")</f>
        <v>Valid</v>
      </c>
      <c r="Y432" s="8" t="str">
        <f t="shared" si="55"/>
        <v>Valid</v>
      </c>
      <c r="Z432" s="8" t="str">
        <f t="shared" si="56"/>
        <v>Pass</v>
      </c>
      <c r="AA432" s="8" t="str">
        <f t="shared" si="57"/>
        <v>Pass</v>
      </c>
      <c r="AB432" s="8" t="str">
        <f>TEXT(B432,"mmmm")</f>
        <v>August</v>
      </c>
      <c r="AC432" s="8" t="str">
        <f>TEXT(B432,"yyyy")</f>
        <v>2024</v>
      </c>
      <c r="AE432">
        <f t="shared" si="58"/>
        <v>4320.84</v>
      </c>
      <c r="AF432" s="11">
        <f t="shared" si="59"/>
        <v>3672.7139999999999</v>
      </c>
      <c r="AG432">
        <f t="shared" si="60"/>
        <v>1606.6100000000001</v>
      </c>
      <c r="AH432" s="11">
        <f t="shared" si="61"/>
        <v>0.37182816304237143</v>
      </c>
      <c r="AI432" s="44">
        <f t="shared" si="62"/>
        <v>0.37182816304237143</v>
      </c>
    </row>
    <row r="433" spans="1:35">
      <c r="A433" t="s">
        <v>1394</v>
      </c>
      <c r="B433" s="5">
        <v>45332</v>
      </c>
      <c r="C433" s="5">
        <v>45335</v>
      </c>
      <c r="D433" s="13">
        <f t="shared" si="54"/>
        <v>3</v>
      </c>
      <c r="E433" t="s">
        <v>1395</v>
      </c>
      <c r="F433" t="s">
        <v>23</v>
      </c>
      <c r="G433" t="s">
        <v>95</v>
      </c>
      <c r="H433" t="s">
        <v>63</v>
      </c>
      <c r="I433" t="s">
        <v>190</v>
      </c>
      <c r="J433" t="s">
        <v>191</v>
      </c>
      <c r="K433" t="s">
        <v>74</v>
      </c>
      <c r="L433" t="s">
        <v>274</v>
      </c>
      <c r="M433" t="s">
        <v>1396</v>
      </c>
      <c r="N433" t="s">
        <v>44</v>
      </c>
      <c r="O433">
        <v>2</v>
      </c>
      <c r="P433">
        <v>4118.45</v>
      </c>
      <c r="Q433" s="11">
        <v>0.25</v>
      </c>
      <c r="R433">
        <v>6177.67</v>
      </c>
      <c r="S433">
        <v>4520.75</v>
      </c>
      <c r="T433">
        <v>1656.92</v>
      </c>
      <c r="U433" t="s">
        <v>32</v>
      </c>
      <c r="V433" t="s">
        <v>33</v>
      </c>
      <c r="X433" s="8" t="str">
        <f>IF(C433&gt;=B433,"Valid", "Invalid-Date")</f>
        <v>Valid</v>
      </c>
      <c r="Y433" s="8" t="str">
        <f t="shared" si="55"/>
        <v>Valid</v>
      </c>
      <c r="Z433" s="8" t="str">
        <f t="shared" si="56"/>
        <v>Pass</v>
      </c>
      <c r="AA433" s="8" t="str">
        <f t="shared" si="57"/>
        <v>Pass</v>
      </c>
      <c r="AB433" s="8" t="str">
        <f>TEXT(B433,"mmmm")</f>
        <v>February</v>
      </c>
      <c r="AC433" s="8" t="str">
        <f>TEXT(B433,"yyyy")</f>
        <v>2024</v>
      </c>
      <c r="AE433">
        <f t="shared" si="58"/>
        <v>8236.9</v>
      </c>
      <c r="AF433" s="11">
        <f t="shared" si="59"/>
        <v>6177.6749999999993</v>
      </c>
      <c r="AG433">
        <f t="shared" si="60"/>
        <v>3716.1499999999996</v>
      </c>
      <c r="AH433" s="11">
        <f t="shared" si="61"/>
        <v>0.45115880974638517</v>
      </c>
      <c r="AI433" s="44">
        <f t="shared" si="62"/>
        <v>0.45115880974638517</v>
      </c>
    </row>
    <row r="434" spans="1:35">
      <c r="A434" t="s">
        <v>1397</v>
      </c>
      <c r="B434" s="5">
        <v>45533</v>
      </c>
      <c r="C434" s="5">
        <v>45537</v>
      </c>
      <c r="D434" s="13">
        <f t="shared" si="54"/>
        <v>4</v>
      </c>
      <c r="E434" t="s">
        <v>1398</v>
      </c>
      <c r="F434" t="s">
        <v>114</v>
      </c>
      <c r="G434" t="s">
        <v>37</v>
      </c>
      <c r="H434" t="s">
        <v>63</v>
      </c>
      <c r="I434" t="s">
        <v>64</v>
      </c>
      <c r="J434" t="s">
        <v>65</v>
      </c>
      <c r="K434" t="s">
        <v>41</v>
      </c>
      <c r="L434" t="s">
        <v>158</v>
      </c>
      <c r="M434" t="s">
        <v>1399</v>
      </c>
      <c r="N434" t="s">
        <v>59</v>
      </c>
      <c r="O434">
        <v>6</v>
      </c>
      <c r="P434">
        <v>172.82</v>
      </c>
      <c r="Q434" s="11">
        <v>0.05</v>
      </c>
      <c r="R434">
        <v>985.07</v>
      </c>
      <c r="S434">
        <v>844.48</v>
      </c>
      <c r="T434">
        <v>140.59</v>
      </c>
      <c r="U434" t="s">
        <v>32</v>
      </c>
      <c r="V434" t="s">
        <v>33</v>
      </c>
      <c r="X434" s="8" t="str">
        <f>IF(C434&gt;=B434,"Valid", "Invalid-Date")</f>
        <v>Valid</v>
      </c>
      <c r="Y434" s="8" t="str">
        <f t="shared" si="55"/>
        <v>Valid</v>
      </c>
      <c r="Z434" s="8" t="str">
        <f t="shared" si="56"/>
        <v>Pass</v>
      </c>
      <c r="AA434" s="8" t="str">
        <f t="shared" si="57"/>
        <v>Pass</v>
      </c>
      <c r="AB434" s="8" t="str">
        <f>TEXT(B434,"mmmm")</f>
        <v>August</v>
      </c>
      <c r="AC434" s="8" t="str">
        <f>TEXT(B434,"yyyy")</f>
        <v>2024</v>
      </c>
      <c r="AE434">
        <f t="shared" si="58"/>
        <v>1036.92</v>
      </c>
      <c r="AF434" s="11">
        <f t="shared" si="59"/>
        <v>985.07400000000007</v>
      </c>
      <c r="AG434">
        <f t="shared" si="60"/>
        <v>192.44000000000005</v>
      </c>
      <c r="AH434" s="11">
        <f t="shared" si="61"/>
        <v>0.18558808779848016</v>
      </c>
      <c r="AI434" s="44">
        <f t="shared" si="62"/>
        <v>0.18558808779848016</v>
      </c>
    </row>
    <row r="435" spans="1:35">
      <c r="A435" t="s">
        <v>1400</v>
      </c>
      <c r="B435" s="5">
        <v>45401</v>
      </c>
      <c r="C435" s="5">
        <v>45402</v>
      </c>
      <c r="D435" s="13">
        <f t="shared" si="54"/>
        <v>1</v>
      </c>
      <c r="E435" t="s">
        <v>1401</v>
      </c>
      <c r="F435" t="s">
        <v>114</v>
      </c>
      <c r="G435" t="s">
        <v>90</v>
      </c>
      <c r="H435" t="s">
        <v>54</v>
      </c>
      <c r="I435" t="s">
        <v>185</v>
      </c>
      <c r="J435" t="s">
        <v>186</v>
      </c>
      <c r="K435" t="s">
        <v>28</v>
      </c>
      <c r="L435" t="s">
        <v>48</v>
      </c>
      <c r="M435" t="s">
        <v>1402</v>
      </c>
      <c r="N435" t="s">
        <v>31</v>
      </c>
      <c r="O435">
        <v>4</v>
      </c>
      <c r="P435">
        <v>1540.22</v>
      </c>
      <c r="Q435" s="11">
        <v>0</v>
      </c>
      <c r="R435">
        <v>6160.88</v>
      </c>
      <c r="S435">
        <v>4938.7</v>
      </c>
      <c r="T435">
        <v>1222.18</v>
      </c>
      <c r="U435" t="s">
        <v>102</v>
      </c>
      <c r="V435" t="s">
        <v>103</v>
      </c>
      <c r="X435" s="8" t="str">
        <f>IF(C435&gt;=B435,"Valid", "Invalid-Date")</f>
        <v>Valid</v>
      </c>
      <c r="Y435" s="8" t="str">
        <f t="shared" si="55"/>
        <v>Valid</v>
      </c>
      <c r="Z435" s="8" t="str">
        <f t="shared" si="56"/>
        <v>Pass</v>
      </c>
      <c r="AA435" s="8" t="str">
        <f t="shared" si="57"/>
        <v>Pass</v>
      </c>
      <c r="AB435" s="8" t="str">
        <f>TEXT(B435,"mmmm")</f>
        <v>April</v>
      </c>
      <c r="AC435" s="8" t="str">
        <f>TEXT(B435,"yyyy")</f>
        <v>2024</v>
      </c>
      <c r="AE435">
        <f t="shared" si="58"/>
        <v>6160.88</v>
      </c>
      <c r="AF435" s="11">
        <f t="shared" si="59"/>
        <v>6160.88</v>
      </c>
      <c r="AG435">
        <f t="shared" si="60"/>
        <v>1222.1800000000003</v>
      </c>
      <c r="AH435" s="11">
        <f t="shared" si="61"/>
        <v>0.19837750451234243</v>
      </c>
      <c r="AI435" s="44">
        <f t="shared" si="62"/>
        <v>0.19837750451234243</v>
      </c>
    </row>
    <row r="436" spans="1:35">
      <c r="A436" t="s">
        <v>1403</v>
      </c>
      <c r="B436" s="5">
        <v>45965</v>
      </c>
      <c r="C436" s="5">
        <v>45762</v>
      </c>
      <c r="D436" s="13">
        <f t="shared" si="54"/>
        <v>-203</v>
      </c>
      <c r="E436" t="s">
        <v>1404</v>
      </c>
      <c r="F436" t="s">
        <v>36</v>
      </c>
      <c r="G436" t="s">
        <v>95</v>
      </c>
      <c r="H436" t="s">
        <v>25</v>
      </c>
      <c r="I436" t="s">
        <v>136</v>
      </c>
      <c r="J436" t="s">
        <v>137</v>
      </c>
      <c r="K436" t="s">
        <v>74</v>
      </c>
      <c r="L436" t="s">
        <v>75</v>
      </c>
      <c r="M436" t="s">
        <v>1405</v>
      </c>
      <c r="N436" t="s">
        <v>31</v>
      </c>
      <c r="O436">
        <v>5</v>
      </c>
      <c r="P436">
        <v>652.78</v>
      </c>
      <c r="Q436" s="11">
        <v>0</v>
      </c>
      <c r="R436">
        <v>3263.9</v>
      </c>
      <c r="S436">
        <v>2068.44</v>
      </c>
      <c r="T436">
        <v>1195.46</v>
      </c>
      <c r="U436" t="s">
        <v>32</v>
      </c>
      <c r="V436" t="s">
        <v>33</v>
      </c>
      <c r="X436" s="8" t="str">
        <f>IF(C436&gt;=B436,"Valid", "Invalid-Date")</f>
        <v>Invalid-Date</v>
      </c>
      <c r="Y436" s="8" t="str">
        <f t="shared" si="55"/>
        <v>Valid</v>
      </c>
      <c r="Z436" s="8" t="str">
        <f t="shared" si="56"/>
        <v>Pass</v>
      </c>
      <c r="AA436" s="8" t="str">
        <f t="shared" si="57"/>
        <v>Pass</v>
      </c>
      <c r="AB436" s="8" t="str">
        <f>TEXT(B436,"mmmm")</f>
        <v>November</v>
      </c>
      <c r="AC436" s="8" t="str">
        <f>TEXT(B436,"yyyy")</f>
        <v>2025</v>
      </c>
      <c r="AE436">
        <f t="shared" si="58"/>
        <v>3263.8999999999996</v>
      </c>
      <c r="AF436" s="11">
        <f t="shared" si="59"/>
        <v>3263.8999999999996</v>
      </c>
      <c r="AG436">
        <f t="shared" si="60"/>
        <v>1195.4599999999996</v>
      </c>
      <c r="AH436" s="11">
        <f t="shared" si="61"/>
        <v>0.3662673488771101</v>
      </c>
      <c r="AI436" s="44">
        <f t="shared" si="62"/>
        <v>0.3662673488771101</v>
      </c>
    </row>
    <row r="437" spans="1:35">
      <c r="A437" t="s">
        <v>1406</v>
      </c>
      <c r="B437" s="5">
        <v>45759</v>
      </c>
      <c r="C437" s="5">
        <v>45767</v>
      </c>
      <c r="D437" s="13">
        <f t="shared" si="54"/>
        <v>8</v>
      </c>
      <c r="E437" t="s">
        <v>1407</v>
      </c>
      <c r="F437" t="s">
        <v>264</v>
      </c>
      <c r="G437" t="s">
        <v>95</v>
      </c>
      <c r="H437" t="s">
        <v>25</v>
      </c>
      <c r="I437" t="s">
        <v>350</v>
      </c>
      <c r="J437" t="s">
        <v>351</v>
      </c>
      <c r="K437" t="s">
        <v>74</v>
      </c>
      <c r="L437" t="s">
        <v>274</v>
      </c>
      <c r="M437" t="s">
        <v>1408</v>
      </c>
      <c r="N437" t="s">
        <v>59</v>
      </c>
      <c r="O437">
        <v>1</v>
      </c>
      <c r="P437">
        <v>2737.71</v>
      </c>
      <c r="Q437" s="11">
        <v>0.15</v>
      </c>
      <c r="R437">
        <v>2327.0500000000002</v>
      </c>
      <c r="S437">
        <v>1919.42</v>
      </c>
      <c r="T437">
        <v>407.63</v>
      </c>
      <c r="U437" t="s">
        <v>32</v>
      </c>
      <c r="V437" t="s">
        <v>68</v>
      </c>
      <c r="X437" s="8" t="str">
        <f>IF(C437&gt;=B437,"Valid", "Invalid-Date")</f>
        <v>Valid</v>
      </c>
      <c r="Y437" s="8" t="str">
        <f t="shared" si="55"/>
        <v>Valid</v>
      </c>
      <c r="Z437" s="8" t="str">
        <f t="shared" si="56"/>
        <v>Pass</v>
      </c>
      <c r="AA437" s="8" t="str">
        <f t="shared" si="57"/>
        <v>Pass</v>
      </c>
      <c r="AB437" s="8" t="str">
        <f>TEXT(B437,"mmmm")</f>
        <v>April</v>
      </c>
      <c r="AC437" s="8" t="str">
        <f>TEXT(B437,"yyyy")</f>
        <v>2025</v>
      </c>
      <c r="AE437">
        <f t="shared" si="58"/>
        <v>2737.71</v>
      </c>
      <c r="AF437" s="11">
        <f t="shared" si="59"/>
        <v>2327.0535</v>
      </c>
      <c r="AG437">
        <f t="shared" si="60"/>
        <v>818.29</v>
      </c>
      <c r="AH437" s="11">
        <f t="shared" si="61"/>
        <v>0.2988957924688882</v>
      </c>
      <c r="AI437" s="44">
        <f t="shared" si="62"/>
        <v>0.2988957924688882</v>
      </c>
    </row>
    <row r="438" spans="1:35">
      <c r="A438" t="s">
        <v>1409</v>
      </c>
      <c r="B438" s="5">
        <v>45459</v>
      </c>
      <c r="C438" s="5">
        <v>45464</v>
      </c>
      <c r="D438" s="13">
        <f t="shared" si="54"/>
        <v>5</v>
      </c>
      <c r="E438" t="s">
        <v>1410</v>
      </c>
      <c r="F438" t="s">
        <v>79</v>
      </c>
      <c r="G438" t="s">
        <v>24</v>
      </c>
      <c r="H438" t="s">
        <v>54</v>
      </c>
      <c r="I438" t="s">
        <v>185</v>
      </c>
      <c r="J438" t="s">
        <v>186</v>
      </c>
      <c r="K438" t="s">
        <v>41</v>
      </c>
      <c r="L438" t="s">
        <v>57</v>
      </c>
      <c r="M438" t="s">
        <v>1411</v>
      </c>
      <c r="N438" t="s">
        <v>44</v>
      </c>
      <c r="O438">
        <v>6</v>
      </c>
      <c r="P438">
        <v>1156.78</v>
      </c>
      <c r="Q438" s="11">
        <v>0.05</v>
      </c>
      <c r="R438">
        <v>6593.65</v>
      </c>
      <c r="S438">
        <v>4359.3900000000003</v>
      </c>
      <c r="T438">
        <v>2234.2600000000002</v>
      </c>
      <c r="U438" t="s">
        <v>32</v>
      </c>
      <c r="V438" t="s">
        <v>103</v>
      </c>
      <c r="X438" s="8" t="str">
        <f>IF(C438&gt;=B438,"Valid", "Invalid-Date")</f>
        <v>Valid</v>
      </c>
      <c r="Y438" s="8" t="str">
        <f t="shared" si="55"/>
        <v>Valid</v>
      </c>
      <c r="Z438" s="8" t="str">
        <f t="shared" si="56"/>
        <v>Pass</v>
      </c>
      <c r="AA438" s="8" t="str">
        <f t="shared" si="57"/>
        <v>Pass</v>
      </c>
      <c r="AB438" s="8" t="str">
        <f>TEXT(B438,"mmmm")</f>
        <v>June</v>
      </c>
      <c r="AC438" s="8" t="str">
        <f>TEXT(B438,"yyyy")</f>
        <v>2024</v>
      </c>
      <c r="AE438">
        <f t="shared" si="58"/>
        <v>6940.68</v>
      </c>
      <c r="AF438" s="11">
        <f t="shared" si="59"/>
        <v>6593.6459999999997</v>
      </c>
      <c r="AG438">
        <f t="shared" si="60"/>
        <v>2581.29</v>
      </c>
      <c r="AH438" s="11">
        <f t="shared" si="61"/>
        <v>0.37190736354362969</v>
      </c>
      <c r="AI438" s="44">
        <f t="shared" si="62"/>
        <v>0.37190736354362969</v>
      </c>
    </row>
    <row r="439" spans="1:35">
      <c r="A439" t="s">
        <v>1412</v>
      </c>
      <c r="B439" s="5">
        <v>45337</v>
      </c>
      <c r="C439" s="5">
        <v>45340</v>
      </c>
      <c r="D439" s="13">
        <f t="shared" si="54"/>
        <v>3</v>
      </c>
      <c r="E439" t="s">
        <v>1413</v>
      </c>
      <c r="F439" t="s">
        <v>89</v>
      </c>
      <c r="G439" t="s">
        <v>37</v>
      </c>
      <c r="H439" t="s">
        <v>54</v>
      </c>
      <c r="I439" t="s">
        <v>185</v>
      </c>
      <c r="J439" t="s">
        <v>186</v>
      </c>
      <c r="K439" t="s">
        <v>74</v>
      </c>
      <c r="L439" t="s">
        <v>75</v>
      </c>
      <c r="M439" t="s">
        <v>1414</v>
      </c>
      <c r="N439" t="s">
        <v>44</v>
      </c>
      <c r="O439">
        <v>8</v>
      </c>
      <c r="P439">
        <v>379.82</v>
      </c>
      <c r="Q439" s="11">
        <v>0.05</v>
      </c>
      <c r="R439">
        <v>2886.63</v>
      </c>
      <c r="S439">
        <v>1588.23</v>
      </c>
      <c r="T439">
        <v>1298.4000000000001</v>
      </c>
      <c r="U439" t="s">
        <v>155</v>
      </c>
      <c r="V439" t="s">
        <v>103</v>
      </c>
      <c r="X439" s="8" t="str">
        <f>IF(C439&gt;=B439,"Valid", "Invalid-Date")</f>
        <v>Valid</v>
      </c>
      <c r="Y439" s="8" t="str">
        <f t="shared" si="55"/>
        <v>Valid</v>
      </c>
      <c r="Z439" s="8" t="str">
        <f t="shared" si="56"/>
        <v>Pass</v>
      </c>
      <c r="AA439" s="8" t="str">
        <f t="shared" si="57"/>
        <v>Pass</v>
      </c>
      <c r="AB439" s="8" t="str">
        <f>TEXT(B439,"mmmm")</f>
        <v>February</v>
      </c>
      <c r="AC439" s="8" t="str">
        <f>TEXT(B439,"yyyy")</f>
        <v>2024</v>
      </c>
      <c r="AE439">
        <f t="shared" si="58"/>
        <v>3038.56</v>
      </c>
      <c r="AF439" s="11">
        <f t="shared" si="59"/>
        <v>2886.6319999999996</v>
      </c>
      <c r="AG439">
        <f t="shared" si="60"/>
        <v>1450.33</v>
      </c>
      <c r="AH439" s="11">
        <f t="shared" si="61"/>
        <v>0.47730833026170288</v>
      </c>
      <c r="AI439" s="44">
        <f t="shared" si="62"/>
        <v>0.47730833026170288</v>
      </c>
    </row>
    <row r="440" spans="1:35">
      <c r="A440" t="s">
        <v>1415</v>
      </c>
      <c r="B440" s="5">
        <v>45784</v>
      </c>
      <c r="C440" s="5">
        <v>45782</v>
      </c>
      <c r="D440" s="13">
        <f t="shared" si="54"/>
        <v>-2</v>
      </c>
      <c r="E440" t="s">
        <v>1416</v>
      </c>
      <c r="F440" t="s">
        <v>79</v>
      </c>
      <c r="G440" t="s">
        <v>90</v>
      </c>
      <c r="H440" t="s">
        <v>38</v>
      </c>
      <c r="I440" t="s">
        <v>228</v>
      </c>
      <c r="J440" t="s">
        <v>229</v>
      </c>
      <c r="K440" t="s">
        <v>74</v>
      </c>
      <c r="L440" t="s">
        <v>171</v>
      </c>
      <c r="M440" t="s">
        <v>1417</v>
      </c>
      <c r="N440" t="s">
        <v>59</v>
      </c>
      <c r="O440">
        <v>1</v>
      </c>
      <c r="P440">
        <v>2266.4699999999998</v>
      </c>
      <c r="Q440" s="11">
        <v>0.2</v>
      </c>
      <c r="R440">
        <v>1813.18</v>
      </c>
      <c r="S440">
        <v>1363.64</v>
      </c>
      <c r="T440">
        <v>449.54</v>
      </c>
      <c r="U440" t="s">
        <v>32</v>
      </c>
      <c r="V440" t="s">
        <v>33</v>
      </c>
      <c r="X440" s="8" t="str">
        <f>IF(C440&gt;=B440,"Valid", "Invalid-Date")</f>
        <v>Invalid-Date</v>
      </c>
      <c r="Y440" s="8" t="str">
        <f t="shared" si="55"/>
        <v>Valid</v>
      </c>
      <c r="Z440" s="8" t="str">
        <f t="shared" si="56"/>
        <v>Pass</v>
      </c>
      <c r="AA440" s="8" t="str">
        <f t="shared" si="57"/>
        <v>Pass</v>
      </c>
      <c r="AB440" s="8" t="str">
        <f>TEXT(B440,"mmmm")</f>
        <v>May</v>
      </c>
      <c r="AC440" s="8" t="str">
        <f>TEXT(B440,"yyyy")</f>
        <v>2025</v>
      </c>
      <c r="AE440">
        <f t="shared" si="58"/>
        <v>2266.4699999999998</v>
      </c>
      <c r="AF440" s="11">
        <f t="shared" si="59"/>
        <v>1813.1759999999999</v>
      </c>
      <c r="AG440">
        <f t="shared" si="60"/>
        <v>902.8299999999997</v>
      </c>
      <c r="AH440" s="11">
        <f t="shared" si="61"/>
        <v>0.39834191496026849</v>
      </c>
      <c r="AI440" s="44">
        <f t="shared" si="62"/>
        <v>0.39834191496026849</v>
      </c>
    </row>
    <row r="441" spans="1:35">
      <c r="A441" t="s">
        <v>1418</v>
      </c>
      <c r="B441" s="5">
        <v>45838</v>
      </c>
      <c r="C441" s="5">
        <v>45723</v>
      </c>
      <c r="D441" s="13">
        <f t="shared" si="54"/>
        <v>-115</v>
      </c>
      <c r="E441" t="s">
        <v>1419</v>
      </c>
      <c r="F441" t="s">
        <v>128</v>
      </c>
      <c r="G441" t="s">
        <v>95</v>
      </c>
      <c r="H441" t="s">
        <v>63</v>
      </c>
      <c r="I441" t="s">
        <v>190</v>
      </c>
      <c r="J441" t="s">
        <v>191</v>
      </c>
      <c r="K441" t="s">
        <v>28</v>
      </c>
      <c r="L441" t="s">
        <v>124</v>
      </c>
      <c r="M441" t="s">
        <v>1420</v>
      </c>
      <c r="N441" t="s">
        <v>44</v>
      </c>
      <c r="O441">
        <v>5</v>
      </c>
      <c r="P441">
        <v>665.25</v>
      </c>
      <c r="Q441" s="11">
        <v>0</v>
      </c>
      <c r="R441">
        <v>3326.25</v>
      </c>
      <c r="S441">
        <v>2689.36</v>
      </c>
      <c r="T441">
        <v>636.89</v>
      </c>
      <c r="U441" t="s">
        <v>102</v>
      </c>
      <c r="V441" t="s">
        <v>103</v>
      </c>
      <c r="X441" s="8" t="str">
        <f>IF(C441&gt;=B441,"Valid", "Invalid-Date")</f>
        <v>Invalid-Date</v>
      </c>
      <c r="Y441" s="8" t="str">
        <f t="shared" si="55"/>
        <v>Valid</v>
      </c>
      <c r="Z441" s="8" t="str">
        <f t="shared" si="56"/>
        <v>Pass</v>
      </c>
      <c r="AA441" s="8" t="str">
        <f t="shared" si="57"/>
        <v>Pass</v>
      </c>
      <c r="AB441" s="8" t="str">
        <f>TEXT(B441,"mmmm")</f>
        <v>June</v>
      </c>
      <c r="AC441" s="8" t="str">
        <f>TEXT(B441,"yyyy")</f>
        <v>2025</v>
      </c>
      <c r="AE441">
        <f t="shared" si="58"/>
        <v>3326.25</v>
      </c>
      <c r="AF441" s="11">
        <f t="shared" si="59"/>
        <v>3326.25</v>
      </c>
      <c r="AG441">
        <f t="shared" si="60"/>
        <v>636.88999999999987</v>
      </c>
      <c r="AH441" s="11">
        <f t="shared" si="61"/>
        <v>0.19147388199924836</v>
      </c>
      <c r="AI441" s="44">
        <f t="shared" si="62"/>
        <v>0.19147388199924836</v>
      </c>
    </row>
    <row r="442" spans="1:35">
      <c r="A442" t="s">
        <v>1421</v>
      </c>
      <c r="B442" s="5">
        <v>45326</v>
      </c>
      <c r="C442" s="5">
        <v>45508</v>
      </c>
      <c r="D442" s="13">
        <f t="shared" si="54"/>
        <v>182</v>
      </c>
      <c r="E442" t="s">
        <v>270</v>
      </c>
      <c r="F442" t="s">
        <v>71</v>
      </c>
      <c r="G442" t="s">
        <v>90</v>
      </c>
      <c r="H442" t="s">
        <v>38</v>
      </c>
      <c r="I442" t="s">
        <v>39</v>
      </c>
      <c r="J442" t="s">
        <v>40</v>
      </c>
      <c r="K442" t="s">
        <v>74</v>
      </c>
      <c r="L442" t="s">
        <v>274</v>
      </c>
      <c r="M442" t="s">
        <v>1422</v>
      </c>
      <c r="N442" t="s">
        <v>31</v>
      </c>
      <c r="O442">
        <v>6</v>
      </c>
      <c r="P442">
        <v>3722.84</v>
      </c>
      <c r="Q442" s="11">
        <v>0.2</v>
      </c>
      <c r="R442">
        <v>17869.63</v>
      </c>
      <c r="S442">
        <v>12163.8</v>
      </c>
      <c r="T442">
        <v>5705.83</v>
      </c>
      <c r="U442" t="s">
        <v>32</v>
      </c>
      <c r="V442" t="s">
        <v>33</v>
      </c>
      <c r="X442" s="8" t="str">
        <f>IF(C442&gt;=B442,"Valid", "Invalid-Date")</f>
        <v>Valid</v>
      </c>
      <c r="Y442" s="8" t="str">
        <f t="shared" si="55"/>
        <v>Valid</v>
      </c>
      <c r="Z442" s="8" t="str">
        <f t="shared" si="56"/>
        <v>Pass</v>
      </c>
      <c r="AA442" s="8" t="str">
        <f t="shared" si="57"/>
        <v>Pass</v>
      </c>
      <c r="AB442" s="8" t="str">
        <f>TEXT(B442,"mmmm")</f>
        <v>February</v>
      </c>
      <c r="AC442" s="8" t="str">
        <f>TEXT(B442,"yyyy")</f>
        <v>2024</v>
      </c>
      <c r="AE442">
        <f t="shared" si="58"/>
        <v>22337.040000000001</v>
      </c>
      <c r="AF442" s="11">
        <f t="shared" si="59"/>
        <v>17869.632000000001</v>
      </c>
      <c r="AG442">
        <f t="shared" si="60"/>
        <v>10173.240000000002</v>
      </c>
      <c r="AH442" s="11">
        <f t="shared" si="61"/>
        <v>0.45544261907575945</v>
      </c>
      <c r="AI442" s="44">
        <f t="shared" si="62"/>
        <v>0.45544261907575945</v>
      </c>
    </row>
    <row r="443" spans="1:35">
      <c r="A443" t="s">
        <v>1423</v>
      </c>
      <c r="B443" s="5">
        <v>45568</v>
      </c>
      <c r="C443" s="5">
        <v>45361</v>
      </c>
      <c r="D443" s="13">
        <f t="shared" si="54"/>
        <v>-207</v>
      </c>
      <c r="E443" t="s">
        <v>1424</v>
      </c>
      <c r="F443" t="s">
        <v>23</v>
      </c>
      <c r="G443" t="s">
        <v>24</v>
      </c>
      <c r="H443" t="s">
        <v>38</v>
      </c>
      <c r="I443" t="s">
        <v>145</v>
      </c>
      <c r="J443" t="s">
        <v>146</v>
      </c>
      <c r="K443" t="s">
        <v>41</v>
      </c>
      <c r="L443" t="s">
        <v>158</v>
      </c>
      <c r="M443" t="s">
        <v>1425</v>
      </c>
      <c r="N443" t="s">
        <v>59</v>
      </c>
      <c r="O443">
        <v>6</v>
      </c>
      <c r="P443">
        <v>4217.49</v>
      </c>
      <c r="Q443" s="11">
        <v>0</v>
      </c>
      <c r="R443">
        <v>25304.94</v>
      </c>
      <c r="S443">
        <v>20771.95</v>
      </c>
      <c r="T443">
        <v>4532.99</v>
      </c>
      <c r="U443" t="s">
        <v>32</v>
      </c>
      <c r="V443" t="s">
        <v>68</v>
      </c>
      <c r="X443" s="8" t="str">
        <f>IF(C443&gt;=B443,"Valid", "Invalid-Date")</f>
        <v>Invalid-Date</v>
      </c>
      <c r="Y443" s="8" t="str">
        <f t="shared" si="55"/>
        <v>Valid</v>
      </c>
      <c r="Z443" s="8" t="str">
        <f t="shared" si="56"/>
        <v>Pass</v>
      </c>
      <c r="AA443" s="8" t="str">
        <f t="shared" si="57"/>
        <v>Pass</v>
      </c>
      <c r="AB443" s="8" t="str">
        <f>TEXT(B443,"mmmm")</f>
        <v>October</v>
      </c>
      <c r="AC443" s="8" t="str">
        <f>TEXT(B443,"yyyy")</f>
        <v>2024</v>
      </c>
      <c r="AE443">
        <f t="shared" si="58"/>
        <v>25304.94</v>
      </c>
      <c r="AF443" s="11">
        <f t="shared" si="59"/>
        <v>25304.94</v>
      </c>
      <c r="AG443">
        <f t="shared" si="60"/>
        <v>4532.989999999998</v>
      </c>
      <c r="AH443" s="11">
        <f t="shared" si="61"/>
        <v>0.17913458795002077</v>
      </c>
      <c r="AI443" s="44">
        <f t="shared" si="62"/>
        <v>0.17913458795002077</v>
      </c>
    </row>
    <row r="444" spans="1:35">
      <c r="A444" t="s">
        <v>1426</v>
      </c>
      <c r="B444" s="5">
        <v>45669</v>
      </c>
      <c r="C444" s="5">
        <v>45676</v>
      </c>
      <c r="D444" s="13">
        <f t="shared" si="54"/>
        <v>7</v>
      </c>
      <c r="E444" t="s">
        <v>1427</v>
      </c>
      <c r="F444" t="s">
        <v>128</v>
      </c>
      <c r="G444" t="s">
        <v>24</v>
      </c>
      <c r="H444" t="s">
        <v>38</v>
      </c>
      <c r="I444" t="s">
        <v>228</v>
      </c>
      <c r="J444" t="s">
        <v>229</v>
      </c>
      <c r="K444" t="s">
        <v>41</v>
      </c>
      <c r="L444" t="s">
        <v>42</v>
      </c>
      <c r="M444" t="s">
        <v>1428</v>
      </c>
      <c r="N444" t="s">
        <v>50</v>
      </c>
      <c r="O444">
        <v>1</v>
      </c>
      <c r="P444">
        <v>1842.31</v>
      </c>
      <c r="Q444" s="11">
        <v>0</v>
      </c>
      <c r="R444">
        <v>1842.31</v>
      </c>
      <c r="S444">
        <v>1019.17</v>
      </c>
      <c r="T444">
        <v>823.14</v>
      </c>
      <c r="U444" t="s">
        <v>32</v>
      </c>
      <c r="V444" t="s">
        <v>33</v>
      </c>
      <c r="X444" s="8" t="str">
        <f>IF(C444&gt;=B444,"Valid", "Invalid-Date")</f>
        <v>Valid</v>
      </c>
      <c r="Y444" s="8" t="str">
        <f t="shared" si="55"/>
        <v>Valid</v>
      </c>
      <c r="Z444" s="8" t="str">
        <f t="shared" si="56"/>
        <v>Pass</v>
      </c>
      <c r="AA444" s="8" t="str">
        <f t="shared" si="57"/>
        <v>Pass</v>
      </c>
      <c r="AB444" s="8" t="str">
        <f>TEXT(B444,"mmmm")</f>
        <v>January</v>
      </c>
      <c r="AC444" s="8" t="str">
        <f>TEXT(B444,"yyyy")</f>
        <v>2025</v>
      </c>
      <c r="AE444">
        <f t="shared" si="58"/>
        <v>1842.31</v>
      </c>
      <c r="AF444" s="11">
        <f t="shared" si="59"/>
        <v>1842.31</v>
      </c>
      <c r="AG444">
        <f t="shared" si="60"/>
        <v>823.14</v>
      </c>
      <c r="AH444" s="11">
        <f t="shared" si="61"/>
        <v>0.44679777019068451</v>
      </c>
      <c r="AI444" s="44">
        <f t="shared" si="62"/>
        <v>0.44679777019068451</v>
      </c>
    </row>
    <row r="445" spans="1:35">
      <c r="A445" t="s">
        <v>1429</v>
      </c>
      <c r="B445" s="5">
        <v>45386</v>
      </c>
      <c r="C445" s="5">
        <v>45477</v>
      </c>
      <c r="D445" s="13">
        <f t="shared" si="54"/>
        <v>91</v>
      </c>
      <c r="E445" t="s">
        <v>1430</v>
      </c>
      <c r="F445" t="s">
        <v>141</v>
      </c>
      <c r="G445" t="s">
        <v>95</v>
      </c>
      <c r="H445" t="s">
        <v>38</v>
      </c>
      <c r="I445" t="s">
        <v>39</v>
      </c>
      <c r="J445" t="s">
        <v>40</v>
      </c>
      <c r="K445" t="s">
        <v>41</v>
      </c>
      <c r="L445" t="s">
        <v>57</v>
      </c>
      <c r="M445" t="s">
        <v>1431</v>
      </c>
      <c r="N445" t="s">
        <v>50</v>
      </c>
      <c r="O445">
        <v>1</v>
      </c>
      <c r="P445">
        <v>3683.75</v>
      </c>
      <c r="Q445" s="11">
        <v>0.1</v>
      </c>
      <c r="R445">
        <v>3315.38</v>
      </c>
      <c r="S445">
        <v>2347.6799999999998</v>
      </c>
      <c r="T445">
        <v>967.7</v>
      </c>
      <c r="U445" t="s">
        <v>32</v>
      </c>
      <c r="V445" t="s">
        <v>33</v>
      </c>
      <c r="X445" s="8" t="str">
        <f>IF(C445&gt;=B445,"Valid", "Invalid-Date")</f>
        <v>Valid</v>
      </c>
      <c r="Y445" s="8" t="str">
        <f t="shared" si="55"/>
        <v>Valid</v>
      </c>
      <c r="Z445" s="8" t="str">
        <f t="shared" si="56"/>
        <v>Pass</v>
      </c>
      <c r="AA445" s="8" t="str">
        <f t="shared" si="57"/>
        <v>Pass</v>
      </c>
      <c r="AB445" s="8" t="str">
        <f>TEXT(B445,"mmmm")</f>
        <v>April</v>
      </c>
      <c r="AC445" s="8" t="str">
        <f>TEXT(B445,"yyyy")</f>
        <v>2024</v>
      </c>
      <c r="AE445">
        <f t="shared" si="58"/>
        <v>3683.75</v>
      </c>
      <c r="AF445" s="11">
        <f t="shared" si="59"/>
        <v>3315.375</v>
      </c>
      <c r="AG445">
        <f t="shared" si="60"/>
        <v>1336.0700000000002</v>
      </c>
      <c r="AH445" s="11">
        <f t="shared" si="61"/>
        <v>0.36269290804207671</v>
      </c>
      <c r="AI445" s="44">
        <f t="shared" si="62"/>
        <v>0.36269290804207671</v>
      </c>
    </row>
    <row r="446" spans="1:35">
      <c r="A446" t="s">
        <v>1432</v>
      </c>
      <c r="B446" s="5">
        <v>45881</v>
      </c>
      <c r="C446" s="5">
        <v>45885</v>
      </c>
      <c r="D446" s="13">
        <f t="shared" si="54"/>
        <v>4</v>
      </c>
      <c r="E446" t="s">
        <v>1433</v>
      </c>
      <c r="F446" t="s">
        <v>62</v>
      </c>
      <c r="G446" t="s">
        <v>24</v>
      </c>
      <c r="H446" t="s">
        <v>38</v>
      </c>
      <c r="I446" t="s">
        <v>166</v>
      </c>
      <c r="J446" t="s">
        <v>167</v>
      </c>
      <c r="K446" t="s">
        <v>74</v>
      </c>
      <c r="L446" t="s">
        <v>75</v>
      </c>
      <c r="M446" t="s">
        <v>1434</v>
      </c>
      <c r="N446" t="s">
        <v>44</v>
      </c>
      <c r="O446">
        <v>9</v>
      </c>
      <c r="P446">
        <v>2379.2399999999998</v>
      </c>
      <c r="Q446" s="11">
        <v>0.05</v>
      </c>
      <c r="R446">
        <v>20342.5</v>
      </c>
      <c r="S446">
        <v>12407.51</v>
      </c>
      <c r="T446">
        <v>7934.99</v>
      </c>
      <c r="U446" t="s">
        <v>32</v>
      </c>
      <c r="V446" t="s">
        <v>33</v>
      </c>
      <c r="X446" s="8" t="str">
        <f>IF(C446&gt;=B446,"Valid", "Invalid-Date")</f>
        <v>Valid</v>
      </c>
      <c r="Y446" s="8" t="str">
        <f t="shared" si="55"/>
        <v>Valid</v>
      </c>
      <c r="Z446" s="8" t="str">
        <f t="shared" si="56"/>
        <v>Pass</v>
      </c>
      <c r="AA446" s="8" t="str">
        <f t="shared" si="57"/>
        <v>Pass</v>
      </c>
      <c r="AB446" s="8" t="str">
        <f>TEXT(B446,"mmmm")</f>
        <v>August</v>
      </c>
      <c r="AC446" s="8" t="str">
        <f>TEXT(B446,"yyyy")</f>
        <v>2025</v>
      </c>
      <c r="AE446">
        <f t="shared" si="58"/>
        <v>21413.159999999996</v>
      </c>
      <c r="AF446" s="11">
        <f t="shared" si="59"/>
        <v>20342.501999999997</v>
      </c>
      <c r="AG446">
        <f t="shared" si="60"/>
        <v>9005.649999999996</v>
      </c>
      <c r="AH446" s="11">
        <f t="shared" si="61"/>
        <v>0.42056613783299607</v>
      </c>
      <c r="AI446" s="44">
        <f t="shared" si="62"/>
        <v>0.42056613783299607</v>
      </c>
    </row>
    <row r="447" spans="1:35">
      <c r="A447" t="s">
        <v>1435</v>
      </c>
      <c r="B447" s="5">
        <v>45540</v>
      </c>
      <c r="C447" s="5">
        <v>45417</v>
      </c>
      <c r="D447" s="13">
        <f t="shared" si="54"/>
        <v>-123</v>
      </c>
      <c r="E447" t="s">
        <v>1436</v>
      </c>
      <c r="F447" t="s">
        <v>53</v>
      </c>
      <c r="G447" t="s">
        <v>24</v>
      </c>
      <c r="H447" t="s">
        <v>38</v>
      </c>
      <c r="I447" t="s">
        <v>166</v>
      </c>
      <c r="J447" t="s">
        <v>167</v>
      </c>
      <c r="K447" t="s">
        <v>41</v>
      </c>
      <c r="L447" t="s">
        <v>158</v>
      </c>
      <c r="M447" t="s">
        <v>1437</v>
      </c>
      <c r="N447" t="s">
        <v>44</v>
      </c>
      <c r="O447">
        <v>2</v>
      </c>
      <c r="P447">
        <v>2111.23</v>
      </c>
      <c r="Q447" s="11">
        <v>0.2</v>
      </c>
      <c r="R447">
        <v>3377.97</v>
      </c>
      <c r="S447">
        <v>2496.29</v>
      </c>
      <c r="T447">
        <v>881.68</v>
      </c>
      <c r="U447" t="s">
        <v>32</v>
      </c>
      <c r="V447" t="s">
        <v>33</v>
      </c>
      <c r="X447" s="8" t="str">
        <f>IF(C447&gt;=B447,"Valid", "Invalid-Date")</f>
        <v>Invalid-Date</v>
      </c>
      <c r="Y447" s="8" t="str">
        <f t="shared" si="55"/>
        <v>Valid</v>
      </c>
      <c r="Z447" s="8" t="str">
        <f t="shared" si="56"/>
        <v>Pass</v>
      </c>
      <c r="AA447" s="8" t="str">
        <f t="shared" si="57"/>
        <v>Pass</v>
      </c>
      <c r="AB447" s="8" t="str">
        <f>TEXT(B447,"mmmm")</f>
        <v>September</v>
      </c>
      <c r="AC447" s="8" t="str">
        <f>TEXT(B447,"yyyy")</f>
        <v>2024</v>
      </c>
      <c r="AE447">
        <f t="shared" si="58"/>
        <v>4222.46</v>
      </c>
      <c r="AF447" s="11">
        <f t="shared" si="59"/>
        <v>3377.9680000000003</v>
      </c>
      <c r="AG447">
        <f t="shared" si="60"/>
        <v>1726.17</v>
      </c>
      <c r="AH447" s="11">
        <f t="shared" si="61"/>
        <v>0.40880671456923218</v>
      </c>
      <c r="AI447" s="44">
        <f t="shared" si="62"/>
        <v>0.40880671456923218</v>
      </c>
    </row>
    <row r="448" spans="1:35">
      <c r="A448" t="s">
        <v>1438</v>
      </c>
      <c r="B448" s="5">
        <v>45918</v>
      </c>
      <c r="C448" s="5">
        <v>45919</v>
      </c>
      <c r="D448" s="13">
        <f t="shared" si="54"/>
        <v>1</v>
      </c>
      <c r="E448" t="s">
        <v>1439</v>
      </c>
      <c r="F448" t="s">
        <v>132</v>
      </c>
      <c r="G448" t="s">
        <v>95</v>
      </c>
      <c r="H448" t="s">
        <v>54</v>
      </c>
      <c r="I448" t="s">
        <v>84</v>
      </c>
      <c r="J448" t="s">
        <v>85</v>
      </c>
      <c r="K448" t="s">
        <v>28</v>
      </c>
      <c r="L448" t="s">
        <v>124</v>
      </c>
      <c r="M448" t="s">
        <v>1440</v>
      </c>
      <c r="N448" t="s">
        <v>44</v>
      </c>
      <c r="O448">
        <v>8</v>
      </c>
      <c r="P448">
        <v>4242.51</v>
      </c>
      <c r="Q448" s="11">
        <v>0</v>
      </c>
      <c r="R448">
        <v>33940.080000000002</v>
      </c>
      <c r="S448">
        <v>23754.19</v>
      </c>
      <c r="T448">
        <v>10185.89</v>
      </c>
      <c r="U448" t="s">
        <v>32</v>
      </c>
      <c r="V448" t="s">
        <v>33</v>
      </c>
      <c r="X448" s="8" t="str">
        <f>IF(C448&gt;=B448,"Valid", "Invalid-Date")</f>
        <v>Valid</v>
      </c>
      <c r="Y448" s="8" t="str">
        <f t="shared" si="55"/>
        <v>Valid</v>
      </c>
      <c r="Z448" s="8" t="str">
        <f t="shared" si="56"/>
        <v>Pass</v>
      </c>
      <c r="AA448" s="8" t="str">
        <f t="shared" si="57"/>
        <v>Pass</v>
      </c>
      <c r="AB448" s="8" t="str">
        <f>TEXT(B448,"mmmm")</f>
        <v>September</v>
      </c>
      <c r="AC448" s="8" t="str">
        <f>TEXT(B448,"yyyy")</f>
        <v>2025</v>
      </c>
      <c r="AE448">
        <f t="shared" si="58"/>
        <v>33940.080000000002</v>
      </c>
      <c r="AF448" s="11">
        <f t="shared" si="59"/>
        <v>33940.080000000002</v>
      </c>
      <c r="AG448">
        <f t="shared" si="60"/>
        <v>10185.890000000003</v>
      </c>
      <c r="AH448" s="11">
        <f t="shared" si="61"/>
        <v>0.30011390662603044</v>
      </c>
      <c r="AI448" s="44">
        <f t="shared" si="62"/>
        <v>0.30011390662603044</v>
      </c>
    </row>
    <row r="449" spans="1:35">
      <c r="A449" t="s">
        <v>1441</v>
      </c>
      <c r="B449" s="5">
        <v>45879</v>
      </c>
      <c r="C449" s="5">
        <v>45938</v>
      </c>
      <c r="D449" s="13">
        <f t="shared" si="54"/>
        <v>59</v>
      </c>
      <c r="E449" t="s">
        <v>1442</v>
      </c>
      <c r="F449" t="s">
        <v>141</v>
      </c>
      <c r="G449" t="s">
        <v>95</v>
      </c>
      <c r="H449" t="s">
        <v>54</v>
      </c>
      <c r="I449" t="s">
        <v>55</v>
      </c>
      <c r="J449" t="s">
        <v>56</v>
      </c>
      <c r="K449" t="s">
        <v>41</v>
      </c>
      <c r="L449" t="s">
        <v>158</v>
      </c>
      <c r="M449" t="s">
        <v>1443</v>
      </c>
      <c r="N449" t="s">
        <v>59</v>
      </c>
      <c r="O449">
        <v>6</v>
      </c>
      <c r="P449">
        <v>4288.7</v>
      </c>
      <c r="Q449" s="11">
        <v>0.15</v>
      </c>
      <c r="R449">
        <v>21872.37</v>
      </c>
      <c r="S449">
        <v>13829.5</v>
      </c>
      <c r="T449">
        <v>8042.87</v>
      </c>
      <c r="U449" t="s">
        <v>111</v>
      </c>
      <c r="V449" t="s">
        <v>103</v>
      </c>
      <c r="X449" s="8" t="str">
        <f>IF(C449&gt;=B449,"Valid", "Invalid-Date")</f>
        <v>Valid</v>
      </c>
      <c r="Y449" s="8" t="str">
        <f t="shared" si="55"/>
        <v>Valid</v>
      </c>
      <c r="Z449" s="8" t="str">
        <f t="shared" si="56"/>
        <v>Pass</v>
      </c>
      <c r="AA449" s="8" t="str">
        <f t="shared" si="57"/>
        <v>Pass</v>
      </c>
      <c r="AB449" s="8" t="str">
        <f>TEXT(B449,"mmmm")</f>
        <v>August</v>
      </c>
      <c r="AC449" s="8" t="str">
        <f>TEXT(B449,"yyyy")</f>
        <v>2025</v>
      </c>
      <c r="AE449">
        <f t="shared" si="58"/>
        <v>25732.199999999997</v>
      </c>
      <c r="AF449" s="11">
        <f t="shared" si="59"/>
        <v>21872.369999999995</v>
      </c>
      <c r="AG449">
        <f t="shared" si="60"/>
        <v>11902.699999999997</v>
      </c>
      <c r="AH449" s="11">
        <f t="shared" si="61"/>
        <v>0.462560527277108</v>
      </c>
      <c r="AI449" s="44">
        <f t="shared" si="62"/>
        <v>0.462560527277108</v>
      </c>
    </row>
    <row r="450" spans="1:35">
      <c r="A450" t="s">
        <v>1444</v>
      </c>
      <c r="B450" s="5">
        <v>45306</v>
      </c>
      <c r="C450" s="5">
        <v>45309</v>
      </c>
      <c r="D450" s="13">
        <f t="shared" si="54"/>
        <v>3</v>
      </c>
      <c r="E450" t="s">
        <v>1445</v>
      </c>
      <c r="F450" t="s">
        <v>36</v>
      </c>
      <c r="G450" t="s">
        <v>37</v>
      </c>
      <c r="H450" t="s">
        <v>54</v>
      </c>
      <c r="I450" t="s">
        <v>84</v>
      </c>
      <c r="J450" t="s">
        <v>85</v>
      </c>
      <c r="K450" t="s">
        <v>41</v>
      </c>
      <c r="L450" t="s">
        <v>66</v>
      </c>
      <c r="M450" t="s">
        <v>1446</v>
      </c>
      <c r="N450" t="s">
        <v>50</v>
      </c>
      <c r="O450">
        <v>2</v>
      </c>
      <c r="P450">
        <v>201.21</v>
      </c>
      <c r="Q450" s="11">
        <v>0.15</v>
      </c>
      <c r="R450">
        <v>342.06</v>
      </c>
      <c r="S450">
        <v>244.57</v>
      </c>
      <c r="T450">
        <v>97.49</v>
      </c>
      <c r="U450" t="s">
        <v>32</v>
      </c>
      <c r="V450" t="s">
        <v>33</v>
      </c>
      <c r="X450" s="8" t="str">
        <f>IF(C450&gt;=B450,"Valid", "Invalid-Date")</f>
        <v>Valid</v>
      </c>
      <c r="Y450" s="8" t="str">
        <f t="shared" si="55"/>
        <v>Valid</v>
      </c>
      <c r="Z450" s="8" t="str">
        <f t="shared" si="56"/>
        <v>Pass</v>
      </c>
      <c r="AA450" s="8" t="str">
        <f t="shared" si="57"/>
        <v>Pass</v>
      </c>
      <c r="AB450" s="8" t="str">
        <f>TEXT(B450,"mmmm")</f>
        <v>January</v>
      </c>
      <c r="AC450" s="8" t="str">
        <f>TEXT(B450,"yyyy")</f>
        <v>2024</v>
      </c>
      <c r="AE450">
        <f t="shared" si="58"/>
        <v>402.42</v>
      </c>
      <c r="AF450" s="11">
        <f t="shared" si="59"/>
        <v>342.05700000000002</v>
      </c>
      <c r="AG450">
        <f t="shared" si="60"/>
        <v>157.85000000000002</v>
      </c>
      <c r="AH450" s="11">
        <f t="shared" si="61"/>
        <v>0.3922518761492968</v>
      </c>
      <c r="AI450" s="44">
        <f t="shared" si="62"/>
        <v>0.3922518761492968</v>
      </c>
    </row>
    <row r="451" spans="1:35">
      <c r="A451" t="s">
        <v>1447</v>
      </c>
      <c r="B451" s="5">
        <v>45449</v>
      </c>
      <c r="C451" s="5">
        <v>45456</v>
      </c>
      <c r="D451" s="13">
        <f t="shared" ref="D451:D514" si="63">C451-B451</f>
        <v>7</v>
      </c>
      <c r="E451" t="s">
        <v>1341</v>
      </c>
      <c r="F451" t="s">
        <v>89</v>
      </c>
      <c r="G451" t="s">
        <v>90</v>
      </c>
      <c r="H451" t="s">
        <v>38</v>
      </c>
      <c r="I451" t="s">
        <v>166</v>
      </c>
      <c r="J451" t="s">
        <v>167</v>
      </c>
      <c r="K451" t="s">
        <v>74</v>
      </c>
      <c r="L451" t="s">
        <v>274</v>
      </c>
      <c r="M451" t="s">
        <v>1448</v>
      </c>
      <c r="N451" t="s">
        <v>31</v>
      </c>
      <c r="O451">
        <v>6</v>
      </c>
      <c r="P451">
        <v>3270.36</v>
      </c>
      <c r="Q451" s="11">
        <v>0</v>
      </c>
      <c r="R451">
        <v>19622.16</v>
      </c>
      <c r="S451">
        <v>14271.27</v>
      </c>
      <c r="T451">
        <v>5350.89</v>
      </c>
      <c r="U451" t="s">
        <v>32</v>
      </c>
      <c r="V451" t="s">
        <v>33</v>
      </c>
      <c r="X451" s="8" t="str">
        <f>IF(C451&gt;=B451,"Valid", "Invalid-Date")</f>
        <v>Valid</v>
      </c>
      <c r="Y451" s="8" t="str">
        <f t="shared" ref="Y451:Y514" si="64">IF(OR(Q451&lt;0, Q451&gt;0.5), "Invalid-Discount", "Valid")</f>
        <v>Valid</v>
      </c>
      <c r="Z451" s="8" t="str">
        <f t="shared" ref="Z451:Z514" si="65">IF(N451="Unknown","Flagged","Pass")</f>
        <v>Pass</v>
      </c>
      <c r="AA451" s="8" t="str">
        <f t="shared" ref="AA451:AA514" si="66">IF(H451="Unknown","Flagged","Pass")</f>
        <v>Pass</v>
      </c>
      <c r="AB451" s="8" t="str">
        <f>TEXT(B451,"mmmm")</f>
        <v>June</v>
      </c>
      <c r="AC451" s="8" t="str">
        <f>TEXT(B451,"yyyy")</f>
        <v>2024</v>
      </c>
      <c r="AE451">
        <f t="shared" ref="AE451:AE514" si="67">O451*P451</f>
        <v>19622.16</v>
      </c>
      <c r="AF451" s="11">
        <f t="shared" ref="AF451:AF514" si="68">AE451*(1-Q451)</f>
        <v>19622.16</v>
      </c>
      <c r="AG451">
        <f t="shared" ref="AG451:AG514" si="69">AE451-S451</f>
        <v>5350.8899999999994</v>
      </c>
      <c r="AH451" s="11">
        <f t="shared" ref="AH451:AH514" si="70">AG451/AE451</f>
        <v>0.27269627808559299</v>
      </c>
      <c r="AI451" s="44">
        <f t="shared" ref="AI451:AI514" si="71">AG451/AE451</f>
        <v>0.27269627808559299</v>
      </c>
    </row>
    <row r="452" spans="1:35">
      <c r="A452" t="s">
        <v>1449</v>
      </c>
      <c r="B452" s="5">
        <v>45997</v>
      </c>
      <c r="C452" s="5">
        <v>45827</v>
      </c>
      <c r="D452" s="13">
        <f t="shared" si="63"/>
        <v>-170</v>
      </c>
      <c r="E452" t="s">
        <v>1450</v>
      </c>
      <c r="F452" t="s">
        <v>62</v>
      </c>
      <c r="G452" t="s">
        <v>90</v>
      </c>
      <c r="H452" t="s">
        <v>25</v>
      </c>
      <c r="I452" t="s">
        <v>350</v>
      </c>
      <c r="J452" t="s">
        <v>351</v>
      </c>
      <c r="K452" t="s">
        <v>41</v>
      </c>
      <c r="L452" t="s">
        <v>66</v>
      </c>
      <c r="M452" t="s">
        <v>1451</v>
      </c>
      <c r="N452" t="s">
        <v>59</v>
      </c>
      <c r="O452">
        <v>9</v>
      </c>
      <c r="P452">
        <v>2278.5700000000002</v>
      </c>
      <c r="Q452" s="11">
        <v>0.25</v>
      </c>
      <c r="R452">
        <v>15380.35</v>
      </c>
      <c r="S452">
        <v>9907.3700000000008</v>
      </c>
      <c r="T452">
        <v>5472.98</v>
      </c>
      <c r="U452" t="s">
        <v>32</v>
      </c>
      <c r="V452" t="s">
        <v>33</v>
      </c>
      <c r="X452" s="8" t="str">
        <f>IF(C452&gt;=B452,"Valid", "Invalid-Date")</f>
        <v>Invalid-Date</v>
      </c>
      <c r="Y452" s="8" t="str">
        <f t="shared" si="64"/>
        <v>Valid</v>
      </c>
      <c r="Z452" s="8" t="str">
        <f t="shared" si="65"/>
        <v>Pass</v>
      </c>
      <c r="AA452" s="8" t="str">
        <f t="shared" si="66"/>
        <v>Pass</v>
      </c>
      <c r="AB452" s="8" t="str">
        <f>TEXT(B452,"mmmm")</f>
        <v>December</v>
      </c>
      <c r="AC452" s="8" t="str">
        <f>TEXT(B452,"yyyy")</f>
        <v>2025</v>
      </c>
      <c r="AE452">
        <f t="shared" si="67"/>
        <v>20507.13</v>
      </c>
      <c r="AF452" s="11">
        <f t="shared" si="68"/>
        <v>15380.3475</v>
      </c>
      <c r="AG452">
        <f t="shared" si="69"/>
        <v>10599.76</v>
      </c>
      <c r="AH452" s="11">
        <f t="shared" si="70"/>
        <v>0.51688168944167223</v>
      </c>
      <c r="AI452" s="44">
        <f t="shared" si="71"/>
        <v>0.51688168944167223</v>
      </c>
    </row>
    <row r="453" spans="1:35">
      <c r="A453" t="s">
        <v>1452</v>
      </c>
      <c r="B453" s="5">
        <v>45375</v>
      </c>
      <c r="C453" s="5">
        <v>45377</v>
      </c>
      <c r="D453" s="13">
        <f t="shared" si="63"/>
        <v>2</v>
      </c>
      <c r="E453" t="s">
        <v>1453</v>
      </c>
      <c r="F453" t="s">
        <v>141</v>
      </c>
      <c r="G453" t="s">
        <v>37</v>
      </c>
      <c r="H453" t="s">
        <v>25</v>
      </c>
      <c r="I453" t="s">
        <v>236</v>
      </c>
      <c r="J453" t="s">
        <v>237</v>
      </c>
      <c r="K453" t="s">
        <v>28</v>
      </c>
      <c r="L453" t="s">
        <v>29</v>
      </c>
      <c r="M453" t="s">
        <v>1454</v>
      </c>
      <c r="N453" t="s">
        <v>31</v>
      </c>
      <c r="O453">
        <v>8</v>
      </c>
      <c r="P453">
        <v>1917.64</v>
      </c>
      <c r="Q453" s="11">
        <v>0.15</v>
      </c>
      <c r="R453">
        <v>13039.95</v>
      </c>
      <c r="S453">
        <v>11127.82</v>
      </c>
      <c r="T453">
        <v>1912.13</v>
      </c>
      <c r="U453" t="s">
        <v>32</v>
      </c>
      <c r="V453" t="s">
        <v>68</v>
      </c>
      <c r="X453" s="8" t="str">
        <f>IF(C453&gt;=B453,"Valid", "Invalid-Date")</f>
        <v>Valid</v>
      </c>
      <c r="Y453" s="8" t="str">
        <f t="shared" si="64"/>
        <v>Valid</v>
      </c>
      <c r="Z453" s="8" t="str">
        <f t="shared" si="65"/>
        <v>Pass</v>
      </c>
      <c r="AA453" s="8" t="str">
        <f t="shared" si="66"/>
        <v>Pass</v>
      </c>
      <c r="AB453" s="8" t="str">
        <f>TEXT(B453,"mmmm")</f>
        <v>March</v>
      </c>
      <c r="AC453" s="8" t="str">
        <f>TEXT(B453,"yyyy")</f>
        <v>2024</v>
      </c>
      <c r="AE453">
        <f t="shared" si="67"/>
        <v>15341.12</v>
      </c>
      <c r="AF453" s="11">
        <f t="shared" si="68"/>
        <v>13039.952000000001</v>
      </c>
      <c r="AG453">
        <f t="shared" si="69"/>
        <v>4213.3000000000011</v>
      </c>
      <c r="AH453" s="11">
        <f t="shared" si="70"/>
        <v>0.27464096493606732</v>
      </c>
      <c r="AI453" s="44">
        <f t="shared" si="71"/>
        <v>0.27464096493606732</v>
      </c>
    </row>
    <row r="454" spans="1:35">
      <c r="A454" t="s">
        <v>1455</v>
      </c>
      <c r="B454" s="5">
        <v>45422</v>
      </c>
      <c r="C454" s="5">
        <v>45428</v>
      </c>
      <c r="D454" s="13">
        <f t="shared" si="63"/>
        <v>6</v>
      </c>
      <c r="E454" t="s">
        <v>1456</v>
      </c>
      <c r="F454" t="s">
        <v>162</v>
      </c>
      <c r="G454" t="s">
        <v>95</v>
      </c>
      <c r="H454" t="s">
        <v>38</v>
      </c>
      <c r="I454" t="s">
        <v>228</v>
      </c>
      <c r="J454" t="s">
        <v>229</v>
      </c>
      <c r="K454" t="s">
        <v>74</v>
      </c>
      <c r="L454" t="s">
        <v>75</v>
      </c>
      <c r="M454" t="s">
        <v>1457</v>
      </c>
      <c r="N454" t="s">
        <v>31</v>
      </c>
      <c r="O454">
        <v>6</v>
      </c>
      <c r="P454">
        <v>2013.33</v>
      </c>
      <c r="Q454" s="11">
        <v>0.2</v>
      </c>
      <c r="R454">
        <v>9663.98</v>
      </c>
      <c r="S454">
        <v>5628.93</v>
      </c>
      <c r="T454">
        <v>4035.05</v>
      </c>
      <c r="U454" t="s">
        <v>32</v>
      </c>
      <c r="V454" t="s">
        <v>33</v>
      </c>
      <c r="X454" s="8" t="str">
        <f>IF(C454&gt;=B454,"Valid", "Invalid-Date")</f>
        <v>Valid</v>
      </c>
      <c r="Y454" s="8" t="str">
        <f t="shared" si="64"/>
        <v>Valid</v>
      </c>
      <c r="Z454" s="8" t="str">
        <f t="shared" si="65"/>
        <v>Pass</v>
      </c>
      <c r="AA454" s="8" t="str">
        <f t="shared" si="66"/>
        <v>Pass</v>
      </c>
      <c r="AB454" s="8" t="str">
        <f>TEXT(B454,"mmmm")</f>
        <v>May</v>
      </c>
      <c r="AC454" s="8" t="str">
        <f>TEXT(B454,"yyyy")</f>
        <v>2024</v>
      </c>
      <c r="AE454">
        <f t="shared" si="67"/>
        <v>12079.98</v>
      </c>
      <c r="AF454" s="11">
        <f t="shared" si="68"/>
        <v>9663.9840000000004</v>
      </c>
      <c r="AG454">
        <f t="shared" si="69"/>
        <v>6451.0499999999993</v>
      </c>
      <c r="AH454" s="11">
        <f t="shared" si="70"/>
        <v>0.53402820203344703</v>
      </c>
      <c r="AI454" s="44">
        <f t="shared" si="71"/>
        <v>0.53402820203344703</v>
      </c>
    </row>
    <row r="455" spans="1:35">
      <c r="A455" t="s">
        <v>1458</v>
      </c>
      <c r="B455" s="5">
        <v>45721</v>
      </c>
      <c r="C455" s="5">
        <v>45966</v>
      </c>
      <c r="D455" s="13">
        <f t="shared" si="63"/>
        <v>245</v>
      </c>
      <c r="E455" t="s">
        <v>1459</v>
      </c>
      <c r="F455" t="s">
        <v>141</v>
      </c>
      <c r="G455" t="s">
        <v>37</v>
      </c>
      <c r="H455" t="s">
        <v>63</v>
      </c>
      <c r="I455" t="s">
        <v>72</v>
      </c>
      <c r="J455" t="s">
        <v>73</v>
      </c>
      <c r="K455" t="s">
        <v>28</v>
      </c>
      <c r="L455" t="s">
        <v>91</v>
      </c>
      <c r="M455" t="s">
        <v>1460</v>
      </c>
      <c r="N455" t="s">
        <v>44</v>
      </c>
      <c r="O455">
        <v>5</v>
      </c>
      <c r="P455">
        <v>1483.52</v>
      </c>
      <c r="Q455" s="11">
        <v>0</v>
      </c>
      <c r="R455">
        <v>7417.6</v>
      </c>
      <c r="S455">
        <v>4955.8599999999997</v>
      </c>
      <c r="T455">
        <v>2461.7399999999998</v>
      </c>
      <c r="U455" t="s">
        <v>32</v>
      </c>
      <c r="V455" t="s">
        <v>33</v>
      </c>
      <c r="X455" s="8" t="str">
        <f>IF(C455&gt;=B455,"Valid", "Invalid-Date")</f>
        <v>Valid</v>
      </c>
      <c r="Y455" s="8" t="str">
        <f t="shared" si="64"/>
        <v>Valid</v>
      </c>
      <c r="Z455" s="8" t="str">
        <f t="shared" si="65"/>
        <v>Pass</v>
      </c>
      <c r="AA455" s="8" t="str">
        <f t="shared" si="66"/>
        <v>Pass</v>
      </c>
      <c r="AB455" s="8" t="str">
        <f>TEXT(B455,"mmmm")</f>
        <v>March</v>
      </c>
      <c r="AC455" s="8" t="str">
        <f>TEXT(B455,"yyyy")</f>
        <v>2025</v>
      </c>
      <c r="AE455">
        <f t="shared" si="67"/>
        <v>7417.6</v>
      </c>
      <c r="AF455" s="11">
        <f t="shared" si="68"/>
        <v>7417.6</v>
      </c>
      <c r="AG455">
        <f t="shared" si="69"/>
        <v>2461.7400000000007</v>
      </c>
      <c r="AH455" s="11">
        <f t="shared" si="70"/>
        <v>0.3318782355478862</v>
      </c>
      <c r="AI455" s="44">
        <f t="shared" si="71"/>
        <v>0.3318782355478862</v>
      </c>
    </row>
    <row r="456" spans="1:35">
      <c r="A456" t="s">
        <v>1461</v>
      </c>
      <c r="B456" s="5">
        <v>45739</v>
      </c>
      <c r="C456" s="5">
        <v>45744</v>
      </c>
      <c r="D456" s="13">
        <f t="shared" si="63"/>
        <v>5</v>
      </c>
      <c r="E456" t="s">
        <v>1462</v>
      </c>
      <c r="F456" t="s">
        <v>71</v>
      </c>
      <c r="G456" t="s">
        <v>37</v>
      </c>
      <c r="H456" t="s">
        <v>25</v>
      </c>
      <c r="I456" t="s">
        <v>26</v>
      </c>
      <c r="J456" t="s">
        <v>27</v>
      </c>
      <c r="K456" t="s">
        <v>41</v>
      </c>
      <c r="L456" t="s">
        <v>57</v>
      </c>
      <c r="M456" t="s">
        <v>1463</v>
      </c>
      <c r="N456" t="s">
        <v>59</v>
      </c>
      <c r="O456">
        <v>9</v>
      </c>
      <c r="P456">
        <v>3298</v>
      </c>
      <c r="Q456" s="11">
        <v>0.15</v>
      </c>
      <c r="R456">
        <v>25229.7</v>
      </c>
      <c r="S456">
        <v>20170.43</v>
      </c>
      <c r="T456">
        <v>5059.2700000000004</v>
      </c>
      <c r="U456" t="s">
        <v>32</v>
      </c>
      <c r="V456" t="s">
        <v>33</v>
      </c>
      <c r="X456" s="8" t="str">
        <f>IF(C456&gt;=B456,"Valid", "Invalid-Date")</f>
        <v>Valid</v>
      </c>
      <c r="Y456" s="8" t="str">
        <f t="shared" si="64"/>
        <v>Valid</v>
      </c>
      <c r="Z456" s="8" t="str">
        <f t="shared" si="65"/>
        <v>Pass</v>
      </c>
      <c r="AA456" s="8" t="str">
        <f t="shared" si="66"/>
        <v>Pass</v>
      </c>
      <c r="AB456" s="8" t="str">
        <f>TEXT(B456,"mmmm")</f>
        <v>March</v>
      </c>
      <c r="AC456" s="8" t="str">
        <f>TEXT(B456,"yyyy")</f>
        <v>2025</v>
      </c>
      <c r="AE456">
        <f t="shared" si="67"/>
        <v>29682</v>
      </c>
      <c r="AF456" s="11">
        <f t="shared" si="68"/>
        <v>25229.7</v>
      </c>
      <c r="AG456">
        <f t="shared" si="69"/>
        <v>9511.57</v>
      </c>
      <c r="AH456" s="11">
        <f t="shared" si="70"/>
        <v>0.32044909372683783</v>
      </c>
      <c r="AI456" s="44">
        <f t="shared" si="71"/>
        <v>0.32044909372683783</v>
      </c>
    </row>
    <row r="457" spans="1:35">
      <c r="A457" t="s">
        <v>1464</v>
      </c>
      <c r="B457" s="5">
        <v>45491</v>
      </c>
      <c r="C457" s="5">
        <v>45495</v>
      </c>
      <c r="D457" s="13">
        <f t="shared" si="63"/>
        <v>4</v>
      </c>
      <c r="E457" t="s">
        <v>1465</v>
      </c>
      <c r="F457" t="s">
        <v>79</v>
      </c>
      <c r="G457" t="s">
        <v>37</v>
      </c>
      <c r="H457" t="s">
        <v>54</v>
      </c>
      <c r="I457" t="s">
        <v>55</v>
      </c>
      <c r="J457" t="s">
        <v>56</v>
      </c>
      <c r="K457" t="s">
        <v>28</v>
      </c>
      <c r="L457" t="s">
        <v>48</v>
      </c>
      <c r="M457" t="s">
        <v>1466</v>
      </c>
      <c r="N457" t="s">
        <v>59</v>
      </c>
      <c r="O457">
        <v>4</v>
      </c>
      <c r="P457">
        <v>808.77</v>
      </c>
      <c r="Q457" s="11">
        <v>0</v>
      </c>
      <c r="R457">
        <v>3235.08</v>
      </c>
      <c r="S457">
        <v>1848.6</v>
      </c>
      <c r="T457">
        <v>1386.48</v>
      </c>
      <c r="U457" t="s">
        <v>32</v>
      </c>
      <c r="V457" t="s">
        <v>33</v>
      </c>
      <c r="X457" s="8" t="str">
        <f>IF(C457&gt;=B457,"Valid", "Invalid-Date")</f>
        <v>Valid</v>
      </c>
      <c r="Y457" s="8" t="str">
        <f t="shared" si="64"/>
        <v>Valid</v>
      </c>
      <c r="Z457" s="8" t="str">
        <f t="shared" si="65"/>
        <v>Pass</v>
      </c>
      <c r="AA457" s="8" t="str">
        <f t="shared" si="66"/>
        <v>Pass</v>
      </c>
      <c r="AB457" s="8" t="str">
        <f>TEXT(B457,"mmmm")</f>
        <v>July</v>
      </c>
      <c r="AC457" s="8" t="str">
        <f>TEXT(B457,"yyyy")</f>
        <v>2024</v>
      </c>
      <c r="AE457">
        <f t="shared" si="67"/>
        <v>3235.08</v>
      </c>
      <c r="AF457" s="11">
        <f t="shared" si="68"/>
        <v>3235.08</v>
      </c>
      <c r="AG457">
        <f t="shared" si="69"/>
        <v>1386.48</v>
      </c>
      <c r="AH457" s="11">
        <f t="shared" si="70"/>
        <v>0.42857672762342819</v>
      </c>
      <c r="AI457" s="44">
        <f t="shared" si="71"/>
        <v>0.42857672762342819</v>
      </c>
    </row>
    <row r="458" spans="1:35">
      <c r="A458" t="s">
        <v>1467</v>
      </c>
      <c r="B458" s="5">
        <v>45342</v>
      </c>
      <c r="C458" s="5">
        <v>45342</v>
      </c>
      <c r="D458" s="13">
        <f t="shared" si="63"/>
        <v>0</v>
      </c>
      <c r="E458" t="s">
        <v>1468</v>
      </c>
      <c r="F458" t="s">
        <v>79</v>
      </c>
      <c r="G458" t="s">
        <v>90</v>
      </c>
      <c r="H458" t="s">
        <v>25</v>
      </c>
      <c r="I458" t="s">
        <v>136</v>
      </c>
      <c r="J458" t="s">
        <v>137</v>
      </c>
      <c r="K458" t="s">
        <v>74</v>
      </c>
      <c r="L458" t="s">
        <v>75</v>
      </c>
      <c r="M458" t="s">
        <v>1469</v>
      </c>
      <c r="N458" t="s">
        <v>44</v>
      </c>
      <c r="O458">
        <v>5</v>
      </c>
      <c r="P458">
        <v>2604.91</v>
      </c>
      <c r="Q458" s="11">
        <v>0.15</v>
      </c>
      <c r="R458">
        <v>11070.87</v>
      </c>
      <c r="S458">
        <v>6623.61</v>
      </c>
      <c r="T458">
        <v>4447.26</v>
      </c>
      <c r="U458" t="s">
        <v>32</v>
      </c>
      <c r="V458" t="s">
        <v>103</v>
      </c>
      <c r="X458" s="8" t="str">
        <f>IF(C458&gt;=B458,"Valid", "Invalid-Date")</f>
        <v>Valid</v>
      </c>
      <c r="Y458" s="8" t="str">
        <f t="shared" si="64"/>
        <v>Valid</v>
      </c>
      <c r="Z458" s="8" t="str">
        <f t="shared" si="65"/>
        <v>Pass</v>
      </c>
      <c r="AA458" s="8" t="str">
        <f t="shared" si="66"/>
        <v>Pass</v>
      </c>
      <c r="AB458" s="8" t="str">
        <f>TEXT(B458,"mmmm")</f>
        <v>February</v>
      </c>
      <c r="AC458" s="8" t="str">
        <f>TEXT(B458,"yyyy")</f>
        <v>2024</v>
      </c>
      <c r="AE458">
        <f t="shared" si="67"/>
        <v>13024.55</v>
      </c>
      <c r="AF458" s="11">
        <f t="shared" si="68"/>
        <v>11070.867499999998</v>
      </c>
      <c r="AG458">
        <f t="shared" si="69"/>
        <v>6400.94</v>
      </c>
      <c r="AH458" s="11">
        <f t="shared" si="70"/>
        <v>0.49145191196624838</v>
      </c>
      <c r="AI458" s="44">
        <f t="shared" si="71"/>
        <v>0.49145191196624838</v>
      </c>
    </row>
    <row r="459" spans="1:35">
      <c r="A459" t="s">
        <v>1470</v>
      </c>
      <c r="B459" s="5">
        <v>45387</v>
      </c>
      <c r="C459" s="5">
        <v>45387</v>
      </c>
      <c r="D459" s="13">
        <f t="shared" si="63"/>
        <v>0</v>
      </c>
      <c r="E459" t="s">
        <v>1471</v>
      </c>
      <c r="F459" t="s">
        <v>36</v>
      </c>
      <c r="G459" t="s">
        <v>37</v>
      </c>
      <c r="H459" t="s">
        <v>63</v>
      </c>
      <c r="I459" t="s">
        <v>190</v>
      </c>
      <c r="J459" t="s">
        <v>191</v>
      </c>
      <c r="K459" t="s">
        <v>41</v>
      </c>
      <c r="L459" t="s">
        <v>42</v>
      </c>
      <c r="M459" t="s">
        <v>1472</v>
      </c>
      <c r="N459" t="s">
        <v>59</v>
      </c>
      <c r="O459">
        <v>7</v>
      </c>
      <c r="P459">
        <v>2851.51</v>
      </c>
      <c r="Q459" s="11">
        <v>0</v>
      </c>
      <c r="R459">
        <v>19960.57</v>
      </c>
      <c r="S459">
        <v>16603.599999999999</v>
      </c>
      <c r="T459">
        <v>3356.97</v>
      </c>
      <c r="U459" t="s">
        <v>32</v>
      </c>
      <c r="V459" t="s">
        <v>33</v>
      </c>
      <c r="X459" s="8" t="str">
        <f>IF(C459&gt;=B459,"Valid", "Invalid-Date")</f>
        <v>Valid</v>
      </c>
      <c r="Y459" s="8" t="str">
        <f t="shared" si="64"/>
        <v>Valid</v>
      </c>
      <c r="Z459" s="8" t="str">
        <f t="shared" si="65"/>
        <v>Pass</v>
      </c>
      <c r="AA459" s="8" t="str">
        <f t="shared" si="66"/>
        <v>Pass</v>
      </c>
      <c r="AB459" s="8" t="str">
        <f>TEXT(B459,"mmmm")</f>
        <v>April</v>
      </c>
      <c r="AC459" s="8" t="str">
        <f>TEXT(B459,"yyyy")</f>
        <v>2024</v>
      </c>
      <c r="AE459">
        <f t="shared" si="67"/>
        <v>19960.57</v>
      </c>
      <c r="AF459" s="11">
        <f t="shared" si="68"/>
        <v>19960.57</v>
      </c>
      <c r="AG459">
        <f t="shared" si="69"/>
        <v>3356.9700000000012</v>
      </c>
      <c r="AH459" s="11">
        <f t="shared" si="70"/>
        <v>0.1681800670020947</v>
      </c>
      <c r="AI459" s="44">
        <f t="shared" si="71"/>
        <v>0.1681800670020947</v>
      </c>
    </row>
    <row r="460" spans="1:35">
      <c r="A460" t="s">
        <v>1473</v>
      </c>
      <c r="B460" s="5">
        <v>45332</v>
      </c>
      <c r="C460" s="5">
        <v>45598</v>
      </c>
      <c r="D460" s="13">
        <f t="shared" si="63"/>
        <v>266</v>
      </c>
      <c r="E460" t="s">
        <v>1474</v>
      </c>
      <c r="F460" t="s">
        <v>23</v>
      </c>
      <c r="G460" t="s">
        <v>90</v>
      </c>
      <c r="H460" t="s">
        <v>25</v>
      </c>
      <c r="I460" t="s">
        <v>26</v>
      </c>
      <c r="J460" t="s">
        <v>27</v>
      </c>
      <c r="K460" t="s">
        <v>74</v>
      </c>
      <c r="L460" t="s">
        <v>171</v>
      </c>
      <c r="M460" t="s">
        <v>1475</v>
      </c>
      <c r="N460" t="s">
        <v>31</v>
      </c>
      <c r="O460">
        <v>3</v>
      </c>
      <c r="P460">
        <v>3183.72</v>
      </c>
      <c r="Q460" s="11">
        <v>0.1</v>
      </c>
      <c r="R460">
        <v>8596.0400000000009</v>
      </c>
      <c r="S460">
        <v>5378.16</v>
      </c>
      <c r="T460">
        <v>3217.88</v>
      </c>
      <c r="U460" t="s">
        <v>32</v>
      </c>
      <c r="V460" t="s">
        <v>33</v>
      </c>
      <c r="X460" s="8" t="str">
        <f>IF(C460&gt;=B460,"Valid", "Invalid-Date")</f>
        <v>Valid</v>
      </c>
      <c r="Y460" s="8" t="str">
        <f t="shared" si="64"/>
        <v>Valid</v>
      </c>
      <c r="Z460" s="8" t="str">
        <f t="shared" si="65"/>
        <v>Pass</v>
      </c>
      <c r="AA460" s="8" t="str">
        <f t="shared" si="66"/>
        <v>Pass</v>
      </c>
      <c r="AB460" s="8" t="str">
        <f>TEXT(B460,"mmmm")</f>
        <v>February</v>
      </c>
      <c r="AC460" s="8" t="str">
        <f>TEXT(B460,"yyyy")</f>
        <v>2024</v>
      </c>
      <c r="AE460">
        <f t="shared" si="67"/>
        <v>9551.16</v>
      </c>
      <c r="AF460" s="11">
        <f t="shared" si="68"/>
        <v>8596.0439999999999</v>
      </c>
      <c r="AG460">
        <f t="shared" si="69"/>
        <v>4173</v>
      </c>
      <c r="AH460" s="11">
        <f t="shared" si="70"/>
        <v>0.43691028105486662</v>
      </c>
      <c r="AI460" s="44">
        <f t="shared" si="71"/>
        <v>0.43691028105486662</v>
      </c>
    </row>
    <row r="461" spans="1:35">
      <c r="A461" t="s">
        <v>1476</v>
      </c>
      <c r="B461" s="5">
        <v>45379</v>
      </c>
      <c r="C461" s="5">
        <v>45386</v>
      </c>
      <c r="D461" s="13">
        <f t="shared" si="63"/>
        <v>7</v>
      </c>
      <c r="E461" t="s">
        <v>1477</v>
      </c>
      <c r="F461" t="s">
        <v>62</v>
      </c>
      <c r="G461" t="s">
        <v>95</v>
      </c>
      <c r="H461" t="s">
        <v>63</v>
      </c>
      <c r="I461" t="s">
        <v>190</v>
      </c>
      <c r="J461" t="s">
        <v>191</v>
      </c>
      <c r="K461" t="s">
        <v>28</v>
      </c>
      <c r="L461" t="s">
        <v>29</v>
      </c>
      <c r="M461" t="s">
        <v>1478</v>
      </c>
      <c r="N461" t="s">
        <v>50</v>
      </c>
      <c r="O461">
        <v>3</v>
      </c>
      <c r="P461">
        <v>1150.92</v>
      </c>
      <c r="Q461" s="11">
        <v>0</v>
      </c>
      <c r="R461">
        <v>3452.76</v>
      </c>
      <c r="S461">
        <v>2077.96</v>
      </c>
      <c r="T461">
        <v>1374.8</v>
      </c>
      <c r="U461" t="s">
        <v>32</v>
      </c>
      <c r="V461" t="s">
        <v>33</v>
      </c>
      <c r="X461" s="8" t="str">
        <f>IF(C461&gt;=B461,"Valid", "Invalid-Date")</f>
        <v>Valid</v>
      </c>
      <c r="Y461" s="8" t="str">
        <f t="shared" si="64"/>
        <v>Valid</v>
      </c>
      <c r="Z461" s="8" t="str">
        <f t="shared" si="65"/>
        <v>Pass</v>
      </c>
      <c r="AA461" s="8" t="str">
        <f t="shared" si="66"/>
        <v>Pass</v>
      </c>
      <c r="AB461" s="8" t="str">
        <f>TEXT(B461,"mmmm")</f>
        <v>March</v>
      </c>
      <c r="AC461" s="8" t="str">
        <f>TEXT(B461,"yyyy")</f>
        <v>2024</v>
      </c>
      <c r="AE461">
        <f t="shared" si="67"/>
        <v>3452.76</v>
      </c>
      <c r="AF461" s="11">
        <f t="shared" si="68"/>
        <v>3452.76</v>
      </c>
      <c r="AG461">
        <f t="shared" si="69"/>
        <v>1374.8000000000002</v>
      </c>
      <c r="AH461" s="11">
        <f t="shared" si="70"/>
        <v>0.39817421425178701</v>
      </c>
      <c r="AI461" s="44">
        <f t="shared" si="71"/>
        <v>0.39817421425178701</v>
      </c>
    </row>
    <row r="462" spans="1:35">
      <c r="A462" t="s">
        <v>1479</v>
      </c>
      <c r="B462" s="5">
        <v>45930</v>
      </c>
      <c r="C462" s="5">
        <v>45818</v>
      </c>
      <c r="D462" s="13">
        <f t="shared" si="63"/>
        <v>-112</v>
      </c>
      <c r="E462" t="s">
        <v>1480</v>
      </c>
      <c r="F462" t="s">
        <v>128</v>
      </c>
      <c r="G462" t="s">
        <v>90</v>
      </c>
      <c r="H462" t="s">
        <v>2785</v>
      </c>
      <c r="I462" t="s">
        <v>26</v>
      </c>
      <c r="J462" t="s">
        <v>27</v>
      </c>
      <c r="K462" t="s">
        <v>74</v>
      </c>
      <c r="L462" t="s">
        <v>80</v>
      </c>
      <c r="M462" t="s">
        <v>1481</v>
      </c>
      <c r="N462" t="s">
        <v>31</v>
      </c>
      <c r="O462">
        <v>9</v>
      </c>
      <c r="P462">
        <v>1359.88</v>
      </c>
      <c r="Q462" s="11">
        <v>0.05</v>
      </c>
      <c r="R462">
        <v>11626.97</v>
      </c>
      <c r="S462">
        <v>7394.07</v>
      </c>
      <c r="T462">
        <v>4232.8999999999996</v>
      </c>
      <c r="U462" t="s">
        <v>32</v>
      </c>
      <c r="V462" t="s">
        <v>33</v>
      </c>
      <c r="X462" s="8" t="str">
        <f>IF(C462&gt;=B462,"Valid", "Invalid-Date")</f>
        <v>Invalid-Date</v>
      </c>
      <c r="Y462" s="8" t="str">
        <f t="shared" si="64"/>
        <v>Valid</v>
      </c>
      <c r="Z462" s="8" t="str">
        <f t="shared" si="65"/>
        <v>Pass</v>
      </c>
      <c r="AA462" s="8" t="str">
        <f t="shared" si="66"/>
        <v>Flagged</v>
      </c>
      <c r="AB462" s="8" t="str">
        <f>TEXT(B462,"mmmm")</f>
        <v>September</v>
      </c>
      <c r="AC462" s="8" t="str">
        <f>TEXT(B462,"yyyy")</f>
        <v>2025</v>
      </c>
      <c r="AE462">
        <f t="shared" si="67"/>
        <v>12238.920000000002</v>
      </c>
      <c r="AF462" s="11">
        <f t="shared" si="68"/>
        <v>11626.974000000002</v>
      </c>
      <c r="AG462">
        <f t="shared" si="69"/>
        <v>4844.8500000000022</v>
      </c>
      <c r="AH462" s="11">
        <f t="shared" si="70"/>
        <v>0.39585600690256995</v>
      </c>
      <c r="AI462" s="44">
        <f t="shared" si="71"/>
        <v>0.39585600690256995</v>
      </c>
    </row>
    <row r="463" spans="1:35">
      <c r="A463" t="s">
        <v>1482</v>
      </c>
      <c r="B463" s="5">
        <v>45802</v>
      </c>
      <c r="C463" s="5">
        <v>45803</v>
      </c>
      <c r="D463" s="13">
        <f t="shared" si="63"/>
        <v>1</v>
      </c>
      <c r="E463" t="s">
        <v>1483</v>
      </c>
      <c r="F463" t="s">
        <v>79</v>
      </c>
      <c r="G463" t="s">
        <v>90</v>
      </c>
      <c r="H463" t="s">
        <v>54</v>
      </c>
      <c r="I463" t="s">
        <v>84</v>
      </c>
      <c r="J463" t="s">
        <v>85</v>
      </c>
      <c r="K463" t="s">
        <v>28</v>
      </c>
      <c r="L463" t="s">
        <v>29</v>
      </c>
      <c r="M463" t="s">
        <v>1484</v>
      </c>
      <c r="N463" t="s">
        <v>59</v>
      </c>
      <c r="O463">
        <v>3</v>
      </c>
      <c r="P463">
        <v>3378.15</v>
      </c>
      <c r="Q463" s="11">
        <v>0.15</v>
      </c>
      <c r="R463">
        <v>8614.2800000000007</v>
      </c>
      <c r="S463">
        <v>7052.08</v>
      </c>
      <c r="T463">
        <v>1562.2</v>
      </c>
      <c r="U463" t="s">
        <v>32</v>
      </c>
      <c r="V463" t="s">
        <v>33</v>
      </c>
      <c r="X463" s="8" t="str">
        <f>IF(C463&gt;=B463,"Valid", "Invalid-Date")</f>
        <v>Valid</v>
      </c>
      <c r="Y463" s="8" t="str">
        <f t="shared" si="64"/>
        <v>Valid</v>
      </c>
      <c r="Z463" s="8" t="str">
        <f t="shared" si="65"/>
        <v>Pass</v>
      </c>
      <c r="AA463" s="8" t="str">
        <f t="shared" si="66"/>
        <v>Pass</v>
      </c>
      <c r="AB463" s="8" t="str">
        <f>TEXT(B463,"mmmm")</f>
        <v>May</v>
      </c>
      <c r="AC463" s="8" t="str">
        <f>TEXT(B463,"yyyy")</f>
        <v>2025</v>
      </c>
      <c r="AE463">
        <f t="shared" si="67"/>
        <v>10134.450000000001</v>
      </c>
      <c r="AF463" s="11">
        <f t="shared" si="68"/>
        <v>8614.2825000000012</v>
      </c>
      <c r="AG463">
        <f t="shared" si="69"/>
        <v>3082.3700000000008</v>
      </c>
      <c r="AH463" s="11">
        <f t="shared" si="70"/>
        <v>0.30414773372013287</v>
      </c>
      <c r="AI463" s="44">
        <f t="shared" si="71"/>
        <v>0.30414773372013287</v>
      </c>
    </row>
    <row r="464" spans="1:35">
      <c r="A464" t="s">
        <v>1485</v>
      </c>
      <c r="B464" s="5">
        <v>45558</v>
      </c>
      <c r="C464" s="5">
        <v>45560</v>
      </c>
      <c r="D464" s="13">
        <f t="shared" si="63"/>
        <v>2</v>
      </c>
      <c r="E464" t="s">
        <v>1486</v>
      </c>
      <c r="F464" t="s">
        <v>128</v>
      </c>
      <c r="G464" t="s">
        <v>95</v>
      </c>
      <c r="H464" t="s">
        <v>25</v>
      </c>
      <c r="I464" t="s">
        <v>350</v>
      </c>
      <c r="J464" t="s">
        <v>351</v>
      </c>
      <c r="K464" t="s">
        <v>28</v>
      </c>
      <c r="L464" t="s">
        <v>153</v>
      </c>
      <c r="M464" t="s">
        <v>1487</v>
      </c>
      <c r="N464" t="s">
        <v>50</v>
      </c>
      <c r="O464">
        <v>2</v>
      </c>
      <c r="P464">
        <v>1275.1400000000001</v>
      </c>
      <c r="Q464" s="11">
        <v>0.2</v>
      </c>
      <c r="R464">
        <v>2040.22</v>
      </c>
      <c r="S464">
        <v>1395.71</v>
      </c>
      <c r="T464">
        <v>644.51</v>
      </c>
      <c r="U464" t="s">
        <v>32</v>
      </c>
      <c r="V464" t="s">
        <v>33</v>
      </c>
      <c r="X464" s="8" t="str">
        <f>IF(C464&gt;=B464,"Valid", "Invalid-Date")</f>
        <v>Valid</v>
      </c>
      <c r="Y464" s="8" t="str">
        <f t="shared" si="64"/>
        <v>Valid</v>
      </c>
      <c r="Z464" s="8" t="str">
        <f t="shared" si="65"/>
        <v>Pass</v>
      </c>
      <c r="AA464" s="8" t="str">
        <f t="shared" si="66"/>
        <v>Pass</v>
      </c>
      <c r="AB464" s="8" t="str">
        <f>TEXT(B464,"mmmm")</f>
        <v>September</v>
      </c>
      <c r="AC464" s="8" t="str">
        <f>TEXT(B464,"yyyy")</f>
        <v>2024</v>
      </c>
      <c r="AE464">
        <f t="shared" si="67"/>
        <v>2550.2800000000002</v>
      </c>
      <c r="AF464" s="11">
        <f t="shared" si="68"/>
        <v>2040.2240000000002</v>
      </c>
      <c r="AG464">
        <f t="shared" si="69"/>
        <v>1154.5700000000002</v>
      </c>
      <c r="AH464" s="11">
        <f t="shared" si="70"/>
        <v>0.45272283827658144</v>
      </c>
      <c r="AI464" s="44">
        <f t="shared" si="71"/>
        <v>0.45272283827658144</v>
      </c>
    </row>
    <row r="465" spans="1:35">
      <c r="A465" t="s">
        <v>1488</v>
      </c>
      <c r="B465" s="5">
        <v>45695</v>
      </c>
      <c r="C465" s="5">
        <v>45871</v>
      </c>
      <c r="D465" s="13">
        <f t="shared" si="63"/>
        <v>176</v>
      </c>
      <c r="E465" t="s">
        <v>1489</v>
      </c>
      <c r="F465" t="s">
        <v>53</v>
      </c>
      <c r="G465" t="s">
        <v>90</v>
      </c>
      <c r="H465" t="s">
        <v>63</v>
      </c>
      <c r="I465" t="s">
        <v>72</v>
      </c>
      <c r="J465" t="s">
        <v>73</v>
      </c>
      <c r="K465" t="s">
        <v>74</v>
      </c>
      <c r="L465" t="s">
        <v>171</v>
      </c>
      <c r="M465" t="s">
        <v>1490</v>
      </c>
      <c r="N465" t="s">
        <v>59</v>
      </c>
      <c r="O465">
        <v>4</v>
      </c>
      <c r="P465">
        <v>889.5</v>
      </c>
      <c r="Q465" s="11">
        <v>0.2</v>
      </c>
      <c r="R465">
        <v>2846.4</v>
      </c>
      <c r="S465">
        <v>2132.37</v>
      </c>
      <c r="T465">
        <v>714.03</v>
      </c>
      <c r="U465" t="s">
        <v>32</v>
      </c>
      <c r="V465" t="s">
        <v>33</v>
      </c>
      <c r="X465" s="8" t="str">
        <f>IF(C465&gt;=B465,"Valid", "Invalid-Date")</f>
        <v>Valid</v>
      </c>
      <c r="Y465" s="8" t="str">
        <f t="shared" si="64"/>
        <v>Valid</v>
      </c>
      <c r="Z465" s="8" t="str">
        <f t="shared" si="65"/>
        <v>Pass</v>
      </c>
      <c r="AA465" s="8" t="str">
        <f t="shared" si="66"/>
        <v>Pass</v>
      </c>
      <c r="AB465" s="8" t="str">
        <f>TEXT(B465,"mmmm")</f>
        <v>February</v>
      </c>
      <c r="AC465" s="8" t="str">
        <f>TEXT(B465,"yyyy")</f>
        <v>2025</v>
      </c>
      <c r="AE465">
        <f t="shared" si="67"/>
        <v>3558</v>
      </c>
      <c r="AF465" s="11">
        <f t="shared" si="68"/>
        <v>2846.4</v>
      </c>
      <c r="AG465">
        <f t="shared" si="69"/>
        <v>1425.63</v>
      </c>
      <c r="AH465" s="11">
        <f t="shared" si="70"/>
        <v>0.40068296795952785</v>
      </c>
      <c r="AI465" s="44">
        <f t="shared" si="71"/>
        <v>0.40068296795952785</v>
      </c>
    </row>
    <row r="466" spans="1:35">
      <c r="A466" t="s">
        <v>1491</v>
      </c>
      <c r="B466" s="5">
        <v>45727</v>
      </c>
      <c r="C466" s="5">
        <v>45731</v>
      </c>
      <c r="D466" s="13">
        <f t="shared" si="63"/>
        <v>4</v>
      </c>
      <c r="E466" t="s">
        <v>1492</v>
      </c>
      <c r="F466" t="s">
        <v>53</v>
      </c>
      <c r="G466" t="s">
        <v>90</v>
      </c>
      <c r="H466" t="s">
        <v>38</v>
      </c>
      <c r="I466" t="s">
        <v>145</v>
      </c>
      <c r="J466" t="s">
        <v>146</v>
      </c>
      <c r="K466" t="s">
        <v>28</v>
      </c>
      <c r="L466" t="s">
        <v>29</v>
      </c>
      <c r="M466" t="s">
        <v>1493</v>
      </c>
      <c r="N466" t="s">
        <v>44</v>
      </c>
      <c r="O466">
        <v>3</v>
      </c>
      <c r="P466">
        <v>3625.08</v>
      </c>
      <c r="Q466" s="11">
        <v>0.05</v>
      </c>
      <c r="R466">
        <v>10331.48</v>
      </c>
      <c r="S466">
        <v>7131.91</v>
      </c>
      <c r="T466">
        <v>3199.57</v>
      </c>
      <c r="U466" t="s">
        <v>111</v>
      </c>
      <c r="V466" t="s">
        <v>68</v>
      </c>
      <c r="X466" s="8" t="str">
        <f>IF(C466&gt;=B466,"Valid", "Invalid-Date")</f>
        <v>Valid</v>
      </c>
      <c r="Y466" s="8" t="str">
        <f t="shared" si="64"/>
        <v>Valid</v>
      </c>
      <c r="Z466" s="8" t="str">
        <f t="shared" si="65"/>
        <v>Pass</v>
      </c>
      <c r="AA466" s="8" t="str">
        <f t="shared" si="66"/>
        <v>Pass</v>
      </c>
      <c r="AB466" s="8" t="str">
        <f>TEXT(B466,"mmmm")</f>
        <v>March</v>
      </c>
      <c r="AC466" s="8" t="str">
        <f>TEXT(B466,"yyyy")</f>
        <v>2025</v>
      </c>
      <c r="AE466">
        <f t="shared" si="67"/>
        <v>10875.24</v>
      </c>
      <c r="AF466" s="11">
        <f t="shared" si="68"/>
        <v>10331.477999999999</v>
      </c>
      <c r="AG466">
        <f t="shared" si="69"/>
        <v>3743.33</v>
      </c>
      <c r="AH466" s="11">
        <f t="shared" si="70"/>
        <v>0.34420665658872818</v>
      </c>
      <c r="AI466" s="44">
        <f t="shared" si="71"/>
        <v>0.34420665658872818</v>
      </c>
    </row>
    <row r="467" spans="1:35">
      <c r="A467" t="s">
        <v>1494</v>
      </c>
      <c r="B467" s="5">
        <v>45320</v>
      </c>
      <c r="C467" s="5">
        <v>45445</v>
      </c>
      <c r="D467" s="13">
        <f t="shared" si="63"/>
        <v>125</v>
      </c>
      <c r="E467" t="s">
        <v>1495</v>
      </c>
      <c r="F467" t="s">
        <v>128</v>
      </c>
      <c r="G467" t="s">
        <v>37</v>
      </c>
      <c r="H467" t="s">
        <v>63</v>
      </c>
      <c r="I467" t="s">
        <v>72</v>
      </c>
      <c r="J467" t="s">
        <v>73</v>
      </c>
      <c r="K467" t="s">
        <v>28</v>
      </c>
      <c r="L467" t="s">
        <v>91</v>
      </c>
      <c r="M467" t="s">
        <v>1496</v>
      </c>
      <c r="N467" t="s">
        <v>59</v>
      </c>
      <c r="O467">
        <v>2</v>
      </c>
      <c r="P467">
        <v>1258.9000000000001</v>
      </c>
      <c r="Q467" s="11">
        <v>0</v>
      </c>
      <c r="R467">
        <v>2517.8000000000002</v>
      </c>
      <c r="S467">
        <v>1478.54</v>
      </c>
      <c r="T467">
        <v>1039.26</v>
      </c>
      <c r="U467" t="s">
        <v>32</v>
      </c>
      <c r="V467" t="s">
        <v>33</v>
      </c>
      <c r="X467" s="8" t="str">
        <f>IF(C467&gt;=B467,"Valid", "Invalid-Date")</f>
        <v>Valid</v>
      </c>
      <c r="Y467" s="8" t="str">
        <f t="shared" si="64"/>
        <v>Valid</v>
      </c>
      <c r="Z467" s="8" t="str">
        <f t="shared" si="65"/>
        <v>Pass</v>
      </c>
      <c r="AA467" s="8" t="str">
        <f t="shared" si="66"/>
        <v>Pass</v>
      </c>
      <c r="AB467" s="8" t="str">
        <f>TEXT(B467,"mmmm")</f>
        <v>January</v>
      </c>
      <c r="AC467" s="8" t="str">
        <f>TEXT(B467,"yyyy")</f>
        <v>2024</v>
      </c>
      <c r="AE467">
        <f t="shared" si="67"/>
        <v>2517.8000000000002</v>
      </c>
      <c r="AF467" s="11">
        <f t="shared" si="68"/>
        <v>2517.8000000000002</v>
      </c>
      <c r="AG467">
        <f t="shared" si="69"/>
        <v>1039.2600000000002</v>
      </c>
      <c r="AH467" s="11">
        <f t="shared" si="70"/>
        <v>0.41276511239971408</v>
      </c>
      <c r="AI467" s="44">
        <f t="shared" si="71"/>
        <v>0.41276511239971408</v>
      </c>
    </row>
    <row r="468" spans="1:35">
      <c r="A468" t="s">
        <v>1497</v>
      </c>
      <c r="B468" s="5">
        <v>45295</v>
      </c>
      <c r="C468" s="5">
        <v>45505</v>
      </c>
      <c r="D468" s="13">
        <f t="shared" si="63"/>
        <v>210</v>
      </c>
      <c r="E468" t="s">
        <v>1498</v>
      </c>
      <c r="F468" t="s">
        <v>36</v>
      </c>
      <c r="G468" t="s">
        <v>37</v>
      </c>
      <c r="H468" t="s">
        <v>38</v>
      </c>
      <c r="I468" t="s">
        <v>145</v>
      </c>
      <c r="J468" t="s">
        <v>146</v>
      </c>
      <c r="K468" t="s">
        <v>74</v>
      </c>
      <c r="L468" t="s">
        <v>75</v>
      </c>
      <c r="M468" t="s">
        <v>1499</v>
      </c>
      <c r="N468" t="s">
        <v>44</v>
      </c>
      <c r="O468">
        <v>9</v>
      </c>
      <c r="P468">
        <v>1591.96</v>
      </c>
      <c r="Q468" s="11">
        <v>0.2</v>
      </c>
      <c r="R468">
        <v>11462.11</v>
      </c>
      <c r="S468">
        <v>7105.48</v>
      </c>
      <c r="T468">
        <v>4356.63</v>
      </c>
      <c r="U468" t="s">
        <v>32</v>
      </c>
      <c r="V468" t="s">
        <v>33</v>
      </c>
      <c r="X468" s="8" t="str">
        <f>IF(C468&gt;=B468,"Valid", "Invalid-Date")</f>
        <v>Valid</v>
      </c>
      <c r="Y468" s="8" t="str">
        <f t="shared" si="64"/>
        <v>Valid</v>
      </c>
      <c r="Z468" s="8" t="str">
        <f t="shared" si="65"/>
        <v>Pass</v>
      </c>
      <c r="AA468" s="8" t="str">
        <f t="shared" si="66"/>
        <v>Pass</v>
      </c>
      <c r="AB468" s="8" t="str">
        <f>TEXT(B468,"mmmm")</f>
        <v>January</v>
      </c>
      <c r="AC468" s="8" t="str">
        <f>TEXT(B468,"yyyy")</f>
        <v>2024</v>
      </c>
      <c r="AE468">
        <f t="shared" si="67"/>
        <v>14327.64</v>
      </c>
      <c r="AF468" s="11">
        <f t="shared" si="68"/>
        <v>11462.112000000001</v>
      </c>
      <c r="AG468">
        <f t="shared" si="69"/>
        <v>7222.16</v>
      </c>
      <c r="AH468" s="11">
        <f t="shared" si="70"/>
        <v>0.50407184993481136</v>
      </c>
      <c r="AI468" s="44">
        <f t="shared" si="71"/>
        <v>0.50407184993481136</v>
      </c>
    </row>
    <row r="469" spans="1:35">
      <c r="A469" t="s">
        <v>1500</v>
      </c>
      <c r="B469" s="5">
        <v>45524</v>
      </c>
      <c r="C469" s="5">
        <v>45525</v>
      </c>
      <c r="D469" s="13">
        <f t="shared" si="63"/>
        <v>1</v>
      </c>
      <c r="E469" t="s">
        <v>1501</v>
      </c>
      <c r="F469" t="s">
        <v>89</v>
      </c>
      <c r="G469" t="s">
        <v>90</v>
      </c>
      <c r="H469" t="s">
        <v>38</v>
      </c>
      <c r="I469" t="s">
        <v>39</v>
      </c>
      <c r="J469" t="s">
        <v>40</v>
      </c>
      <c r="K469" t="s">
        <v>74</v>
      </c>
      <c r="L469" t="s">
        <v>80</v>
      </c>
      <c r="M469" t="s">
        <v>1502</v>
      </c>
      <c r="N469" t="s">
        <v>50</v>
      </c>
      <c r="O469">
        <v>5</v>
      </c>
      <c r="P469">
        <v>4288.33</v>
      </c>
      <c r="Q469" s="11">
        <v>0.1</v>
      </c>
      <c r="R469">
        <v>19297.490000000002</v>
      </c>
      <c r="S469">
        <v>15451.66</v>
      </c>
      <c r="T469">
        <v>3845.83</v>
      </c>
      <c r="U469" t="s">
        <v>102</v>
      </c>
      <c r="V469" t="s">
        <v>68</v>
      </c>
      <c r="X469" s="8" t="str">
        <f>IF(C469&gt;=B469,"Valid", "Invalid-Date")</f>
        <v>Valid</v>
      </c>
      <c r="Y469" s="8" t="str">
        <f t="shared" si="64"/>
        <v>Valid</v>
      </c>
      <c r="Z469" s="8" t="str">
        <f t="shared" si="65"/>
        <v>Pass</v>
      </c>
      <c r="AA469" s="8" t="str">
        <f t="shared" si="66"/>
        <v>Pass</v>
      </c>
      <c r="AB469" s="8" t="str">
        <f>TEXT(B469,"mmmm")</f>
        <v>August</v>
      </c>
      <c r="AC469" s="8" t="str">
        <f>TEXT(B469,"yyyy")</f>
        <v>2024</v>
      </c>
      <c r="AE469">
        <f t="shared" si="67"/>
        <v>21441.65</v>
      </c>
      <c r="AF469" s="11">
        <f t="shared" si="68"/>
        <v>19297.485000000001</v>
      </c>
      <c r="AG469">
        <f t="shared" si="69"/>
        <v>5989.9900000000016</v>
      </c>
      <c r="AH469" s="11">
        <f t="shared" si="70"/>
        <v>0.27936236250475133</v>
      </c>
      <c r="AI469" s="44">
        <f t="shared" si="71"/>
        <v>0.27936236250475133</v>
      </c>
    </row>
    <row r="470" spans="1:35">
      <c r="A470" t="s">
        <v>1503</v>
      </c>
      <c r="B470" s="5">
        <v>45666</v>
      </c>
      <c r="C470" s="5">
        <v>45839</v>
      </c>
      <c r="D470" s="13">
        <f t="shared" si="63"/>
        <v>173</v>
      </c>
      <c r="E470" t="s">
        <v>1504</v>
      </c>
      <c r="F470" t="s">
        <v>128</v>
      </c>
      <c r="G470" t="s">
        <v>95</v>
      </c>
      <c r="H470" t="s">
        <v>38</v>
      </c>
      <c r="I470" t="s">
        <v>99</v>
      </c>
      <c r="J470" t="s">
        <v>100</v>
      </c>
      <c r="K470" t="s">
        <v>28</v>
      </c>
      <c r="L470" t="s">
        <v>153</v>
      </c>
      <c r="M470" t="s">
        <v>1505</v>
      </c>
      <c r="N470" t="s">
        <v>31</v>
      </c>
      <c r="O470">
        <v>3</v>
      </c>
      <c r="P470">
        <v>2188.33</v>
      </c>
      <c r="Q470" s="11">
        <v>0</v>
      </c>
      <c r="R470">
        <v>6564.99</v>
      </c>
      <c r="S470">
        <v>5407.24</v>
      </c>
      <c r="T470">
        <v>1157.75</v>
      </c>
      <c r="U470" t="s">
        <v>32</v>
      </c>
      <c r="V470" t="s">
        <v>33</v>
      </c>
      <c r="X470" s="8" t="str">
        <f>IF(C470&gt;=B470,"Valid", "Invalid-Date")</f>
        <v>Valid</v>
      </c>
      <c r="Y470" s="8" t="str">
        <f t="shared" si="64"/>
        <v>Valid</v>
      </c>
      <c r="Z470" s="8" t="str">
        <f t="shared" si="65"/>
        <v>Pass</v>
      </c>
      <c r="AA470" s="8" t="str">
        <f t="shared" si="66"/>
        <v>Pass</v>
      </c>
      <c r="AB470" s="8" t="str">
        <f>TEXT(B470,"mmmm")</f>
        <v>January</v>
      </c>
      <c r="AC470" s="8" t="str">
        <f>TEXT(B470,"yyyy")</f>
        <v>2025</v>
      </c>
      <c r="AE470">
        <f t="shared" si="67"/>
        <v>6564.99</v>
      </c>
      <c r="AF470" s="11">
        <f t="shared" si="68"/>
        <v>6564.99</v>
      </c>
      <c r="AG470">
        <f t="shared" si="69"/>
        <v>1157.75</v>
      </c>
      <c r="AH470" s="11">
        <f t="shared" si="70"/>
        <v>0.17635213458055535</v>
      </c>
      <c r="AI470" s="44">
        <f t="shared" si="71"/>
        <v>0.17635213458055535</v>
      </c>
    </row>
    <row r="471" spans="1:35">
      <c r="A471" t="s">
        <v>1506</v>
      </c>
      <c r="B471" s="5">
        <v>45310</v>
      </c>
      <c r="C471" s="5">
        <v>45316</v>
      </c>
      <c r="D471" s="13">
        <f t="shared" si="63"/>
        <v>6</v>
      </c>
      <c r="E471" t="s">
        <v>1507</v>
      </c>
      <c r="F471" t="s">
        <v>89</v>
      </c>
      <c r="G471" t="s">
        <v>90</v>
      </c>
      <c r="H471" t="s">
        <v>63</v>
      </c>
      <c r="I471" t="s">
        <v>190</v>
      </c>
      <c r="J471" t="s">
        <v>191</v>
      </c>
      <c r="K471" t="s">
        <v>74</v>
      </c>
      <c r="L471" t="s">
        <v>80</v>
      </c>
      <c r="M471" t="s">
        <v>1508</v>
      </c>
      <c r="N471" t="s">
        <v>50</v>
      </c>
      <c r="O471">
        <v>3</v>
      </c>
      <c r="P471">
        <v>1041.6600000000001</v>
      </c>
      <c r="Q471" s="11">
        <v>0.1</v>
      </c>
      <c r="R471">
        <v>2812.48</v>
      </c>
      <c r="S471">
        <v>2282.12</v>
      </c>
      <c r="T471">
        <v>530.36</v>
      </c>
      <c r="U471" t="s">
        <v>32</v>
      </c>
      <c r="V471" t="s">
        <v>33</v>
      </c>
      <c r="X471" s="8" t="str">
        <f>IF(C471&gt;=B471,"Valid", "Invalid-Date")</f>
        <v>Valid</v>
      </c>
      <c r="Y471" s="8" t="str">
        <f t="shared" si="64"/>
        <v>Valid</v>
      </c>
      <c r="Z471" s="8" t="str">
        <f t="shared" si="65"/>
        <v>Pass</v>
      </c>
      <c r="AA471" s="8" t="str">
        <f t="shared" si="66"/>
        <v>Pass</v>
      </c>
      <c r="AB471" s="8" t="str">
        <f>TEXT(B471,"mmmm")</f>
        <v>January</v>
      </c>
      <c r="AC471" s="8" t="str">
        <f>TEXT(B471,"yyyy")</f>
        <v>2024</v>
      </c>
      <c r="AE471">
        <f t="shared" si="67"/>
        <v>3124.9800000000005</v>
      </c>
      <c r="AF471" s="11">
        <f t="shared" si="68"/>
        <v>2812.4820000000004</v>
      </c>
      <c r="AG471">
        <f t="shared" si="69"/>
        <v>842.86000000000058</v>
      </c>
      <c r="AH471" s="11">
        <f t="shared" si="70"/>
        <v>0.26971692618832777</v>
      </c>
      <c r="AI471" s="44">
        <f t="shared" si="71"/>
        <v>0.26971692618832777</v>
      </c>
    </row>
    <row r="472" spans="1:35">
      <c r="A472" t="s">
        <v>1509</v>
      </c>
      <c r="B472" s="5">
        <v>45501</v>
      </c>
      <c r="C472" s="5">
        <v>45504</v>
      </c>
      <c r="D472" s="13">
        <f t="shared" si="63"/>
        <v>3</v>
      </c>
      <c r="E472" t="s">
        <v>1510</v>
      </c>
      <c r="F472" t="s">
        <v>89</v>
      </c>
      <c r="G472" t="s">
        <v>24</v>
      </c>
      <c r="H472" t="s">
        <v>25</v>
      </c>
      <c r="I472" t="s">
        <v>26</v>
      </c>
      <c r="J472" t="s">
        <v>27</v>
      </c>
      <c r="K472" t="s">
        <v>41</v>
      </c>
      <c r="L472" t="s">
        <v>42</v>
      </c>
      <c r="M472" t="s">
        <v>1511</v>
      </c>
      <c r="N472" t="s">
        <v>44</v>
      </c>
      <c r="O472">
        <v>2</v>
      </c>
      <c r="P472">
        <v>4424.78</v>
      </c>
      <c r="Q472" s="11">
        <v>0.2</v>
      </c>
      <c r="R472">
        <v>7079.65</v>
      </c>
      <c r="S472">
        <v>4465.91</v>
      </c>
      <c r="T472">
        <v>2613.7399999999998</v>
      </c>
      <c r="U472" t="s">
        <v>32</v>
      </c>
      <c r="V472" t="s">
        <v>33</v>
      </c>
      <c r="X472" s="8" t="str">
        <f>IF(C472&gt;=B472,"Valid", "Invalid-Date")</f>
        <v>Valid</v>
      </c>
      <c r="Y472" s="8" t="str">
        <f t="shared" si="64"/>
        <v>Valid</v>
      </c>
      <c r="Z472" s="8" t="str">
        <f t="shared" si="65"/>
        <v>Pass</v>
      </c>
      <c r="AA472" s="8" t="str">
        <f t="shared" si="66"/>
        <v>Pass</v>
      </c>
      <c r="AB472" s="8" t="str">
        <f>TEXT(B472,"mmmm")</f>
        <v>July</v>
      </c>
      <c r="AC472" s="8" t="str">
        <f>TEXT(B472,"yyyy")</f>
        <v>2024</v>
      </c>
      <c r="AE472">
        <f t="shared" si="67"/>
        <v>8849.56</v>
      </c>
      <c r="AF472" s="11">
        <f t="shared" si="68"/>
        <v>7079.6480000000001</v>
      </c>
      <c r="AG472">
        <f t="shared" si="69"/>
        <v>4383.6499999999996</v>
      </c>
      <c r="AH472" s="11">
        <f t="shared" si="70"/>
        <v>0.49535231130135282</v>
      </c>
      <c r="AI472" s="44">
        <f t="shared" si="71"/>
        <v>0.49535231130135282</v>
      </c>
    </row>
    <row r="473" spans="1:35">
      <c r="A473" t="s">
        <v>1512</v>
      </c>
      <c r="B473" s="5">
        <v>45333</v>
      </c>
      <c r="C473" s="5">
        <v>45337</v>
      </c>
      <c r="D473" s="13">
        <f t="shared" si="63"/>
        <v>4</v>
      </c>
      <c r="E473" t="s">
        <v>1513</v>
      </c>
      <c r="F473" t="s">
        <v>264</v>
      </c>
      <c r="G473" t="s">
        <v>24</v>
      </c>
      <c r="H473" t="s">
        <v>54</v>
      </c>
      <c r="I473" t="s">
        <v>55</v>
      </c>
      <c r="J473" t="s">
        <v>56</v>
      </c>
      <c r="K473" t="s">
        <v>28</v>
      </c>
      <c r="L473" t="s">
        <v>153</v>
      </c>
      <c r="M473" t="s">
        <v>1514</v>
      </c>
      <c r="N473" t="s">
        <v>59</v>
      </c>
      <c r="O473">
        <v>3</v>
      </c>
      <c r="P473">
        <v>3019.14</v>
      </c>
      <c r="Q473" s="11">
        <v>0.25</v>
      </c>
      <c r="R473">
        <v>6793.07</v>
      </c>
      <c r="S473">
        <v>4985.22</v>
      </c>
      <c r="T473">
        <v>1807.85</v>
      </c>
      <c r="U473" t="s">
        <v>32</v>
      </c>
      <c r="V473" t="s">
        <v>33</v>
      </c>
      <c r="X473" s="8" t="str">
        <f>IF(C473&gt;=B473,"Valid", "Invalid-Date")</f>
        <v>Valid</v>
      </c>
      <c r="Y473" s="8" t="str">
        <f t="shared" si="64"/>
        <v>Valid</v>
      </c>
      <c r="Z473" s="8" t="str">
        <f t="shared" si="65"/>
        <v>Pass</v>
      </c>
      <c r="AA473" s="8" t="str">
        <f t="shared" si="66"/>
        <v>Pass</v>
      </c>
      <c r="AB473" s="8" t="str">
        <f>TEXT(B473,"mmmm")</f>
        <v>February</v>
      </c>
      <c r="AC473" s="8" t="str">
        <f>TEXT(B473,"yyyy")</f>
        <v>2024</v>
      </c>
      <c r="AE473">
        <f t="shared" si="67"/>
        <v>9057.42</v>
      </c>
      <c r="AF473" s="11">
        <f t="shared" si="68"/>
        <v>6793.0650000000005</v>
      </c>
      <c r="AG473">
        <f t="shared" si="69"/>
        <v>4072.2</v>
      </c>
      <c r="AH473" s="11">
        <f t="shared" si="70"/>
        <v>0.44959822995952486</v>
      </c>
      <c r="AI473" s="44">
        <f t="shared" si="71"/>
        <v>0.44959822995952486</v>
      </c>
    </row>
    <row r="474" spans="1:35">
      <c r="A474" t="s">
        <v>1515</v>
      </c>
      <c r="B474" s="5">
        <v>45353</v>
      </c>
      <c r="C474" s="5">
        <v>45476</v>
      </c>
      <c r="D474" s="13">
        <f t="shared" si="63"/>
        <v>123</v>
      </c>
      <c r="E474" t="s">
        <v>1516</v>
      </c>
      <c r="F474" t="s">
        <v>141</v>
      </c>
      <c r="G474" t="s">
        <v>90</v>
      </c>
      <c r="H474" t="s">
        <v>38</v>
      </c>
      <c r="I474" t="s">
        <v>39</v>
      </c>
      <c r="J474" t="s">
        <v>40</v>
      </c>
      <c r="K474" t="s">
        <v>28</v>
      </c>
      <c r="L474" t="s">
        <v>124</v>
      </c>
      <c r="M474" t="s">
        <v>1517</v>
      </c>
      <c r="N474" t="s">
        <v>59</v>
      </c>
      <c r="O474">
        <v>7</v>
      </c>
      <c r="P474">
        <v>263.45999999999998</v>
      </c>
      <c r="Q474" s="11">
        <v>0</v>
      </c>
      <c r="R474">
        <v>1844.22</v>
      </c>
      <c r="S474">
        <v>1094.21</v>
      </c>
      <c r="T474">
        <v>750.01</v>
      </c>
      <c r="U474" t="s">
        <v>32</v>
      </c>
      <c r="V474" t="s">
        <v>33</v>
      </c>
      <c r="X474" s="8" t="str">
        <f>IF(C474&gt;=B474,"Valid", "Invalid-Date")</f>
        <v>Valid</v>
      </c>
      <c r="Y474" s="8" t="str">
        <f t="shared" si="64"/>
        <v>Valid</v>
      </c>
      <c r="Z474" s="8" t="str">
        <f t="shared" si="65"/>
        <v>Pass</v>
      </c>
      <c r="AA474" s="8" t="str">
        <f t="shared" si="66"/>
        <v>Pass</v>
      </c>
      <c r="AB474" s="8" t="str">
        <f>TEXT(B474,"mmmm")</f>
        <v>March</v>
      </c>
      <c r="AC474" s="8" t="str">
        <f>TEXT(B474,"yyyy")</f>
        <v>2024</v>
      </c>
      <c r="AE474">
        <f t="shared" si="67"/>
        <v>1844.2199999999998</v>
      </c>
      <c r="AF474" s="11">
        <f t="shared" si="68"/>
        <v>1844.2199999999998</v>
      </c>
      <c r="AG474">
        <f t="shared" si="69"/>
        <v>750.00999999999976</v>
      </c>
      <c r="AH474" s="11">
        <f t="shared" si="70"/>
        <v>0.40668141544934977</v>
      </c>
      <c r="AI474" s="44">
        <f t="shared" si="71"/>
        <v>0.40668141544934977</v>
      </c>
    </row>
    <row r="475" spans="1:35">
      <c r="A475" t="s">
        <v>1518</v>
      </c>
      <c r="B475" s="5">
        <v>45609</v>
      </c>
      <c r="C475" s="5">
        <v>45609</v>
      </c>
      <c r="D475" s="13">
        <f t="shared" si="63"/>
        <v>0</v>
      </c>
      <c r="E475" t="s">
        <v>1519</v>
      </c>
      <c r="F475" t="s">
        <v>114</v>
      </c>
      <c r="G475" t="s">
        <v>24</v>
      </c>
      <c r="H475" t="s">
        <v>63</v>
      </c>
      <c r="I475" t="s">
        <v>190</v>
      </c>
      <c r="J475" t="s">
        <v>191</v>
      </c>
      <c r="K475" t="s">
        <v>74</v>
      </c>
      <c r="L475" t="s">
        <v>80</v>
      </c>
      <c r="M475" t="s">
        <v>1520</v>
      </c>
      <c r="N475" t="s">
        <v>59</v>
      </c>
      <c r="O475">
        <v>6</v>
      </c>
      <c r="P475">
        <v>191.45</v>
      </c>
      <c r="Q475" s="11">
        <v>0.2</v>
      </c>
      <c r="R475">
        <v>918.96</v>
      </c>
      <c r="S475">
        <v>554.17999999999995</v>
      </c>
      <c r="T475">
        <v>364.78</v>
      </c>
      <c r="U475" t="s">
        <v>32</v>
      </c>
      <c r="V475" t="s">
        <v>33</v>
      </c>
      <c r="X475" s="8" t="str">
        <f>IF(C475&gt;=B475,"Valid", "Invalid-Date")</f>
        <v>Valid</v>
      </c>
      <c r="Y475" s="8" t="str">
        <f t="shared" si="64"/>
        <v>Valid</v>
      </c>
      <c r="Z475" s="8" t="str">
        <f t="shared" si="65"/>
        <v>Pass</v>
      </c>
      <c r="AA475" s="8" t="str">
        <f t="shared" si="66"/>
        <v>Pass</v>
      </c>
      <c r="AB475" s="8" t="str">
        <f>TEXT(B475,"mmmm")</f>
        <v>November</v>
      </c>
      <c r="AC475" s="8" t="str">
        <f>TEXT(B475,"yyyy")</f>
        <v>2024</v>
      </c>
      <c r="AE475">
        <f t="shared" si="67"/>
        <v>1148.6999999999998</v>
      </c>
      <c r="AF475" s="11">
        <f t="shared" si="68"/>
        <v>918.95999999999992</v>
      </c>
      <c r="AG475">
        <f t="shared" si="69"/>
        <v>594.51999999999987</v>
      </c>
      <c r="AH475" s="11">
        <f t="shared" si="70"/>
        <v>0.51755897971620091</v>
      </c>
      <c r="AI475" s="44">
        <f t="shared" si="71"/>
        <v>0.51755897971620091</v>
      </c>
    </row>
    <row r="476" spans="1:35">
      <c r="A476" t="s">
        <v>1521</v>
      </c>
      <c r="B476" s="5">
        <v>45446</v>
      </c>
      <c r="C476" s="5">
        <v>45571</v>
      </c>
      <c r="D476" s="13">
        <f t="shared" si="63"/>
        <v>125</v>
      </c>
      <c r="E476" t="s">
        <v>1522</v>
      </c>
      <c r="F476" t="s">
        <v>162</v>
      </c>
      <c r="G476" t="s">
        <v>90</v>
      </c>
      <c r="H476" t="s">
        <v>25</v>
      </c>
      <c r="I476" t="s">
        <v>122</v>
      </c>
      <c r="J476" t="s">
        <v>123</v>
      </c>
      <c r="K476" t="s">
        <v>41</v>
      </c>
      <c r="L476" t="s">
        <v>57</v>
      </c>
      <c r="M476" t="s">
        <v>1523</v>
      </c>
      <c r="N476" t="s">
        <v>59</v>
      </c>
      <c r="O476">
        <v>3</v>
      </c>
      <c r="P476">
        <v>1633.57</v>
      </c>
      <c r="Q476" s="11">
        <v>0</v>
      </c>
      <c r="R476">
        <v>4900.71</v>
      </c>
      <c r="S476">
        <v>2713.9</v>
      </c>
      <c r="T476">
        <v>2186.81</v>
      </c>
      <c r="U476" t="s">
        <v>32</v>
      </c>
      <c r="V476" t="s">
        <v>33</v>
      </c>
      <c r="X476" s="8" t="str">
        <f>IF(C476&gt;=B476,"Valid", "Invalid-Date")</f>
        <v>Valid</v>
      </c>
      <c r="Y476" s="8" t="str">
        <f t="shared" si="64"/>
        <v>Valid</v>
      </c>
      <c r="Z476" s="8" t="str">
        <f t="shared" si="65"/>
        <v>Pass</v>
      </c>
      <c r="AA476" s="8" t="str">
        <f t="shared" si="66"/>
        <v>Pass</v>
      </c>
      <c r="AB476" s="8" t="str">
        <f>TEXT(B476,"mmmm")</f>
        <v>June</v>
      </c>
      <c r="AC476" s="8" t="str">
        <f>TEXT(B476,"yyyy")</f>
        <v>2024</v>
      </c>
      <c r="AE476">
        <f t="shared" si="67"/>
        <v>4900.71</v>
      </c>
      <c r="AF476" s="11">
        <f t="shared" si="68"/>
        <v>4900.71</v>
      </c>
      <c r="AG476">
        <f t="shared" si="69"/>
        <v>2186.81</v>
      </c>
      <c r="AH476" s="11">
        <f t="shared" si="70"/>
        <v>0.44622309828575857</v>
      </c>
      <c r="AI476" s="44">
        <f t="shared" si="71"/>
        <v>0.44622309828575857</v>
      </c>
    </row>
    <row r="477" spans="1:35">
      <c r="A477" t="s">
        <v>1524</v>
      </c>
      <c r="B477" s="5">
        <v>45660</v>
      </c>
      <c r="C477" s="5">
        <v>45872</v>
      </c>
      <c r="D477" s="13">
        <f t="shared" si="63"/>
        <v>212</v>
      </c>
      <c r="E477" t="s">
        <v>1525</v>
      </c>
      <c r="F477" t="s">
        <v>71</v>
      </c>
      <c r="G477" t="s">
        <v>24</v>
      </c>
      <c r="H477" t="s">
        <v>38</v>
      </c>
      <c r="I477" t="s">
        <v>99</v>
      </c>
      <c r="J477" t="s">
        <v>100</v>
      </c>
      <c r="K477" t="s">
        <v>41</v>
      </c>
      <c r="L477" t="s">
        <v>66</v>
      </c>
      <c r="M477" t="s">
        <v>1526</v>
      </c>
      <c r="N477" t="s">
        <v>44</v>
      </c>
      <c r="O477">
        <v>8</v>
      </c>
      <c r="P477">
        <v>3378.82</v>
      </c>
      <c r="Q477" s="11">
        <v>0.25</v>
      </c>
      <c r="R477">
        <v>20272.919999999998</v>
      </c>
      <c r="S477">
        <v>15873.38</v>
      </c>
      <c r="T477">
        <v>4399.54</v>
      </c>
      <c r="U477" t="s">
        <v>111</v>
      </c>
      <c r="V477" t="s">
        <v>103</v>
      </c>
      <c r="X477" s="8" t="str">
        <f>IF(C477&gt;=B477,"Valid", "Invalid-Date")</f>
        <v>Valid</v>
      </c>
      <c r="Y477" s="8" t="str">
        <f t="shared" si="64"/>
        <v>Valid</v>
      </c>
      <c r="Z477" s="8" t="str">
        <f t="shared" si="65"/>
        <v>Pass</v>
      </c>
      <c r="AA477" s="8" t="str">
        <f t="shared" si="66"/>
        <v>Pass</v>
      </c>
      <c r="AB477" s="8" t="str">
        <f>TEXT(B477,"mmmm")</f>
        <v>January</v>
      </c>
      <c r="AC477" s="8" t="str">
        <f>TEXT(B477,"yyyy")</f>
        <v>2025</v>
      </c>
      <c r="AE477">
        <f t="shared" si="67"/>
        <v>27030.560000000001</v>
      </c>
      <c r="AF477" s="11">
        <f t="shared" si="68"/>
        <v>20272.920000000002</v>
      </c>
      <c r="AG477">
        <f t="shared" si="69"/>
        <v>11157.180000000002</v>
      </c>
      <c r="AH477" s="11">
        <f t="shared" si="70"/>
        <v>0.41276170379008059</v>
      </c>
      <c r="AI477" s="44">
        <f t="shared" si="71"/>
        <v>0.41276170379008059</v>
      </c>
    </row>
    <row r="478" spans="1:35">
      <c r="A478" t="s">
        <v>1527</v>
      </c>
      <c r="B478" s="5">
        <v>45478</v>
      </c>
      <c r="C478" s="5">
        <v>45426</v>
      </c>
      <c r="D478" s="13">
        <f t="shared" si="63"/>
        <v>-52</v>
      </c>
      <c r="E478" t="s">
        <v>1528</v>
      </c>
      <c r="F478" t="s">
        <v>132</v>
      </c>
      <c r="G478" t="s">
        <v>37</v>
      </c>
      <c r="H478" t="s">
        <v>25</v>
      </c>
      <c r="I478" t="s">
        <v>26</v>
      </c>
      <c r="J478" t="s">
        <v>27</v>
      </c>
      <c r="K478" t="s">
        <v>28</v>
      </c>
      <c r="L478" t="s">
        <v>124</v>
      </c>
      <c r="M478" t="s">
        <v>1529</v>
      </c>
      <c r="N478" t="s">
        <v>50</v>
      </c>
      <c r="O478">
        <v>3</v>
      </c>
      <c r="P478">
        <v>383.58</v>
      </c>
      <c r="Q478" s="11">
        <v>0.1</v>
      </c>
      <c r="R478">
        <v>1035.67</v>
      </c>
      <c r="S478">
        <v>595.41999999999996</v>
      </c>
      <c r="T478">
        <v>440.25</v>
      </c>
      <c r="U478" t="s">
        <v>32</v>
      </c>
      <c r="V478" t="s">
        <v>33</v>
      </c>
      <c r="X478" s="8" t="str">
        <f>IF(C478&gt;=B478,"Valid", "Invalid-Date")</f>
        <v>Invalid-Date</v>
      </c>
      <c r="Y478" s="8" t="str">
        <f t="shared" si="64"/>
        <v>Valid</v>
      </c>
      <c r="Z478" s="8" t="str">
        <f t="shared" si="65"/>
        <v>Pass</v>
      </c>
      <c r="AA478" s="8" t="str">
        <f t="shared" si="66"/>
        <v>Pass</v>
      </c>
      <c r="AB478" s="8" t="str">
        <f>TEXT(B478,"mmmm")</f>
        <v>July</v>
      </c>
      <c r="AC478" s="8" t="str">
        <f>TEXT(B478,"yyyy")</f>
        <v>2024</v>
      </c>
      <c r="AE478">
        <f t="shared" si="67"/>
        <v>1150.74</v>
      </c>
      <c r="AF478" s="11">
        <f t="shared" si="68"/>
        <v>1035.6659999999999</v>
      </c>
      <c r="AG478">
        <f t="shared" si="69"/>
        <v>555.32000000000005</v>
      </c>
      <c r="AH478" s="11">
        <f t="shared" si="70"/>
        <v>0.48257642908041787</v>
      </c>
      <c r="AI478" s="44">
        <f t="shared" si="71"/>
        <v>0.48257642908041787</v>
      </c>
    </row>
    <row r="479" spans="1:35">
      <c r="A479" t="s">
        <v>1530</v>
      </c>
      <c r="B479" s="5">
        <v>45892</v>
      </c>
      <c r="C479" s="5">
        <v>45897</v>
      </c>
      <c r="D479" s="13">
        <f t="shared" si="63"/>
        <v>5</v>
      </c>
      <c r="E479" t="s">
        <v>1531</v>
      </c>
      <c r="F479" t="s">
        <v>71</v>
      </c>
      <c r="G479" t="s">
        <v>90</v>
      </c>
      <c r="H479" t="s">
        <v>63</v>
      </c>
      <c r="I479" t="s">
        <v>180</v>
      </c>
      <c r="J479" t="s">
        <v>181</v>
      </c>
      <c r="K479" t="s">
        <v>41</v>
      </c>
      <c r="L479" t="s">
        <v>66</v>
      </c>
      <c r="M479" t="s">
        <v>1532</v>
      </c>
      <c r="N479" t="s">
        <v>59</v>
      </c>
      <c r="O479">
        <v>6</v>
      </c>
      <c r="P479">
        <v>2193.23</v>
      </c>
      <c r="Q479" s="11">
        <v>0.1</v>
      </c>
      <c r="R479">
        <v>11843.44</v>
      </c>
      <c r="S479">
        <v>9356.8799999999992</v>
      </c>
      <c r="T479">
        <v>2486.56</v>
      </c>
      <c r="U479" t="s">
        <v>32</v>
      </c>
      <c r="V479" t="s">
        <v>68</v>
      </c>
      <c r="X479" s="8" t="str">
        <f>IF(C479&gt;=B479,"Valid", "Invalid-Date")</f>
        <v>Valid</v>
      </c>
      <c r="Y479" s="8" t="str">
        <f t="shared" si="64"/>
        <v>Valid</v>
      </c>
      <c r="Z479" s="8" t="str">
        <f t="shared" si="65"/>
        <v>Pass</v>
      </c>
      <c r="AA479" s="8" t="str">
        <f t="shared" si="66"/>
        <v>Pass</v>
      </c>
      <c r="AB479" s="8" t="str">
        <f>TEXT(B479,"mmmm")</f>
        <v>August</v>
      </c>
      <c r="AC479" s="8" t="str">
        <f>TEXT(B479,"yyyy")</f>
        <v>2025</v>
      </c>
      <c r="AE479">
        <f t="shared" si="67"/>
        <v>13159.380000000001</v>
      </c>
      <c r="AF479" s="11">
        <f t="shared" si="68"/>
        <v>11843.442000000001</v>
      </c>
      <c r="AG479">
        <f t="shared" si="69"/>
        <v>3802.5000000000018</v>
      </c>
      <c r="AH479" s="11">
        <f t="shared" si="70"/>
        <v>0.28895738249066455</v>
      </c>
      <c r="AI479" s="44">
        <f t="shared" si="71"/>
        <v>0.28895738249066455</v>
      </c>
    </row>
    <row r="480" spans="1:35">
      <c r="A480" t="s">
        <v>1533</v>
      </c>
      <c r="B480" s="5">
        <v>45541</v>
      </c>
      <c r="C480" s="5">
        <v>45456</v>
      </c>
      <c r="D480" s="13">
        <f t="shared" si="63"/>
        <v>-85</v>
      </c>
      <c r="E480" t="s">
        <v>1534</v>
      </c>
      <c r="F480" t="s">
        <v>36</v>
      </c>
      <c r="G480" t="s">
        <v>95</v>
      </c>
      <c r="H480" t="s">
        <v>2785</v>
      </c>
      <c r="I480" t="s">
        <v>136</v>
      </c>
      <c r="J480" t="s">
        <v>137</v>
      </c>
      <c r="K480" t="s">
        <v>74</v>
      </c>
      <c r="L480" t="s">
        <v>274</v>
      </c>
      <c r="M480" t="s">
        <v>1535</v>
      </c>
      <c r="N480" t="s">
        <v>44</v>
      </c>
      <c r="O480">
        <v>7</v>
      </c>
      <c r="P480">
        <v>4079.71</v>
      </c>
      <c r="Q480" s="11">
        <v>0.1</v>
      </c>
      <c r="R480">
        <v>25702.17</v>
      </c>
      <c r="S480">
        <v>14571.48</v>
      </c>
      <c r="T480">
        <v>11130.69</v>
      </c>
      <c r="U480" t="s">
        <v>102</v>
      </c>
      <c r="V480" t="s">
        <v>103</v>
      </c>
      <c r="X480" s="8" t="str">
        <f>IF(C480&gt;=B480,"Valid", "Invalid-Date")</f>
        <v>Invalid-Date</v>
      </c>
      <c r="Y480" s="8" t="str">
        <f t="shared" si="64"/>
        <v>Valid</v>
      </c>
      <c r="Z480" s="8" t="str">
        <f t="shared" si="65"/>
        <v>Pass</v>
      </c>
      <c r="AA480" s="8" t="str">
        <f t="shared" si="66"/>
        <v>Flagged</v>
      </c>
      <c r="AB480" s="8" t="str">
        <f>TEXT(B480,"mmmm")</f>
        <v>September</v>
      </c>
      <c r="AC480" s="8" t="str">
        <f>TEXT(B480,"yyyy")</f>
        <v>2024</v>
      </c>
      <c r="AE480">
        <f t="shared" si="67"/>
        <v>28557.97</v>
      </c>
      <c r="AF480" s="11">
        <f t="shared" si="68"/>
        <v>25702.173000000003</v>
      </c>
      <c r="AG480">
        <f t="shared" si="69"/>
        <v>13986.490000000002</v>
      </c>
      <c r="AH480" s="11">
        <f t="shared" si="70"/>
        <v>0.48975785043544767</v>
      </c>
      <c r="AI480" s="44">
        <f t="shared" si="71"/>
        <v>0.48975785043544767</v>
      </c>
    </row>
    <row r="481" spans="1:35">
      <c r="A481" t="s">
        <v>1536</v>
      </c>
      <c r="B481" s="5">
        <v>45345</v>
      </c>
      <c r="C481" s="5">
        <v>45342</v>
      </c>
      <c r="D481" s="13">
        <f t="shared" si="63"/>
        <v>-3</v>
      </c>
      <c r="E481" t="s">
        <v>1537</v>
      </c>
      <c r="F481" t="s">
        <v>53</v>
      </c>
      <c r="G481" t="s">
        <v>90</v>
      </c>
      <c r="H481" t="s">
        <v>38</v>
      </c>
      <c r="I481" t="s">
        <v>39</v>
      </c>
      <c r="J481" t="s">
        <v>40</v>
      </c>
      <c r="K481" t="s">
        <v>41</v>
      </c>
      <c r="L481" t="s">
        <v>66</v>
      </c>
      <c r="M481" t="s">
        <v>1538</v>
      </c>
      <c r="N481" t="s">
        <v>31</v>
      </c>
      <c r="O481">
        <v>1</v>
      </c>
      <c r="P481">
        <v>2202.5500000000002</v>
      </c>
      <c r="Q481" s="11">
        <v>0</v>
      </c>
      <c r="R481">
        <v>1651.91</v>
      </c>
      <c r="S481">
        <v>1034.57</v>
      </c>
      <c r="T481">
        <v>617.34</v>
      </c>
      <c r="U481" t="s">
        <v>32</v>
      </c>
      <c r="V481" t="s">
        <v>33</v>
      </c>
      <c r="X481" s="8" t="str">
        <f>IF(C481&gt;=B481,"Valid", "Invalid-Date")</f>
        <v>Invalid-Date</v>
      </c>
      <c r="Y481" s="8" t="str">
        <f t="shared" si="64"/>
        <v>Valid</v>
      </c>
      <c r="Z481" s="8" t="str">
        <f t="shared" si="65"/>
        <v>Pass</v>
      </c>
      <c r="AA481" s="8" t="str">
        <f t="shared" si="66"/>
        <v>Pass</v>
      </c>
      <c r="AB481" s="8" t="str">
        <f>TEXT(B481,"mmmm")</f>
        <v>February</v>
      </c>
      <c r="AC481" s="8" t="str">
        <f>TEXT(B481,"yyyy")</f>
        <v>2024</v>
      </c>
      <c r="AE481">
        <f t="shared" si="67"/>
        <v>2202.5500000000002</v>
      </c>
      <c r="AF481" s="11">
        <f t="shared" si="68"/>
        <v>2202.5500000000002</v>
      </c>
      <c r="AG481">
        <f t="shared" si="69"/>
        <v>1167.9800000000002</v>
      </c>
      <c r="AH481" s="11">
        <f t="shared" si="70"/>
        <v>0.53028535107035035</v>
      </c>
      <c r="AI481" s="44">
        <f t="shared" si="71"/>
        <v>0.53028535107035035</v>
      </c>
    </row>
    <row r="482" spans="1:35">
      <c r="A482" t="s">
        <v>1539</v>
      </c>
      <c r="B482" s="5">
        <v>45662</v>
      </c>
      <c r="C482" s="5">
        <v>45901</v>
      </c>
      <c r="D482" s="13">
        <f t="shared" si="63"/>
        <v>239</v>
      </c>
      <c r="E482" t="s">
        <v>1540</v>
      </c>
      <c r="F482" t="s">
        <v>79</v>
      </c>
      <c r="G482" t="s">
        <v>37</v>
      </c>
      <c r="H482" t="s">
        <v>54</v>
      </c>
      <c r="I482" t="s">
        <v>247</v>
      </c>
      <c r="J482" t="s">
        <v>248</v>
      </c>
      <c r="K482" t="s">
        <v>28</v>
      </c>
      <c r="L482" t="s">
        <v>124</v>
      </c>
      <c r="M482" t="s">
        <v>1541</v>
      </c>
      <c r="N482" t="s">
        <v>2785</v>
      </c>
      <c r="O482">
        <v>5</v>
      </c>
      <c r="P482">
        <v>905.16</v>
      </c>
      <c r="Q482" s="11">
        <v>0</v>
      </c>
      <c r="R482">
        <v>4525.8</v>
      </c>
      <c r="S482">
        <v>2714.51</v>
      </c>
      <c r="T482">
        <v>1811.29</v>
      </c>
      <c r="U482" t="s">
        <v>32</v>
      </c>
      <c r="V482" t="s">
        <v>33</v>
      </c>
      <c r="X482" s="8" t="str">
        <f>IF(C482&gt;=B482,"Valid", "Invalid-Date")</f>
        <v>Valid</v>
      </c>
      <c r="Y482" s="8" t="str">
        <f t="shared" si="64"/>
        <v>Valid</v>
      </c>
      <c r="Z482" s="8" t="str">
        <f t="shared" si="65"/>
        <v>Flagged</v>
      </c>
      <c r="AA482" s="8" t="str">
        <f t="shared" si="66"/>
        <v>Pass</v>
      </c>
      <c r="AB482" s="8" t="str">
        <f>TEXT(B482,"mmmm")</f>
        <v>January</v>
      </c>
      <c r="AC482" s="8" t="str">
        <f>TEXT(B482,"yyyy")</f>
        <v>2025</v>
      </c>
      <c r="AE482">
        <f t="shared" si="67"/>
        <v>4525.8</v>
      </c>
      <c r="AF482" s="11">
        <f t="shared" si="68"/>
        <v>4525.8</v>
      </c>
      <c r="AG482">
        <f t="shared" si="69"/>
        <v>1811.29</v>
      </c>
      <c r="AH482" s="11">
        <f t="shared" si="70"/>
        <v>0.40021432674886204</v>
      </c>
      <c r="AI482" s="44">
        <f t="shared" si="71"/>
        <v>0.40021432674886204</v>
      </c>
    </row>
    <row r="483" spans="1:35">
      <c r="A483" t="s">
        <v>1542</v>
      </c>
      <c r="B483" s="5">
        <v>45813</v>
      </c>
      <c r="C483" s="5">
        <v>45821</v>
      </c>
      <c r="D483" s="13">
        <f t="shared" si="63"/>
        <v>8</v>
      </c>
      <c r="E483" t="s">
        <v>1543</v>
      </c>
      <c r="F483" t="s">
        <v>47</v>
      </c>
      <c r="G483" t="s">
        <v>24</v>
      </c>
      <c r="H483" t="s">
        <v>25</v>
      </c>
      <c r="I483" t="s">
        <v>136</v>
      </c>
      <c r="J483" t="s">
        <v>137</v>
      </c>
      <c r="K483" t="s">
        <v>74</v>
      </c>
      <c r="L483" t="s">
        <v>274</v>
      </c>
      <c r="M483" t="s">
        <v>1544</v>
      </c>
      <c r="N483" t="s">
        <v>44</v>
      </c>
      <c r="O483">
        <v>4</v>
      </c>
      <c r="P483">
        <v>2793.88</v>
      </c>
      <c r="Q483" s="11">
        <v>0.85</v>
      </c>
      <c r="R483">
        <v>10616.74</v>
      </c>
      <c r="S483">
        <v>6353.59</v>
      </c>
      <c r="T483">
        <v>4263.1499999999996</v>
      </c>
      <c r="U483" t="s">
        <v>32</v>
      </c>
      <c r="V483" t="s">
        <v>33</v>
      </c>
      <c r="X483" s="8" t="str">
        <f>IF(C483&gt;=B483,"Valid", "Invalid-Date")</f>
        <v>Valid</v>
      </c>
      <c r="Y483" s="8" t="str">
        <f t="shared" si="64"/>
        <v>Invalid-Discount</v>
      </c>
      <c r="Z483" s="8" t="str">
        <f t="shared" si="65"/>
        <v>Pass</v>
      </c>
      <c r="AA483" s="8" t="str">
        <f t="shared" si="66"/>
        <v>Pass</v>
      </c>
      <c r="AB483" s="8" t="str">
        <f>TEXT(B483,"mmmm")</f>
        <v>June</v>
      </c>
      <c r="AC483" s="8" t="str">
        <f>TEXT(B483,"yyyy")</f>
        <v>2025</v>
      </c>
      <c r="AE483">
        <f t="shared" si="67"/>
        <v>11175.52</v>
      </c>
      <c r="AF483" s="11">
        <f t="shared" si="68"/>
        <v>1676.3280000000002</v>
      </c>
      <c r="AG483">
        <f t="shared" si="69"/>
        <v>4821.93</v>
      </c>
      <c r="AH483" s="11">
        <f t="shared" si="70"/>
        <v>0.43147253998024254</v>
      </c>
      <c r="AI483" s="44">
        <f t="shared" si="71"/>
        <v>0.43147253998024254</v>
      </c>
    </row>
    <row r="484" spans="1:35">
      <c r="A484" t="s">
        <v>1545</v>
      </c>
      <c r="B484" s="5">
        <v>45495</v>
      </c>
      <c r="C484" s="5">
        <v>45495</v>
      </c>
      <c r="D484" s="13">
        <f t="shared" si="63"/>
        <v>0</v>
      </c>
      <c r="E484" t="s">
        <v>1546</v>
      </c>
      <c r="F484" t="s">
        <v>114</v>
      </c>
      <c r="G484" t="s">
        <v>24</v>
      </c>
      <c r="H484" t="s">
        <v>54</v>
      </c>
      <c r="I484" t="s">
        <v>175</v>
      </c>
      <c r="J484" t="s">
        <v>176</v>
      </c>
      <c r="K484" t="s">
        <v>74</v>
      </c>
      <c r="L484" t="s">
        <v>75</v>
      </c>
      <c r="M484" t="s">
        <v>1547</v>
      </c>
      <c r="N484" t="s">
        <v>31</v>
      </c>
      <c r="O484">
        <v>3</v>
      </c>
      <c r="P484">
        <v>1286.22</v>
      </c>
      <c r="Q484" s="11">
        <v>0.25</v>
      </c>
      <c r="R484">
        <v>2893.99</v>
      </c>
      <c r="S484">
        <v>1856.03</v>
      </c>
      <c r="T484">
        <v>1037.96</v>
      </c>
      <c r="U484" t="s">
        <v>32</v>
      </c>
      <c r="V484" t="s">
        <v>33</v>
      </c>
      <c r="X484" s="8" t="str">
        <f>IF(C484&gt;=B484,"Valid", "Invalid-Date")</f>
        <v>Valid</v>
      </c>
      <c r="Y484" s="8" t="str">
        <f t="shared" si="64"/>
        <v>Valid</v>
      </c>
      <c r="Z484" s="8" t="str">
        <f t="shared" si="65"/>
        <v>Pass</v>
      </c>
      <c r="AA484" s="8" t="str">
        <f t="shared" si="66"/>
        <v>Pass</v>
      </c>
      <c r="AB484" s="8" t="str">
        <f>TEXT(B484,"mmmm")</f>
        <v>July</v>
      </c>
      <c r="AC484" s="8" t="str">
        <f>TEXT(B484,"yyyy")</f>
        <v>2024</v>
      </c>
      <c r="AE484">
        <f t="shared" si="67"/>
        <v>3858.66</v>
      </c>
      <c r="AF484" s="11">
        <f t="shared" si="68"/>
        <v>2893.9949999999999</v>
      </c>
      <c r="AG484">
        <f t="shared" si="69"/>
        <v>2002.6299999999999</v>
      </c>
      <c r="AH484" s="11">
        <f t="shared" si="70"/>
        <v>0.51899623185250843</v>
      </c>
      <c r="AI484" s="44">
        <f t="shared" si="71"/>
        <v>0.51899623185250843</v>
      </c>
    </row>
    <row r="485" spans="1:35">
      <c r="A485" t="s">
        <v>1548</v>
      </c>
      <c r="B485" s="5">
        <v>45651</v>
      </c>
      <c r="C485" s="5">
        <v>45651</v>
      </c>
      <c r="D485" s="13">
        <f t="shared" si="63"/>
        <v>0</v>
      </c>
      <c r="E485" t="s">
        <v>1549</v>
      </c>
      <c r="F485" t="s">
        <v>36</v>
      </c>
      <c r="G485" t="s">
        <v>90</v>
      </c>
      <c r="H485" t="s">
        <v>38</v>
      </c>
      <c r="I485" t="s">
        <v>145</v>
      </c>
      <c r="J485" t="s">
        <v>146</v>
      </c>
      <c r="K485" t="s">
        <v>74</v>
      </c>
      <c r="L485" t="s">
        <v>80</v>
      </c>
      <c r="M485" t="s">
        <v>1550</v>
      </c>
      <c r="N485" t="s">
        <v>59</v>
      </c>
      <c r="O485">
        <v>1</v>
      </c>
      <c r="P485">
        <v>829.66</v>
      </c>
      <c r="Q485" s="11">
        <v>0.15</v>
      </c>
      <c r="R485">
        <v>705.21</v>
      </c>
      <c r="S485">
        <v>438.32</v>
      </c>
      <c r="T485">
        <v>266.89</v>
      </c>
      <c r="U485" t="s">
        <v>32</v>
      </c>
      <c r="V485" t="s">
        <v>33</v>
      </c>
      <c r="X485" s="8" t="str">
        <f>IF(C485&gt;=B485,"Valid", "Invalid-Date")</f>
        <v>Valid</v>
      </c>
      <c r="Y485" s="8" t="str">
        <f t="shared" si="64"/>
        <v>Valid</v>
      </c>
      <c r="Z485" s="8" t="str">
        <f t="shared" si="65"/>
        <v>Pass</v>
      </c>
      <c r="AA485" s="8" t="str">
        <f t="shared" si="66"/>
        <v>Pass</v>
      </c>
      <c r="AB485" s="8" t="str">
        <f>TEXT(B485,"mmmm")</f>
        <v>December</v>
      </c>
      <c r="AC485" s="8" t="str">
        <f>TEXT(B485,"yyyy")</f>
        <v>2024</v>
      </c>
      <c r="AE485">
        <f t="shared" si="67"/>
        <v>829.66</v>
      </c>
      <c r="AF485" s="11">
        <f t="shared" si="68"/>
        <v>705.2109999999999</v>
      </c>
      <c r="AG485">
        <f t="shared" si="69"/>
        <v>391.34</v>
      </c>
      <c r="AH485" s="11">
        <f t="shared" si="70"/>
        <v>0.47168719716510377</v>
      </c>
      <c r="AI485" s="44">
        <f t="shared" si="71"/>
        <v>0.47168719716510377</v>
      </c>
    </row>
    <row r="486" spans="1:35">
      <c r="A486" t="s">
        <v>1551</v>
      </c>
      <c r="B486" s="5">
        <v>45654</v>
      </c>
      <c r="C486" s="5">
        <v>45657</v>
      </c>
      <c r="D486" s="13">
        <f t="shared" si="63"/>
        <v>3</v>
      </c>
      <c r="E486" t="s">
        <v>1552</v>
      </c>
      <c r="F486" t="s">
        <v>36</v>
      </c>
      <c r="G486" t="s">
        <v>37</v>
      </c>
      <c r="H486" t="s">
        <v>54</v>
      </c>
      <c r="I486" t="s">
        <v>84</v>
      </c>
      <c r="J486" t="s">
        <v>85</v>
      </c>
      <c r="K486" t="s">
        <v>41</v>
      </c>
      <c r="L486" t="s">
        <v>57</v>
      </c>
      <c r="M486" t="s">
        <v>1553</v>
      </c>
      <c r="N486" t="s">
        <v>50</v>
      </c>
      <c r="O486">
        <v>6</v>
      </c>
      <c r="P486">
        <v>3641.22</v>
      </c>
      <c r="Q486" s="11">
        <v>0.25</v>
      </c>
      <c r="R486">
        <v>16385.490000000002</v>
      </c>
      <c r="S486">
        <v>13679.24</v>
      </c>
      <c r="T486">
        <v>2706.25</v>
      </c>
      <c r="U486" t="s">
        <v>32</v>
      </c>
      <c r="V486" t="s">
        <v>33</v>
      </c>
      <c r="X486" s="8" t="str">
        <f>IF(C486&gt;=B486,"Valid", "Invalid-Date")</f>
        <v>Valid</v>
      </c>
      <c r="Y486" s="8" t="str">
        <f t="shared" si="64"/>
        <v>Valid</v>
      </c>
      <c r="Z486" s="8" t="str">
        <f t="shared" si="65"/>
        <v>Pass</v>
      </c>
      <c r="AA486" s="8" t="str">
        <f t="shared" si="66"/>
        <v>Pass</v>
      </c>
      <c r="AB486" s="8" t="str">
        <f>TEXT(B486,"mmmm")</f>
        <v>December</v>
      </c>
      <c r="AC486" s="8" t="str">
        <f>TEXT(B486,"yyyy")</f>
        <v>2024</v>
      </c>
      <c r="AE486">
        <f t="shared" si="67"/>
        <v>21847.32</v>
      </c>
      <c r="AF486" s="11">
        <f t="shared" si="68"/>
        <v>16385.489999999998</v>
      </c>
      <c r="AG486">
        <f t="shared" si="69"/>
        <v>8168.08</v>
      </c>
      <c r="AH486" s="11">
        <f t="shared" si="70"/>
        <v>0.37387102857467186</v>
      </c>
      <c r="AI486" s="44">
        <f t="shared" si="71"/>
        <v>0.37387102857467186</v>
      </c>
    </row>
    <row r="487" spans="1:35">
      <c r="A487" t="s">
        <v>1554</v>
      </c>
      <c r="B487" s="5">
        <v>45679</v>
      </c>
      <c r="C487" s="5">
        <v>45680</v>
      </c>
      <c r="D487" s="13">
        <f t="shared" si="63"/>
        <v>1</v>
      </c>
      <c r="E487" t="s">
        <v>1555</v>
      </c>
      <c r="F487" t="s">
        <v>118</v>
      </c>
      <c r="G487" t="s">
        <v>90</v>
      </c>
      <c r="H487" t="s">
        <v>63</v>
      </c>
      <c r="I487" t="s">
        <v>190</v>
      </c>
      <c r="J487" t="s">
        <v>191</v>
      </c>
      <c r="K487" t="s">
        <v>41</v>
      </c>
      <c r="L487" t="s">
        <v>158</v>
      </c>
      <c r="M487" t="s">
        <v>1556</v>
      </c>
      <c r="N487" t="s">
        <v>59</v>
      </c>
      <c r="O487">
        <v>4</v>
      </c>
      <c r="P487">
        <v>2555.19</v>
      </c>
      <c r="Q487" s="11">
        <v>0.25</v>
      </c>
      <c r="R487">
        <v>7665.57</v>
      </c>
      <c r="S487">
        <v>5595.6</v>
      </c>
      <c r="T487">
        <v>2069.9699999999998</v>
      </c>
      <c r="U487" t="s">
        <v>32</v>
      </c>
      <c r="V487" t="s">
        <v>33</v>
      </c>
      <c r="X487" s="8" t="str">
        <f>IF(C487&gt;=B487,"Valid", "Invalid-Date")</f>
        <v>Valid</v>
      </c>
      <c r="Y487" s="8" t="str">
        <f t="shared" si="64"/>
        <v>Valid</v>
      </c>
      <c r="Z487" s="8" t="str">
        <f t="shared" si="65"/>
        <v>Pass</v>
      </c>
      <c r="AA487" s="8" t="str">
        <f t="shared" si="66"/>
        <v>Pass</v>
      </c>
      <c r="AB487" s="8" t="str">
        <f>TEXT(B487,"mmmm")</f>
        <v>January</v>
      </c>
      <c r="AC487" s="8" t="str">
        <f>TEXT(B487,"yyyy")</f>
        <v>2025</v>
      </c>
      <c r="AE487">
        <f t="shared" si="67"/>
        <v>10220.76</v>
      </c>
      <c r="AF487" s="11">
        <f t="shared" si="68"/>
        <v>7665.57</v>
      </c>
      <c r="AG487">
        <f t="shared" si="69"/>
        <v>4625.16</v>
      </c>
      <c r="AH487" s="11">
        <f t="shared" si="70"/>
        <v>0.45252603524591123</v>
      </c>
      <c r="AI487" s="44">
        <f t="shared" si="71"/>
        <v>0.45252603524591123</v>
      </c>
    </row>
    <row r="488" spans="1:35">
      <c r="A488" t="s">
        <v>1557</v>
      </c>
      <c r="B488" s="5">
        <v>45830</v>
      </c>
      <c r="C488" s="5">
        <v>45834</v>
      </c>
      <c r="D488" s="13">
        <f t="shared" si="63"/>
        <v>4</v>
      </c>
      <c r="E488" t="s">
        <v>1558</v>
      </c>
      <c r="F488" t="s">
        <v>118</v>
      </c>
      <c r="G488" t="s">
        <v>90</v>
      </c>
      <c r="H488" t="s">
        <v>63</v>
      </c>
      <c r="I488" t="s">
        <v>190</v>
      </c>
      <c r="J488" t="s">
        <v>191</v>
      </c>
      <c r="K488" t="s">
        <v>41</v>
      </c>
      <c r="L488" t="s">
        <v>42</v>
      </c>
      <c r="M488" t="s">
        <v>1559</v>
      </c>
      <c r="N488" t="s">
        <v>59</v>
      </c>
      <c r="O488">
        <v>3</v>
      </c>
      <c r="P488">
        <v>1946.18</v>
      </c>
      <c r="Q488" s="11">
        <v>0.2</v>
      </c>
      <c r="R488">
        <v>4670.83</v>
      </c>
      <c r="S488">
        <v>3166.49</v>
      </c>
      <c r="T488">
        <v>1504.34</v>
      </c>
      <c r="U488" t="s">
        <v>32</v>
      </c>
      <c r="V488" t="s">
        <v>33</v>
      </c>
      <c r="X488" s="8" t="str">
        <f>IF(C488&gt;=B488,"Valid", "Invalid-Date")</f>
        <v>Valid</v>
      </c>
      <c r="Y488" s="8" t="str">
        <f t="shared" si="64"/>
        <v>Valid</v>
      </c>
      <c r="Z488" s="8" t="str">
        <f t="shared" si="65"/>
        <v>Pass</v>
      </c>
      <c r="AA488" s="8" t="str">
        <f t="shared" si="66"/>
        <v>Pass</v>
      </c>
      <c r="AB488" s="8" t="str">
        <f>TEXT(B488,"mmmm")</f>
        <v>June</v>
      </c>
      <c r="AC488" s="8" t="str">
        <f>TEXT(B488,"yyyy")</f>
        <v>2025</v>
      </c>
      <c r="AE488">
        <f t="shared" si="67"/>
        <v>5838.54</v>
      </c>
      <c r="AF488" s="11">
        <f t="shared" si="68"/>
        <v>4670.8320000000003</v>
      </c>
      <c r="AG488">
        <f t="shared" si="69"/>
        <v>2672.05</v>
      </c>
      <c r="AH488" s="11">
        <f t="shared" si="70"/>
        <v>0.45765722252480934</v>
      </c>
      <c r="AI488" s="44">
        <f t="shared" si="71"/>
        <v>0.45765722252480934</v>
      </c>
    </row>
    <row r="489" spans="1:35">
      <c r="A489" t="s">
        <v>1560</v>
      </c>
      <c r="B489" s="5">
        <v>45818</v>
      </c>
      <c r="C489" s="5">
        <v>45825</v>
      </c>
      <c r="D489" s="13">
        <f t="shared" si="63"/>
        <v>7</v>
      </c>
      <c r="E489" t="s">
        <v>1561</v>
      </c>
      <c r="F489" t="s">
        <v>118</v>
      </c>
      <c r="G489" t="s">
        <v>90</v>
      </c>
      <c r="H489" t="s">
        <v>54</v>
      </c>
      <c r="I489" t="s">
        <v>55</v>
      </c>
      <c r="J489" t="s">
        <v>56</v>
      </c>
      <c r="K489" t="s">
        <v>41</v>
      </c>
      <c r="L489" t="s">
        <v>57</v>
      </c>
      <c r="M489" t="s">
        <v>1562</v>
      </c>
      <c r="N489" t="s">
        <v>59</v>
      </c>
      <c r="O489">
        <v>5</v>
      </c>
      <c r="P489">
        <v>1231.0999999999999</v>
      </c>
      <c r="Q489" s="11">
        <v>0</v>
      </c>
      <c r="R489">
        <v>6155.5</v>
      </c>
      <c r="S489">
        <v>4282.09</v>
      </c>
      <c r="T489">
        <v>1873.41</v>
      </c>
      <c r="U489" t="s">
        <v>102</v>
      </c>
      <c r="V489" t="s">
        <v>103</v>
      </c>
      <c r="X489" s="8" t="str">
        <f>IF(C489&gt;=B489,"Valid", "Invalid-Date")</f>
        <v>Valid</v>
      </c>
      <c r="Y489" s="8" t="str">
        <f t="shared" si="64"/>
        <v>Valid</v>
      </c>
      <c r="Z489" s="8" t="str">
        <f t="shared" si="65"/>
        <v>Pass</v>
      </c>
      <c r="AA489" s="8" t="str">
        <f t="shared" si="66"/>
        <v>Pass</v>
      </c>
      <c r="AB489" s="8" t="str">
        <f>TEXT(B489,"mmmm")</f>
        <v>June</v>
      </c>
      <c r="AC489" s="8" t="str">
        <f>TEXT(B489,"yyyy")</f>
        <v>2025</v>
      </c>
      <c r="AE489">
        <f t="shared" si="67"/>
        <v>6155.5</v>
      </c>
      <c r="AF489" s="11">
        <f t="shared" si="68"/>
        <v>6155.5</v>
      </c>
      <c r="AG489">
        <f t="shared" si="69"/>
        <v>1873.4099999999999</v>
      </c>
      <c r="AH489" s="11">
        <f t="shared" si="70"/>
        <v>0.3043473316546178</v>
      </c>
      <c r="AI489" s="44">
        <f t="shared" si="71"/>
        <v>0.3043473316546178</v>
      </c>
    </row>
    <row r="490" spans="1:35">
      <c r="A490" t="s">
        <v>1563</v>
      </c>
      <c r="B490" s="5">
        <v>45579</v>
      </c>
      <c r="C490" s="5">
        <v>45585</v>
      </c>
      <c r="D490" s="13">
        <f t="shared" si="63"/>
        <v>6</v>
      </c>
      <c r="E490" t="s">
        <v>1564</v>
      </c>
      <c r="F490" t="s">
        <v>89</v>
      </c>
      <c r="G490" t="s">
        <v>37</v>
      </c>
      <c r="H490" t="s">
        <v>25</v>
      </c>
      <c r="I490" t="s">
        <v>26</v>
      </c>
      <c r="J490" t="s">
        <v>27</v>
      </c>
      <c r="K490" t="s">
        <v>41</v>
      </c>
      <c r="L490" t="s">
        <v>42</v>
      </c>
      <c r="M490" t="s">
        <v>1565</v>
      </c>
      <c r="N490" t="s">
        <v>44</v>
      </c>
      <c r="O490">
        <v>7</v>
      </c>
      <c r="P490">
        <v>1547.6</v>
      </c>
      <c r="Q490" s="11">
        <v>0.2</v>
      </c>
      <c r="R490">
        <v>8666.56</v>
      </c>
      <c r="S490">
        <v>5967.44</v>
      </c>
      <c r="T490">
        <v>2699.12</v>
      </c>
      <c r="U490" t="s">
        <v>32</v>
      </c>
      <c r="V490" t="s">
        <v>33</v>
      </c>
      <c r="X490" s="8" t="str">
        <f>IF(C490&gt;=B490,"Valid", "Invalid-Date")</f>
        <v>Valid</v>
      </c>
      <c r="Y490" s="8" t="str">
        <f t="shared" si="64"/>
        <v>Valid</v>
      </c>
      <c r="Z490" s="8" t="str">
        <f t="shared" si="65"/>
        <v>Pass</v>
      </c>
      <c r="AA490" s="8" t="str">
        <f t="shared" si="66"/>
        <v>Pass</v>
      </c>
      <c r="AB490" s="8" t="str">
        <f>TEXT(B490,"mmmm")</f>
        <v>October</v>
      </c>
      <c r="AC490" s="8" t="str">
        <f>TEXT(B490,"yyyy")</f>
        <v>2024</v>
      </c>
      <c r="AE490">
        <f t="shared" si="67"/>
        <v>10833.199999999999</v>
      </c>
      <c r="AF490" s="11">
        <f t="shared" si="68"/>
        <v>8666.56</v>
      </c>
      <c r="AG490">
        <f t="shared" si="69"/>
        <v>4865.7599999999993</v>
      </c>
      <c r="AH490" s="11">
        <f t="shared" si="70"/>
        <v>0.44915260495513787</v>
      </c>
      <c r="AI490" s="44">
        <f t="shared" si="71"/>
        <v>0.44915260495513787</v>
      </c>
    </row>
    <row r="491" spans="1:35">
      <c r="A491" t="s">
        <v>1566</v>
      </c>
      <c r="B491" s="5">
        <v>45329</v>
      </c>
      <c r="C491" s="5">
        <v>45628</v>
      </c>
      <c r="D491" s="13">
        <f t="shared" si="63"/>
        <v>299</v>
      </c>
      <c r="E491" t="s">
        <v>1567</v>
      </c>
      <c r="F491" t="s">
        <v>53</v>
      </c>
      <c r="G491" t="s">
        <v>95</v>
      </c>
      <c r="H491" t="s">
        <v>38</v>
      </c>
      <c r="I491" t="s">
        <v>99</v>
      </c>
      <c r="J491" t="s">
        <v>100</v>
      </c>
      <c r="K491" t="s">
        <v>74</v>
      </c>
      <c r="L491" t="s">
        <v>75</v>
      </c>
      <c r="M491" t="s">
        <v>1568</v>
      </c>
      <c r="N491" t="s">
        <v>31</v>
      </c>
      <c r="O491">
        <v>1</v>
      </c>
      <c r="P491">
        <v>452.19</v>
      </c>
      <c r="Q491" s="11">
        <v>0.2</v>
      </c>
      <c r="R491">
        <v>361.75</v>
      </c>
      <c r="S491">
        <v>262.52999999999997</v>
      </c>
      <c r="T491">
        <v>99.22</v>
      </c>
      <c r="U491" t="s">
        <v>32</v>
      </c>
      <c r="V491" t="s">
        <v>33</v>
      </c>
      <c r="X491" s="8" t="str">
        <f>IF(C491&gt;=B491,"Valid", "Invalid-Date")</f>
        <v>Valid</v>
      </c>
      <c r="Y491" s="8" t="str">
        <f t="shared" si="64"/>
        <v>Valid</v>
      </c>
      <c r="Z491" s="8" t="str">
        <f t="shared" si="65"/>
        <v>Pass</v>
      </c>
      <c r="AA491" s="8" t="str">
        <f t="shared" si="66"/>
        <v>Pass</v>
      </c>
      <c r="AB491" s="8" t="str">
        <f>TEXT(B491,"mmmm")</f>
        <v>February</v>
      </c>
      <c r="AC491" s="8" t="str">
        <f>TEXT(B491,"yyyy")</f>
        <v>2024</v>
      </c>
      <c r="AE491">
        <f t="shared" si="67"/>
        <v>452.19</v>
      </c>
      <c r="AF491" s="11">
        <f t="shared" si="68"/>
        <v>361.75200000000001</v>
      </c>
      <c r="AG491">
        <f t="shared" si="69"/>
        <v>189.66000000000003</v>
      </c>
      <c r="AH491" s="11">
        <f t="shared" si="70"/>
        <v>0.41942546274796</v>
      </c>
      <c r="AI491" s="44">
        <f t="shared" si="71"/>
        <v>0.41942546274796</v>
      </c>
    </row>
    <row r="492" spans="1:35">
      <c r="A492" t="s">
        <v>1569</v>
      </c>
      <c r="B492" s="5">
        <v>45551</v>
      </c>
      <c r="C492" s="5">
        <v>45554</v>
      </c>
      <c r="D492" s="13">
        <f t="shared" si="63"/>
        <v>3</v>
      </c>
      <c r="E492" t="s">
        <v>1570</v>
      </c>
      <c r="F492" t="s">
        <v>89</v>
      </c>
      <c r="G492" t="s">
        <v>24</v>
      </c>
      <c r="H492" t="s">
        <v>63</v>
      </c>
      <c r="I492" t="s">
        <v>26</v>
      </c>
      <c r="J492" t="s">
        <v>109</v>
      </c>
      <c r="K492" t="s">
        <v>28</v>
      </c>
      <c r="L492" t="s">
        <v>153</v>
      </c>
      <c r="M492" t="s">
        <v>1571</v>
      </c>
      <c r="N492" t="s">
        <v>50</v>
      </c>
      <c r="O492">
        <v>7</v>
      </c>
      <c r="P492">
        <v>406.42</v>
      </c>
      <c r="Q492" s="11">
        <v>0.15</v>
      </c>
      <c r="R492">
        <v>2418.1999999999998</v>
      </c>
      <c r="S492">
        <v>1613.82</v>
      </c>
      <c r="T492">
        <v>804.38</v>
      </c>
      <c r="U492" t="s">
        <v>32</v>
      </c>
      <c r="V492" t="s">
        <v>33</v>
      </c>
      <c r="X492" s="8" t="str">
        <f>IF(C492&gt;=B492,"Valid", "Invalid-Date")</f>
        <v>Valid</v>
      </c>
      <c r="Y492" s="8" t="str">
        <f t="shared" si="64"/>
        <v>Valid</v>
      </c>
      <c r="Z492" s="8" t="str">
        <f t="shared" si="65"/>
        <v>Pass</v>
      </c>
      <c r="AA492" s="8" t="str">
        <f t="shared" si="66"/>
        <v>Pass</v>
      </c>
      <c r="AB492" s="8" t="str">
        <f>TEXT(B492,"mmmm")</f>
        <v>September</v>
      </c>
      <c r="AC492" s="8" t="str">
        <f>TEXT(B492,"yyyy")</f>
        <v>2024</v>
      </c>
      <c r="AE492">
        <f t="shared" si="67"/>
        <v>2844.94</v>
      </c>
      <c r="AF492" s="11">
        <f t="shared" si="68"/>
        <v>2418.1990000000001</v>
      </c>
      <c r="AG492">
        <f t="shared" si="69"/>
        <v>1231.1200000000001</v>
      </c>
      <c r="AH492" s="11">
        <f t="shared" si="70"/>
        <v>0.43274023353743846</v>
      </c>
      <c r="AI492" s="44">
        <f t="shared" si="71"/>
        <v>0.43274023353743846</v>
      </c>
    </row>
    <row r="493" spans="1:35">
      <c r="A493" t="s">
        <v>1572</v>
      </c>
      <c r="B493" s="5">
        <v>45776</v>
      </c>
      <c r="C493" s="5">
        <v>45777</v>
      </c>
      <c r="D493" s="13">
        <f t="shared" si="63"/>
        <v>1</v>
      </c>
      <c r="E493" t="s">
        <v>1573</v>
      </c>
      <c r="F493" t="s">
        <v>36</v>
      </c>
      <c r="G493" t="s">
        <v>90</v>
      </c>
      <c r="H493" t="s">
        <v>54</v>
      </c>
      <c r="I493" t="s">
        <v>185</v>
      </c>
      <c r="J493" t="s">
        <v>186</v>
      </c>
      <c r="K493" t="s">
        <v>74</v>
      </c>
      <c r="L493" t="s">
        <v>75</v>
      </c>
      <c r="M493" t="s">
        <v>1574</v>
      </c>
      <c r="N493" t="s">
        <v>59</v>
      </c>
      <c r="O493">
        <v>4</v>
      </c>
      <c r="P493">
        <v>606.58000000000004</v>
      </c>
      <c r="Q493" s="11">
        <v>0.2</v>
      </c>
      <c r="R493">
        <v>1941.06</v>
      </c>
      <c r="S493">
        <v>1207.42</v>
      </c>
      <c r="T493">
        <v>733.64</v>
      </c>
      <c r="U493" t="s">
        <v>32</v>
      </c>
      <c r="V493" t="s">
        <v>33</v>
      </c>
      <c r="X493" s="8" t="str">
        <f>IF(C493&gt;=B493,"Valid", "Invalid-Date")</f>
        <v>Valid</v>
      </c>
      <c r="Y493" s="8" t="str">
        <f t="shared" si="64"/>
        <v>Valid</v>
      </c>
      <c r="Z493" s="8" t="str">
        <f t="shared" si="65"/>
        <v>Pass</v>
      </c>
      <c r="AA493" s="8" t="str">
        <f t="shared" si="66"/>
        <v>Pass</v>
      </c>
      <c r="AB493" s="8" t="str">
        <f>TEXT(B493,"mmmm")</f>
        <v>April</v>
      </c>
      <c r="AC493" s="8" t="str">
        <f>TEXT(B493,"yyyy")</f>
        <v>2025</v>
      </c>
      <c r="AE493">
        <f t="shared" si="67"/>
        <v>2426.3200000000002</v>
      </c>
      <c r="AF493" s="11">
        <f t="shared" si="68"/>
        <v>1941.0560000000003</v>
      </c>
      <c r="AG493">
        <f t="shared" si="69"/>
        <v>1218.9000000000001</v>
      </c>
      <c r="AH493" s="11">
        <f t="shared" si="70"/>
        <v>0.50236572257575263</v>
      </c>
      <c r="AI493" s="44">
        <f t="shared" si="71"/>
        <v>0.50236572257575263</v>
      </c>
    </row>
    <row r="494" spans="1:35">
      <c r="A494" t="s">
        <v>1575</v>
      </c>
      <c r="B494" s="5">
        <v>45836</v>
      </c>
      <c r="C494" s="5">
        <v>45695</v>
      </c>
      <c r="D494" s="13">
        <f t="shared" si="63"/>
        <v>-141</v>
      </c>
      <c r="E494" t="s">
        <v>1576</v>
      </c>
      <c r="F494" t="s">
        <v>62</v>
      </c>
      <c r="G494" t="s">
        <v>90</v>
      </c>
      <c r="H494" t="s">
        <v>54</v>
      </c>
      <c r="I494" t="s">
        <v>84</v>
      </c>
      <c r="J494" t="s">
        <v>85</v>
      </c>
      <c r="K494" t="s">
        <v>28</v>
      </c>
      <c r="L494" t="s">
        <v>124</v>
      </c>
      <c r="M494" t="s">
        <v>1577</v>
      </c>
      <c r="N494" t="s">
        <v>31</v>
      </c>
      <c r="O494">
        <v>2</v>
      </c>
      <c r="P494">
        <v>2725.44</v>
      </c>
      <c r="Q494" s="11">
        <v>0.25</v>
      </c>
      <c r="R494">
        <v>4088.16</v>
      </c>
      <c r="S494">
        <v>3205.68</v>
      </c>
      <c r="T494">
        <v>882.48</v>
      </c>
      <c r="U494" t="s">
        <v>32</v>
      </c>
      <c r="V494" t="s">
        <v>33</v>
      </c>
      <c r="X494" s="8" t="str">
        <f>IF(C494&gt;=B494,"Valid", "Invalid-Date")</f>
        <v>Invalid-Date</v>
      </c>
      <c r="Y494" s="8" t="str">
        <f t="shared" si="64"/>
        <v>Valid</v>
      </c>
      <c r="Z494" s="8" t="str">
        <f t="shared" si="65"/>
        <v>Pass</v>
      </c>
      <c r="AA494" s="8" t="str">
        <f t="shared" si="66"/>
        <v>Pass</v>
      </c>
      <c r="AB494" s="8" t="str">
        <f>TEXT(B494,"mmmm")</f>
        <v>June</v>
      </c>
      <c r="AC494" s="8" t="str">
        <f>TEXT(B494,"yyyy")</f>
        <v>2025</v>
      </c>
      <c r="AE494">
        <f t="shared" si="67"/>
        <v>5450.88</v>
      </c>
      <c r="AF494" s="11">
        <f t="shared" si="68"/>
        <v>4088.16</v>
      </c>
      <c r="AG494">
        <f t="shared" si="69"/>
        <v>2245.2000000000003</v>
      </c>
      <c r="AH494" s="11">
        <f t="shared" si="70"/>
        <v>0.41189679464600215</v>
      </c>
      <c r="AI494" s="44">
        <f t="shared" si="71"/>
        <v>0.41189679464600215</v>
      </c>
    </row>
    <row r="495" spans="1:35">
      <c r="A495" t="s">
        <v>1578</v>
      </c>
      <c r="B495" s="5">
        <v>45701</v>
      </c>
      <c r="C495" s="5">
        <v>45701</v>
      </c>
      <c r="D495" s="13">
        <f t="shared" si="63"/>
        <v>0</v>
      </c>
      <c r="E495" t="s">
        <v>1579</v>
      </c>
      <c r="F495" t="s">
        <v>264</v>
      </c>
      <c r="G495" t="s">
        <v>90</v>
      </c>
      <c r="H495" t="s">
        <v>38</v>
      </c>
      <c r="I495" t="s">
        <v>39</v>
      </c>
      <c r="J495" t="s">
        <v>40</v>
      </c>
      <c r="K495" t="s">
        <v>28</v>
      </c>
      <c r="L495" t="s">
        <v>29</v>
      </c>
      <c r="M495" t="s">
        <v>1580</v>
      </c>
      <c r="N495" t="s">
        <v>31</v>
      </c>
      <c r="O495">
        <v>7</v>
      </c>
      <c r="P495">
        <v>2296.6999999999998</v>
      </c>
      <c r="Q495" s="11">
        <v>0.05</v>
      </c>
      <c r="R495">
        <v>15273.05</v>
      </c>
      <c r="S495">
        <v>11088.76</v>
      </c>
      <c r="T495">
        <v>4184.29</v>
      </c>
      <c r="U495" t="s">
        <v>32</v>
      </c>
      <c r="V495" t="s">
        <v>33</v>
      </c>
      <c r="X495" s="8" t="str">
        <f>IF(C495&gt;=B495,"Valid", "Invalid-Date")</f>
        <v>Valid</v>
      </c>
      <c r="Y495" s="8" t="str">
        <f t="shared" si="64"/>
        <v>Valid</v>
      </c>
      <c r="Z495" s="8" t="str">
        <f t="shared" si="65"/>
        <v>Pass</v>
      </c>
      <c r="AA495" s="8" t="str">
        <f t="shared" si="66"/>
        <v>Pass</v>
      </c>
      <c r="AB495" s="8" t="str">
        <f>TEXT(B495,"mmmm")</f>
        <v>February</v>
      </c>
      <c r="AC495" s="8" t="str">
        <f>TEXT(B495,"yyyy")</f>
        <v>2025</v>
      </c>
      <c r="AE495">
        <f t="shared" si="67"/>
        <v>16076.899999999998</v>
      </c>
      <c r="AF495" s="11">
        <f t="shared" si="68"/>
        <v>15273.054999999997</v>
      </c>
      <c r="AG495">
        <f t="shared" si="69"/>
        <v>4988.1399999999976</v>
      </c>
      <c r="AH495" s="11">
        <f t="shared" si="70"/>
        <v>0.31026752669979896</v>
      </c>
      <c r="AI495" s="44">
        <f t="shared" si="71"/>
        <v>0.31026752669979896</v>
      </c>
    </row>
    <row r="496" spans="1:35">
      <c r="A496" t="s">
        <v>1581</v>
      </c>
      <c r="B496" s="5">
        <v>45610</v>
      </c>
      <c r="C496" s="5">
        <v>45618</v>
      </c>
      <c r="D496" s="13">
        <f t="shared" si="63"/>
        <v>8</v>
      </c>
      <c r="E496" t="s">
        <v>1582</v>
      </c>
      <c r="F496" t="s">
        <v>47</v>
      </c>
      <c r="G496" t="s">
        <v>24</v>
      </c>
      <c r="H496" t="s">
        <v>63</v>
      </c>
      <c r="I496" t="s">
        <v>72</v>
      </c>
      <c r="J496" t="s">
        <v>73</v>
      </c>
      <c r="K496" t="s">
        <v>74</v>
      </c>
      <c r="L496" t="s">
        <v>171</v>
      </c>
      <c r="M496" t="s">
        <v>1583</v>
      </c>
      <c r="N496" t="s">
        <v>59</v>
      </c>
      <c r="O496">
        <v>3</v>
      </c>
      <c r="P496">
        <v>671.68</v>
      </c>
      <c r="Q496" s="11">
        <v>-0.13</v>
      </c>
      <c r="R496">
        <v>1712.78</v>
      </c>
      <c r="S496">
        <v>1569.38</v>
      </c>
      <c r="T496">
        <v>360.66</v>
      </c>
      <c r="U496" t="s">
        <v>155</v>
      </c>
      <c r="V496" t="s">
        <v>68</v>
      </c>
      <c r="X496" s="8" t="str">
        <f>IF(C496&gt;=B496,"Valid", "Invalid-Date")</f>
        <v>Valid</v>
      </c>
      <c r="Y496" s="8" t="str">
        <f t="shared" si="64"/>
        <v>Invalid-Discount</v>
      </c>
      <c r="Z496" s="8" t="str">
        <f t="shared" si="65"/>
        <v>Pass</v>
      </c>
      <c r="AA496" s="8" t="str">
        <f t="shared" si="66"/>
        <v>Pass</v>
      </c>
      <c r="AB496" s="8" t="str">
        <f>TEXT(B496,"mmmm")</f>
        <v>November</v>
      </c>
      <c r="AC496" s="8" t="str">
        <f>TEXT(B496,"yyyy")</f>
        <v>2024</v>
      </c>
      <c r="AE496">
        <f t="shared" si="67"/>
        <v>2015.04</v>
      </c>
      <c r="AF496" s="11">
        <f t="shared" si="68"/>
        <v>2276.9951999999998</v>
      </c>
      <c r="AG496">
        <f t="shared" si="69"/>
        <v>445.65999999999985</v>
      </c>
      <c r="AH496" s="11">
        <f t="shared" si="70"/>
        <v>0.22116682547244712</v>
      </c>
      <c r="AI496" s="44">
        <f t="shared" si="71"/>
        <v>0.22116682547244712</v>
      </c>
    </row>
    <row r="497" spans="1:35">
      <c r="A497" t="s">
        <v>1584</v>
      </c>
      <c r="B497" s="5">
        <v>45540</v>
      </c>
      <c r="C497" s="5">
        <v>45427</v>
      </c>
      <c r="D497" s="13">
        <f t="shared" si="63"/>
        <v>-113</v>
      </c>
      <c r="E497" t="s">
        <v>1585</v>
      </c>
      <c r="F497" t="s">
        <v>36</v>
      </c>
      <c r="G497" t="s">
        <v>37</v>
      </c>
      <c r="H497" t="s">
        <v>38</v>
      </c>
      <c r="I497" t="s">
        <v>166</v>
      </c>
      <c r="J497" t="s">
        <v>167</v>
      </c>
      <c r="K497" t="s">
        <v>74</v>
      </c>
      <c r="L497" t="s">
        <v>171</v>
      </c>
      <c r="M497" t="s">
        <v>1586</v>
      </c>
      <c r="N497" t="s">
        <v>31</v>
      </c>
      <c r="O497">
        <v>4</v>
      </c>
      <c r="P497">
        <v>995.98</v>
      </c>
      <c r="Q497" s="11">
        <v>0.05</v>
      </c>
      <c r="R497">
        <v>3784.72</v>
      </c>
      <c r="S497">
        <v>2419.2399999999998</v>
      </c>
      <c r="T497">
        <v>1365.48</v>
      </c>
      <c r="U497" t="s">
        <v>102</v>
      </c>
      <c r="V497" t="s">
        <v>103</v>
      </c>
      <c r="X497" s="8" t="str">
        <f>IF(C497&gt;=B497,"Valid", "Invalid-Date")</f>
        <v>Invalid-Date</v>
      </c>
      <c r="Y497" s="8" t="str">
        <f t="shared" si="64"/>
        <v>Valid</v>
      </c>
      <c r="Z497" s="8" t="str">
        <f t="shared" si="65"/>
        <v>Pass</v>
      </c>
      <c r="AA497" s="8" t="str">
        <f t="shared" si="66"/>
        <v>Pass</v>
      </c>
      <c r="AB497" s="8" t="str">
        <f>TEXT(B497,"mmmm")</f>
        <v>September</v>
      </c>
      <c r="AC497" s="8" t="str">
        <f>TEXT(B497,"yyyy")</f>
        <v>2024</v>
      </c>
      <c r="AE497">
        <f t="shared" si="67"/>
        <v>3983.92</v>
      </c>
      <c r="AF497" s="11">
        <f t="shared" si="68"/>
        <v>3784.7239999999997</v>
      </c>
      <c r="AG497">
        <f t="shared" si="69"/>
        <v>1564.6800000000003</v>
      </c>
      <c r="AH497" s="11">
        <f t="shared" si="70"/>
        <v>0.3927488503785217</v>
      </c>
      <c r="AI497" s="44">
        <f t="shared" si="71"/>
        <v>0.3927488503785217</v>
      </c>
    </row>
    <row r="498" spans="1:35">
      <c r="A498" t="s">
        <v>1587</v>
      </c>
      <c r="B498" s="5">
        <v>45842</v>
      </c>
      <c r="C498" s="5">
        <v>45815</v>
      </c>
      <c r="D498" s="13">
        <f t="shared" si="63"/>
        <v>-27</v>
      </c>
      <c r="E498" t="s">
        <v>1588</v>
      </c>
      <c r="F498" t="s">
        <v>264</v>
      </c>
      <c r="G498" t="s">
        <v>37</v>
      </c>
      <c r="H498" t="s">
        <v>38</v>
      </c>
      <c r="I498" t="s">
        <v>228</v>
      </c>
      <c r="J498" t="s">
        <v>229</v>
      </c>
      <c r="K498" t="s">
        <v>41</v>
      </c>
      <c r="L498" t="s">
        <v>66</v>
      </c>
      <c r="M498" t="s">
        <v>1589</v>
      </c>
      <c r="N498" t="s">
        <v>31</v>
      </c>
      <c r="O498">
        <v>2</v>
      </c>
      <c r="P498">
        <v>3686.42</v>
      </c>
      <c r="Q498" s="11">
        <v>0.1</v>
      </c>
      <c r="R498">
        <v>6635.56</v>
      </c>
      <c r="S498">
        <v>3652.91</v>
      </c>
      <c r="T498">
        <v>2982.65</v>
      </c>
      <c r="U498" t="s">
        <v>32</v>
      </c>
      <c r="V498" t="s">
        <v>33</v>
      </c>
      <c r="X498" s="8" t="str">
        <f>IF(C498&gt;=B498,"Valid", "Invalid-Date")</f>
        <v>Invalid-Date</v>
      </c>
      <c r="Y498" s="8" t="str">
        <f t="shared" si="64"/>
        <v>Valid</v>
      </c>
      <c r="Z498" s="8" t="str">
        <f t="shared" si="65"/>
        <v>Pass</v>
      </c>
      <c r="AA498" s="8" t="str">
        <f t="shared" si="66"/>
        <v>Pass</v>
      </c>
      <c r="AB498" s="8" t="str">
        <f>TEXT(B498,"mmmm")</f>
        <v>July</v>
      </c>
      <c r="AC498" s="8" t="str">
        <f>TEXT(B498,"yyyy")</f>
        <v>2025</v>
      </c>
      <c r="AE498">
        <f t="shared" si="67"/>
        <v>7372.84</v>
      </c>
      <c r="AF498" s="11">
        <f t="shared" si="68"/>
        <v>6635.5560000000005</v>
      </c>
      <c r="AG498">
        <f t="shared" si="69"/>
        <v>3719.9300000000003</v>
      </c>
      <c r="AH498" s="11">
        <f t="shared" si="70"/>
        <v>0.50454505997688814</v>
      </c>
      <c r="AI498" s="44">
        <f t="shared" si="71"/>
        <v>0.50454505997688814</v>
      </c>
    </row>
    <row r="499" spans="1:35">
      <c r="A499" t="s">
        <v>1590</v>
      </c>
      <c r="B499" s="5">
        <v>45533</v>
      </c>
      <c r="C499" s="5">
        <v>45533</v>
      </c>
      <c r="D499" s="13">
        <f t="shared" si="63"/>
        <v>0</v>
      </c>
      <c r="E499" t="s">
        <v>1591</v>
      </c>
      <c r="F499" t="s">
        <v>132</v>
      </c>
      <c r="G499" t="s">
        <v>37</v>
      </c>
      <c r="H499" t="s">
        <v>25</v>
      </c>
      <c r="I499" t="s">
        <v>136</v>
      </c>
      <c r="J499" t="s">
        <v>137</v>
      </c>
      <c r="K499" t="s">
        <v>74</v>
      </c>
      <c r="L499" t="s">
        <v>75</v>
      </c>
      <c r="M499" t="s">
        <v>1592</v>
      </c>
      <c r="N499" t="s">
        <v>31</v>
      </c>
      <c r="O499">
        <v>1</v>
      </c>
      <c r="P499">
        <v>3106.88</v>
      </c>
      <c r="Q499" s="11">
        <v>0.2</v>
      </c>
      <c r="R499">
        <v>2485.5</v>
      </c>
      <c r="S499">
        <v>2028.43</v>
      </c>
      <c r="T499">
        <v>457.07</v>
      </c>
      <c r="U499" t="s">
        <v>32</v>
      </c>
      <c r="V499" t="s">
        <v>68</v>
      </c>
      <c r="X499" s="8" t="str">
        <f>IF(C499&gt;=B499,"Valid", "Invalid-Date")</f>
        <v>Valid</v>
      </c>
      <c r="Y499" s="8" t="str">
        <f t="shared" si="64"/>
        <v>Valid</v>
      </c>
      <c r="Z499" s="8" t="str">
        <f t="shared" si="65"/>
        <v>Pass</v>
      </c>
      <c r="AA499" s="8" t="str">
        <f t="shared" si="66"/>
        <v>Pass</v>
      </c>
      <c r="AB499" s="8" t="str">
        <f>TEXT(B499,"mmmm")</f>
        <v>August</v>
      </c>
      <c r="AC499" s="8" t="str">
        <f>TEXT(B499,"yyyy")</f>
        <v>2024</v>
      </c>
      <c r="AE499">
        <f t="shared" si="67"/>
        <v>3106.88</v>
      </c>
      <c r="AF499" s="11">
        <f t="shared" si="68"/>
        <v>2485.5040000000004</v>
      </c>
      <c r="AG499">
        <f t="shared" si="69"/>
        <v>1078.45</v>
      </c>
      <c r="AH499" s="11">
        <f t="shared" si="70"/>
        <v>0.34711672159851686</v>
      </c>
      <c r="AI499" s="44">
        <f t="shared" si="71"/>
        <v>0.34711672159851686</v>
      </c>
    </row>
    <row r="500" spans="1:35">
      <c r="A500" t="s">
        <v>1593</v>
      </c>
      <c r="B500" s="5">
        <v>45907</v>
      </c>
      <c r="C500" s="5">
        <v>45939</v>
      </c>
      <c r="D500" s="13">
        <f t="shared" si="63"/>
        <v>32</v>
      </c>
      <c r="E500" t="s">
        <v>1594</v>
      </c>
      <c r="F500" t="s">
        <v>23</v>
      </c>
      <c r="G500" t="s">
        <v>24</v>
      </c>
      <c r="H500" t="s">
        <v>25</v>
      </c>
      <c r="I500" t="s">
        <v>122</v>
      </c>
      <c r="J500" t="s">
        <v>123</v>
      </c>
      <c r="K500" t="s">
        <v>41</v>
      </c>
      <c r="L500" t="s">
        <v>66</v>
      </c>
      <c r="M500" t="s">
        <v>1595</v>
      </c>
      <c r="N500" t="s">
        <v>44</v>
      </c>
      <c r="O500">
        <v>2</v>
      </c>
      <c r="P500">
        <v>447.55</v>
      </c>
      <c r="Q500" s="11">
        <v>0.05</v>
      </c>
      <c r="R500">
        <v>850.35</v>
      </c>
      <c r="S500">
        <v>600.98</v>
      </c>
      <c r="T500">
        <v>249.37</v>
      </c>
      <c r="U500" t="s">
        <v>102</v>
      </c>
      <c r="V500" t="s">
        <v>68</v>
      </c>
      <c r="X500" s="8" t="str">
        <f>IF(C500&gt;=B500,"Valid", "Invalid-Date")</f>
        <v>Valid</v>
      </c>
      <c r="Y500" s="8" t="str">
        <f t="shared" si="64"/>
        <v>Valid</v>
      </c>
      <c r="Z500" s="8" t="str">
        <f t="shared" si="65"/>
        <v>Pass</v>
      </c>
      <c r="AA500" s="8" t="str">
        <f t="shared" si="66"/>
        <v>Pass</v>
      </c>
      <c r="AB500" s="8" t="str">
        <f>TEXT(B500,"mmmm")</f>
        <v>September</v>
      </c>
      <c r="AC500" s="8" t="str">
        <f>TEXT(B500,"yyyy")</f>
        <v>2025</v>
      </c>
      <c r="AE500">
        <f t="shared" si="67"/>
        <v>895.1</v>
      </c>
      <c r="AF500" s="11">
        <f t="shared" si="68"/>
        <v>850.34500000000003</v>
      </c>
      <c r="AG500">
        <f t="shared" si="69"/>
        <v>294.12</v>
      </c>
      <c r="AH500" s="11">
        <f t="shared" si="70"/>
        <v>0.32858898447100882</v>
      </c>
      <c r="AI500" s="44">
        <f t="shared" si="71"/>
        <v>0.32858898447100882</v>
      </c>
    </row>
    <row r="501" spans="1:35">
      <c r="A501" t="s">
        <v>1596</v>
      </c>
      <c r="B501" s="5">
        <v>45648</v>
      </c>
      <c r="C501" s="5">
        <v>45652</v>
      </c>
      <c r="D501" s="13">
        <f t="shared" si="63"/>
        <v>4</v>
      </c>
      <c r="E501" t="s">
        <v>1597</v>
      </c>
      <c r="F501" t="s">
        <v>118</v>
      </c>
      <c r="G501" t="s">
        <v>95</v>
      </c>
      <c r="H501" t="s">
        <v>25</v>
      </c>
      <c r="I501" t="s">
        <v>136</v>
      </c>
      <c r="J501" t="s">
        <v>137</v>
      </c>
      <c r="K501" t="s">
        <v>41</v>
      </c>
      <c r="L501" t="s">
        <v>66</v>
      </c>
      <c r="M501" t="s">
        <v>1598</v>
      </c>
      <c r="N501" t="s">
        <v>59</v>
      </c>
      <c r="O501">
        <v>9</v>
      </c>
      <c r="P501">
        <v>1110.8699999999999</v>
      </c>
      <c r="Q501" s="11">
        <v>0</v>
      </c>
      <c r="R501">
        <v>7498.37</v>
      </c>
      <c r="S501">
        <v>6059.07</v>
      </c>
      <c r="T501">
        <v>1439.3</v>
      </c>
      <c r="U501" t="s">
        <v>32</v>
      </c>
      <c r="V501" t="s">
        <v>68</v>
      </c>
      <c r="X501" s="8" t="str">
        <f>IF(C501&gt;=B501,"Valid", "Invalid-Date")</f>
        <v>Valid</v>
      </c>
      <c r="Y501" s="8" t="str">
        <f t="shared" si="64"/>
        <v>Valid</v>
      </c>
      <c r="Z501" s="8" t="str">
        <f t="shared" si="65"/>
        <v>Pass</v>
      </c>
      <c r="AA501" s="8" t="str">
        <f t="shared" si="66"/>
        <v>Pass</v>
      </c>
      <c r="AB501" s="8" t="str">
        <f>TEXT(B501,"mmmm")</f>
        <v>December</v>
      </c>
      <c r="AC501" s="8" t="str">
        <f>TEXT(B501,"yyyy")</f>
        <v>2024</v>
      </c>
      <c r="AE501">
        <f t="shared" si="67"/>
        <v>9997.8299999999981</v>
      </c>
      <c r="AF501" s="11">
        <f t="shared" si="68"/>
        <v>9997.8299999999981</v>
      </c>
      <c r="AG501">
        <f t="shared" si="69"/>
        <v>3938.7599999999984</v>
      </c>
      <c r="AH501" s="11">
        <f t="shared" si="70"/>
        <v>0.3939614896432525</v>
      </c>
      <c r="AI501" s="44">
        <f t="shared" si="71"/>
        <v>0.3939614896432525</v>
      </c>
    </row>
    <row r="502" spans="1:35">
      <c r="A502" t="s">
        <v>1599</v>
      </c>
      <c r="B502" s="5">
        <v>45429</v>
      </c>
      <c r="C502" s="5">
        <v>45434</v>
      </c>
      <c r="D502" s="13">
        <f t="shared" si="63"/>
        <v>5</v>
      </c>
      <c r="E502" t="s">
        <v>1600</v>
      </c>
      <c r="F502" t="s">
        <v>132</v>
      </c>
      <c r="G502" t="s">
        <v>24</v>
      </c>
      <c r="H502" t="s">
        <v>54</v>
      </c>
      <c r="I502" t="s">
        <v>185</v>
      </c>
      <c r="J502" t="s">
        <v>186</v>
      </c>
      <c r="K502" t="s">
        <v>74</v>
      </c>
      <c r="L502" t="s">
        <v>171</v>
      </c>
      <c r="M502" t="s">
        <v>1601</v>
      </c>
      <c r="N502" t="s">
        <v>44</v>
      </c>
      <c r="O502">
        <v>9</v>
      </c>
      <c r="P502">
        <v>3795.99</v>
      </c>
      <c r="Q502" s="11">
        <v>0.85</v>
      </c>
      <c r="R502">
        <v>34163.910000000003</v>
      </c>
      <c r="S502">
        <v>28577.15</v>
      </c>
      <c r="T502">
        <v>5586.76</v>
      </c>
      <c r="U502" t="s">
        <v>32</v>
      </c>
      <c r="V502" t="s">
        <v>33</v>
      </c>
      <c r="X502" s="8" t="str">
        <f>IF(C502&gt;=B502,"Valid", "Invalid-Date")</f>
        <v>Valid</v>
      </c>
      <c r="Y502" s="8" t="str">
        <f t="shared" si="64"/>
        <v>Invalid-Discount</v>
      </c>
      <c r="Z502" s="8" t="str">
        <f t="shared" si="65"/>
        <v>Pass</v>
      </c>
      <c r="AA502" s="8" t="str">
        <f t="shared" si="66"/>
        <v>Pass</v>
      </c>
      <c r="AB502" s="8" t="str">
        <f>TEXT(B502,"mmmm")</f>
        <v>May</v>
      </c>
      <c r="AC502" s="8" t="str">
        <f>TEXT(B502,"yyyy")</f>
        <v>2024</v>
      </c>
      <c r="AE502">
        <f t="shared" si="67"/>
        <v>34163.909999999996</v>
      </c>
      <c r="AF502" s="11">
        <f t="shared" si="68"/>
        <v>5124.5865000000003</v>
      </c>
      <c r="AG502">
        <f t="shared" si="69"/>
        <v>5586.7599999999948</v>
      </c>
      <c r="AH502" s="11">
        <f t="shared" si="70"/>
        <v>0.1635281207566697</v>
      </c>
      <c r="AI502" s="44">
        <f t="shared" si="71"/>
        <v>0.1635281207566697</v>
      </c>
    </row>
    <row r="503" spans="1:35">
      <c r="A503" t="s">
        <v>1602</v>
      </c>
      <c r="B503" s="5">
        <v>45515</v>
      </c>
      <c r="C503" s="5">
        <v>45521</v>
      </c>
      <c r="D503" s="13">
        <f t="shared" si="63"/>
        <v>6</v>
      </c>
      <c r="E503" t="s">
        <v>807</v>
      </c>
      <c r="F503" t="s">
        <v>79</v>
      </c>
      <c r="G503" t="s">
        <v>24</v>
      </c>
      <c r="H503" t="s">
        <v>38</v>
      </c>
      <c r="I503" t="s">
        <v>228</v>
      </c>
      <c r="J503" t="s">
        <v>229</v>
      </c>
      <c r="K503" t="s">
        <v>28</v>
      </c>
      <c r="L503" t="s">
        <v>48</v>
      </c>
      <c r="M503" t="s">
        <v>1603</v>
      </c>
      <c r="N503" t="s">
        <v>31</v>
      </c>
      <c r="O503">
        <v>6</v>
      </c>
      <c r="P503">
        <v>3497.54</v>
      </c>
      <c r="Q503" s="11">
        <v>0.15</v>
      </c>
      <c r="R503">
        <v>17837.45</v>
      </c>
      <c r="S503">
        <v>13627.02</v>
      </c>
      <c r="T503">
        <v>4210.43</v>
      </c>
      <c r="U503" t="s">
        <v>32</v>
      </c>
      <c r="V503" t="s">
        <v>33</v>
      </c>
      <c r="X503" s="8" t="str">
        <f>IF(C503&gt;=B503,"Valid", "Invalid-Date")</f>
        <v>Valid</v>
      </c>
      <c r="Y503" s="8" t="str">
        <f t="shared" si="64"/>
        <v>Valid</v>
      </c>
      <c r="Z503" s="8" t="str">
        <f t="shared" si="65"/>
        <v>Pass</v>
      </c>
      <c r="AA503" s="8" t="str">
        <f t="shared" si="66"/>
        <v>Pass</v>
      </c>
      <c r="AB503" s="8" t="str">
        <f>TEXT(B503,"mmmm")</f>
        <v>August</v>
      </c>
      <c r="AC503" s="8" t="str">
        <f>TEXT(B503,"yyyy")</f>
        <v>2024</v>
      </c>
      <c r="AE503">
        <f t="shared" si="67"/>
        <v>20985.239999999998</v>
      </c>
      <c r="AF503" s="11">
        <f t="shared" si="68"/>
        <v>17837.453999999998</v>
      </c>
      <c r="AG503">
        <f t="shared" si="69"/>
        <v>7358.2199999999975</v>
      </c>
      <c r="AH503" s="11">
        <f t="shared" si="70"/>
        <v>0.35063787690776937</v>
      </c>
      <c r="AI503" s="44">
        <f t="shared" si="71"/>
        <v>0.35063787690776937</v>
      </c>
    </row>
    <row r="504" spans="1:35" s="15" customFormat="1">
      <c r="A504" s="15" t="s">
        <v>1604</v>
      </c>
      <c r="B504" s="16">
        <v>45295</v>
      </c>
      <c r="C504" s="16">
        <v>45539</v>
      </c>
      <c r="D504" s="17">
        <f t="shared" si="63"/>
        <v>244</v>
      </c>
      <c r="E504" s="15" t="s">
        <v>1605</v>
      </c>
      <c r="F504" s="15" t="s">
        <v>114</v>
      </c>
      <c r="G504" s="15" t="s">
        <v>37</v>
      </c>
      <c r="H504" s="15" t="s">
        <v>38</v>
      </c>
      <c r="I504" s="15" t="s">
        <v>39</v>
      </c>
      <c r="J504" s="15" t="s">
        <v>40</v>
      </c>
      <c r="K504" s="15" t="s">
        <v>74</v>
      </c>
      <c r="L504" s="15" t="s">
        <v>80</v>
      </c>
      <c r="M504" s="15" t="s">
        <v>1606</v>
      </c>
      <c r="N504" s="15" t="s">
        <v>31</v>
      </c>
      <c r="O504" s="15">
        <v>6</v>
      </c>
      <c r="P504" s="15">
        <v>826.93</v>
      </c>
      <c r="Q504" s="18">
        <v>0.1</v>
      </c>
      <c r="R504" s="15">
        <v>4465.42</v>
      </c>
      <c r="S504" s="15">
        <v>3377.1</v>
      </c>
      <c r="T504" s="15">
        <v>1088.32</v>
      </c>
      <c r="U504" s="15" t="s">
        <v>32</v>
      </c>
      <c r="V504" s="15" t="s">
        <v>33</v>
      </c>
      <c r="W504" s="25"/>
      <c r="X504" s="8" t="str">
        <f>IF(C504&gt;=B504,"Valid", "Invalid-Date")</f>
        <v>Valid</v>
      </c>
      <c r="Y504" s="8" t="str">
        <f t="shared" si="64"/>
        <v>Valid</v>
      </c>
      <c r="Z504" s="19" t="str">
        <f t="shared" si="65"/>
        <v>Pass</v>
      </c>
      <c r="AA504" s="19" t="str">
        <f t="shared" si="66"/>
        <v>Pass</v>
      </c>
      <c r="AB504" s="19" t="str">
        <f>TEXT(B504,"mmmm")</f>
        <v>January</v>
      </c>
      <c r="AC504" s="19" t="str">
        <f>TEXT(B504,"yyyy")</f>
        <v>2024</v>
      </c>
      <c r="AD504" s="20"/>
      <c r="AE504" s="15">
        <f t="shared" si="67"/>
        <v>4961.58</v>
      </c>
      <c r="AF504" s="11">
        <f t="shared" si="68"/>
        <v>4465.4220000000005</v>
      </c>
      <c r="AG504" s="15">
        <f t="shared" si="69"/>
        <v>1584.48</v>
      </c>
      <c r="AH504" s="18">
        <f t="shared" si="70"/>
        <v>0.31934988451259477</v>
      </c>
      <c r="AI504" s="45">
        <f t="shared" si="71"/>
        <v>0.31934988451259477</v>
      </c>
    </row>
    <row r="505" spans="1:35">
      <c r="A505" t="s">
        <v>1607</v>
      </c>
      <c r="B505" s="5">
        <v>45563</v>
      </c>
      <c r="C505" s="5">
        <v>45422</v>
      </c>
      <c r="D505" s="13">
        <f t="shared" si="63"/>
        <v>-141</v>
      </c>
      <c r="E505" t="s">
        <v>1608</v>
      </c>
      <c r="F505" t="s">
        <v>128</v>
      </c>
      <c r="G505" t="s">
        <v>24</v>
      </c>
      <c r="H505" t="s">
        <v>54</v>
      </c>
      <c r="I505" t="s">
        <v>247</v>
      </c>
      <c r="J505" t="s">
        <v>248</v>
      </c>
      <c r="K505" t="s">
        <v>74</v>
      </c>
      <c r="L505" t="s">
        <v>171</v>
      </c>
      <c r="M505" t="s">
        <v>1609</v>
      </c>
      <c r="N505" t="s">
        <v>59</v>
      </c>
      <c r="O505">
        <v>7</v>
      </c>
      <c r="P505">
        <v>1681.6</v>
      </c>
      <c r="Q505" s="11">
        <v>0.1</v>
      </c>
      <c r="R505">
        <v>10594.08</v>
      </c>
      <c r="S505">
        <v>7160.31</v>
      </c>
      <c r="T505">
        <v>3433.77</v>
      </c>
      <c r="U505" t="s">
        <v>32</v>
      </c>
      <c r="V505" t="s">
        <v>33</v>
      </c>
      <c r="X505" s="8" t="str">
        <f>IF(C505&gt;=B505,"Valid", "Invalid-Date")</f>
        <v>Invalid-Date</v>
      </c>
      <c r="Y505" s="8" t="str">
        <f t="shared" si="64"/>
        <v>Valid</v>
      </c>
      <c r="Z505" s="8" t="str">
        <f t="shared" si="65"/>
        <v>Pass</v>
      </c>
      <c r="AA505" s="8" t="str">
        <f t="shared" si="66"/>
        <v>Pass</v>
      </c>
      <c r="AB505" s="8" t="str">
        <f>TEXT(B505,"mmmm")</f>
        <v>September</v>
      </c>
      <c r="AC505" s="8" t="str">
        <f>TEXT(B505,"yyyy")</f>
        <v>2024</v>
      </c>
      <c r="AE505">
        <f t="shared" si="67"/>
        <v>11771.199999999999</v>
      </c>
      <c r="AF505" s="11">
        <f t="shared" si="68"/>
        <v>10594.08</v>
      </c>
      <c r="AG505">
        <f t="shared" si="69"/>
        <v>4610.8899999999985</v>
      </c>
      <c r="AH505" s="11">
        <f t="shared" si="70"/>
        <v>0.39170942639662898</v>
      </c>
      <c r="AI505" s="44">
        <f t="shared" si="71"/>
        <v>0.39170942639662898</v>
      </c>
    </row>
    <row r="506" spans="1:35">
      <c r="A506" t="s">
        <v>1610</v>
      </c>
      <c r="B506" s="5">
        <v>45700</v>
      </c>
      <c r="C506" s="5">
        <v>45705</v>
      </c>
      <c r="D506" s="13">
        <f t="shared" si="63"/>
        <v>5</v>
      </c>
      <c r="E506" t="s">
        <v>1611</v>
      </c>
      <c r="F506" t="s">
        <v>53</v>
      </c>
      <c r="G506" t="s">
        <v>90</v>
      </c>
      <c r="H506" t="s">
        <v>63</v>
      </c>
      <c r="I506" t="s">
        <v>180</v>
      </c>
      <c r="J506" t="s">
        <v>181</v>
      </c>
      <c r="K506" t="s">
        <v>28</v>
      </c>
      <c r="L506" t="s">
        <v>48</v>
      </c>
      <c r="M506" t="s">
        <v>1612</v>
      </c>
      <c r="N506" t="s">
        <v>59</v>
      </c>
      <c r="O506">
        <v>4</v>
      </c>
      <c r="P506">
        <v>4328.12</v>
      </c>
      <c r="Q506" s="11">
        <v>0</v>
      </c>
      <c r="R506">
        <v>17312.48</v>
      </c>
      <c r="S506">
        <v>14424.22</v>
      </c>
      <c r="T506">
        <v>2888.26</v>
      </c>
      <c r="U506" t="s">
        <v>32</v>
      </c>
      <c r="V506" t="s">
        <v>33</v>
      </c>
      <c r="X506" s="8" t="str">
        <f>IF(C506&gt;=B506,"Valid", "Invalid-Date")</f>
        <v>Valid</v>
      </c>
      <c r="Y506" s="8" t="str">
        <f t="shared" si="64"/>
        <v>Valid</v>
      </c>
      <c r="Z506" s="8" t="str">
        <f t="shared" si="65"/>
        <v>Pass</v>
      </c>
      <c r="AA506" s="8" t="str">
        <f t="shared" si="66"/>
        <v>Pass</v>
      </c>
      <c r="AB506" s="8" t="str">
        <f>TEXT(B506,"mmmm")</f>
        <v>February</v>
      </c>
      <c r="AC506" s="8" t="str">
        <f>TEXT(B506,"yyyy")</f>
        <v>2025</v>
      </c>
      <c r="AE506">
        <f t="shared" si="67"/>
        <v>17312.48</v>
      </c>
      <c r="AF506" s="11">
        <f t="shared" si="68"/>
        <v>17312.48</v>
      </c>
      <c r="AG506">
        <f t="shared" si="69"/>
        <v>2888.26</v>
      </c>
      <c r="AH506" s="11">
        <f t="shared" si="70"/>
        <v>0.16683109525613893</v>
      </c>
      <c r="AI506" s="44">
        <f t="shared" si="71"/>
        <v>0.16683109525613893</v>
      </c>
    </row>
    <row r="507" spans="1:35">
      <c r="A507" t="s">
        <v>1613</v>
      </c>
      <c r="B507" s="5">
        <v>45605</v>
      </c>
      <c r="C507" s="5">
        <v>45610</v>
      </c>
      <c r="D507" s="13">
        <f t="shared" si="63"/>
        <v>5</v>
      </c>
      <c r="E507" t="s">
        <v>1614</v>
      </c>
      <c r="F507" t="s">
        <v>79</v>
      </c>
      <c r="G507" t="s">
        <v>90</v>
      </c>
      <c r="H507" t="s">
        <v>63</v>
      </c>
      <c r="I507" t="s">
        <v>72</v>
      </c>
      <c r="J507" t="s">
        <v>73</v>
      </c>
      <c r="K507" t="s">
        <v>28</v>
      </c>
      <c r="L507" t="s">
        <v>48</v>
      </c>
      <c r="M507" t="s">
        <v>1615</v>
      </c>
      <c r="N507" t="s">
        <v>50</v>
      </c>
      <c r="O507">
        <v>9</v>
      </c>
      <c r="P507">
        <v>2438.29</v>
      </c>
      <c r="Q507" s="11">
        <v>0.2</v>
      </c>
      <c r="R507">
        <v>17555.689999999999</v>
      </c>
      <c r="S507">
        <v>13293.2</v>
      </c>
      <c r="T507">
        <v>4262.49</v>
      </c>
      <c r="U507" t="s">
        <v>32</v>
      </c>
      <c r="V507" t="s">
        <v>68</v>
      </c>
      <c r="X507" s="8" t="str">
        <f>IF(C507&gt;=B507,"Valid", "Invalid-Date")</f>
        <v>Valid</v>
      </c>
      <c r="Y507" s="8" t="str">
        <f t="shared" si="64"/>
        <v>Valid</v>
      </c>
      <c r="Z507" s="8" t="str">
        <f t="shared" si="65"/>
        <v>Pass</v>
      </c>
      <c r="AA507" s="8" t="str">
        <f t="shared" si="66"/>
        <v>Pass</v>
      </c>
      <c r="AB507" s="8" t="str">
        <f>TEXT(B507,"mmmm")</f>
        <v>November</v>
      </c>
      <c r="AC507" s="8" t="str">
        <f>TEXT(B507,"yyyy")</f>
        <v>2024</v>
      </c>
      <c r="AE507">
        <f t="shared" si="67"/>
        <v>21944.61</v>
      </c>
      <c r="AF507" s="11">
        <f t="shared" si="68"/>
        <v>17555.688000000002</v>
      </c>
      <c r="AG507">
        <f t="shared" si="69"/>
        <v>8651.41</v>
      </c>
      <c r="AH507" s="11">
        <f t="shared" si="70"/>
        <v>0.39423849409946221</v>
      </c>
      <c r="AI507" s="44">
        <f t="shared" si="71"/>
        <v>0.39423849409946221</v>
      </c>
    </row>
    <row r="508" spans="1:35">
      <c r="A508" t="s">
        <v>1616</v>
      </c>
      <c r="B508" s="5">
        <v>45641</v>
      </c>
      <c r="C508" s="5">
        <v>45641</v>
      </c>
      <c r="D508" s="13">
        <f t="shared" si="63"/>
        <v>0</v>
      </c>
      <c r="E508" t="s">
        <v>1617</v>
      </c>
      <c r="F508" t="s">
        <v>128</v>
      </c>
      <c r="G508" t="s">
        <v>37</v>
      </c>
      <c r="H508" t="s">
        <v>25</v>
      </c>
      <c r="I508" t="s">
        <v>122</v>
      </c>
      <c r="J508" t="s">
        <v>123</v>
      </c>
      <c r="K508" t="s">
        <v>41</v>
      </c>
      <c r="L508" t="s">
        <v>57</v>
      </c>
      <c r="M508" t="s">
        <v>1618</v>
      </c>
      <c r="N508" t="s">
        <v>50</v>
      </c>
      <c r="O508">
        <v>2</v>
      </c>
      <c r="P508">
        <v>669.8</v>
      </c>
      <c r="Q508" s="11">
        <v>0.1</v>
      </c>
      <c r="R508">
        <v>1205.6400000000001</v>
      </c>
      <c r="S508">
        <v>842.07</v>
      </c>
      <c r="T508">
        <v>363.57</v>
      </c>
      <c r="U508" t="s">
        <v>102</v>
      </c>
      <c r="V508" t="s">
        <v>103</v>
      </c>
      <c r="X508" s="8" t="str">
        <f>IF(C508&gt;=B508,"Valid", "Invalid-Date")</f>
        <v>Valid</v>
      </c>
      <c r="Y508" s="8" t="str">
        <f t="shared" si="64"/>
        <v>Valid</v>
      </c>
      <c r="Z508" s="8" t="str">
        <f t="shared" si="65"/>
        <v>Pass</v>
      </c>
      <c r="AA508" s="8" t="str">
        <f t="shared" si="66"/>
        <v>Pass</v>
      </c>
      <c r="AB508" s="8" t="str">
        <f>TEXT(B508,"mmmm")</f>
        <v>December</v>
      </c>
      <c r="AC508" s="8" t="str">
        <f>TEXT(B508,"yyyy")</f>
        <v>2024</v>
      </c>
      <c r="AE508">
        <f t="shared" si="67"/>
        <v>1339.6</v>
      </c>
      <c r="AF508" s="11">
        <f t="shared" si="68"/>
        <v>1205.6399999999999</v>
      </c>
      <c r="AG508">
        <f t="shared" si="69"/>
        <v>497.52999999999986</v>
      </c>
      <c r="AH508" s="11">
        <f t="shared" si="70"/>
        <v>0.37140191101821429</v>
      </c>
      <c r="AI508" s="44">
        <f t="shared" si="71"/>
        <v>0.37140191101821429</v>
      </c>
    </row>
    <row r="509" spans="1:35">
      <c r="A509" t="s">
        <v>1619</v>
      </c>
      <c r="B509" s="5">
        <v>45762</v>
      </c>
      <c r="C509" s="5">
        <v>45769</v>
      </c>
      <c r="D509" s="13">
        <f t="shared" si="63"/>
        <v>7</v>
      </c>
      <c r="E509" t="s">
        <v>1620</v>
      </c>
      <c r="F509" t="s">
        <v>47</v>
      </c>
      <c r="G509" t="s">
        <v>37</v>
      </c>
      <c r="H509" t="s">
        <v>25</v>
      </c>
      <c r="I509" t="s">
        <v>236</v>
      </c>
      <c r="J509" t="s">
        <v>237</v>
      </c>
      <c r="K509" t="s">
        <v>28</v>
      </c>
      <c r="L509" t="s">
        <v>153</v>
      </c>
      <c r="M509" t="s">
        <v>1621</v>
      </c>
      <c r="N509" t="s">
        <v>44</v>
      </c>
      <c r="O509">
        <v>4</v>
      </c>
      <c r="P509">
        <v>2990.42</v>
      </c>
      <c r="Q509" s="11">
        <v>0.25</v>
      </c>
      <c r="R509">
        <v>8971.26</v>
      </c>
      <c r="S509">
        <v>6814.35</v>
      </c>
      <c r="T509">
        <v>2156.91</v>
      </c>
      <c r="U509" t="s">
        <v>32</v>
      </c>
      <c r="V509" t="s">
        <v>33</v>
      </c>
      <c r="X509" s="8" t="str">
        <f>IF(C509&gt;=B509,"Valid", "Invalid-Date")</f>
        <v>Valid</v>
      </c>
      <c r="Y509" s="8" t="str">
        <f t="shared" si="64"/>
        <v>Valid</v>
      </c>
      <c r="Z509" s="8" t="str">
        <f t="shared" si="65"/>
        <v>Pass</v>
      </c>
      <c r="AA509" s="8" t="str">
        <f t="shared" si="66"/>
        <v>Pass</v>
      </c>
      <c r="AB509" s="8" t="str">
        <f>TEXT(B509,"mmmm")</f>
        <v>April</v>
      </c>
      <c r="AC509" s="8" t="str">
        <f>TEXT(B509,"yyyy")</f>
        <v>2025</v>
      </c>
      <c r="AE509">
        <f t="shared" si="67"/>
        <v>11961.68</v>
      </c>
      <c r="AF509" s="11">
        <f t="shared" si="68"/>
        <v>8971.26</v>
      </c>
      <c r="AG509">
        <f t="shared" si="69"/>
        <v>5147.33</v>
      </c>
      <c r="AH509" s="11">
        <f t="shared" si="70"/>
        <v>0.43031831649066016</v>
      </c>
      <c r="AI509" s="44">
        <f t="shared" si="71"/>
        <v>0.43031831649066016</v>
      </c>
    </row>
    <row r="510" spans="1:35">
      <c r="A510" t="s">
        <v>1622</v>
      </c>
      <c r="B510" s="5">
        <v>45382</v>
      </c>
      <c r="C510" s="5">
        <v>45389</v>
      </c>
      <c r="D510" s="13">
        <f t="shared" si="63"/>
        <v>7</v>
      </c>
      <c r="E510" t="s">
        <v>1623</v>
      </c>
      <c r="F510" t="s">
        <v>47</v>
      </c>
      <c r="G510" t="s">
        <v>37</v>
      </c>
      <c r="H510" t="s">
        <v>25</v>
      </c>
      <c r="I510" t="s">
        <v>236</v>
      </c>
      <c r="J510" t="s">
        <v>237</v>
      </c>
      <c r="K510" t="s">
        <v>74</v>
      </c>
      <c r="L510" t="s">
        <v>274</v>
      </c>
      <c r="M510" t="s">
        <v>1624</v>
      </c>
      <c r="N510" t="s">
        <v>31</v>
      </c>
      <c r="O510">
        <v>4</v>
      </c>
      <c r="P510">
        <v>1831</v>
      </c>
      <c r="Q510" s="11">
        <v>0</v>
      </c>
      <c r="R510">
        <v>7324</v>
      </c>
      <c r="S510">
        <v>4179.63</v>
      </c>
      <c r="T510">
        <v>3144.37</v>
      </c>
      <c r="U510" t="s">
        <v>32</v>
      </c>
      <c r="V510" t="s">
        <v>33</v>
      </c>
      <c r="X510" s="8" t="str">
        <f>IF(C510&gt;=B510,"Valid", "Invalid-Date")</f>
        <v>Valid</v>
      </c>
      <c r="Y510" s="8" t="str">
        <f t="shared" si="64"/>
        <v>Valid</v>
      </c>
      <c r="Z510" s="8" t="str">
        <f t="shared" si="65"/>
        <v>Pass</v>
      </c>
      <c r="AA510" s="8" t="str">
        <f t="shared" si="66"/>
        <v>Pass</v>
      </c>
      <c r="AB510" s="8" t="str">
        <f>TEXT(B510,"mmmm")</f>
        <v>March</v>
      </c>
      <c r="AC510" s="8" t="str">
        <f>TEXT(B510,"yyyy")</f>
        <v>2024</v>
      </c>
      <c r="AE510">
        <f t="shared" si="67"/>
        <v>7324</v>
      </c>
      <c r="AF510" s="11">
        <f t="shared" si="68"/>
        <v>7324</v>
      </c>
      <c r="AG510">
        <f t="shared" si="69"/>
        <v>3144.37</v>
      </c>
      <c r="AH510" s="11">
        <f t="shared" si="70"/>
        <v>0.42932413981430911</v>
      </c>
      <c r="AI510" s="44">
        <f t="shared" si="71"/>
        <v>0.42932413981430911</v>
      </c>
    </row>
    <row r="511" spans="1:35">
      <c r="A511" t="s">
        <v>1625</v>
      </c>
      <c r="B511" s="5">
        <v>45789</v>
      </c>
      <c r="C511" s="5">
        <v>45791</v>
      </c>
      <c r="D511" s="13">
        <f t="shared" si="63"/>
        <v>2</v>
      </c>
      <c r="E511" t="s">
        <v>1626</v>
      </c>
      <c r="F511" t="s">
        <v>79</v>
      </c>
      <c r="G511" t="s">
        <v>24</v>
      </c>
      <c r="H511" t="s">
        <v>63</v>
      </c>
      <c r="I511" t="s">
        <v>180</v>
      </c>
      <c r="J511" t="s">
        <v>181</v>
      </c>
      <c r="K511" t="s">
        <v>74</v>
      </c>
      <c r="L511" t="s">
        <v>274</v>
      </c>
      <c r="M511" t="s">
        <v>1627</v>
      </c>
      <c r="N511" t="s">
        <v>44</v>
      </c>
      <c r="O511">
        <v>8</v>
      </c>
      <c r="P511">
        <v>3631.44</v>
      </c>
      <c r="Q511" s="11">
        <v>0.2</v>
      </c>
      <c r="R511">
        <v>23241.22</v>
      </c>
      <c r="S511">
        <v>17220.900000000001</v>
      </c>
      <c r="T511">
        <v>6020.32</v>
      </c>
      <c r="U511" t="s">
        <v>32</v>
      </c>
      <c r="V511" t="s">
        <v>33</v>
      </c>
      <c r="X511" s="8" t="str">
        <f>IF(C511&gt;=B511,"Valid", "Invalid-Date")</f>
        <v>Valid</v>
      </c>
      <c r="Y511" s="8" t="str">
        <f t="shared" si="64"/>
        <v>Valid</v>
      </c>
      <c r="Z511" s="8" t="str">
        <f t="shared" si="65"/>
        <v>Pass</v>
      </c>
      <c r="AA511" s="8" t="str">
        <f t="shared" si="66"/>
        <v>Pass</v>
      </c>
      <c r="AB511" s="8" t="str">
        <f>TEXT(B511,"mmmm")</f>
        <v>May</v>
      </c>
      <c r="AC511" s="8" t="str">
        <f>TEXT(B511,"yyyy")</f>
        <v>2025</v>
      </c>
      <c r="AE511">
        <f t="shared" si="67"/>
        <v>29051.52</v>
      </c>
      <c r="AF511" s="11">
        <f t="shared" si="68"/>
        <v>23241.216</v>
      </c>
      <c r="AG511">
        <f t="shared" si="69"/>
        <v>11830.619999999999</v>
      </c>
      <c r="AH511" s="11">
        <f t="shared" si="70"/>
        <v>0.40722895049897556</v>
      </c>
      <c r="AI511" s="44">
        <f t="shared" si="71"/>
        <v>0.40722895049897556</v>
      </c>
    </row>
    <row r="512" spans="1:35">
      <c r="A512" t="s">
        <v>1628</v>
      </c>
      <c r="B512" s="5">
        <v>45583</v>
      </c>
      <c r="C512" s="5">
        <v>45586</v>
      </c>
      <c r="D512" s="13">
        <f t="shared" si="63"/>
        <v>3</v>
      </c>
      <c r="E512" t="s">
        <v>1629</v>
      </c>
      <c r="F512" t="s">
        <v>128</v>
      </c>
      <c r="G512" t="s">
        <v>24</v>
      </c>
      <c r="H512" t="s">
        <v>54</v>
      </c>
      <c r="I512" t="s">
        <v>175</v>
      </c>
      <c r="J512" t="s">
        <v>176</v>
      </c>
      <c r="K512" t="s">
        <v>28</v>
      </c>
      <c r="L512" t="s">
        <v>124</v>
      </c>
      <c r="M512" t="s">
        <v>1630</v>
      </c>
      <c r="N512" t="s">
        <v>31</v>
      </c>
      <c r="O512">
        <v>2</v>
      </c>
      <c r="P512">
        <v>4238.51</v>
      </c>
      <c r="Q512" s="11">
        <v>0</v>
      </c>
      <c r="R512">
        <v>8477.02</v>
      </c>
      <c r="S512">
        <v>6884.96</v>
      </c>
      <c r="T512">
        <v>1592.06</v>
      </c>
      <c r="U512" t="s">
        <v>32</v>
      </c>
      <c r="V512" t="s">
        <v>33</v>
      </c>
      <c r="X512" s="8" t="str">
        <f>IF(C512&gt;=B512,"Valid", "Invalid-Date")</f>
        <v>Valid</v>
      </c>
      <c r="Y512" s="8" t="str">
        <f t="shared" si="64"/>
        <v>Valid</v>
      </c>
      <c r="Z512" s="8" t="str">
        <f t="shared" si="65"/>
        <v>Pass</v>
      </c>
      <c r="AA512" s="8" t="str">
        <f t="shared" si="66"/>
        <v>Pass</v>
      </c>
      <c r="AB512" s="8" t="str">
        <f>TEXT(B512,"mmmm")</f>
        <v>October</v>
      </c>
      <c r="AC512" s="8" t="str">
        <f>TEXT(B512,"yyyy")</f>
        <v>2024</v>
      </c>
      <c r="AE512">
        <f t="shared" si="67"/>
        <v>8477.02</v>
      </c>
      <c r="AF512" s="11">
        <f t="shared" si="68"/>
        <v>8477.02</v>
      </c>
      <c r="AG512">
        <f t="shared" si="69"/>
        <v>1592.0600000000004</v>
      </c>
      <c r="AH512" s="11">
        <f t="shared" si="70"/>
        <v>0.18780892341884298</v>
      </c>
      <c r="AI512" s="44">
        <f t="shared" si="71"/>
        <v>0.18780892341884298</v>
      </c>
    </row>
    <row r="513" spans="1:35">
      <c r="A513" t="s">
        <v>1631</v>
      </c>
      <c r="B513" s="5">
        <v>45588</v>
      </c>
      <c r="C513" s="5">
        <v>45591</v>
      </c>
      <c r="D513" s="13">
        <f t="shared" si="63"/>
        <v>3</v>
      </c>
      <c r="E513" t="s">
        <v>1632</v>
      </c>
      <c r="F513" t="s">
        <v>132</v>
      </c>
      <c r="G513" t="s">
        <v>24</v>
      </c>
      <c r="H513" t="s">
        <v>63</v>
      </c>
      <c r="I513" t="s">
        <v>72</v>
      </c>
      <c r="J513" t="s">
        <v>73</v>
      </c>
      <c r="K513" t="s">
        <v>41</v>
      </c>
      <c r="L513" t="s">
        <v>158</v>
      </c>
      <c r="M513" t="s">
        <v>1633</v>
      </c>
      <c r="N513" t="s">
        <v>59</v>
      </c>
      <c r="O513">
        <v>9</v>
      </c>
      <c r="P513">
        <v>544.27</v>
      </c>
      <c r="Q513" s="11">
        <v>0.25</v>
      </c>
      <c r="R513">
        <v>3673.82</v>
      </c>
      <c r="S513">
        <v>2088.15</v>
      </c>
      <c r="T513">
        <v>1585.67</v>
      </c>
      <c r="U513" t="s">
        <v>32</v>
      </c>
      <c r="V513" t="s">
        <v>33</v>
      </c>
      <c r="X513" s="8" t="str">
        <f>IF(C513&gt;=B513,"Valid", "Invalid-Date")</f>
        <v>Valid</v>
      </c>
      <c r="Y513" s="8" t="str">
        <f t="shared" si="64"/>
        <v>Valid</v>
      </c>
      <c r="Z513" s="8" t="str">
        <f t="shared" si="65"/>
        <v>Pass</v>
      </c>
      <c r="AA513" s="8" t="str">
        <f t="shared" si="66"/>
        <v>Pass</v>
      </c>
      <c r="AB513" s="8" t="str">
        <f>TEXT(B513,"mmmm")</f>
        <v>October</v>
      </c>
      <c r="AC513" s="8" t="str">
        <f>TEXT(B513,"yyyy")</f>
        <v>2024</v>
      </c>
      <c r="AE513">
        <f t="shared" si="67"/>
        <v>4898.43</v>
      </c>
      <c r="AF513" s="11">
        <f t="shared" si="68"/>
        <v>3673.8225000000002</v>
      </c>
      <c r="AG513">
        <f t="shared" si="69"/>
        <v>2810.28</v>
      </c>
      <c r="AH513" s="11">
        <f t="shared" si="70"/>
        <v>0.57371035209240517</v>
      </c>
      <c r="AI513" s="44">
        <f t="shared" si="71"/>
        <v>0.57371035209240517</v>
      </c>
    </row>
    <row r="514" spans="1:35">
      <c r="A514" t="s">
        <v>1634</v>
      </c>
      <c r="B514" s="5">
        <v>45691</v>
      </c>
      <c r="C514" s="5">
        <v>45719</v>
      </c>
      <c r="D514" s="13">
        <f t="shared" si="63"/>
        <v>28</v>
      </c>
      <c r="E514" t="s">
        <v>1246</v>
      </c>
      <c r="F514" t="s">
        <v>47</v>
      </c>
      <c r="G514" t="s">
        <v>90</v>
      </c>
      <c r="H514" t="s">
        <v>54</v>
      </c>
      <c r="I514" t="s">
        <v>185</v>
      </c>
      <c r="J514" t="s">
        <v>186</v>
      </c>
      <c r="K514" t="s">
        <v>28</v>
      </c>
      <c r="L514" t="s">
        <v>91</v>
      </c>
      <c r="M514" t="s">
        <v>1635</v>
      </c>
      <c r="N514" t="s">
        <v>31</v>
      </c>
      <c r="O514">
        <v>2</v>
      </c>
      <c r="P514">
        <v>4031.45</v>
      </c>
      <c r="Q514" s="11">
        <v>0.25</v>
      </c>
      <c r="R514">
        <v>6047.17</v>
      </c>
      <c r="S514">
        <v>3368.79</v>
      </c>
      <c r="T514">
        <v>2678.38</v>
      </c>
      <c r="U514" t="s">
        <v>32</v>
      </c>
      <c r="V514" t="s">
        <v>33</v>
      </c>
      <c r="X514" s="8" t="str">
        <f>IF(C514&gt;=B514,"Valid", "Invalid-Date")</f>
        <v>Valid</v>
      </c>
      <c r="Y514" s="8" t="str">
        <f t="shared" si="64"/>
        <v>Valid</v>
      </c>
      <c r="Z514" s="8" t="str">
        <f t="shared" si="65"/>
        <v>Pass</v>
      </c>
      <c r="AA514" s="8" t="str">
        <f t="shared" si="66"/>
        <v>Pass</v>
      </c>
      <c r="AB514" s="8" t="str">
        <f>TEXT(B514,"mmmm")</f>
        <v>February</v>
      </c>
      <c r="AC514" s="8" t="str">
        <f>TEXT(B514,"yyyy")</f>
        <v>2025</v>
      </c>
      <c r="AE514">
        <f t="shared" si="67"/>
        <v>8062.9</v>
      </c>
      <c r="AF514" s="11">
        <f t="shared" si="68"/>
        <v>6047.1749999999993</v>
      </c>
      <c r="AG514">
        <f t="shared" si="69"/>
        <v>4694.1099999999997</v>
      </c>
      <c r="AH514" s="11">
        <f t="shared" si="70"/>
        <v>0.58218631013655131</v>
      </c>
      <c r="AI514" s="44">
        <f t="shared" si="71"/>
        <v>0.58218631013655131</v>
      </c>
    </row>
    <row r="515" spans="1:35">
      <c r="A515" t="s">
        <v>1636</v>
      </c>
      <c r="B515" s="5">
        <v>45835</v>
      </c>
      <c r="C515" s="5">
        <v>45695</v>
      </c>
      <c r="D515" s="13">
        <f t="shared" ref="D515:D578" si="72">C515-B515</f>
        <v>-140</v>
      </c>
      <c r="E515" t="s">
        <v>1637</v>
      </c>
      <c r="F515" t="s">
        <v>128</v>
      </c>
      <c r="G515" t="s">
        <v>90</v>
      </c>
      <c r="H515" t="s">
        <v>54</v>
      </c>
      <c r="I515" t="s">
        <v>185</v>
      </c>
      <c r="J515" t="s">
        <v>186</v>
      </c>
      <c r="K515" t="s">
        <v>74</v>
      </c>
      <c r="L515" t="s">
        <v>75</v>
      </c>
      <c r="M515" t="s">
        <v>1638</v>
      </c>
      <c r="N515" t="s">
        <v>50</v>
      </c>
      <c r="O515">
        <v>6</v>
      </c>
      <c r="P515">
        <v>1099.49</v>
      </c>
      <c r="Q515" s="11">
        <v>0.1</v>
      </c>
      <c r="R515">
        <v>6212.38</v>
      </c>
      <c r="S515">
        <v>4088.46</v>
      </c>
      <c r="T515">
        <v>1848.79</v>
      </c>
      <c r="U515" t="s">
        <v>32</v>
      </c>
      <c r="V515" t="s">
        <v>33</v>
      </c>
      <c r="X515" s="8" t="str">
        <f>IF(C515&gt;=B515,"Valid", "Invalid-Date")</f>
        <v>Invalid-Date</v>
      </c>
      <c r="Y515" s="8" t="str">
        <f t="shared" ref="Y515:Y578" si="73">IF(OR(Q515&lt;0, Q515&gt;0.5), "Invalid-Discount", "Valid")</f>
        <v>Valid</v>
      </c>
      <c r="Z515" s="8" t="str">
        <f t="shared" ref="Z515:Z578" si="74">IF(N515="Unknown","Flagged","Pass")</f>
        <v>Pass</v>
      </c>
      <c r="AA515" s="8" t="str">
        <f t="shared" ref="AA515:AA578" si="75">IF(H515="Unknown","Flagged","Pass")</f>
        <v>Pass</v>
      </c>
      <c r="AB515" s="8" t="str">
        <f>TEXT(B515,"mmmm")</f>
        <v>June</v>
      </c>
      <c r="AC515" s="8" t="str">
        <f>TEXT(B515,"yyyy")</f>
        <v>2025</v>
      </c>
      <c r="AE515">
        <f t="shared" ref="AE515:AE578" si="76">O515*P515</f>
        <v>6596.9400000000005</v>
      </c>
      <c r="AF515" s="11">
        <f t="shared" ref="AF515:AF578" si="77">AE515*(1-Q515)</f>
        <v>5937.246000000001</v>
      </c>
      <c r="AG515">
        <f t="shared" ref="AG515:AG578" si="78">AE515-S515</f>
        <v>2508.4800000000005</v>
      </c>
      <c r="AH515" s="11">
        <f t="shared" ref="AH515:AH578" si="79">AG515/AE515</f>
        <v>0.3802490245477449</v>
      </c>
      <c r="AI515" s="44">
        <f t="shared" ref="AI515:AI578" si="80">AG515/AE515</f>
        <v>0.3802490245477449</v>
      </c>
    </row>
    <row r="516" spans="1:35">
      <c r="A516" t="s">
        <v>1639</v>
      </c>
      <c r="B516" s="5">
        <v>45614</v>
      </c>
      <c r="C516" s="5">
        <v>45618</v>
      </c>
      <c r="D516" s="13">
        <f t="shared" si="72"/>
        <v>4</v>
      </c>
      <c r="E516" t="s">
        <v>1640</v>
      </c>
      <c r="F516" t="s">
        <v>23</v>
      </c>
      <c r="G516" t="s">
        <v>95</v>
      </c>
      <c r="H516" t="s">
        <v>54</v>
      </c>
      <c r="I516" t="s">
        <v>185</v>
      </c>
      <c r="J516" t="s">
        <v>186</v>
      </c>
      <c r="K516" t="s">
        <v>74</v>
      </c>
      <c r="L516" t="s">
        <v>75</v>
      </c>
      <c r="M516" t="s">
        <v>1641</v>
      </c>
      <c r="N516" t="s">
        <v>59</v>
      </c>
      <c r="O516">
        <v>6</v>
      </c>
      <c r="P516">
        <v>3872.94</v>
      </c>
      <c r="Q516" s="11">
        <v>0.1</v>
      </c>
      <c r="R516">
        <v>20913.88</v>
      </c>
      <c r="S516">
        <v>11684.68</v>
      </c>
      <c r="T516">
        <v>9229.2000000000007</v>
      </c>
      <c r="U516" t="s">
        <v>32</v>
      </c>
      <c r="V516" t="s">
        <v>33</v>
      </c>
      <c r="X516" s="8" t="str">
        <f>IF(C516&gt;=B516,"Valid", "Invalid-Date")</f>
        <v>Valid</v>
      </c>
      <c r="Y516" s="8" t="str">
        <f t="shared" si="73"/>
        <v>Valid</v>
      </c>
      <c r="Z516" s="8" t="str">
        <f t="shared" si="74"/>
        <v>Pass</v>
      </c>
      <c r="AA516" s="8" t="str">
        <f t="shared" si="75"/>
        <v>Pass</v>
      </c>
      <c r="AB516" s="8" t="str">
        <f>TEXT(B516,"mmmm")</f>
        <v>November</v>
      </c>
      <c r="AC516" s="8" t="str">
        <f>TEXT(B516,"yyyy")</f>
        <v>2024</v>
      </c>
      <c r="AE516">
        <f t="shared" si="76"/>
        <v>23237.64</v>
      </c>
      <c r="AF516" s="11">
        <f t="shared" si="77"/>
        <v>20913.876</v>
      </c>
      <c r="AG516">
        <f t="shared" si="78"/>
        <v>11552.96</v>
      </c>
      <c r="AH516" s="11">
        <f t="shared" si="79"/>
        <v>0.49716580513339564</v>
      </c>
      <c r="AI516" s="44">
        <f t="shared" si="80"/>
        <v>0.49716580513339564</v>
      </c>
    </row>
    <row r="517" spans="1:35">
      <c r="A517" t="s">
        <v>1642</v>
      </c>
      <c r="B517" s="5">
        <v>45965</v>
      </c>
      <c r="C517" s="5">
        <v>45965</v>
      </c>
      <c r="D517" s="13">
        <f t="shared" si="72"/>
        <v>0</v>
      </c>
      <c r="E517" t="s">
        <v>1643</v>
      </c>
      <c r="F517" t="s">
        <v>118</v>
      </c>
      <c r="G517" t="s">
        <v>90</v>
      </c>
      <c r="H517" t="s">
        <v>25</v>
      </c>
      <c r="I517" t="s">
        <v>350</v>
      </c>
      <c r="J517" t="s">
        <v>351</v>
      </c>
      <c r="K517" t="s">
        <v>28</v>
      </c>
      <c r="L517" t="s">
        <v>29</v>
      </c>
      <c r="M517" t="s">
        <v>1644</v>
      </c>
      <c r="N517" t="s">
        <v>59</v>
      </c>
      <c r="O517">
        <v>1</v>
      </c>
      <c r="P517">
        <v>4458.49</v>
      </c>
      <c r="Q517" s="11">
        <v>-7.0000000000000007E-2</v>
      </c>
      <c r="R517">
        <v>3566.79</v>
      </c>
      <c r="S517">
        <v>2083.41</v>
      </c>
      <c r="T517">
        <v>1483.38</v>
      </c>
      <c r="U517" t="s">
        <v>32</v>
      </c>
      <c r="V517" t="s">
        <v>33</v>
      </c>
      <c r="X517" s="8" t="str">
        <f>IF(C517&gt;=B517,"Valid", "Invalid-Date")</f>
        <v>Valid</v>
      </c>
      <c r="Y517" s="8" t="str">
        <f t="shared" si="73"/>
        <v>Invalid-Discount</v>
      </c>
      <c r="Z517" s="8" t="str">
        <f t="shared" si="74"/>
        <v>Pass</v>
      </c>
      <c r="AA517" s="8" t="str">
        <f t="shared" si="75"/>
        <v>Pass</v>
      </c>
      <c r="AB517" s="8" t="str">
        <f>TEXT(B517,"mmmm")</f>
        <v>November</v>
      </c>
      <c r="AC517" s="8" t="str">
        <f>TEXT(B517,"yyyy")</f>
        <v>2025</v>
      </c>
      <c r="AE517">
        <f t="shared" si="76"/>
        <v>4458.49</v>
      </c>
      <c r="AF517" s="11">
        <f t="shared" si="77"/>
        <v>4770.5843000000004</v>
      </c>
      <c r="AG517">
        <f t="shared" si="78"/>
        <v>2375.08</v>
      </c>
      <c r="AH517" s="11">
        <f t="shared" si="79"/>
        <v>0.53270950478749535</v>
      </c>
      <c r="AI517" s="44">
        <f t="shared" si="80"/>
        <v>0.53270950478749535</v>
      </c>
    </row>
    <row r="518" spans="1:35">
      <c r="A518" t="s">
        <v>1645</v>
      </c>
      <c r="B518" s="5">
        <v>45563</v>
      </c>
      <c r="C518" s="5">
        <v>45392</v>
      </c>
      <c r="D518" s="13">
        <f t="shared" si="72"/>
        <v>-171</v>
      </c>
      <c r="E518" t="s">
        <v>1646</v>
      </c>
      <c r="F518" t="s">
        <v>264</v>
      </c>
      <c r="G518" t="s">
        <v>95</v>
      </c>
      <c r="H518" t="s">
        <v>25</v>
      </c>
      <c r="I518" t="s">
        <v>350</v>
      </c>
      <c r="J518" t="s">
        <v>351</v>
      </c>
      <c r="K518" t="s">
        <v>74</v>
      </c>
      <c r="L518" t="s">
        <v>80</v>
      </c>
      <c r="M518" t="s">
        <v>1647</v>
      </c>
      <c r="N518" t="s">
        <v>59</v>
      </c>
      <c r="O518">
        <v>1</v>
      </c>
      <c r="P518">
        <v>2233.1799999999998</v>
      </c>
      <c r="Q518" s="11">
        <v>0</v>
      </c>
      <c r="R518">
        <v>2233.1799999999998</v>
      </c>
      <c r="S518">
        <v>1585.82</v>
      </c>
      <c r="T518">
        <v>647.36</v>
      </c>
      <c r="U518" t="s">
        <v>155</v>
      </c>
      <c r="V518" t="s">
        <v>103</v>
      </c>
      <c r="X518" s="8" t="str">
        <f>IF(C518&gt;=B518,"Valid", "Invalid-Date")</f>
        <v>Invalid-Date</v>
      </c>
      <c r="Y518" s="8" t="str">
        <f t="shared" si="73"/>
        <v>Valid</v>
      </c>
      <c r="Z518" s="8" t="str">
        <f t="shared" si="74"/>
        <v>Pass</v>
      </c>
      <c r="AA518" s="8" t="str">
        <f t="shared" si="75"/>
        <v>Pass</v>
      </c>
      <c r="AB518" s="8" t="str">
        <f>TEXT(B518,"mmmm")</f>
        <v>September</v>
      </c>
      <c r="AC518" s="8" t="str">
        <f>TEXT(B518,"yyyy")</f>
        <v>2024</v>
      </c>
      <c r="AE518">
        <f t="shared" si="76"/>
        <v>2233.1799999999998</v>
      </c>
      <c r="AF518" s="11">
        <f t="shared" si="77"/>
        <v>2233.1799999999998</v>
      </c>
      <c r="AG518">
        <f t="shared" si="78"/>
        <v>647.3599999999999</v>
      </c>
      <c r="AH518" s="11">
        <f t="shared" si="79"/>
        <v>0.28988258895386843</v>
      </c>
      <c r="AI518" s="44">
        <f t="shared" si="80"/>
        <v>0.28988258895386843</v>
      </c>
    </row>
    <row r="519" spans="1:35">
      <c r="A519" t="s">
        <v>1648</v>
      </c>
      <c r="B519" s="5">
        <v>45802</v>
      </c>
      <c r="C519" s="5">
        <v>45804</v>
      </c>
      <c r="D519" s="13">
        <f t="shared" si="72"/>
        <v>2</v>
      </c>
      <c r="E519" t="s">
        <v>1649</v>
      </c>
      <c r="F519" t="s">
        <v>118</v>
      </c>
      <c r="G519" t="s">
        <v>24</v>
      </c>
      <c r="H519" t="s">
        <v>38</v>
      </c>
      <c r="I519" t="s">
        <v>39</v>
      </c>
      <c r="J519" t="s">
        <v>40</v>
      </c>
      <c r="K519" t="s">
        <v>41</v>
      </c>
      <c r="L519" t="s">
        <v>57</v>
      </c>
      <c r="M519" t="s">
        <v>1650</v>
      </c>
      <c r="N519" t="s">
        <v>31</v>
      </c>
      <c r="O519">
        <v>7</v>
      </c>
      <c r="P519">
        <v>2123.2800000000002</v>
      </c>
      <c r="Q519" s="11">
        <v>0.2</v>
      </c>
      <c r="R519">
        <v>11890.37</v>
      </c>
      <c r="S519">
        <v>9234.5300000000007</v>
      </c>
      <c r="T519">
        <v>2655.84</v>
      </c>
      <c r="U519" t="s">
        <v>102</v>
      </c>
      <c r="V519" t="s">
        <v>103</v>
      </c>
      <c r="X519" s="8" t="str">
        <f>IF(C519&gt;=B519,"Valid", "Invalid-Date")</f>
        <v>Valid</v>
      </c>
      <c r="Y519" s="8" t="str">
        <f t="shared" si="73"/>
        <v>Valid</v>
      </c>
      <c r="Z519" s="8" t="str">
        <f t="shared" si="74"/>
        <v>Pass</v>
      </c>
      <c r="AA519" s="8" t="str">
        <f t="shared" si="75"/>
        <v>Pass</v>
      </c>
      <c r="AB519" s="8" t="str">
        <f>TEXT(B519,"mmmm")</f>
        <v>May</v>
      </c>
      <c r="AC519" s="8" t="str">
        <f>TEXT(B519,"yyyy")</f>
        <v>2025</v>
      </c>
      <c r="AE519">
        <f t="shared" si="76"/>
        <v>14862.960000000001</v>
      </c>
      <c r="AF519" s="11">
        <f t="shared" si="77"/>
        <v>11890.368000000002</v>
      </c>
      <c r="AG519">
        <f t="shared" si="78"/>
        <v>5628.43</v>
      </c>
      <c r="AH519" s="11">
        <f t="shared" si="79"/>
        <v>0.37868836355611535</v>
      </c>
      <c r="AI519" s="44">
        <f t="shared" si="80"/>
        <v>0.37868836355611535</v>
      </c>
    </row>
    <row r="520" spans="1:35">
      <c r="A520" t="s">
        <v>1651</v>
      </c>
      <c r="B520" s="5">
        <v>45777</v>
      </c>
      <c r="C520" s="5">
        <v>45773</v>
      </c>
      <c r="D520" s="13">
        <f t="shared" si="72"/>
        <v>-4</v>
      </c>
      <c r="E520" t="s">
        <v>1652</v>
      </c>
      <c r="F520" t="s">
        <v>162</v>
      </c>
      <c r="G520" t="s">
        <v>90</v>
      </c>
      <c r="H520" t="s">
        <v>38</v>
      </c>
      <c r="I520" t="s">
        <v>39</v>
      </c>
      <c r="J520" t="s">
        <v>40</v>
      </c>
      <c r="K520" t="s">
        <v>41</v>
      </c>
      <c r="L520" t="s">
        <v>42</v>
      </c>
      <c r="M520" t="s">
        <v>1653</v>
      </c>
      <c r="N520" t="s">
        <v>50</v>
      </c>
      <c r="O520">
        <v>7</v>
      </c>
      <c r="P520">
        <v>1604.13</v>
      </c>
      <c r="Q520" s="11">
        <v>0.25</v>
      </c>
      <c r="R520">
        <v>8421.68</v>
      </c>
      <c r="S520">
        <v>6534.47</v>
      </c>
      <c r="T520">
        <v>1887.21</v>
      </c>
      <c r="U520" t="s">
        <v>32</v>
      </c>
      <c r="V520" t="s">
        <v>68</v>
      </c>
      <c r="X520" s="8" t="str">
        <f>IF(C520&gt;=B520,"Valid", "Invalid-Date")</f>
        <v>Invalid-Date</v>
      </c>
      <c r="Y520" s="8" t="str">
        <f t="shared" si="73"/>
        <v>Valid</v>
      </c>
      <c r="Z520" s="8" t="str">
        <f t="shared" si="74"/>
        <v>Pass</v>
      </c>
      <c r="AA520" s="8" t="str">
        <f t="shared" si="75"/>
        <v>Pass</v>
      </c>
      <c r="AB520" s="8" t="str">
        <f>TEXT(B520,"mmmm")</f>
        <v>April</v>
      </c>
      <c r="AC520" s="8" t="str">
        <f>TEXT(B520,"yyyy")</f>
        <v>2025</v>
      </c>
      <c r="AE520">
        <f t="shared" si="76"/>
        <v>11228.91</v>
      </c>
      <c r="AF520" s="11">
        <f t="shared" si="77"/>
        <v>8421.682499999999</v>
      </c>
      <c r="AG520">
        <f t="shared" si="78"/>
        <v>4694.4399999999996</v>
      </c>
      <c r="AH520" s="11">
        <f t="shared" si="79"/>
        <v>0.41806729237299078</v>
      </c>
      <c r="AI520" s="44">
        <f t="shared" si="80"/>
        <v>0.41806729237299078</v>
      </c>
    </row>
    <row r="521" spans="1:35">
      <c r="A521" t="s">
        <v>1654</v>
      </c>
      <c r="B521" s="5">
        <v>45841</v>
      </c>
      <c r="C521" s="5">
        <v>45845</v>
      </c>
      <c r="D521" s="13">
        <f t="shared" si="72"/>
        <v>4</v>
      </c>
      <c r="E521" t="s">
        <v>1655</v>
      </c>
      <c r="F521" t="s">
        <v>114</v>
      </c>
      <c r="G521" t="s">
        <v>24</v>
      </c>
      <c r="H521" t="s">
        <v>25</v>
      </c>
      <c r="I521" t="s">
        <v>136</v>
      </c>
      <c r="J521" t="s">
        <v>137</v>
      </c>
      <c r="K521" t="s">
        <v>41</v>
      </c>
      <c r="L521" t="s">
        <v>42</v>
      </c>
      <c r="M521" t="s">
        <v>1656</v>
      </c>
      <c r="N521" t="s">
        <v>59</v>
      </c>
      <c r="O521">
        <v>4</v>
      </c>
      <c r="P521">
        <v>4365.21</v>
      </c>
      <c r="Q521" s="11">
        <v>0.2</v>
      </c>
      <c r="R521">
        <v>13968.67</v>
      </c>
      <c r="S521">
        <v>8857.58</v>
      </c>
      <c r="T521">
        <v>5111.09</v>
      </c>
      <c r="U521" t="s">
        <v>111</v>
      </c>
      <c r="V521" t="s">
        <v>68</v>
      </c>
      <c r="X521" s="8" t="str">
        <f>IF(C521&gt;=B521,"Valid", "Invalid-Date")</f>
        <v>Valid</v>
      </c>
      <c r="Y521" s="8" t="str">
        <f t="shared" si="73"/>
        <v>Valid</v>
      </c>
      <c r="Z521" s="8" t="str">
        <f t="shared" si="74"/>
        <v>Pass</v>
      </c>
      <c r="AA521" s="8" t="str">
        <f t="shared" si="75"/>
        <v>Pass</v>
      </c>
      <c r="AB521" s="8" t="str">
        <f>TEXT(B521,"mmmm")</f>
        <v>July</v>
      </c>
      <c r="AC521" s="8" t="str">
        <f>TEXT(B521,"yyyy")</f>
        <v>2025</v>
      </c>
      <c r="AE521">
        <f t="shared" si="76"/>
        <v>17460.84</v>
      </c>
      <c r="AF521" s="11">
        <f t="shared" si="77"/>
        <v>13968.672</v>
      </c>
      <c r="AG521">
        <f t="shared" si="78"/>
        <v>8603.26</v>
      </c>
      <c r="AH521" s="11">
        <f t="shared" si="79"/>
        <v>0.49271741794781926</v>
      </c>
      <c r="AI521" s="44">
        <f t="shared" si="80"/>
        <v>0.49271741794781926</v>
      </c>
    </row>
    <row r="522" spans="1:35">
      <c r="A522" t="s">
        <v>1657</v>
      </c>
      <c r="B522" s="5">
        <v>45489</v>
      </c>
      <c r="C522" s="5">
        <v>45496</v>
      </c>
      <c r="D522" s="13">
        <f t="shared" si="72"/>
        <v>7</v>
      </c>
      <c r="E522" t="s">
        <v>1658</v>
      </c>
      <c r="F522" t="s">
        <v>128</v>
      </c>
      <c r="G522" t="s">
        <v>95</v>
      </c>
      <c r="H522" t="s">
        <v>54</v>
      </c>
      <c r="I522" t="s">
        <v>175</v>
      </c>
      <c r="J522" t="s">
        <v>176</v>
      </c>
      <c r="K522" t="s">
        <v>74</v>
      </c>
      <c r="L522" t="s">
        <v>274</v>
      </c>
      <c r="M522" t="s">
        <v>1659</v>
      </c>
      <c r="N522" t="s">
        <v>44</v>
      </c>
      <c r="O522">
        <v>1</v>
      </c>
      <c r="P522">
        <v>1695.91</v>
      </c>
      <c r="Q522" s="11">
        <v>0.05</v>
      </c>
      <c r="R522">
        <v>1611.11</v>
      </c>
      <c r="S522">
        <v>895.15</v>
      </c>
      <c r="T522">
        <v>715.96</v>
      </c>
      <c r="U522" t="s">
        <v>32</v>
      </c>
      <c r="V522" t="s">
        <v>33</v>
      </c>
      <c r="X522" s="8" t="str">
        <f>IF(C522&gt;=B522,"Valid", "Invalid-Date")</f>
        <v>Valid</v>
      </c>
      <c r="Y522" s="8" t="str">
        <f t="shared" si="73"/>
        <v>Valid</v>
      </c>
      <c r="Z522" s="8" t="str">
        <f t="shared" si="74"/>
        <v>Pass</v>
      </c>
      <c r="AA522" s="8" t="str">
        <f t="shared" si="75"/>
        <v>Pass</v>
      </c>
      <c r="AB522" s="8" t="str">
        <f>TEXT(B522,"mmmm")</f>
        <v>July</v>
      </c>
      <c r="AC522" s="8" t="str">
        <f>TEXT(B522,"yyyy")</f>
        <v>2024</v>
      </c>
      <c r="AE522">
        <f t="shared" si="76"/>
        <v>1695.91</v>
      </c>
      <c r="AF522" s="11">
        <f t="shared" si="77"/>
        <v>1611.1144999999999</v>
      </c>
      <c r="AG522">
        <f t="shared" si="78"/>
        <v>800.7600000000001</v>
      </c>
      <c r="AH522" s="11">
        <f t="shared" si="79"/>
        <v>0.47217128267419856</v>
      </c>
      <c r="AI522" s="44">
        <f t="shared" si="80"/>
        <v>0.47217128267419856</v>
      </c>
    </row>
    <row r="523" spans="1:35">
      <c r="A523" t="s">
        <v>1660</v>
      </c>
      <c r="B523" s="5">
        <v>45741</v>
      </c>
      <c r="C523" s="5">
        <v>45661</v>
      </c>
      <c r="D523" s="13">
        <f t="shared" si="72"/>
        <v>-80</v>
      </c>
      <c r="E523" t="s">
        <v>1661</v>
      </c>
      <c r="F523" t="s">
        <v>162</v>
      </c>
      <c r="G523" t="s">
        <v>24</v>
      </c>
      <c r="H523" t="s">
        <v>25</v>
      </c>
      <c r="I523" t="s">
        <v>122</v>
      </c>
      <c r="J523" t="s">
        <v>123</v>
      </c>
      <c r="K523" t="s">
        <v>28</v>
      </c>
      <c r="L523" t="s">
        <v>91</v>
      </c>
      <c r="M523" t="s">
        <v>1662</v>
      </c>
      <c r="N523" t="s">
        <v>31</v>
      </c>
      <c r="O523">
        <v>6</v>
      </c>
      <c r="P523">
        <v>2192.11</v>
      </c>
      <c r="Q523" s="11">
        <v>0.05</v>
      </c>
      <c r="R523">
        <v>12495.03</v>
      </c>
      <c r="S523">
        <v>9184.52</v>
      </c>
      <c r="T523">
        <v>3310.51</v>
      </c>
      <c r="U523" t="s">
        <v>32</v>
      </c>
      <c r="V523" t="s">
        <v>33</v>
      </c>
      <c r="X523" s="8" t="str">
        <f>IF(C523&gt;=B523,"Valid", "Invalid-Date")</f>
        <v>Invalid-Date</v>
      </c>
      <c r="Y523" s="8" t="str">
        <f t="shared" si="73"/>
        <v>Valid</v>
      </c>
      <c r="Z523" s="8" t="str">
        <f t="shared" si="74"/>
        <v>Pass</v>
      </c>
      <c r="AA523" s="8" t="str">
        <f t="shared" si="75"/>
        <v>Pass</v>
      </c>
      <c r="AB523" s="8" t="str">
        <f>TEXT(B523,"mmmm")</f>
        <v>March</v>
      </c>
      <c r="AC523" s="8" t="str">
        <f>TEXT(B523,"yyyy")</f>
        <v>2025</v>
      </c>
      <c r="AE523">
        <f t="shared" si="76"/>
        <v>13152.66</v>
      </c>
      <c r="AF523" s="11">
        <f t="shared" si="77"/>
        <v>12495.027</v>
      </c>
      <c r="AG523">
        <f t="shared" si="78"/>
        <v>3968.1399999999994</v>
      </c>
      <c r="AH523" s="11">
        <f t="shared" si="79"/>
        <v>0.3016986677979967</v>
      </c>
      <c r="AI523" s="44">
        <f t="shared" si="80"/>
        <v>0.3016986677979967</v>
      </c>
    </row>
    <row r="524" spans="1:35">
      <c r="A524" t="s">
        <v>1663</v>
      </c>
      <c r="B524" s="5">
        <v>45716</v>
      </c>
      <c r="C524" s="5">
        <v>45872</v>
      </c>
      <c r="D524" s="13">
        <f t="shared" si="72"/>
        <v>156</v>
      </c>
      <c r="E524" t="s">
        <v>1664</v>
      </c>
      <c r="F524" t="s">
        <v>79</v>
      </c>
      <c r="G524" t="s">
        <v>37</v>
      </c>
      <c r="H524" t="s">
        <v>38</v>
      </c>
      <c r="I524" t="s">
        <v>228</v>
      </c>
      <c r="J524" t="s">
        <v>229</v>
      </c>
      <c r="K524" t="s">
        <v>74</v>
      </c>
      <c r="L524" t="s">
        <v>171</v>
      </c>
      <c r="M524" t="s">
        <v>1665</v>
      </c>
      <c r="N524" t="s">
        <v>50</v>
      </c>
      <c r="O524">
        <v>9</v>
      </c>
      <c r="P524">
        <v>3670.54</v>
      </c>
      <c r="Q524" s="11">
        <v>0</v>
      </c>
      <c r="R524">
        <v>33034.86</v>
      </c>
      <c r="S524">
        <v>24539.83</v>
      </c>
      <c r="T524">
        <v>8495.0300000000007</v>
      </c>
      <c r="U524" t="s">
        <v>32</v>
      </c>
      <c r="V524" t="s">
        <v>33</v>
      </c>
      <c r="X524" s="8" t="str">
        <f>IF(C524&gt;=B524,"Valid", "Invalid-Date")</f>
        <v>Valid</v>
      </c>
      <c r="Y524" s="8" t="str">
        <f t="shared" si="73"/>
        <v>Valid</v>
      </c>
      <c r="Z524" s="8" t="str">
        <f t="shared" si="74"/>
        <v>Pass</v>
      </c>
      <c r="AA524" s="8" t="str">
        <f t="shared" si="75"/>
        <v>Pass</v>
      </c>
      <c r="AB524" s="8" t="str">
        <f>TEXT(B524,"mmmm")</f>
        <v>February</v>
      </c>
      <c r="AC524" s="8" t="str">
        <f>TEXT(B524,"yyyy")</f>
        <v>2025</v>
      </c>
      <c r="AE524">
        <f t="shared" si="76"/>
        <v>33034.86</v>
      </c>
      <c r="AF524" s="11">
        <f t="shared" si="77"/>
        <v>33034.86</v>
      </c>
      <c r="AG524">
        <f t="shared" si="78"/>
        <v>8495.0299999999988</v>
      </c>
      <c r="AH524" s="11">
        <f t="shared" si="79"/>
        <v>0.25715350390466307</v>
      </c>
      <c r="AI524" s="44">
        <f t="shared" si="80"/>
        <v>0.25715350390466307</v>
      </c>
    </row>
    <row r="525" spans="1:35">
      <c r="A525" t="s">
        <v>1666</v>
      </c>
      <c r="B525" s="5">
        <v>45384</v>
      </c>
      <c r="C525" s="5">
        <v>45355</v>
      </c>
      <c r="D525" s="13">
        <f t="shared" si="72"/>
        <v>-29</v>
      </c>
      <c r="E525" t="s">
        <v>1667</v>
      </c>
      <c r="F525" t="s">
        <v>264</v>
      </c>
      <c r="G525" t="s">
        <v>95</v>
      </c>
      <c r="H525" t="s">
        <v>63</v>
      </c>
      <c r="I525" t="s">
        <v>190</v>
      </c>
      <c r="J525" t="s">
        <v>191</v>
      </c>
      <c r="K525" t="s">
        <v>28</v>
      </c>
      <c r="L525" t="s">
        <v>29</v>
      </c>
      <c r="M525" t="s">
        <v>1668</v>
      </c>
      <c r="N525" t="s">
        <v>31</v>
      </c>
      <c r="O525">
        <v>2</v>
      </c>
      <c r="P525">
        <v>2902.63</v>
      </c>
      <c r="Q525" s="11">
        <v>0</v>
      </c>
      <c r="R525">
        <v>5805.26</v>
      </c>
      <c r="S525">
        <v>4654.3599999999997</v>
      </c>
      <c r="T525">
        <v>1150.9000000000001</v>
      </c>
      <c r="U525" t="s">
        <v>32</v>
      </c>
      <c r="V525" t="s">
        <v>103</v>
      </c>
      <c r="X525" s="8" t="str">
        <f>IF(C525&gt;=B525,"Valid", "Invalid-Date")</f>
        <v>Invalid-Date</v>
      </c>
      <c r="Y525" s="8" t="str">
        <f t="shared" si="73"/>
        <v>Valid</v>
      </c>
      <c r="Z525" s="8" t="str">
        <f t="shared" si="74"/>
        <v>Pass</v>
      </c>
      <c r="AA525" s="8" t="str">
        <f t="shared" si="75"/>
        <v>Pass</v>
      </c>
      <c r="AB525" s="8" t="str">
        <f>TEXT(B525,"mmmm")</f>
        <v>April</v>
      </c>
      <c r="AC525" s="8" t="str">
        <f>TEXT(B525,"yyyy")</f>
        <v>2024</v>
      </c>
      <c r="AE525">
        <f t="shared" si="76"/>
        <v>5805.26</v>
      </c>
      <c r="AF525" s="11">
        <f t="shared" si="77"/>
        <v>5805.26</v>
      </c>
      <c r="AG525">
        <f t="shared" si="78"/>
        <v>1150.9000000000005</v>
      </c>
      <c r="AH525" s="11">
        <f t="shared" si="79"/>
        <v>0.19825124111581574</v>
      </c>
      <c r="AI525" s="44">
        <f t="shared" si="80"/>
        <v>0.19825124111581574</v>
      </c>
    </row>
    <row r="526" spans="1:35">
      <c r="A526" t="s">
        <v>1669</v>
      </c>
      <c r="B526" s="5">
        <v>45626</v>
      </c>
      <c r="C526" s="5">
        <v>45303</v>
      </c>
      <c r="D526" s="13">
        <f t="shared" si="72"/>
        <v>-323</v>
      </c>
      <c r="E526" t="s">
        <v>1670</v>
      </c>
      <c r="F526" t="s">
        <v>62</v>
      </c>
      <c r="G526" t="s">
        <v>90</v>
      </c>
      <c r="H526" t="s">
        <v>63</v>
      </c>
      <c r="I526" t="s">
        <v>180</v>
      </c>
      <c r="J526" t="s">
        <v>181</v>
      </c>
      <c r="K526" t="s">
        <v>41</v>
      </c>
      <c r="L526" t="s">
        <v>66</v>
      </c>
      <c r="M526" t="s">
        <v>1671</v>
      </c>
      <c r="N526" t="s">
        <v>50</v>
      </c>
      <c r="O526">
        <v>9</v>
      </c>
      <c r="P526">
        <v>4207.3599999999997</v>
      </c>
      <c r="Q526" s="11">
        <v>0.1</v>
      </c>
      <c r="R526">
        <v>34079.620000000003</v>
      </c>
      <c r="S526">
        <v>21871.39</v>
      </c>
      <c r="T526">
        <v>12208.23</v>
      </c>
      <c r="U526" t="s">
        <v>32</v>
      </c>
      <c r="V526" t="s">
        <v>33</v>
      </c>
      <c r="X526" s="8" t="str">
        <f>IF(C526&gt;=B526,"Valid", "Invalid-Date")</f>
        <v>Invalid-Date</v>
      </c>
      <c r="Y526" s="8" t="str">
        <f t="shared" si="73"/>
        <v>Valid</v>
      </c>
      <c r="Z526" s="8" t="str">
        <f t="shared" si="74"/>
        <v>Pass</v>
      </c>
      <c r="AA526" s="8" t="str">
        <f t="shared" si="75"/>
        <v>Pass</v>
      </c>
      <c r="AB526" s="8" t="str">
        <f>TEXT(B526,"mmmm")</f>
        <v>November</v>
      </c>
      <c r="AC526" s="8" t="str">
        <f>TEXT(B526,"yyyy")</f>
        <v>2024</v>
      </c>
      <c r="AE526">
        <f t="shared" si="76"/>
        <v>37866.239999999998</v>
      </c>
      <c r="AF526" s="11">
        <f t="shared" si="77"/>
        <v>34079.616000000002</v>
      </c>
      <c r="AG526">
        <f t="shared" si="78"/>
        <v>15994.849999999999</v>
      </c>
      <c r="AH526" s="11">
        <f t="shared" si="79"/>
        <v>0.42240396722779971</v>
      </c>
      <c r="AI526" s="44">
        <f t="shared" si="80"/>
        <v>0.42240396722779971</v>
      </c>
    </row>
    <row r="527" spans="1:35">
      <c r="A527" t="s">
        <v>1672</v>
      </c>
      <c r="B527" s="5">
        <v>45582</v>
      </c>
      <c r="C527" s="5">
        <v>45582</v>
      </c>
      <c r="D527" s="13">
        <f t="shared" si="72"/>
        <v>0</v>
      </c>
      <c r="E527" t="s">
        <v>1673</v>
      </c>
      <c r="F527" t="s">
        <v>114</v>
      </c>
      <c r="G527" t="s">
        <v>95</v>
      </c>
      <c r="H527" t="s">
        <v>38</v>
      </c>
      <c r="I527" t="s">
        <v>99</v>
      </c>
      <c r="J527" t="s">
        <v>100</v>
      </c>
      <c r="K527" t="s">
        <v>41</v>
      </c>
      <c r="L527" t="s">
        <v>66</v>
      </c>
      <c r="M527" t="s">
        <v>1674</v>
      </c>
      <c r="N527" t="s">
        <v>59</v>
      </c>
      <c r="O527">
        <v>5</v>
      </c>
      <c r="P527">
        <v>2524.4</v>
      </c>
      <c r="Q527" s="11">
        <v>0.1</v>
      </c>
      <c r="R527">
        <v>11359.8</v>
      </c>
      <c r="S527">
        <v>7062.44</v>
      </c>
      <c r="T527">
        <v>4297.3599999999997</v>
      </c>
      <c r="U527" t="s">
        <v>32</v>
      </c>
      <c r="V527" t="s">
        <v>33</v>
      </c>
      <c r="X527" s="8" t="str">
        <f>IF(C527&gt;=B527,"Valid", "Invalid-Date")</f>
        <v>Valid</v>
      </c>
      <c r="Y527" s="8" t="str">
        <f t="shared" si="73"/>
        <v>Valid</v>
      </c>
      <c r="Z527" s="8" t="str">
        <f t="shared" si="74"/>
        <v>Pass</v>
      </c>
      <c r="AA527" s="8" t="str">
        <f t="shared" si="75"/>
        <v>Pass</v>
      </c>
      <c r="AB527" s="8" t="str">
        <f>TEXT(B527,"mmmm")</f>
        <v>October</v>
      </c>
      <c r="AC527" s="8" t="str">
        <f>TEXT(B527,"yyyy")</f>
        <v>2024</v>
      </c>
      <c r="AE527">
        <f t="shared" si="76"/>
        <v>12622</v>
      </c>
      <c r="AF527" s="11">
        <f t="shared" si="77"/>
        <v>11359.800000000001</v>
      </c>
      <c r="AG527">
        <f t="shared" si="78"/>
        <v>5559.56</v>
      </c>
      <c r="AH527" s="11">
        <f t="shared" si="79"/>
        <v>0.44046585327206467</v>
      </c>
      <c r="AI527" s="44">
        <f t="shared" si="80"/>
        <v>0.44046585327206467</v>
      </c>
    </row>
    <row r="528" spans="1:35">
      <c r="A528" t="s">
        <v>1675</v>
      </c>
      <c r="B528" s="5">
        <v>45856</v>
      </c>
      <c r="C528" s="5">
        <v>45859</v>
      </c>
      <c r="D528" s="13">
        <f t="shared" si="72"/>
        <v>3</v>
      </c>
      <c r="E528" t="s">
        <v>1676</v>
      </c>
      <c r="F528" t="s">
        <v>114</v>
      </c>
      <c r="G528" t="s">
        <v>24</v>
      </c>
      <c r="H528" t="s">
        <v>38</v>
      </c>
      <c r="I528" t="s">
        <v>39</v>
      </c>
      <c r="J528" t="s">
        <v>40</v>
      </c>
      <c r="K528" t="s">
        <v>41</v>
      </c>
      <c r="L528" t="s">
        <v>42</v>
      </c>
      <c r="M528" t="s">
        <v>1677</v>
      </c>
      <c r="N528" t="s">
        <v>31</v>
      </c>
      <c r="O528">
        <v>4</v>
      </c>
      <c r="P528">
        <v>284.04000000000002</v>
      </c>
      <c r="Q528" s="11">
        <v>0</v>
      </c>
      <c r="R528">
        <v>908.93</v>
      </c>
      <c r="S528">
        <v>572.08000000000004</v>
      </c>
      <c r="T528">
        <v>336.85</v>
      </c>
      <c r="U528" t="s">
        <v>32</v>
      </c>
      <c r="V528" t="s">
        <v>33</v>
      </c>
      <c r="X528" s="8" t="str">
        <f>IF(C528&gt;=B528,"Valid", "Invalid-Date")</f>
        <v>Valid</v>
      </c>
      <c r="Y528" s="8" t="str">
        <f t="shared" si="73"/>
        <v>Valid</v>
      </c>
      <c r="Z528" s="8" t="str">
        <f t="shared" si="74"/>
        <v>Pass</v>
      </c>
      <c r="AA528" s="8" t="str">
        <f t="shared" si="75"/>
        <v>Pass</v>
      </c>
      <c r="AB528" s="8" t="str">
        <f>TEXT(B528,"mmmm")</f>
        <v>July</v>
      </c>
      <c r="AC528" s="8" t="str">
        <f>TEXT(B528,"yyyy")</f>
        <v>2025</v>
      </c>
      <c r="AE528">
        <f t="shared" si="76"/>
        <v>1136.1600000000001</v>
      </c>
      <c r="AF528" s="11">
        <f t="shared" si="77"/>
        <v>1136.1600000000001</v>
      </c>
      <c r="AG528">
        <f t="shared" si="78"/>
        <v>564.08000000000004</v>
      </c>
      <c r="AH528" s="11">
        <f t="shared" si="79"/>
        <v>0.49647936910294327</v>
      </c>
      <c r="AI528" s="44">
        <f t="shared" si="80"/>
        <v>0.49647936910294327</v>
      </c>
    </row>
    <row r="529" spans="1:35">
      <c r="A529" t="s">
        <v>1678</v>
      </c>
      <c r="B529" s="5">
        <v>45931</v>
      </c>
      <c r="C529" s="5">
        <v>45787</v>
      </c>
      <c r="D529" s="13">
        <f t="shared" si="72"/>
        <v>-144</v>
      </c>
      <c r="E529" t="s">
        <v>1679</v>
      </c>
      <c r="F529" t="s">
        <v>89</v>
      </c>
      <c r="G529" t="s">
        <v>95</v>
      </c>
      <c r="H529" t="s">
        <v>25</v>
      </c>
      <c r="I529" t="s">
        <v>236</v>
      </c>
      <c r="J529" t="s">
        <v>237</v>
      </c>
      <c r="K529" t="s">
        <v>28</v>
      </c>
      <c r="L529" t="s">
        <v>29</v>
      </c>
      <c r="M529" t="s">
        <v>1680</v>
      </c>
      <c r="N529" t="s">
        <v>50</v>
      </c>
      <c r="O529">
        <v>5</v>
      </c>
      <c r="P529">
        <v>3247.56</v>
      </c>
      <c r="Q529" s="11">
        <v>0.15</v>
      </c>
      <c r="R529">
        <v>13802.13</v>
      </c>
      <c r="S529">
        <v>10075.93</v>
      </c>
      <c r="T529">
        <v>3726.2</v>
      </c>
      <c r="U529" t="s">
        <v>32</v>
      </c>
      <c r="V529" t="s">
        <v>33</v>
      </c>
      <c r="X529" s="8" t="str">
        <f>IF(C529&gt;=B529,"Valid", "Invalid-Date")</f>
        <v>Invalid-Date</v>
      </c>
      <c r="Y529" s="8" t="str">
        <f t="shared" si="73"/>
        <v>Valid</v>
      </c>
      <c r="Z529" s="8" t="str">
        <f t="shared" si="74"/>
        <v>Pass</v>
      </c>
      <c r="AA529" s="8" t="str">
        <f t="shared" si="75"/>
        <v>Pass</v>
      </c>
      <c r="AB529" s="8" t="str">
        <f>TEXT(B529,"mmmm")</f>
        <v>October</v>
      </c>
      <c r="AC529" s="8" t="str">
        <f>TEXT(B529,"yyyy")</f>
        <v>2025</v>
      </c>
      <c r="AE529">
        <f t="shared" si="76"/>
        <v>16237.8</v>
      </c>
      <c r="AF529" s="11">
        <f t="shared" si="77"/>
        <v>13802.13</v>
      </c>
      <c r="AG529">
        <f t="shared" si="78"/>
        <v>6161.869999999999</v>
      </c>
      <c r="AH529" s="11">
        <f t="shared" si="79"/>
        <v>0.37947689957999231</v>
      </c>
      <c r="AI529" s="44">
        <f t="shared" si="80"/>
        <v>0.37947689957999231</v>
      </c>
    </row>
    <row r="530" spans="1:35">
      <c r="A530" t="s">
        <v>1681</v>
      </c>
      <c r="B530" s="5">
        <v>45572</v>
      </c>
      <c r="C530" s="5">
        <v>45574</v>
      </c>
      <c r="D530" s="13">
        <f t="shared" si="72"/>
        <v>2</v>
      </c>
      <c r="E530" t="s">
        <v>1682</v>
      </c>
      <c r="F530" t="s">
        <v>162</v>
      </c>
      <c r="G530" t="s">
        <v>24</v>
      </c>
      <c r="H530" t="s">
        <v>54</v>
      </c>
      <c r="I530" t="s">
        <v>247</v>
      </c>
      <c r="J530" t="s">
        <v>248</v>
      </c>
      <c r="K530" t="s">
        <v>28</v>
      </c>
      <c r="L530" t="s">
        <v>153</v>
      </c>
      <c r="M530" t="s">
        <v>1683</v>
      </c>
      <c r="N530" t="s">
        <v>59</v>
      </c>
      <c r="O530">
        <v>9</v>
      </c>
      <c r="P530">
        <v>3457.09</v>
      </c>
      <c r="Q530" s="11">
        <v>0.05</v>
      </c>
      <c r="R530">
        <v>29558.12</v>
      </c>
      <c r="S530">
        <v>21302.13</v>
      </c>
      <c r="T530">
        <v>8255.99</v>
      </c>
      <c r="U530" t="s">
        <v>111</v>
      </c>
      <c r="V530" t="s">
        <v>103</v>
      </c>
      <c r="X530" s="8" t="str">
        <f>IF(C530&gt;=B530,"Valid", "Invalid-Date")</f>
        <v>Valid</v>
      </c>
      <c r="Y530" s="8" t="str">
        <f t="shared" si="73"/>
        <v>Valid</v>
      </c>
      <c r="Z530" s="8" t="str">
        <f t="shared" si="74"/>
        <v>Pass</v>
      </c>
      <c r="AA530" s="8" t="str">
        <f t="shared" si="75"/>
        <v>Pass</v>
      </c>
      <c r="AB530" s="8" t="str">
        <f>TEXT(B530,"mmmm")</f>
        <v>October</v>
      </c>
      <c r="AC530" s="8" t="str">
        <f>TEXT(B530,"yyyy")</f>
        <v>2024</v>
      </c>
      <c r="AE530">
        <f t="shared" si="76"/>
        <v>31113.81</v>
      </c>
      <c r="AF530" s="11">
        <f t="shared" si="77"/>
        <v>29558.119500000001</v>
      </c>
      <c r="AG530">
        <f t="shared" si="78"/>
        <v>9811.68</v>
      </c>
      <c r="AH530" s="11">
        <f t="shared" si="79"/>
        <v>0.31534807212617161</v>
      </c>
      <c r="AI530" s="44">
        <f t="shared" si="80"/>
        <v>0.31534807212617161</v>
      </c>
    </row>
    <row r="531" spans="1:35">
      <c r="A531" t="s">
        <v>1684</v>
      </c>
      <c r="B531" s="5">
        <v>45328</v>
      </c>
      <c r="C531" s="5">
        <v>45506</v>
      </c>
      <c r="D531" s="13">
        <f t="shared" si="72"/>
        <v>178</v>
      </c>
      <c r="E531" t="s">
        <v>729</v>
      </c>
      <c r="F531" t="s">
        <v>23</v>
      </c>
      <c r="G531" t="s">
        <v>24</v>
      </c>
      <c r="H531" t="s">
        <v>38</v>
      </c>
      <c r="I531" t="s">
        <v>228</v>
      </c>
      <c r="J531" t="s">
        <v>229</v>
      </c>
      <c r="K531" t="s">
        <v>41</v>
      </c>
      <c r="L531" t="s">
        <v>158</v>
      </c>
      <c r="M531" t="s">
        <v>1685</v>
      </c>
      <c r="N531" t="s">
        <v>31</v>
      </c>
      <c r="O531">
        <v>9</v>
      </c>
      <c r="P531">
        <v>1822.25</v>
      </c>
      <c r="Q531" s="11">
        <v>0</v>
      </c>
      <c r="R531">
        <v>16400.25</v>
      </c>
      <c r="S531">
        <v>12146.96</v>
      </c>
      <c r="T531">
        <v>4253.29</v>
      </c>
      <c r="U531" t="s">
        <v>32</v>
      </c>
      <c r="V531" t="s">
        <v>33</v>
      </c>
      <c r="X531" s="8" t="str">
        <f>IF(C531&gt;=B531,"Valid", "Invalid-Date")</f>
        <v>Valid</v>
      </c>
      <c r="Y531" s="8" t="str">
        <f t="shared" si="73"/>
        <v>Valid</v>
      </c>
      <c r="Z531" s="8" t="str">
        <f t="shared" si="74"/>
        <v>Pass</v>
      </c>
      <c r="AA531" s="8" t="str">
        <f t="shared" si="75"/>
        <v>Pass</v>
      </c>
      <c r="AB531" s="8" t="str">
        <f>TEXT(B531,"mmmm")</f>
        <v>February</v>
      </c>
      <c r="AC531" s="8" t="str">
        <f>TEXT(B531,"yyyy")</f>
        <v>2024</v>
      </c>
      <c r="AE531">
        <f t="shared" si="76"/>
        <v>16400.25</v>
      </c>
      <c r="AF531" s="11">
        <f t="shared" si="77"/>
        <v>16400.25</v>
      </c>
      <c r="AG531">
        <f t="shared" si="78"/>
        <v>4253.2900000000009</v>
      </c>
      <c r="AH531" s="11">
        <f t="shared" si="79"/>
        <v>0.25934299782015524</v>
      </c>
      <c r="AI531" s="44">
        <f t="shared" si="80"/>
        <v>0.25934299782015524</v>
      </c>
    </row>
    <row r="532" spans="1:35">
      <c r="A532" t="s">
        <v>1686</v>
      </c>
      <c r="B532" s="5">
        <v>45807</v>
      </c>
      <c r="C532" s="5">
        <v>45663</v>
      </c>
      <c r="D532" s="13">
        <f t="shared" si="72"/>
        <v>-144</v>
      </c>
      <c r="E532" t="s">
        <v>1687</v>
      </c>
      <c r="F532" t="s">
        <v>118</v>
      </c>
      <c r="G532" t="s">
        <v>95</v>
      </c>
      <c r="H532" t="s">
        <v>54</v>
      </c>
      <c r="I532" t="s">
        <v>247</v>
      </c>
      <c r="J532" t="s">
        <v>248</v>
      </c>
      <c r="K532" t="s">
        <v>28</v>
      </c>
      <c r="L532" t="s">
        <v>153</v>
      </c>
      <c r="M532" t="s">
        <v>1688</v>
      </c>
      <c r="N532" t="s">
        <v>59</v>
      </c>
      <c r="O532">
        <v>9</v>
      </c>
      <c r="P532">
        <v>1994.51</v>
      </c>
      <c r="Q532" s="11">
        <v>0.05</v>
      </c>
      <c r="R532">
        <v>17053.060000000001</v>
      </c>
      <c r="S532">
        <v>10742.38</v>
      </c>
      <c r="T532">
        <v>6310.68</v>
      </c>
      <c r="U532" t="s">
        <v>32</v>
      </c>
      <c r="V532" t="s">
        <v>33</v>
      </c>
      <c r="X532" s="8" t="str">
        <f>IF(C532&gt;=B532,"Valid", "Invalid-Date")</f>
        <v>Invalid-Date</v>
      </c>
      <c r="Y532" s="8" t="str">
        <f t="shared" si="73"/>
        <v>Valid</v>
      </c>
      <c r="Z532" s="8" t="str">
        <f t="shared" si="74"/>
        <v>Pass</v>
      </c>
      <c r="AA532" s="8" t="str">
        <f t="shared" si="75"/>
        <v>Pass</v>
      </c>
      <c r="AB532" s="8" t="str">
        <f>TEXT(B532,"mmmm")</f>
        <v>May</v>
      </c>
      <c r="AC532" s="8" t="str">
        <f>TEXT(B532,"yyyy")</f>
        <v>2025</v>
      </c>
      <c r="AE532">
        <f t="shared" si="76"/>
        <v>17950.59</v>
      </c>
      <c r="AF532" s="11">
        <f t="shared" si="77"/>
        <v>17053.0605</v>
      </c>
      <c r="AG532">
        <f t="shared" si="78"/>
        <v>7208.2100000000009</v>
      </c>
      <c r="AH532" s="11">
        <f t="shared" si="79"/>
        <v>0.4015583888886104</v>
      </c>
      <c r="AI532" s="44">
        <f t="shared" si="80"/>
        <v>0.4015583888886104</v>
      </c>
    </row>
    <row r="533" spans="1:35">
      <c r="A533" t="s">
        <v>1689</v>
      </c>
      <c r="B533" s="5">
        <v>45505</v>
      </c>
      <c r="C533" s="5">
        <v>45512</v>
      </c>
      <c r="D533" s="13">
        <f t="shared" si="72"/>
        <v>7</v>
      </c>
      <c r="E533" t="s">
        <v>1690</v>
      </c>
      <c r="F533" t="s">
        <v>162</v>
      </c>
      <c r="G533" t="s">
        <v>37</v>
      </c>
      <c r="H533" t="s">
        <v>63</v>
      </c>
      <c r="I533" t="s">
        <v>64</v>
      </c>
      <c r="J533" t="s">
        <v>65</v>
      </c>
      <c r="K533" t="s">
        <v>28</v>
      </c>
      <c r="L533" t="s">
        <v>124</v>
      </c>
      <c r="M533" t="s">
        <v>1691</v>
      </c>
      <c r="N533" t="s">
        <v>2785</v>
      </c>
      <c r="O533">
        <v>1</v>
      </c>
      <c r="P533">
        <v>442.97</v>
      </c>
      <c r="Q533" s="11">
        <v>0.1</v>
      </c>
      <c r="R533">
        <v>398.67</v>
      </c>
      <c r="S533">
        <v>311.66000000000003</v>
      </c>
      <c r="T533">
        <v>87.01</v>
      </c>
      <c r="U533" t="s">
        <v>32</v>
      </c>
      <c r="V533" t="s">
        <v>33</v>
      </c>
      <c r="X533" s="8" t="str">
        <f>IF(C533&gt;=B533,"Valid", "Invalid-Date")</f>
        <v>Valid</v>
      </c>
      <c r="Y533" s="8" t="str">
        <f t="shared" si="73"/>
        <v>Valid</v>
      </c>
      <c r="Z533" s="8" t="str">
        <f t="shared" si="74"/>
        <v>Flagged</v>
      </c>
      <c r="AA533" s="8" t="str">
        <f t="shared" si="75"/>
        <v>Pass</v>
      </c>
      <c r="AB533" s="8" t="str">
        <f>TEXT(B533,"mmmm")</f>
        <v>August</v>
      </c>
      <c r="AC533" s="8" t="str">
        <f>TEXT(B533,"yyyy")</f>
        <v>2024</v>
      </c>
      <c r="AE533">
        <f t="shared" si="76"/>
        <v>442.97</v>
      </c>
      <c r="AF533" s="11">
        <f t="shared" si="77"/>
        <v>398.67300000000006</v>
      </c>
      <c r="AG533">
        <f t="shared" si="78"/>
        <v>131.31</v>
      </c>
      <c r="AH533" s="11">
        <f t="shared" si="79"/>
        <v>0.29643090954240692</v>
      </c>
      <c r="AI533" s="44">
        <f t="shared" si="80"/>
        <v>0.29643090954240692</v>
      </c>
    </row>
    <row r="534" spans="1:35">
      <c r="A534" t="s">
        <v>1692</v>
      </c>
      <c r="B534" s="5">
        <v>45935</v>
      </c>
      <c r="C534" s="5">
        <v>45940</v>
      </c>
      <c r="D534" s="13">
        <f t="shared" si="72"/>
        <v>5</v>
      </c>
      <c r="E534" t="s">
        <v>1693</v>
      </c>
      <c r="F534" t="s">
        <v>114</v>
      </c>
      <c r="G534" t="s">
        <v>90</v>
      </c>
      <c r="H534" t="s">
        <v>38</v>
      </c>
      <c r="I534" t="s">
        <v>166</v>
      </c>
      <c r="J534" t="s">
        <v>167</v>
      </c>
      <c r="K534" t="s">
        <v>41</v>
      </c>
      <c r="L534" t="s">
        <v>42</v>
      </c>
      <c r="M534" t="s">
        <v>1694</v>
      </c>
      <c r="N534" t="s">
        <v>31</v>
      </c>
      <c r="O534">
        <v>9</v>
      </c>
      <c r="P534">
        <v>2089.14</v>
      </c>
      <c r="Q534" s="11">
        <v>0.05</v>
      </c>
      <c r="R534">
        <v>17862.150000000001</v>
      </c>
      <c r="S534">
        <v>9892.2099999999991</v>
      </c>
      <c r="T534">
        <v>7969.94</v>
      </c>
      <c r="U534" t="s">
        <v>155</v>
      </c>
      <c r="V534" t="s">
        <v>68</v>
      </c>
      <c r="X534" s="8" t="str">
        <f>IF(C534&gt;=B534,"Valid", "Invalid-Date")</f>
        <v>Valid</v>
      </c>
      <c r="Y534" s="8" t="str">
        <f t="shared" si="73"/>
        <v>Valid</v>
      </c>
      <c r="Z534" s="8" t="str">
        <f t="shared" si="74"/>
        <v>Pass</v>
      </c>
      <c r="AA534" s="8" t="str">
        <f t="shared" si="75"/>
        <v>Pass</v>
      </c>
      <c r="AB534" s="8" t="str">
        <f>TEXT(B534,"mmmm")</f>
        <v>October</v>
      </c>
      <c r="AC534" s="8" t="str">
        <f>TEXT(B534,"yyyy")</f>
        <v>2025</v>
      </c>
      <c r="AE534">
        <f t="shared" si="76"/>
        <v>18802.259999999998</v>
      </c>
      <c r="AF534" s="11">
        <f t="shared" si="77"/>
        <v>17862.146999999997</v>
      </c>
      <c r="AG534">
        <f t="shared" si="78"/>
        <v>8910.0499999999993</v>
      </c>
      <c r="AH534" s="11">
        <f t="shared" si="79"/>
        <v>0.47388186313772918</v>
      </c>
      <c r="AI534" s="44">
        <f t="shared" si="80"/>
        <v>0.47388186313772918</v>
      </c>
    </row>
    <row r="535" spans="1:35">
      <c r="A535" t="s">
        <v>1695</v>
      </c>
      <c r="B535" s="5">
        <v>45529</v>
      </c>
      <c r="C535" s="5">
        <v>45300</v>
      </c>
      <c r="D535" s="13">
        <f t="shared" si="72"/>
        <v>-229</v>
      </c>
      <c r="E535" t="s">
        <v>1696</v>
      </c>
      <c r="F535" t="s">
        <v>47</v>
      </c>
      <c r="G535" t="s">
        <v>95</v>
      </c>
      <c r="H535" t="s">
        <v>25</v>
      </c>
      <c r="I535" t="s">
        <v>26</v>
      </c>
      <c r="J535" t="s">
        <v>27</v>
      </c>
      <c r="K535" t="s">
        <v>41</v>
      </c>
      <c r="L535" t="s">
        <v>42</v>
      </c>
      <c r="M535" t="s">
        <v>1697</v>
      </c>
      <c r="N535" t="s">
        <v>44</v>
      </c>
      <c r="O535">
        <v>6</v>
      </c>
      <c r="P535">
        <v>481.3</v>
      </c>
      <c r="Q535" s="11">
        <v>0.25</v>
      </c>
      <c r="R535">
        <v>2165.85</v>
      </c>
      <c r="S535">
        <v>2124.48</v>
      </c>
      <c r="T535">
        <v>430.45</v>
      </c>
      <c r="U535" t="s">
        <v>32</v>
      </c>
      <c r="V535" t="s">
        <v>33</v>
      </c>
      <c r="X535" s="8" t="str">
        <f>IF(C535&gt;=B535,"Valid", "Invalid-Date")</f>
        <v>Invalid-Date</v>
      </c>
      <c r="Y535" s="8" t="str">
        <f t="shared" si="73"/>
        <v>Valid</v>
      </c>
      <c r="Z535" s="8" t="str">
        <f t="shared" si="74"/>
        <v>Pass</v>
      </c>
      <c r="AA535" s="8" t="str">
        <f t="shared" si="75"/>
        <v>Pass</v>
      </c>
      <c r="AB535" s="8" t="str">
        <f>TEXT(B535,"mmmm")</f>
        <v>August</v>
      </c>
      <c r="AC535" s="8" t="str">
        <f>TEXT(B535,"yyyy")</f>
        <v>2024</v>
      </c>
      <c r="AE535">
        <f t="shared" si="76"/>
        <v>2887.8</v>
      </c>
      <c r="AF535" s="11">
        <f t="shared" si="77"/>
        <v>2165.8500000000004</v>
      </c>
      <c r="AG535">
        <f t="shared" si="78"/>
        <v>763.32000000000016</v>
      </c>
      <c r="AH535" s="11">
        <f t="shared" si="79"/>
        <v>0.2643257843340952</v>
      </c>
      <c r="AI535" s="44">
        <f t="shared" si="80"/>
        <v>0.2643257843340952</v>
      </c>
    </row>
    <row r="536" spans="1:35">
      <c r="A536" t="s">
        <v>1698</v>
      </c>
      <c r="B536" s="5">
        <v>45774</v>
      </c>
      <c r="C536" s="5">
        <v>45782</v>
      </c>
      <c r="D536" s="13">
        <f t="shared" si="72"/>
        <v>8</v>
      </c>
      <c r="E536" t="s">
        <v>1699</v>
      </c>
      <c r="F536" t="s">
        <v>141</v>
      </c>
      <c r="G536" t="s">
        <v>95</v>
      </c>
      <c r="H536" t="s">
        <v>38</v>
      </c>
      <c r="I536" t="s">
        <v>145</v>
      </c>
      <c r="J536" t="s">
        <v>146</v>
      </c>
      <c r="K536" t="s">
        <v>74</v>
      </c>
      <c r="L536" t="s">
        <v>75</v>
      </c>
      <c r="M536" t="s">
        <v>1700</v>
      </c>
      <c r="N536" t="s">
        <v>31</v>
      </c>
      <c r="O536">
        <v>4</v>
      </c>
      <c r="P536">
        <v>3963.39</v>
      </c>
      <c r="Q536" s="11">
        <v>0.1</v>
      </c>
      <c r="R536">
        <v>14268.2</v>
      </c>
      <c r="S536">
        <v>11705.3</v>
      </c>
      <c r="T536">
        <v>2562.9</v>
      </c>
      <c r="U536" t="s">
        <v>111</v>
      </c>
      <c r="V536" t="s">
        <v>103</v>
      </c>
      <c r="X536" s="8" t="str">
        <f>IF(C536&gt;=B536,"Valid", "Invalid-Date")</f>
        <v>Valid</v>
      </c>
      <c r="Y536" s="8" t="str">
        <f t="shared" si="73"/>
        <v>Valid</v>
      </c>
      <c r="Z536" s="8" t="str">
        <f t="shared" si="74"/>
        <v>Pass</v>
      </c>
      <c r="AA536" s="8" t="str">
        <f t="shared" si="75"/>
        <v>Pass</v>
      </c>
      <c r="AB536" s="8" t="str">
        <f>TEXT(B536,"mmmm")</f>
        <v>April</v>
      </c>
      <c r="AC536" s="8" t="str">
        <f>TEXT(B536,"yyyy")</f>
        <v>2025</v>
      </c>
      <c r="AE536">
        <f t="shared" si="76"/>
        <v>15853.56</v>
      </c>
      <c r="AF536" s="11">
        <f t="shared" si="77"/>
        <v>14268.204</v>
      </c>
      <c r="AG536">
        <f t="shared" si="78"/>
        <v>4148.26</v>
      </c>
      <c r="AH536" s="11">
        <f t="shared" si="79"/>
        <v>0.26166110324747249</v>
      </c>
      <c r="AI536" s="44">
        <f t="shared" si="80"/>
        <v>0.26166110324747249</v>
      </c>
    </row>
    <row r="537" spans="1:35">
      <c r="A537" t="s">
        <v>1701</v>
      </c>
      <c r="B537" s="5">
        <v>45431</v>
      </c>
      <c r="C537" s="5">
        <v>45433</v>
      </c>
      <c r="D537" s="13">
        <f t="shared" si="72"/>
        <v>2</v>
      </c>
      <c r="E537" t="s">
        <v>1702</v>
      </c>
      <c r="F537" t="s">
        <v>162</v>
      </c>
      <c r="G537" t="s">
        <v>37</v>
      </c>
      <c r="H537" t="s">
        <v>63</v>
      </c>
      <c r="I537" t="s">
        <v>64</v>
      </c>
      <c r="J537" t="s">
        <v>65</v>
      </c>
      <c r="K537" t="s">
        <v>74</v>
      </c>
      <c r="L537" t="s">
        <v>80</v>
      </c>
      <c r="M537" t="s">
        <v>1703</v>
      </c>
      <c r="N537" t="s">
        <v>50</v>
      </c>
      <c r="O537">
        <v>3</v>
      </c>
      <c r="P537">
        <v>4000.98</v>
      </c>
      <c r="Q537" s="11">
        <v>0.2</v>
      </c>
      <c r="R537">
        <v>9602.35</v>
      </c>
      <c r="S537">
        <v>7387.57</v>
      </c>
      <c r="T537">
        <v>2214.7800000000002</v>
      </c>
      <c r="U537" t="s">
        <v>32</v>
      </c>
      <c r="V537" t="s">
        <v>33</v>
      </c>
      <c r="X537" s="8" t="str">
        <f>IF(C537&gt;=B537,"Valid", "Invalid-Date")</f>
        <v>Valid</v>
      </c>
      <c r="Y537" s="8" t="str">
        <f t="shared" si="73"/>
        <v>Valid</v>
      </c>
      <c r="Z537" s="8" t="str">
        <f t="shared" si="74"/>
        <v>Pass</v>
      </c>
      <c r="AA537" s="8" t="str">
        <f t="shared" si="75"/>
        <v>Pass</v>
      </c>
      <c r="AB537" s="8" t="str">
        <f>TEXT(B537,"mmmm")</f>
        <v>May</v>
      </c>
      <c r="AC537" s="8" t="str">
        <f>TEXT(B537,"yyyy")</f>
        <v>2024</v>
      </c>
      <c r="AE537">
        <f t="shared" si="76"/>
        <v>12002.94</v>
      </c>
      <c r="AF537" s="11">
        <f t="shared" si="77"/>
        <v>9602.3520000000008</v>
      </c>
      <c r="AG537">
        <f t="shared" si="78"/>
        <v>4615.3700000000008</v>
      </c>
      <c r="AH537" s="11">
        <f t="shared" si="79"/>
        <v>0.38451995927664395</v>
      </c>
      <c r="AI537" s="44">
        <f t="shared" si="80"/>
        <v>0.38451995927664395</v>
      </c>
    </row>
    <row r="538" spans="1:35">
      <c r="A538" t="s">
        <v>1704</v>
      </c>
      <c r="B538" s="5">
        <v>45757</v>
      </c>
      <c r="C538" s="5">
        <v>45764</v>
      </c>
      <c r="D538" s="13">
        <f t="shared" si="72"/>
        <v>7</v>
      </c>
      <c r="E538" t="s">
        <v>1705</v>
      </c>
      <c r="F538" t="s">
        <v>62</v>
      </c>
      <c r="G538" t="s">
        <v>37</v>
      </c>
      <c r="H538" t="s">
        <v>63</v>
      </c>
      <c r="I538" t="s">
        <v>26</v>
      </c>
      <c r="J538" t="s">
        <v>109</v>
      </c>
      <c r="K538" t="s">
        <v>41</v>
      </c>
      <c r="L538" t="s">
        <v>66</v>
      </c>
      <c r="M538" t="s">
        <v>1706</v>
      </c>
      <c r="N538" t="s">
        <v>50</v>
      </c>
      <c r="O538">
        <v>7</v>
      </c>
      <c r="P538">
        <v>3788.9</v>
      </c>
      <c r="Q538" s="11">
        <v>0.25</v>
      </c>
      <c r="R538">
        <v>19891.72</v>
      </c>
      <c r="S538">
        <v>12295.76</v>
      </c>
      <c r="T538">
        <v>7595.96</v>
      </c>
      <c r="U538" t="s">
        <v>155</v>
      </c>
      <c r="V538" t="s">
        <v>68</v>
      </c>
      <c r="X538" s="8" t="str">
        <f>IF(C538&gt;=B538,"Valid", "Invalid-Date")</f>
        <v>Valid</v>
      </c>
      <c r="Y538" s="8" t="str">
        <f t="shared" si="73"/>
        <v>Valid</v>
      </c>
      <c r="Z538" s="8" t="str">
        <f t="shared" si="74"/>
        <v>Pass</v>
      </c>
      <c r="AA538" s="8" t="str">
        <f t="shared" si="75"/>
        <v>Pass</v>
      </c>
      <c r="AB538" s="8" t="str">
        <f>TEXT(B538,"mmmm")</f>
        <v>April</v>
      </c>
      <c r="AC538" s="8" t="str">
        <f>TEXT(B538,"yyyy")</f>
        <v>2025</v>
      </c>
      <c r="AE538">
        <f t="shared" si="76"/>
        <v>26522.3</v>
      </c>
      <c r="AF538" s="11">
        <f t="shared" si="77"/>
        <v>19891.724999999999</v>
      </c>
      <c r="AG538">
        <f t="shared" si="78"/>
        <v>14226.539999999999</v>
      </c>
      <c r="AH538" s="11">
        <f t="shared" si="79"/>
        <v>0.53639918106649875</v>
      </c>
      <c r="AI538" s="44">
        <f t="shared" si="80"/>
        <v>0.53639918106649875</v>
      </c>
    </row>
    <row r="539" spans="1:35">
      <c r="A539" t="s">
        <v>1707</v>
      </c>
      <c r="B539" s="5">
        <v>45313</v>
      </c>
      <c r="C539" s="5">
        <v>45321</v>
      </c>
      <c r="D539" s="13">
        <f t="shared" si="72"/>
        <v>8</v>
      </c>
      <c r="E539" t="s">
        <v>1708</v>
      </c>
      <c r="F539" t="s">
        <v>62</v>
      </c>
      <c r="G539" t="s">
        <v>37</v>
      </c>
      <c r="H539" t="s">
        <v>25</v>
      </c>
      <c r="I539" t="s">
        <v>236</v>
      </c>
      <c r="J539" t="s">
        <v>237</v>
      </c>
      <c r="K539" t="s">
        <v>28</v>
      </c>
      <c r="L539" t="s">
        <v>48</v>
      </c>
      <c r="M539" t="s">
        <v>1709</v>
      </c>
      <c r="N539" t="s">
        <v>44</v>
      </c>
      <c r="O539">
        <v>3</v>
      </c>
      <c r="P539">
        <v>676.37</v>
      </c>
      <c r="Q539" s="11">
        <v>0.05</v>
      </c>
      <c r="R539">
        <v>1927.65</v>
      </c>
      <c r="S539">
        <v>1460.6</v>
      </c>
      <c r="T539">
        <v>467.05</v>
      </c>
      <c r="U539" t="s">
        <v>155</v>
      </c>
      <c r="V539" t="s">
        <v>68</v>
      </c>
      <c r="X539" s="8" t="str">
        <f>IF(C539&gt;=B539,"Valid", "Invalid-Date")</f>
        <v>Valid</v>
      </c>
      <c r="Y539" s="8" t="str">
        <f t="shared" si="73"/>
        <v>Valid</v>
      </c>
      <c r="Z539" s="8" t="str">
        <f t="shared" si="74"/>
        <v>Pass</v>
      </c>
      <c r="AA539" s="8" t="str">
        <f t="shared" si="75"/>
        <v>Pass</v>
      </c>
      <c r="AB539" s="8" t="str">
        <f>TEXT(B539,"mmmm")</f>
        <v>January</v>
      </c>
      <c r="AC539" s="8" t="str">
        <f>TEXT(B539,"yyyy")</f>
        <v>2024</v>
      </c>
      <c r="AE539">
        <f t="shared" si="76"/>
        <v>2029.1100000000001</v>
      </c>
      <c r="AF539" s="11">
        <f t="shared" si="77"/>
        <v>1927.6545000000001</v>
      </c>
      <c r="AG539">
        <f t="shared" si="78"/>
        <v>568.51000000000022</v>
      </c>
      <c r="AH539" s="11">
        <f t="shared" si="79"/>
        <v>0.28017702342406287</v>
      </c>
      <c r="AI539" s="44">
        <f t="shared" si="80"/>
        <v>0.28017702342406287</v>
      </c>
    </row>
    <row r="540" spans="1:35">
      <c r="A540" t="s">
        <v>1710</v>
      </c>
      <c r="B540" s="5">
        <v>45560</v>
      </c>
      <c r="C540" s="5">
        <v>45566</v>
      </c>
      <c r="D540" s="13">
        <f t="shared" si="72"/>
        <v>6</v>
      </c>
      <c r="E540" t="s">
        <v>1711</v>
      </c>
      <c r="F540" t="s">
        <v>162</v>
      </c>
      <c r="G540" t="s">
        <v>37</v>
      </c>
      <c r="H540" t="s">
        <v>38</v>
      </c>
      <c r="I540" t="s">
        <v>228</v>
      </c>
      <c r="J540" t="s">
        <v>229</v>
      </c>
      <c r="K540" t="s">
        <v>41</v>
      </c>
      <c r="L540" t="s">
        <v>42</v>
      </c>
      <c r="M540" t="s">
        <v>1712</v>
      </c>
      <c r="N540" t="s">
        <v>31</v>
      </c>
      <c r="O540">
        <v>9</v>
      </c>
      <c r="P540">
        <v>3908.6</v>
      </c>
      <c r="Q540" s="11">
        <v>0.15</v>
      </c>
      <c r="R540">
        <v>29900.79</v>
      </c>
      <c r="S540">
        <v>24650.67</v>
      </c>
      <c r="T540">
        <v>5250.12</v>
      </c>
      <c r="U540" t="s">
        <v>32</v>
      </c>
      <c r="V540" t="s">
        <v>33</v>
      </c>
      <c r="X540" s="8" t="str">
        <f>IF(C540&gt;=B540,"Valid", "Invalid-Date")</f>
        <v>Valid</v>
      </c>
      <c r="Y540" s="8" t="str">
        <f t="shared" si="73"/>
        <v>Valid</v>
      </c>
      <c r="Z540" s="8" t="str">
        <f t="shared" si="74"/>
        <v>Pass</v>
      </c>
      <c r="AA540" s="8" t="str">
        <f t="shared" si="75"/>
        <v>Pass</v>
      </c>
      <c r="AB540" s="8" t="str">
        <f>TEXT(B540,"mmmm")</f>
        <v>September</v>
      </c>
      <c r="AC540" s="8" t="str">
        <f>TEXT(B540,"yyyy")</f>
        <v>2024</v>
      </c>
      <c r="AE540">
        <f t="shared" si="76"/>
        <v>35177.4</v>
      </c>
      <c r="AF540" s="11">
        <f t="shared" si="77"/>
        <v>29900.79</v>
      </c>
      <c r="AG540">
        <f t="shared" si="78"/>
        <v>10526.730000000003</v>
      </c>
      <c r="AH540" s="11">
        <f t="shared" si="79"/>
        <v>0.2992469596957138</v>
      </c>
      <c r="AI540" s="44">
        <f t="shared" si="80"/>
        <v>0.2992469596957138</v>
      </c>
    </row>
    <row r="541" spans="1:35">
      <c r="A541" t="s">
        <v>1713</v>
      </c>
      <c r="B541" s="5">
        <v>45754</v>
      </c>
      <c r="C541" s="5">
        <v>45754</v>
      </c>
      <c r="D541" s="13">
        <f t="shared" si="72"/>
        <v>0</v>
      </c>
      <c r="E541" t="s">
        <v>1714</v>
      </c>
      <c r="F541" t="s">
        <v>1715</v>
      </c>
      <c r="G541" t="s">
        <v>37</v>
      </c>
      <c r="H541" t="s">
        <v>54</v>
      </c>
      <c r="I541" t="s">
        <v>247</v>
      </c>
      <c r="J541" t="s">
        <v>248</v>
      </c>
      <c r="K541" t="s">
        <v>41</v>
      </c>
      <c r="L541" t="s">
        <v>66</v>
      </c>
      <c r="M541" t="s">
        <v>1716</v>
      </c>
      <c r="N541" t="s">
        <v>59</v>
      </c>
      <c r="O541">
        <v>3</v>
      </c>
      <c r="P541">
        <v>705.35</v>
      </c>
      <c r="Q541" s="11">
        <v>0.1</v>
      </c>
      <c r="R541">
        <v>1904.45</v>
      </c>
      <c r="S541">
        <v>1316.54</v>
      </c>
      <c r="T541">
        <v>587.91</v>
      </c>
      <c r="U541" t="s">
        <v>32</v>
      </c>
      <c r="V541" t="s">
        <v>68</v>
      </c>
      <c r="X541" s="8" t="str">
        <f>IF(C541&gt;=B541,"Valid", "Invalid-Date")</f>
        <v>Valid</v>
      </c>
      <c r="Y541" s="8" t="str">
        <f t="shared" si="73"/>
        <v>Valid</v>
      </c>
      <c r="Z541" s="8" t="str">
        <f t="shared" si="74"/>
        <v>Pass</v>
      </c>
      <c r="AA541" s="8" t="str">
        <f t="shared" si="75"/>
        <v>Pass</v>
      </c>
      <c r="AB541" s="8" t="str">
        <f>TEXT(B541,"mmmm")</f>
        <v>April</v>
      </c>
      <c r="AC541" s="8" t="str">
        <f>TEXT(B541,"yyyy")</f>
        <v>2025</v>
      </c>
      <c r="AE541">
        <f t="shared" si="76"/>
        <v>2116.0500000000002</v>
      </c>
      <c r="AF541" s="11">
        <f t="shared" si="77"/>
        <v>1904.4450000000002</v>
      </c>
      <c r="AG541">
        <f t="shared" si="78"/>
        <v>799.51000000000022</v>
      </c>
      <c r="AH541" s="11">
        <f t="shared" si="79"/>
        <v>0.37783133668864166</v>
      </c>
      <c r="AI541" s="44">
        <f t="shared" si="80"/>
        <v>0.37783133668864166</v>
      </c>
    </row>
    <row r="542" spans="1:35">
      <c r="A542" t="s">
        <v>1717</v>
      </c>
      <c r="B542" s="5">
        <v>45348</v>
      </c>
      <c r="C542" s="5">
        <v>45345</v>
      </c>
      <c r="D542" s="13">
        <f t="shared" si="72"/>
        <v>-3</v>
      </c>
      <c r="E542" t="s">
        <v>1718</v>
      </c>
      <c r="F542" t="s">
        <v>264</v>
      </c>
      <c r="G542" t="s">
        <v>24</v>
      </c>
      <c r="H542" t="s">
        <v>63</v>
      </c>
      <c r="I542" t="s">
        <v>180</v>
      </c>
      <c r="J542" t="s">
        <v>181</v>
      </c>
      <c r="K542" t="s">
        <v>41</v>
      </c>
      <c r="L542" t="s">
        <v>57</v>
      </c>
      <c r="M542" t="s">
        <v>1719</v>
      </c>
      <c r="N542" t="s">
        <v>59</v>
      </c>
      <c r="O542">
        <v>7</v>
      </c>
      <c r="P542">
        <v>3852.07</v>
      </c>
      <c r="Q542" s="11">
        <v>0.2</v>
      </c>
      <c r="R542">
        <v>21571.59</v>
      </c>
      <c r="S542">
        <v>17118.07</v>
      </c>
      <c r="T542">
        <v>4453.5200000000004</v>
      </c>
      <c r="U542" t="s">
        <v>32</v>
      </c>
      <c r="V542" t="s">
        <v>33</v>
      </c>
      <c r="X542" s="8" t="str">
        <f>IF(C542&gt;=B542,"Valid", "Invalid-Date")</f>
        <v>Invalid-Date</v>
      </c>
      <c r="Y542" s="8" t="str">
        <f t="shared" si="73"/>
        <v>Valid</v>
      </c>
      <c r="Z542" s="8" t="str">
        <f t="shared" si="74"/>
        <v>Pass</v>
      </c>
      <c r="AA542" s="8" t="str">
        <f t="shared" si="75"/>
        <v>Pass</v>
      </c>
      <c r="AB542" s="8" t="str">
        <f>TEXT(B542,"mmmm")</f>
        <v>February</v>
      </c>
      <c r="AC542" s="8" t="str">
        <f>TEXT(B542,"yyyy")</f>
        <v>2024</v>
      </c>
      <c r="AE542">
        <f t="shared" si="76"/>
        <v>26964.49</v>
      </c>
      <c r="AF542" s="11">
        <f t="shared" si="77"/>
        <v>21571.592000000004</v>
      </c>
      <c r="AG542">
        <f t="shared" si="78"/>
        <v>9846.4200000000019</v>
      </c>
      <c r="AH542" s="11">
        <f t="shared" si="79"/>
        <v>0.36516247850413641</v>
      </c>
      <c r="AI542" s="44">
        <f t="shared" si="80"/>
        <v>0.36516247850413641</v>
      </c>
    </row>
    <row r="543" spans="1:35">
      <c r="A543" t="s">
        <v>1720</v>
      </c>
      <c r="B543" s="5">
        <v>45846</v>
      </c>
      <c r="C543" s="5">
        <v>45907</v>
      </c>
      <c r="D543" s="13">
        <f t="shared" si="72"/>
        <v>61</v>
      </c>
      <c r="E543" t="s">
        <v>1721</v>
      </c>
      <c r="F543" t="s">
        <v>132</v>
      </c>
      <c r="G543" t="s">
        <v>24</v>
      </c>
      <c r="H543" t="s">
        <v>63</v>
      </c>
      <c r="I543" t="s">
        <v>64</v>
      </c>
      <c r="J543" t="s">
        <v>65</v>
      </c>
      <c r="K543" t="s">
        <v>74</v>
      </c>
      <c r="L543" t="s">
        <v>80</v>
      </c>
      <c r="M543" t="s">
        <v>1722</v>
      </c>
      <c r="N543" t="s">
        <v>44</v>
      </c>
      <c r="O543">
        <v>3</v>
      </c>
      <c r="P543">
        <v>2880.56</v>
      </c>
      <c r="Q543" s="11">
        <v>0</v>
      </c>
      <c r="R543">
        <v>8641.68</v>
      </c>
      <c r="S543">
        <v>5747.09</v>
      </c>
      <c r="T543">
        <v>2894.59</v>
      </c>
      <c r="U543" t="s">
        <v>32</v>
      </c>
      <c r="V543" t="s">
        <v>103</v>
      </c>
      <c r="X543" s="8" t="str">
        <f>IF(C543&gt;=B543,"Valid", "Invalid-Date")</f>
        <v>Valid</v>
      </c>
      <c r="Y543" s="8" t="str">
        <f t="shared" si="73"/>
        <v>Valid</v>
      </c>
      <c r="Z543" s="8" t="str">
        <f t="shared" si="74"/>
        <v>Pass</v>
      </c>
      <c r="AA543" s="8" t="str">
        <f t="shared" si="75"/>
        <v>Pass</v>
      </c>
      <c r="AB543" s="8" t="str">
        <f>TEXT(B543,"mmmm")</f>
        <v>July</v>
      </c>
      <c r="AC543" s="8" t="str">
        <f>TEXT(B543,"yyyy")</f>
        <v>2025</v>
      </c>
      <c r="AE543">
        <f t="shared" si="76"/>
        <v>8641.68</v>
      </c>
      <c r="AF543" s="11">
        <f t="shared" si="77"/>
        <v>8641.68</v>
      </c>
      <c r="AG543">
        <f t="shared" si="78"/>
        <v>2894.59</v>
      </c>
      <c r="AH543" s="11">
        <f t="shared" si="79"/>
        <v>0.33495686024013849</v>
      </c>
      <c r="AI543" s="44">
        <f t="shared" si="80"/>
        <v>0.33495686024013849</v>
      </c>
    </row>
    <row r="544" spans="1:35">
      <c r="A544" t="s">
        <v>1723</v>
      </c>
      <c r="B544" s="5">
        <v>45552</v>
      </c>
      <c r="C544" s="5">
        <v>45558</v>
      </c>
      <c r="D544" s="13">
        <f t="shared" si="72"/>
        <v>6</v>
      </c>
      <c r="E544" t="s">
        <v>1724</v>
      </c>
      <c r="F544" t="s">
        <v>118</v>
      </c>
      <c r="G544" t="s">
        <v>95</v>
      </c>
      <c r="H544" t="s">
        <v>54</v>
      </c>
      <c r="I544" t="s">
        <v>185</v>
      </c>
      <c r="J544" t="s">
        <v>186</v>
      </c>
      <c r="K544" t="s">
        <v>41</v>
      </c>
      <c r="L544" t="s">
        <v>158</v>
      </c>
      <c r="M544" t="s">
        <v>1725</v>
      </c>
      <c r="N544" t="s">
        <v>31</v>
      </c>
      <c r="O544">
        <v>3</v>
      </c>
      <c r="P544">
        <v>4067.62</v>
      </c>
      <c r="Q544" s="11">
        <v>0.2</v>
      </c>
      <c r="R544">
        <v>9988.5300000000007</v>
      </c>
      <c r="S544">
        <v>8368.24</v>
      </c>
      <c r="T544">
        <v>1394.05</v>
      </c>
      <c r="U544" t="s">
        <v>32</v>
      </c>
      <c r="V544" t="s">
        <v>68</v>
      </c>
      <c r="X544" s="8" t="str">
        <f>IF(C544&gt;=B544,"Valid", "Invalid-Date")</f>
        <v>Valid</v>
      </c>
      <c r="Y544" s="8" t="str">
        <f t="shared" si="73"/>
        <v>Valid</v>
      </c>
      <c r="Z544" s="8" t="str">
        <f t="shared" si="74"/>
        <v>Pass</v>
      </c>
      <c r="AA544" s="8" t="str">
        <f t="shared" si="75"/>
        <v>Pass</v>
      </c>
      <c r="AB544" s="8" t="str">
        <f>TEXT(B544,"mmmm")</f>
        <v>September</v>
      </c>
      <c r="AC544" s="8" t="str">
        <f>TEXT(B544,"yyyy")</f>
        <v>2024</v>
      </c>
      <c r="AE544">
        <f t="shared" si="76"/>
        <v>12202.86</v>
      </c>
      <c r="AF544" s="11">
        <f t="shared" si="77"/>
        <v>9762.2880000000005</v>
      </c>
      <c r="AG544">
        <f t="shared" si="78"/>
        <v>3834.6200000000008</v>
      </c>
      <c r="AH544" s="11">
        <f t="shared" si="79"/>
        <v>0.31423944878495702</v>
      </c>
      <c r="AI544" s="44">
        <f t="shared" si="80"/>
        <v>0.31423944878495702</v>
      </c>
    </row>
    <row r="545" spans="1:35">
      <c r="A545" t="s">
        <v>1726</v>
      </c>
      <c r="B545" s="5">
        <v>45487</v>
      </c>
      <c r="C545" s="5">
        <v>45493</v>
      </c>
      <c r="D545" s="13">
        <f t="shared" si="72"/>
        <v>6</v>
      </c>
      <c r="E545" t="s">
        <v>1727</v>
      </c>
      <c r="F545" t="s">
        <v>36</v>
      </c>
      <c r="G545" t="s">
        <v>24</v>
      </c>
      <c r="H545" t="s">
        <v>38</v>
      </c>
      <c r="I545" t="s">
        <v>145</v>
      </c>
      <c r="J545" t="s">
        <v>146</v>
      </c>
      <c r="K545" t="s">
        <v>74</v>
      </c>
      <c r="L545" t="s">
        <v>80</v>
      </c>
      <c r="M545" t="s">
        <v>1728</v>
      </c>
      <c r="N545" t="s">
        <v>44</v>
      </c>
      <c r="O545">
        <v>1</v>
      </c>
      <c r="P545">
        <v>492.67</v>
      </c>
      <c r="Q545" s="11">
        <v>0.15</v>
      </c>
      <c r="R545">
        <v>418.77</v>
      </c>
      <c r="S545">
        <v>313.72000000000003</v>
      </c>
      <c r="T545">
        <v>105.05</v>
      </c>
      <c r="U545" t="s">
        <v>32</v>
      </c>
      <c r="V545" t="s">
        <v>33</v>
      </c>
      <c r="X545" s="8" t="str">
        <f>IF(C545&gt;=B545,"Valid", "Invalid-Date")</f>
        <v>Valid</v>
      </c>
      <c r="Y545" s="8" t="str">
        <f t="shared" si="73"/>
        <v>Valid</v>
      </c>
      <c r="Z545" s="8" t="str">
        <f t="shared" si="74"/>
        <v>Pass</v>
      </c>
      <c r="AA545" s="8" t="str">
        <f t="shared" si="75"/>
        <v>Pass</v>
      </c>
      <c r="AB545" s="8" t="str">
        <f>TEXT(B545,"mmmm")</f>
        <v>July</v>
      </c>
      <c r="AC545" s="8" t="str">
        <f>TEXT(B545,"yyyy")</f>
        <v>2024</v>
      </c>
      <c r="AE545">
        <f t="shared" si="76"/>
        <v>492.67</v>
      </c>
      <c r="AF545" s="11">
        <f t="shared" si="77"/>
        <v>418.76949999999999</v>
      </c>
      <c r="AG545">
        <f t="shared" si="78"/>
        <v>178.95</v>
      </c>
      <c r="AH545" s="11">
        <f t="shared" si="79"/>
        <v>0.36322487669230924</v>
      </c>
      <c r="AI545" s="44">
        <f t="shared" si="80"/>
        <v>0.36322487669230924</v>
      </c>
    </row>
    <row r="546" spans="1:35">
      <c r="A546" t="s">
        <v>1729</v>
      </c>
      <c r="B546" s="5">
        <v>45686</v>
      </c>
      <c r="C546" s="5">
        <v>45779</v>
      </c>
      <c r="D546" s="13">
        <f t="shared" si="72"/>
        <v>93</v>
      </c>
      <c r="E546" t="s">
        <v>1730</v>
      </c>
      <c r="F546" t="s">
        <v>62</v>
      </c>
      <c r="G546" t="s">
        <v>24</v>
      </c>
      <c r="H546" t="s">
        <v>54</v>
      </c>
      <c r="I546" t="s">
        <v>185</v>
      </c>
      <c r="J546" t="s">
        <v>186</v>
      </c>
      <c r="K546" t="s">
        <v>28</v>
      </c>
      <c r="L546" t="s">
        <v>48</v>
      </c>
      <c r="M546" t="s">
        <v>1731</v>
      </c>
      <c r="N546" t="s">
        <v>44</v>
      </c>
      <c r="O546">
        <v>8</v>
      </c>
      <c r="P546">
        <v>3643.62</v>
      </c>
      <c r="Q546" s="11">
        <v>0.25</v>
      </c>
      <c r="R546">
        <v>21861.72</v>
      </c>
      <c r="S546">
        <v>18464.34</v>
      </c>
      <c r="T546">
        <v>3397.38</v>
      </c>
      <c r="U546" t="s">
        <v>32</v>
      </c>
      <c r="V546" t="s">
        <v>68</v>
      </c>
      <c r="X546" s="8" t="str">
        <f>IF(C546&gt;=B546,"Valid", "Invalid-Date")</f>
        <v>Valid</v>
      </c>
      <c r="Y546" s="8" t="str">
        <f t="shared" si="73"/>
        <v>Valid</v>
      </c>
      <c r="Z546" s="8" t="str">
        <f t="shared" si="74"/>
        <v>Pass</v>
      </c>
      <c r="AA546" s="8" t="str">
        <f t="shared" si="75"/>
        <v>Pass</v>
      </c>
      <c r="AB546" s="8" t="str">
        <f>TEXT(B546,"mmmm")</f>
        <v>January</v>
      </c>
      <c r="AC546" s="8" t="str">
        <f>TEXT(B546,"yyyy")</f>
        <v>2025</v>
      </c>
      <c r="AE546">
        <f t="shared" si="76"/>
        <v>29148.959999999999</v>
      </c>
      <c r="AF546" s="11">
        <f t="shared" si="77"/>
        <v>21861.72</v>
      </c>
      <c r="AG546">
        <f t="shared" si="78"/>
        <v>10684.619999999999</v>
      </c>
      <c r="AH546" s="11">
        <f t="shared" si="79"/>
        <v>0.36655235727106555</v>
      </c>
      <c r="AI546" s="44">
        <f t="shared" si="80"/>
        <v>0.36655235727106555</v>
      </c>
    </row>
    <row r="547" spans="1:35">
      <c r="A547" t="s">
        <v>1732</v>
      </c>
      <c r="B547" s="5">
        <v>45439</v>
      </c>
      <c r="C547" s="5">
        <v>45442</v>
      </c>
      <c r="D547" s="13">
        <f t="shared" si="72"/>
        <v>3</v>
      </c>
      <c r="E547" t="s">
        <v>1733</v>
      </c>
      <c r="F547" t="s">
        <v>264</v>
      </c>
      <c r="G547" t="s">
        <v>37</v>
      </c>
      <c r="H547" t="s">
        <v>38</v>
      </c>
      <c r="I547" t="s">
        <v>228</v>
      </c>
      <c r="J547" t="s">
        <v>229</v>
      </c>
      <c r="K547" t="s">
        <v>28</v>
      </c>
      <c r="L547" t="s">
        <v>124</v>
      </c>
      <c r="M547" t="s">
        <v>1734</v>
      </c>
      <c r="N547" t="s">
        <v>44</v>
      </c>
      <c r="O547">
        <v>7</v>
      </c>
      <c r="P547">
        <v>2900.86</v>
      </c>
      <c r="Q547" s="11">
        <v>0.15</v>
      </c>
      <c r="R547">
        <v>17260.12</v>
      </c>
      <c r="S547">
        <v>13513.51</v>
      </c>
      <c r="T547">
        <v>3746.61</v>
      </c>
      <c r="U547" t="s">
        <v>32</v>
      </c>
      <c r="V547" t="s">
        <v>33</v>
      </c>
      <c r="X547" s="8" t="str">
        <f>IF(C547&gt;=B547,"Valid", "Invalid-Date")</f>
        <v>Valid</v>
      </c>
      <c r="Y547" s="8" t="str">
        <f t="shared" si="73"/>
        <v>Valid</v>
      </c>
      <c r="Z547" s="8" t="str">
        <f t="shared" si="74"/>
        <v>Pass</v>
      </c>
      <c r="AA547" s="8" t="str">
        <f t="shared" si="75"/>
        <v>Pass</v>
      </c>
      <c r="AB547" s="8" t="str">
        <f>TEXT(B547,"mmmm")</f>
        <v>May</v>
      </c>
      <c r="AC547" s="8" t="str">
        <f>TEXT(B547,"yyyy")</f>
        <v>2024</v>
      </c>
      <c r="AE547">
        <f t="shared" si="76"/>
        <v>20306.02</v>
      </c>
      <c r="AF547" s="11">
        <f t="shared" si="77"/>
        <v>17260.116999999998</v>
      </c>
      <c r="AG547">
        <f t="shared" si="78"/>
        <v>6792.51</v>
      </c>
      <c r="AH547" s="11">
        <f t="shared" si="79"/>
        <v>0.33450720525243255</v>
      </c>
      <c r="AI547" s="44">
        <f t="shared" si="80"/>
        <v>0.33450720525243255</v>
      </c>
    </row>
    <row r="548" spans="1:35">
      <c r="A548" t="s">
        <v>1735</v>
      </c>
      <c r="B548" s="5">
        <v>45883</v>
      </c>
      <c r="C548" s="5">
        <v>45891</v>
      </c>
      <c r="D548" s="13">
        <f t="shared" si="72"/>
        <v>8</v>
      </c>
      <c r="E548" t="s">
        <v>1736</v>
      </c>
      <c r="F548" t="s">
        <v>53</v>
      </c>
      <c r="G548" t="s">
        <v>90</v>
      </c>
      <c r="H548" t="s">
        <v>63</v>
      </c>
      <c r="I548" t="s">
        <v>180</v>
      </c>
      <c r="J548" t="s">
        <v>181</v>
      </c>
      <c r="K548" t="s">
        <v>28</v>
      </c>
      <c r="L548" t="s">
        <v>29</v>
      </c>
      <c r="M548" t="s">
        <v>1737</v>
      </c>
      <c r="N548" t="s">
        <v>50</v>
      </c>
      <c r="O548">
        <v>5</v>
      </c>
      <c r="P548">
        <v>2567.37</v>
      </c>
      <c r="Q548" s="11">
        <v>0.15</v>
      </c>
      <c r="R548">
        <v>10911.32</v>
      </c>
      <c r="S548">
        <v>6966.44</v>
      </c>
      <c r="T548">
        <v>4395.17</v>
      </c>
      <c r="U548" t="s">
        <v>32</v>
      </c>
      <c r="V548" t="s">
        <v>33</v>
      </c>
      <c r="X548" s="8" t="str">
        <f>IF(C548&gt;=B548,"Valid", "Invalid-Date")</f>
        <v>Valid</v>
      </c>
      <c r="Y548" s="8" t="str">
        <f t="shared" si="73"/>
        <v>Valid</v>
      </c>
      <c r="Z548" s="8" t="str">
        <f t="shared" si="74"/>
        <v>Pass</v>
      </c>
      <c r="AA548" s="8" t="str">
        <f t="shared" si="75"/>
        <v>Pass</v>
      </c>
      <c r="AB548" s="8" t="str">
        <f>TEXT(B548,"mmmm")</f>
        <v>August</v>
      </c>
      <c r="AC548" s="8" t="str">
        <f>TEXT(B548,"yyyy")</f>
        <v>2025</v>
      </c>
      <c r="AE548">
        <f t="shared" si="76"/>
        <v>12836.849999999999</v>
      </c>
      <c r="AF548" s="11">
        <f t="shared" si="77"/>
        <v>10911.322499999998</v>
      </c>
      <c r="AG548">
        <f t="shared" si="78"/>
        <v>5870.4099999999989</v>
      </c>
      <c r="AH548" s="11">
        <f t="shared" si="79"/>
        <v>0.45730923084713149</v>
      </c>
      <c r="AI548" s="44">
        <f t="shared" si="80"/>
        <v>0.45730923084713149</v>
      </c>
    </row>
    <row r="549" spans="1:35">
      <c r="A549" t="s">
        <v>1738</v>
      </c>
      <c r="B549" s="5">
        <v>45428</v>
      </c>
      <c r="C549" s="5">
        <v>45435</v>
      </c>
      <c r="D549" s="13">
        <f t="shared" si="72"/>
        <v>7</v>
      </c>
      <c r="E549" t="s">
        <v>1739</v>
      </c>
      <c r="F549" t="s">
        <v>79</v>
      </c>
      <c r="G549" t="s">
        <v>37</v>
      </c>
      <c r="H549" t="s">
        <v>25</v>
      </c>
      <c r="I549" t="s">
        <v>136</v>
      </c>
      <c r="J549" t="s">
        <v>137</v>
      </c>
      <c r="K549" t="s">
        <v>74</v>
      </c>
      <c r="L549" t="s">
        <v>80</v>
      </c>
      <c r="M549" t="s">
        <v>1740</v>
      </c>
      <c r="N549" t="s">
        <v>59</v>
      </c>
      <c r="O549">
        <v>9</v>
      </c>
      <c r="P549">
        <v>3722.09</v>
      </c>
      <c r="Q549" s="11">
        <v>0.1</v>
      </c>
      <c r="R549">
        <v>30148.93</v>
      </c>
      <c r="S549">
        <v>25155.07</v>
      </c>
      <c r="T549">
        <v>4993.8599999999997</v>
      </c>
      <c r="U549" t="s">
        <v>32</v>
      </c>
      <c r="V549" t="s">
        <v>33</v>
      </c>
      <c r="X549" s="8" t="str">
        <f>IF(C549&gt;=B549,"Valid", "Invalid-Date")</f>
        <v>Valid</v>
      </c>
      <c r="Y549" s="8" t="str">
        <f t="shared" si="73"/>
        <v>Valid</v>
      </c>
      <c r="Z549" s="8" t="str">
        <f t="shared" si="74"/>
        <v>Pass</v>
      </c>
      <c r="AA549" s="8" t="str">
        <f t="shared" si="75"/>
        <v>Pass</v>
      </c>
      <c r="AB549" s="8" t="str">
        <f>TEXT(B549,"mmmm")</f>
        <v>May</v>
      </c>
      <c r="AC549" s="8" t="str">
        <f>TEXT(B549,"yyyy")</f>
        <v>2024</v>
      </c>
      <c r="AE549">
        <f t="shared" si="76"/>
        <v>33498.81</v>
      </c>
      <c r="AF549" s="11">
        <f t="shared" si="77"/>
        <v>30148.929</v>
      </c>
      <c r="AG549">
        <f t="shared" si="78"/>
        <v>8343.739999999998</v>
      </c>
      <c r="AH549" s="11">
        <f t="shared" si="79"/>
        <v>0.24907571343579066</v>
      </c>
      <c r="AI549" s="44">
        <f t="shared" si="80"/>
        <v>0.24907571343579066</v>
      </c>
    </row>
    <row r="550" spans="1:35">
      <c r="A550" t="s">
        <v>1741</v>
      </c>
      <c r="B550" s="5">
        <v>45441</v>
      </c>
      <c r="C550" s="5">
        <v>45441</v>
      </c>
      <c r="D550" s="13">
        <f t="shared" si="72"/>
        <v>0</v>
      </c>
      <c r="E550" t="s">
        <v>1742</v>
      </c>
      <c r="F550" t="s">
        <v>141</v>
      </c>
      <c r="G550" t="s">
        <v>90</v>
      </c>
      <c r="H550" t="s">
        <v>38</v>
      </c>
      <c r="I550" t="s">
        <v>145</v>
      </c>
      <c r="J550" t="s">
        <v>146</v>
      </c>
      <c r="K550" t="s">
        <v>41</v>
      </c>
      <c r="L550" t="s">
        <v>158</v>
      </c>
      <c r="M550" t="s">
        <v>1743</v>
      </c>
      <c r="N550" t="s">
        <v>44</v>
      </c>
      <c r="O550">
        <v>1</v>
      </c>
      <c r="P550">
        <v>1072.01</v>
      </c>
      <c r="Q550" s="11">
        <v>0</v>
      </c>
      <c r="R550">
        <v>1072.01</v>
      </c>
      <c r="S550">
        <v>852.62</v>
      </c>
      <c r="T550">
        <v>219.39</v>
      </c>
      <c r="U550" t="s">
        <v>111</v>
      </c>
      <c r="V550" t="s">
        <v>68</v>
      </c>
      <c r="X550" s="8" t="str">
        <f>IF(C550&gt;=B550,"Valid", "Invalid-Date")</f>
        <v>Valid</v>
      </c>
      <c r="Y550" s="8" t="str">
        <f t="shared" si="73"/>
        <v>Valid</v>
      </c>
      <c r="Z550" s="8" t="str">
        <f t="shared" si="74"/>
        <v>Pass</v>
      </c>
      <c r="AA550" s="8" t="str">
        <f t="shared" si="75"/>
        <v>Pass</v>
      </c>
      <c r="AB550" s="8" t="str">
        <f>TEXT(B550,"mmmm")</f>
        <v>May</v>
      </c>
      <c r="AC550" s="8" t="str">
        <f>TEXT(B550,"yyyy")</f>
        <v>2024</v>
      </c>
      <c r="AE550">
        <f t="shared" si="76"/>
        <v>1072.01</v>
      </c>
      <c r="AF550" s="11">
        <f t="shared" si="77"/>
        <v>1072.01</v>
      </c>
      <c r="AG550">
        <f t="shared" si="78"/>
        <v>219.39</v>
      </c>
      <c r="AH550" s="11">
        <f t="shared" si="79"/>
        <v>0.20465294167032022</v>
      </c>
      <c r="AI550" s="44">
        <f t="shared" si="80"/>
        <v>0.20465294167032022</v>
      </c>
    </row>
    <row r="551" spans="1:35" s="15" customFormat="1">
      <c r="A551" s="15" t="s">
        <v>1744</v>
      </c>
      <c r="B551" s="16">
        <v>45971</v>
      </c>
      <c r="C551" s="16">
        <v>45943</v>
      </c>
      <c r="D551" s="17">
        <f t="shared" si="72"/>
        <v>-28</v>
      </c>
      <c r="E551" s="15" t="s">
        <v>1745</v>
      </c>
      <c r="F551" s="15" t="s">
        <v>36</v>
      </c>
      <c r="G551" s="15" t="s">
        <v>90</v>
      </c>
      <c r="H551" s="15" t="s">
        <v>54</v>
      </c>
      <c r="I551" s="15" t="s">
        <v>55</v>
      </c>
      <c r="J551" s="15" t="s">
        <v>56</v>
      </c>
      <c r="K551" s="15" t="s">
        <v>28</v>
      </c>
      <c r="L551" s="15" t="s">
        <v>48</v>
      </c>
      <c r="M551" s="15" t="s">
        <v>1746</v>
      </c>
      <c r="N551" s="15" t="s">
        <v>31</v>
      </c>
      <c r="O551" s="15">
        <v>3</v>
      </c>
      <c r="P551" s="15">
        <v>3804.27</v>
      </c>
      <c r="Q551" s="18">
        <v>0.1</v>
      </c>
      <c r="R551" s="15">
        <v>10271.530000000001</v>
      </c>
      <c r="S551" s="15">
        <v>8272.24</v>
      </c>
      <c r="T551" s="15">
        <v>1999.29</v>
      </c>
      <c r="U551" s="15" t="s">
        <v>32</v>
      </c>
      <c r="V551" s="15" t="s">
        <v>33</v>
      </c>
      <c r="W551" s="25"/>
      <c r="X551" s="8" t="str">
        <f>IF(C551&gt;=B551,"Valid", "Invalid-Date")</f>
        <v>Invalid-Date</v>
      </c>
      <c r="Y551" s="8" t="str">
        <f t="shared" si="73"/>
        <v>Valid</v>
      </c>
      <c r="Z551" s="19" t="str">
        <f t="shared" si="74"/>
        <v>Pass</v>
      </c>
      <c r="AA551" s="19" t="str">
        <f t="shared" si="75"/>
        <v>Pass</v>
      </c>
      <c r="AB551" s="19" t="str">
        <f>TEXT(B551,"mmmm")</f>
        <v>November</v>
      </c>
      <c r="AC551" s="19" t="str">
        <f>TEXT(B551,"yyyy")</f>
        <v>2025</v>
      </c>
      <c r="AD551" s="20"/>
      <c r="AE551" s="15">
        <f t="shared" si="76"/>
        <v>11412.81</v>
      </c>
      <c r="AF551" s="11">
        <f t="shared" si="77"/>
        <v>10271.529</v>
      </c>
      <c r="AG551" s="15">
        <f t="shared" si="78"/>
        <v>3140.5699999999997</v>
      </c>
      <c r="AH551" s="18">
        <f t="shared" si="79"/>
        <v>0.2751793817648765</v>
      </c>
      <c r="AI551" s="45">
        <f t="shared" si="80"/>
        <v>0.2751793817648765</v>
      </c>
    </row>
    <row r="552" spans="1:35">
      <c r="A552" t="s">
        <v>1747</v>
      </c>
      <c r="B552" s="5">
        <v>45506</v>
      </c>
      <c r="C552" s="5">
        <v>45573</v>
      </c>
      <c r="D552" s="13">
        <f t="shared" si="72"/>
        <v>67</v>
      </c>
      <c r="E552" t="s">
        <v>1748</v>
      </c>
      <c r="F552" t="s">
        <v>36</v>
      </c>
      <c r="G552" t="s">
        <v>95</v>
      </c>
      <c r="H552" t="s">
        <v>38</v>
      </c>
      <c r="I552" t="s">
        <v>39</v>
      </c>
      <c r="J552" t="s">
        <v>40</v>
      </c>
      <c r="K552" t="s">
        <v>74</v>
      </c>
      <c r="L552" t="s">
        <v>75</v>
      </c>
      <c r="M552" t="s">
        <v>1749</v>
      </c>
      <c r="N552" t="s">
        <v>59</v>
      </c>
      <c r="O552">
        <v>6</v>
      </c>
      <c r="P552">
        <v>2126.44</v>
      </c>
      <c r="Q552" s="11">
        <v>0.2</v>
      </c>
      <c r="R552">
        <v>10206.91</v>
      </c>
      <c r="S552">
        <v>6764.53</v>
      </c>
      <c r="T552">
        <v>3442.38</v>
      </c>
      <c r="U552" t="s">
        <v>32</v>
      </c>
      <c r="V552" t="s">
        <v>33</v>
      </c>
      <c r="X552" s="8" t="str">
        <f>IF(C552&gt;=B552,"Valid", "Invalid-Date")</f>
        <v>Valid</v>
      </c>
      <c r="Y552" s="8" t="str">
        <f t="shared" si="73"/>
        <v>Valid</v>
      </c>
      <c r="Z552" s="8" t="str">
        <f t="shared" si="74"/>
        <v>Pass</v>
      </c>
      <c r="AA552" s="8" t="str">
        <f t="shared" si="75"/>
        <v>Pass</v>
      </c>
      <c r="AB552" s="8" t="str">
        <f>TEXT(B552,"mmmm")</f>
        <v>August</v>
      </c>
      <c r="AC552" s="8" t="str">
        <f>TEXT(B552,"yyyy")</f>
        <v>2024</v>
      </c>
      <c r="AE552">
        <f t="shared" si="76"/>
        <v>12758.64</v>
      </c>
      <c r="AF552" s="11">
        <f t="shared" si="77"/>
        <v>10206.912</v>
      </c>
      <c r="AG552">
        <f t="shared" si="78"/>
        <v>5994.11</v>
      </c>
      <c r="AH552" s="11">
        <f t="shared" si="79"/>
        <v>0.46980791056100024</v>
      </c>
      <c r="AI552" s="44">
        <f t="shared" si="80"/>
        <v>0.46980791056100024</v>
      </c>
    </row>
    <row r="553" spans="1:35">
      <c r="A553" t="s">
        <v>1750</v>
      </c>
      <c r="B553" s="5">
        <v>45349</v>
      </c>
      <c r="C553" s="5">
        <v>45349</v>
      </c>
      <c r="D553" s="13">
        <f t="shared" si="72"/>
        <v>0</v>
      </c>
      <c r="E553" t="s">
        <v>1751</v>
      </c>
      <c r="F553" t="s">
        <v>132</v>
      </c>
      <c r="G553" t="s">
        <v>24</v>
      </c>
      <c r="H553" t="s">
        <v>38</v>
      </c>
      <c r="I553" t="s">
        <v>228</v>
      </c>
      <c r="J553" t="s">
        <v>229</v>
      </c>
      <c r="K553" t="s">
        <v>41</v>
      </c>
      <c r="L553" t="s">
        <v>66</v>
      </c>
      <c r="M553" t="s">
        <v>1752</v>
      </c>
      <c r="N553" t="s">
        <v>31</v>
      </c>
      <c r="O553">
        <v>3</v>
      </c>
      <c r="P553">
        <v>3148.09</v>
      </c>
      <c r="Q553" s="11">
        <v>0.15</v>
      </c>
      <c r="R553">
        <v>8027.63</v>
      </c>
      <c r="S553">
        <v>5496.09</v>
      </c>
      <c r="T553">
        <v>2531.54</v>
      </c>
      <c r="U553" t="s">
        <v>32</v>
      </c>
      <c r="V553" t="s">
        <v>33</v>
      </c>
      <c r="X553" s="8" t="str">
        <f>IF(C553&gt;=B553,"Valid", "Invalid-Date")</f>
        <v>Valid</v>
      </c>
      <c r="Y553" s="8" t="str">
        <f t="shared" si="73"/>
        <v>Valid</v>
      </c>
      <c r="Z553" s="8" t="str">
        <f t="shared" si="74"/>
        <v>Pass</v>
      </c>
      <c r="AA553" s="8" t="str">
        <f t="shared" si="75"/>
        <v>Pass</v>
      </c>
      <c r="AB553" s="8" t="str">
        <f>TEXT(B553,"mmmm")</f>
        <v>February</v>
      </c>
      <c r="AC553" s="8" t="str">
        <f>TEXT(B553,"yyyy")</f>
        <v>2024</v>
      </c>
      <c r="AE553">
        <f t="shared" si="76"/>
        <v>9444.27</v>
      </c>
      <c r="AF553" s="11">
        <f t="shared" si="77"/>
        <v>8027.6295</v>
      </c>
      <c r="AG553">
        <f t="shared" si="78"/>
        <v>3948.1800000000003</v>
      </c>
      <c r="AH553" s="11">
        <f t="shared" si="79"/>
        <v>0.4180503098704294</v>
      </c>
      <c r="AI553" s="44">
        <f t="shared" si="80"/>
        <v>0.4180503098704294</v>
      </c>
    </row>
    <row r="554" spans="1:35">
      <c r="A554" t="s">
        <v>1753</v>
      </c>
      <c r="B554" s="5">
        <v>45681</v>
      </c>
      <c r="C554" s="5">
        <v>45687</v>
      </c>
      <c r="D554" s="13">
        <f t="shared" si="72"/>
        <v>6</v>
      </c>
      <c r="E554" t="s">
        <v>1754</v>
      </c>
      <c r="F554" t="s">
        <v>62</v>
      </c>
      <c r="G554" t="s">
        <v>90</v>
      </c>
      <c r="H554" t="s">
        <v>38</v>
      </c>
      <c r="I554" t="s">
        <v>99</v>
      </c>
      <c r="J554" t="s">
        <v>100</v>
      </c>
      <c r="K554" t="s">
        <v>74</v>
      </c>
      <c r="L554" t="s">
        <v>80</v>
      </c>
      <c r="M554" t="s">
        <v>1755</v>
      </c>
      <c r="N554" t="s">
        <v>59</v>
      </c>
      <c r="O554">
        <v>8</v>
      </c>
      <c r="P554">
        <v>312.52999999999997</v>
      </c>
      <c r="Q554" s="11">
        <v>0.7</v>
      </c>
      <c r="R554">
        <v>1875.18</v>
      </c>
      <c r="S554">
        <v>1579.17</v>
      </c>
      <c r="T554">
        <v>296.01</v>
      </c>
      <c r="U554" t="s">
        <v>32</v>
      </c>
      <c r="V554" t="s">
        <v>33</v>
      </c>
      <c r="X554" s="8" t="str">
        <f>IF(C554&gt;=B554,"Valid", "Invalid-Date")</f>
        <v>Valid</v>
      </c>
      <c r="Y554" s="8" t="str">
        <f t="shared" si="73"/>
        <v>Invalid-Discount</v>
      </c>
      <c r="Z554" s="8" t="str">
        <f t="shared" si="74"/>
        <v>Pass</v>
      </c>
      <c r="AA554" s="8" t="str">
        <f t="shared" si="75"/>
        <v>Pass</v>
      </c>
      <c r="AB554" s="8" t="str">
        <f>TEXT(B554,"mmmm")</f>
        <v>January</v>
      </c>
      <c r="AC554" s="8" t="str">
        <f>TEXT(B554,"yyyy")</f>
        <v>2025</v>
      </c>
      <c r="AE554">
        <f t="shared" si="76"/>
        <v>2500.2399999999998</v>
      </c>
      <c r="AF554" s="11">
        <f t="shared" si="77"/>
        <v>750.072</v>
      </c>
      <c r="AG554">
        <f t="shared" si="78"/>
        <v>921.06999999999971</v>
      </c>
      <c r="AH554" s="11">
        <f t="shared" si="79"/>
        <v>0.36839263430710645</v>
      </c>
      <c r="AI554" s="44">
        <f t="shared" si="80"/>
        <v>0.36839263430710645</v>
      </c>
    </row>
    <row r="555" spans="1:35">
      <c r="A555" t="s">
        <v>1756</v>
      </c>
      <c r="B555" s="5">
        <v>45772</v>
      </c>
      <c r="C555" s="5">
        <v>45775</v>
      </c>
      <c r="D555" s="13">
        <f t="shared" si="72"/>
        <v>3</v>
      </c>
      <c r="E555" t="s">
        <v>1757</v>
      </c>
      <c r="F555" t="s">
        <v>128</v>
      </c>
      <c r="G555" t="s">
        <v>37</v>
      </c>
      <c r="H555" t="s">
        <v>63</v>
      </c>
      <c r="I555" t="s">
        <v>180</v>
      </c>
      <c r="J555" t="s">
        <v>181</v>
      </c>
      <c r="K555" t="s">
        <v>28</v>
      </c>
      <c r="L555" t="s">
        <v>124</v>
      </c>
      <c r="M555" t="s">
        <v>1758</v>
      </c>
      <c r="N555" t="s">
        <v>50</v>
      </c>
      <c r="O555">
        <v>9</v>
      </c>
      <c r="P555">
        <v>1294.1099999999999</v>
      </c>
      <c r="Q555" s="11">
        <v>0.25</v>
      </c>
      <c r="R555">
        <v>8735.24</v>
      </c>
      <c r="S555">
        <v>6620.07</v>
      </c>
      <c r="T555">
        <v>2115.17</v>
      </c>
      <c r="U555" t="s">
        <v>32</v>
      </c>
      <c r="V555" t="s">
        <v>33</v>
      </c>
      <c r="X555" s="8" t="str">
        <f>IF(C555&gt;=B555,"Valid", "Invalid-Date")</f>
        <v>Valid</v>
      </c>
      <c r="Y555" s="8" t="str">
        <f t="shared" si="73"/>
        <v>Valid</v>
      </c>
      <c r="Z555" s="8" t="str">
        <f t="shared" si="74"/>
        <v>Pass</v>
      </c>
      <c r="AA555" s="8" t="str">
        <f t="shared" si="75"/>
        <v>Pass</v>
      </c>
      <c r="AB555" s="8" t="str">
        <f>TEXT(B555,"mmmm")</f>
        <v>April</v>
      </c>
      <c r="AC555" s="8" t="str">
        <f>TEXT(B555,"yyyy")</f>
        <v>2025</v>
      </c>
      <c r="AE555">
        <f t="shared" si="76"/>
        <v>11646.99</v>
      </c>
      <c r="AF555" s="11">
        <f t="shared" si="77"/>
        <v>8735.2425000000003</v>
      </c>
      <c r="AG555">
        <f t="shared" si="78"/>
        <v>5026.92</v>
      </c>
      <c r="AH555" s="11">
        <f t="shared" si="79"/>
        <v>0.43160679282801823</v>
      </c>
      <c r="AI555" s="44">
        <f t="shared" si="80"/>
        <v>0.43160679282801823</v>
      </c>
    </row>
    <row r="556" spans="1:35">
      <c r="A556" t="s">
        <v>1759</v>
      </c>
      <c r="B556" s="5">
        <v>45577</v>
      </c>
      <c r="C556" s="5">
        <v>45582</v>
      </c>
      <c r="D556" s="13">
        <f t="shared" si="72"/>
        <v>5</v>
      </c>
      <c r="E556" t="s">
        <v>1760</v>
      </c>
      <c r="F556" t="s">
        <v>53</v>
      </c>
      <c r="G556" t="s">
        <v>24</v>
      </c>
      <c r="H556" t="s">
        <v>2785</v>
      </c>
      <c r="I556" t="s">
        <v>228</v>
      </c>
      <c r="J556" t="s">
        <v>229</v>
      </c>
      <c r="K556" t="s">
        <v>41</v>
      </c>
      <c r="L556" t="s">
        <v>57</v>
      </c>
      <c r="M556" t="s">
        <v>1761</v>
      </c>
      <c r="N556" t="s">
        <v>59</v>
      </c>
      <c r="O556">
        <v>4</v>
      </c>
      <c r="P556">
        <v>1071.22</v>
      </c>
      <c r="Q556" s="11">
        <v>0.05</v>
      </c>
      <c r="R556">
        <v>4070.64</v>
      </c>
      <c r="S556">
        <v>2831.62</v>
      </c>
      <c r="T556">
        <v>1239.02</v>
      </c>
      <c r="U556" t="s">
        <v>32</v>
      </c>
      <c r="V556" t="s">
        <v>33</v>
      </c>
      <c r="X556" s="8" t="str">
        <f>IF(C556&gt;=B556,"Valid", "Invalid-Date")</f>
        <v>Valid</v>
      </c>
      <c r="Y556" s="8" t="str">
        <f t="shared" si="73"/>
        <v>Valid</v>
      </c>
      <c r="Z556" s="8" t="str">
        <f t="shared" si="74"/>
        <v>Pass</v>
      </c>
      <c r="AA556" s="8" t="str">
        <f t="shared" si="75"/>
        <v>Flagged</v>
      </c>
      <c r="AB556" s="8" t="str">
        <f>TEXT(B556,"mmmm")</f>
        <v>October</v>
      </c>
      <c r="AC556" s="8" t="str">
        <f>TEXT(B556,"yyyy")</f>
        <v>2024</v>
      </c>
      <c r="AE556">
        <f t="shared" si="76"/>
        <v>4284.88</v>
      </c>
      <c r="AF556" s="11">
        <f t="shared" si="77"/>
        <v>4070.636</v>
      </c>
      <c r="AG556">
        <f t="shared" si="78"/>
        <v>1453.2600000000002</v>
      </c>
      <c r="AH556" s="11">
        <f t="shared" si="79"/>
        <v>0.3391600231511735</v>
      </c>
      <c r="AI556" s="44">
        <f t="shared" si="80"/>
        <v>0.3391600231511735</v>
      </c>
    </row>
    <row r="557" spans="1:35">
      <c r="A557" t="s">
        <v>1762</v>
      </c>
      <c r="B557" s="5">
        <v>45692</v>
      </c>
      <c r="C557" s="5">
        <v>45932</v>
      </c>
      <c r="D557" s="13">
        <f t="shared" si="72"/>
        <v>240</v>
      </c>
      <c r="E557" t="s">
        <v>1763</v>
      </c>
      <c r="F557" t="s">
        <v>62</v>
      </c>
      <c r="G557" t="s">
        <v>37</v>
      </c>
      <c r="H557" t="s">
        <v>54</v>
      </c>
      <c r="I557" t="s">
        <v>55</v>
      </c>
      <c r="J557" t="s">
        <v>56</v>
      </c>
      <c r="K557" t="s">
        <v>28</v>
      </c>
      <c r="L557" t="s">
        <v>124</v>
      </c>
      <c r="M557" t="s">
        <v>1764</v>
      </c>
      <c r="N557" t="s">
        <v>59</v>
      </c>
      <c r="O557">
        <v>6</v>
      </c>
      <c r="P557">
        <v>1042.8</v>
      </c>
      <c r="Q557" s="11">
        <v>0.05</v>
      </c>
      <c r="R557">
        <v>5943.96</v>
      </c>
      <c r="S557">
        <v>3604.14</v>
      </c>
      <c r="T557">
        <v>2339.8200000000002</v>
      </c>
      <c r="U557" t="s">
        <v>32</v>
      </c>
      <c r="V557" t="s">
        <v>33</v>
      </c>
      <c r="X557" s="8" t="str">
        <f>IF(C557&gt;=B557,"Valid", "Invalid-Date")</f>
        <v>Valid</v>
      </c>
      <c r="Y557" s="8" t="str">
        <f t="shared" si="73"/>
        <v>Valid</v>
      </c>
      <c r="Z557" s="8" t="str">
        <f t="shared" si="74"/>
        <v>Pass</v>
      </c>
      <c r="AA557" s="8" t="str">
        <f t="shared" si="75"/>
        <v>Pass</v>
      </c>
      <c r="AB557" s="8" t="str">
        <f>TEXT(B557,"mmmm")</f>
        <v>February</v>
      </c>
      <c r="AC557" s="8" t="str">
        <f>TEXT(B557,"yyyy")</f>
        <v>2025</v>
      </c>
      <c r="AE557">
        <f t="shared" si="76"/>
        <v>6256.7999999999993</v>
      </c>
      <c r="AF557" s="11">
        <f t="shared" si="77"/>
        <v>5943.9599999999991</v>
      </c>
      <c r="AG557">
        <f t="shared" si="78"/>
        <v>2652.6599999999994</v>
      </c>
      <c r="AH557" s="11">
        <f t="shared" si="79"/>
        <v>0.42396432681242802</v>
      </c>
      <c r="AI557" s="44">
        <f t="shared" si="80"/>
        <v>0.42396432681242802</v>
      </c>
    </row>
    <row r="558" spans="1:35">
      <c r="A558" t="s">
        <v>1765</v>
      </c>
      <c r="B558" s="5">
        <v>45466</v>
      </c>
      <c r="C558" s="5">
        <v>45472</v>
      </c>
      <c r="D558" s="13">
        <f t="shared" si="72"/>
        <v>6</v>
      </c>
      <c r="E558" t="s">
        <v>1766</v>
      </c>
      <c r="F558" t="s">
        <v>79</v>
      </c>
      <c r="G558" t="s">
        <v>24</v>
      </c>
      <c r="H558" t="s">
        <v>25</v>
      </c>
      <c r="I558" t="s">
        <v>236</v>
      </c>
      <c r="J558" t="s">
        <v>237</v>
      </c>
      <c r="K558" t="s">
        <v>41</v>
      </c>
      <c r="L558" t="s">
        <v>42</v>
      </c>
      <c r="M558" t="s">
        <v>1767</v>
      </c>
      <c r="N558" t="s">
        <v>50</v>
      </c>
      <c r="O558">
        <v>1</v>
      </c>
      <c r="P558">
        <v>4426.66</v>
      </c>
      <c r="Q558" s="11">
        <v>0</v>
      </c>
      <c r="R558">
        <v>4426.66</v>
      </c>
      <c r="S558">
        <v>3035.2</v>
      </c>
      <c r="T558">
        <v>1816.23</v>
      </c>
      <c r="U558" t="s">
        <v>32</v>
      </c>
      <c r="V558" t="s">
        <v>103</v>
      </c>
      <c r="X558" s="8" t="str">
        <f>IF(C558&gt;=B558,"Valid", "Invalid-Date")</f>
        <v>Valid</v>
      </c>
      <c r="Y558" s="8" t="str">
        <f t="shared" si="73"/>
        <v>Valid</v>
      </c>
      <c r="Z558" s="8" t="str">
        <f t="shared" si="74"/>
        <v>Pass</v>
      </c>
      <c r="AA558" s="8" t="str">
        <f t="shared" si="75"/>
        <v>Pass</v>
      </c>
      <c r="AB558" s="8" t="str">
        <f>TEXT(B558,"mmmm")</f>
        <v>June</v>
      </c>
      <c r="AC558" s="8" t="str">
        <f>TEXT(B558,"yyyy")</f>
        <v>2024</v>
      </c>
      <c r="AE558">
        <f t="shared" si="76"/>
        <v>4426.66</v>
      </c>
      <c r="AF558" s="11">
        <f t="shared" si="77"/>
        <v>4426.66</v>
      </c>
      <c r="AG558">
        <f t="shared" si="78"/>
        <v>1391.46</v>
      </c>
      <c r="AH558" s="11">
        <f t="shared" si="79"/>
        <v>0.31433631677156143</v>
      </c>
      <c r="AI558" s="44">
        <f t="shared" si="80"/>
        <v>0.31433631677156143</v>
      </c>
    </row>
    <row r="559" spans="1:35">
      <c r="A559" t="s">
        <v>1768</v>
      </c>
      <c r="B559" s="5">
        <v>45420</v>
      </c>
      <c r="C559" s="5">
        <v>45426</v>
      </c>
      <c r="D559" s="13">
        <f t="shared" si="72"/>
        <v>6</v>
      </c>
      <c r="E559" t="s">
        <v>1769</v>
      </c>
      <c r="F559" t="s">
        <v>71</v>
      </c>
      <c r="G559" t="s">
        <v>95</v>
      </c>
      <c r="H559" t="s">
        <v>25</v>
      </c>
      <c r="I559" t="s">
        <v>236</v>
      </c>
      <c r="J559" t="s">
        <v>237</v>
      </c>
      <c r="K559" t="s">
        <v>74</v>
      </c>
      <c r="L559" t="s">
        <v>171</v>
      </c>
      <c r="M559" t="s">
        <v>1770</v>
      </c>
      <c r="N559" t="s">
        <v>50</v>
      </c>
      <c r="O559">
        <v>9</v>
      </c>
      <c r="P559">
        <v>3769.46</v>
      </c>
      <c r="Q559" s="11">
        <v>0.05</v>
      </c>
      <c r="R559">
        <v>32228.880000000001</v>
      </c>
      <c r="S559">
        <v>24971.360000000001</v>
      </c>
      <c r="T559">
        <v>7257.52</v>
      </c>
      <c r="U559" t="s">
        <v>32</v>
      </c>
      <c r="V559" t="s">
        <v>68</v>
      </c>
      <c r="X559" s="8" t="str">
        <f>IF(C559&gt;=B559,"Valid", "Invalid-Date")</f>
        <v>Valid</v>
      </c>
      <c r="Y559" s="8" t="str">
        <f t="shared" si="73"/>
        <v>Valid</v>
      </c>
      <c r="Z559" s="8" t="str">
        <f t="shared" si="74"/>
        <v>Pass</v>
      </c>
      <c r="AA559" s="8" t="str">
        <f t="shared" si="75"/>
        <v>Pass</v>
      </c>
      <c r="AB559" s="8" t="str">
        <f>TEXT(B559,"mmmm")</f>
        <v>May</v>
      </c>
      <c r="AC559" s="8" t="str">
        <f>TEXT(B559,"yyyy")</f>
        <v>2024</v>
      </c>
      <c r="AE559">
        <f t="shared" si="76"/>
        <v>33925.14</v>
      </c>
      <c r="AF559" s="11">
        <f t="shared" si="77"/>
        <v>32228.882999999998</v>
      </c>
      <c r="AG559">
        <f t="shared" si="78"/>
        <v>8953.7799999999988</v>
      </c>
      <c r="AH559" s="11">
        <f t="shared" si="79"/>
        <v>0.26392757701220981</v>
      </c>
      <c r="AI559" s="44">
        <f t="shared" si="80"/>
        <v>0.26392757701220981</v>
      </c>
    </row>
    <row r="560" spans="1:35">
      <c r="A560" t="s">
        <v>1771</v>
      </c>
      <c r="B560" s="5">
        <v>45904</v>
      </c>
      <c r="C560" s="5">
        <v>45756</v>
      </c>
      <c r="D560" s="13">
        <f t="shared" si="72"/>
        <v>-148</v>
      </c>
      <c r="E560" t="s">
        <v>1772</v>
      </c>
      <c r="F560" t="s">
        <v>89</v>
      </c>
      <c r="G560" t="s">
        <v>90</v>
      </c>
      <c r="H560" t="s">
        <v>25</v>
      </c>
      <c r="I560" t="s">
        <v>122</v>
      </c>
      <c r="J560" t="s">
        <v>123</v>
      </c>
      <c r="K560" t="s">
        <v>74</v>
      </c>
      <c r="L560" t="s">
        <v>274</v>
      </c>
      <c r="M560" t="s">
        <v>1773</v>
      </c>
      <c r="N560" t="s">
        <v>50</v>
      </c>
      <c r="O560">
        <v>8</v>
      </c>
      <c r="P560">
        <v>3079.95</v>
      </c>
      <c r="Q560" s="11">
        <v>0.2</v>
      </c>
      <c r="R560">
        <v>19711.68</v>
      </c>
      <c r="S560">
        <v>14461.8</v>
      </c>
      <c r="T560">
        <v>5249.88</v>
      </c>
      <c r="U560" t="s">
        <v>32</v>
      </c>
      <c r="V560" t="s">
        <v>33</v>
      </c>
      <c r="X560" s="8" t="str">
        <f>IF(C560&gt;=B560,"Valid", "Invalid-Date")</f>
        <v>Invalid-Date</v>
      </c>
      <c r="Y560" s="8" t="str">
        <f t="shared" si="73"/>
        <v>Valid</v>
      </c>
      <c r="Z560" s="8" t="str">
        <f t="shared" si="74"/>
        <v>Pass</v>
      </c>
      <c r="AA560" s="8" t="str">
        <f t="shared" si="75"/>
        <v>Pass</v>
      </c>
      <c r="AB560" s="8" t="str">
        <f>TEXT(B560,"mmmm")</f>
        <v>September</v>
      </c>
      <c r="AC560" s="8" t="str">
        <f>TEXT(B560,"yyyy")</f>
        <v>2025</v>
      </c>
      <c r="AE560">
        <f t="shared" si="76"/>
        <v>24639.599999999999</v>
      </c>
      <c r="AF560" s="11">
        <f t="shared" si="77"/>
        <v>19711.68</v>
      </c>
      <c r="AG560">
        <f t="shared" si="78"/>
        <v>10177.799999999999</v>
      </c>
      <c r="AH560" s="11">
        <f t="shared" si="79"/>
        <v>0.41306677056445723</v>
      </c>
      <c r="AI560" s="44">
        <f t="shared" si="80"/>
        <v>0.41306677056445723</v>
      </c>
    </row>
    <row r="561" spans="1:35">
      <c r="A561" t="s">
        <v>1774</v>
      </c>
      <c r="B561" s="5">
        <v>45930</v>
      </c>
      <c r="C561" s="5">
        <v>45848</v>
      </c>
      <c r="D561" s="13">
        <f t="shared" si="72"/>
        <v>-82</v>
      </c>
      <c r="E561" t="s">
        <v>1775</v>
      </c>
      <c r="F561" t="s">
        <v>162</v>
      </c>
      <c r="G561" t="s">
        <v>90</v>
      </c>
      <c r="H561" t="s">
        <v>38</v>
      </c>
      <c r="I561" t="s">
        <v>145</v>
      </c>
      <c r="J561" t="s">
        <v>146</v>
      </c>
      <c r="K561" t="s">
        <v>74</v>
      </c>
      <c r="L561" t="s">
        <v>80</v>
      </c>
      <c r="M561" t="s">
        <v>1776</v>
      </c>
      <c r="N561" t="s">
        <v>31</v>
      </c>
      <c r="O561">
        <v>5</v>
      </c>
      <c r="P561">
        <v>3277.82</v>
      </c>
      <c r="Q561" s="11">
        <v>0.1</v>
      </c>
      <c r="R561">
        <v>14750.19</v>
      </c>
      <c r="S561">
        <v>9482.58</v>
      </c>
      <c r="T561">
        <v>5267.61</v>
      </c>
      <c r="U561" t="s">
        <v>32</v>
      </c>
      <c r="V561" t="s">
        <v>103</v>
      </c>
      <c r="X561" s="8" t="str">
        <f>IF(C561&gt;=B561,"Valid", "Invalid-Date")</f>
        <v>Invalid-Date</v>
      </c>
      <c r="Y561" s="8" t="str">
        <f t="shared" si="73"/>
        <v>Valid</v>
      </c>
      <c r="Z561" s="8" t="str">
        <f t="shared" si="74"/>
        <v>Pass</v>
      </c>
      <c r="AA561" s="8" t="str">
        <f t="shared" si="75"/>
        <v>Pass</v>
      </c>
      <c r="AB561" s="8" t="str">
        <f>TEXT(B561,"mmmm")</f>
        <v>September</v>
      </c>
      <c r="AC561" s="8" t="str">
        <f>TEXT(B561,"yyyy")</f>
        <v>2025</v>
      </c>
      <c r="AE561">
        <f t="shared" si="76"/>
        <v>16389.100000000002</v>
      </c>
      <c r="AF561" s="11">
        <f t="shared" si="77"/>
        <v>14750.190000000002</v>
      </c>
      <c r="AG561">
        <f t="shared" si="78"/>
        <v>6906.5200000000023</v>
      </c>
      <c r="AH561" s="11">
        <f t="shared" si="79"/>
        <v>0.42140935133716928</v>
      </c>
      <c r="AI561" s="44">
        <f t="shared" si="80"/>
        <v>0.42140935133716928</v>
      </c>
    </row>
    <row r="562" spans="1:35">
      <c r="A562" t="s">
        <v>1777</v>
      </c>
      <c r="B562" s="5">
        <v>45307</v>
      </c>
      <c r="C562" s="5">
        <v>45313</v>
      </c>
      <c r="D562" s="13">
        <f t="shared" si="72"/>
        <v>6</v>
      </c>
      <c r="E562" t="s">
        <v>1778</v>
      </c>
      <c r="F562" t="s">
        <v>53</v>
      </c>
      <c r="G562" t="s">
        <v>24</v>
      </c>
      <c r="H562" t="s">
        <v>63</v>
      </c>
      <c r="I562" t="s">
        <v>190</v>
      </c>
      <c r="J562" t="s">
        <v>191</v>
      </c>
      <c r="K562" t="s">
        <v>28</v>
      </c>
      <c r="L562" t="s">
        <v>124</v>
      </c>
      <c r="M562" t="s">
        <v>1779</v>
      </c>
      <c r="N562" t="s">
        <v>59</v>
      </c>
      <c r="O562">
        <v>4</v>
      </c>
      <c r="P562">
        <v>282.52999999999997</v>
      </c>
      <c r="Q562" s="11">
        <v>0</v>
      </c>
      <c r="R562">
        <v>1130.1199999999999</v>
      </c>
      <c r="S562">
        <v>848.62</v>
      </c>
      <c r="T562">
        <v>281.5</v>
      </c>
      <c r="U562" t="s">
        <v>32</v>
      </c>
      <c r="V562" t="s">
        <v>68</v>
      </c>
      <c r="X562" s="8" t="str">
        <f>IF(C562&gt;=B562,"Valid", "Invalid-Date")</f>
        <v>Valid</v>
      </c>
      <c r="Y562" s="8" t="str">
        <f t="shared" si="73"/>
        <v>Valid</v>
      </c>
      <c r="Z562" s="8" t="str">
        <f t="shared" si="74"/>
        <v>Pass</v>
      </c>
      <c r="AA562" s="8" t="str">
        <f t="shared" si="75"/>
        <v>Pass</v>
      </c>
      <c r="AB562" s="8" t="str">
        <f>TEXT(B562,"mmmm")</f>
        <v>January</v>
      </c>
      <c r="AC562" s="8" t="str">
        <f>TEXT(B562,"yyyy")</f>
        <v>2024</v>
      </c>
      <c r="AE562">
        <f t="shared" si="76"/>
        <v>1130.1199999999999</v>
      </c>
      <c r="AF562" s="11">
        <f t="shared" si="77"/>
        <v>1130.1199999999999</v>
      </c>
      <c r="AG562">
        <f t="shared" si="78"/>
        <v>281.49999999999989</v>
      </c>
      <c r="AH562" s="11">
        <f t="shared" si="79"/>
        <v>0.249088592361873</v>
      </c>
      <c r="AI562" s="44">
        <f t="shared" si="80"/>
        <v>0.249088592361873</v>
      </c>
    </row>
    <row r="563" spans="1:35">
      <c r="A563" t="s">
        <v>1780</v>
      </c>
      <c r="B563" s="5">
        <v>45852</v>
      </c>
      <c r="C563" s="5">
        <v>45856</v>
      </c>
      <c r="D563" s="13">
        <f t="shared" si="72"/>
        <v>4</v>
      </c>
      <c r="E563" t="s">
        <v>1781</v>
      </c>
      <c r="F563" t="s">
        <v>89</v>
      </c>
      <c r="G563" t="s">
        <v>24</v>
      </c>
      <c r="H563" t="s">
        <v>25</v>
      </c>
      <c r="I563" t="s">
        <v>122</v>
      </c>
      <c r="J563" t="s">
        <v>123</v>
      </c>
      <c r="K563" t="s">
        <v>74</v>
      </c>
      <c r="L563" t="s">
        <v>80</v>
      </c>
      <c r="M563" t="s">
        <v>1782</v>
      </c>
      <c r="N563" t="s">
        <v>50</v>
      </c>
      <c r="O563">
        <v>4</v>
      </c>
      <c r="P563">
        <v>725.22</v>
      </c>
      <c r="Q563" s="11">
        <v>0</v>
      </c>
      <c r="R563">
        <v>2900.88</v>
      </c>
      <c r="S563">
        <v>2391.85</v>
      </c>
      <c r="T563">
        <v>509.03</v>
      </c>
      <c r="U563" t="s">
        <v>111</v>
      </c>
      <c r="V563" t="s">
        <v>103</v>
      </c>
      <c r="X563" s="8" t="str">
        <f>IF(C563&gt;=B563,"Valid", "Invalid-Date")</f>
        <v>Valid</v>
      </c>
      <c r="Y563" s="8" t="str">
        <f t="shared" si="73"/>
        <v>Valid</v>
      </c>
      <c r="Z563" s="8" t="str">
        <f t="shared" si="74"/>
        <v>Pass</v>
      </c>
      <c r="AA563" s="8" t="str">
        <f t="shared" si="75"/>
        <v>Pass</v>
      </c>
      <c r="AB563" s="8" t="str">
        <f>TEXT(B563,"mmmm")</f>
        <v>July</v>
      </c>
      <c r="AC563" s="8" t="str">
        <f>TEXT(B563,"yyyy")</f>
        <v>2025</v>
      </c>
      <c r="AE563">
        <f t="shared" si="76"/>
        <v>2900.88</v>
      </c>
      <c r="AF563" s="11">
        <f t="shared" si="77"/>
        <v>2900.88</v>
      </c>
      <c r="AG563">
        <f t="shared" si="78"/>
        <v>509.0300000000002</v>
      </c>
      <c r="AH563" s="11">
        <f t="shared" si="79"/>
        <v>0.17547433882132324</v>
      </c>
      <c r="AI563" s="44">
        <f t="shared" si="80"/>
        <v>0.17547433882132324</v>
      </c>
    </row>
    <row r="564" spans="1:35">
      <c r="A564" t="s">
        <v>1783</v>
      </c>
      <c r="B564" s="5">
        <v>45422</v>
      </c>
      <c r="C564" s="5">
        <v>45428</v>
      </c>
      <c r="D564" s="13">
        <f t="shared" si="72"/>
        <v>6</v>
      </c>
      <c r="E564" t="s">
        <v>1784</v>
      </c>
      <c r="F564" t="s">
        <v>23</v>
      </c>
      <c r="G564" t="s">
        <v>24</v>
      </c>
      <c r="H564" t="s">
        <v>25</v>
      </c>
      <c r="I564" t="s">
        <v>122</v>
      </c>
      <c r="J564" t="s">
        <v>123</v>
      </c>
      <c r="K564" t="s">
        <v>28</v>
      </c>
      <c r="L564" t="s">
        <v>153</v>
      </c>
      <c r="M564" t="s">
        <v>1785</v>
      </c>
      <c r="N564" t="s">
        <v>44</v>
      </c>
      <c r="O564">
        <v>7</v>
      </c>
      <c r="P564">
        <v>121.54</v>
      </c>
      <c r="Q564" s="11">
        <v>0.2</v>
      </c>
      <c r="R564">
        <v>680.62</v>
      </c>
      <c r="S564">
        <v>463.49</v>
      </c>
      <c r="T564">
        <v>217.13</v>
      </c>
      <c r="U564" t="s">
        <v>155</v>
      </c>
      <c r="V564" t="s">
        <v>103</v>
      </c>
      <c r="X564" s="8" t="str">
        <f>IF(C564&gt;=B564,"Valid", "Invalid-Date")</f>
        <v>Valid</v>
      </c>
      <c r="Y564" s="8" t="str">
        <f t="shared" si="73"/>
        <v>Valid</v>
      </c>
      <c r="Z564" s="8" t="str">
        <f t="shared" si="74"/>
        <v>Pass</v>
      </c>
      <c r="AA564" s="8" t="str">
        <f t="shared" si="75"/>
        <v>Pass</v>
      </c>
      <c r="AB564" s="8" t="str">
        <f>TEXT(B564,"mmmm")</f>
        <v>May</v>
      </c>
      <c r="AC564" s="8" t="str">
        <f>TEXT(B564,"yyyy")</f>
        <v>2024</v>
      </c>
      <c r="AE564">
        <f t="shared" si="76"/>
        <v>850.78000000000009</v>
      </c>
      <c r="AF564" s="11">
        <f t="shared" si="77"/>
        <v>680.62400000000014</v>
      </c>
      <c r="AG564">
        <f t="shared" si="78"/>
        <v>387.29000000000008</v>
      </c>
      <c r="AH564" s="11">
        <f t="shared" si="79"/>
        <v>0.45521756505794686</v>
      </c>
      <c r="AI564" s="44">
        <f t="shared" si="80"/>
        <v>0.45521756505794686</v>
      </c>
    </row>
    <row r="565" spans="1:35">
      <c r="A565" t="s">
        <v>1786</v>
      </c>
      <c r="B565" s="5">
        <v>45448</v>
      </c>
      <c r="C565" s="5">
        <v>45424</v>
      </c>
      <c r="D565" s="13">
        <f t="shared" si="72"/>
        <v>-24</v>
      </c>
      <c r="E565" t="s">
        <v>1787</v>
      </c>
      <c r="F565" t="s">
        <v>53</v>
      </c>
      <c r="G565" t="s">
        <v>90</v>
      </c>
      <c r="H565" t="s">
        <v>63</v>
      </c>
      <c r="I565" t="s">
        <v>190</v>
      </c>
      <c r="J565" t="s">
        <v>191</v>
      </c>
      <c r="K565" t="s">
        <v>41</v>
      </c>
      <c r="L565" t="s">
        <v>42</v>
      </c>
      <c r="M565" t="s">
        <v>1788</v>
      </c>
      <c r="N565" t="s">
        <v>59</v>
      </c>
      <c r="O565">
        <v>9</v>
      </c>
      <c r="P565">
        <v>790.97</v>
      </c>
      <c r="Q565" s="11">
        <v>0.2</v>
      </c>
      <c r="R565">
        <v>5694.98</v>
      </c>
      <c r="S565">
        <v>4618.33</v>
      </c>
      <c r="T565">
        <v>1076.6500000000001</v>
      </c>
      <c r="U565" t="s">
        <v>111</v>
      </c>
      <c r="V565" t="s">
        <v>68</v>
      </c>
      <c r="X565" s="8" t="str">
        <f>IF(C565&gt;=B565,"Valid", "Invalid-Date")</f>
        <v>Invalid-Date</v>
      </c>
      <c r="Y565" s="8" t="str">
        <f t="shared" si="73"/>
        <v>Valid</v>
      </c>
      <c r="Z565" s="8" t="str">
        <f t="shared" si="74"/>
        <v>Pass</v>
      </c>
      <c r="AA565" s="8" t="str">
        <f t="shared" si="75"/>
        <v>Pass</v>
      </c>
      <c r="AB565" s="8" t="str">
        <f>TEXT(B565,"mmmm")</f>
        <v>June</v>
      </c>
      <c r="AC565" s="8" t="str">
        <f>TEXT(B565,"yyyy")</f>
        <v>2024</v>
      </c>
      <c r="AE565">
        <f t="shared" si="76"/>
        <v>7118.7300000000005</v>
      </c>
      <c r="AF565" s="11">
        <f t="shared" si="77"/>
        <v>5694.9840000000004</v>
      </c>
      <c r="AG565">
        <f t="shared" si="78"/>
        <v>2500.4000000000005</v>
      </c>
      <c r="AH565" s="11">
        <f t="shared" si="79"/>
        <v>0.35124242666880195</v>
      </c>
      <c r="AI565" s="44">
        <f t="shared" si="80"/>
        <v>0.35124242666880195</v>
      </c>
    </row>
    <row r="566" spans="1:35">
      <c r="A566" t="s">
        <v>1789</v>
      </c>
      <c r="B566" s="5">
        <v>45576</v>
      </c>
      <c r="C566" s="5">
        <v>45610</v>
      </c>
      <c r="D566" s="13">
        <f t="shared" si="72"/>
        <v>34</v>
      </c>
      <c r="E566" t="s">
        <v>1790</v>
      </c>
      <c r="F566" t="s">
        <v>132</v>
      </c>
      <c r="G566" t="s">
        <v>90</v>
      </c>
      <c r="H566" t="s">
        <v>54</v>
      </c>
      <c r="I566" t="s">
        <v>84</v>
      </c>
      <c r="J566" t="s">
        <v>85</v>
      </c>
      <c r="K566" t="s">
        <v>41</v>
      </c>
      <c r="L566" t="s">
        <v>42</v>
      </c>
      <c r="M566" t="s">
        <v>1791</v>
      </c>
      <c r="N566" t="s">
        <v>50</v>
      </c>
      <c r="O566">
        <v>2</v>
      </c>
      <c r="P566">
        <v>921.34</v>
      </c>
      <c r="Q566" s="11">
        <v>0.2</v>
      </c>
      <c r="R566">
        <v>1474.14</v>
      </c>
      <c r="S566">
        <v>968.46</v>
      </c>
      <c r="T566">
        <v>505.68</v>
      </c>
      <c r="U566" t="s">
        <v>32</v>
      </c>
      <c r="V566" t="s">
        <v>33</v>
      </c>
      <c r="X566" s="8" t="str">
        <f>IF(C566&gt;=B566,"Valid", "Invalid-Date")</f>
        <v>Valid</v>
      </c>
      <c r="Y566" s="8" t="str">
        <f t="shared" si="73"/>
        <v>Valid</v>
      </c>
      <c r="Z566" s="8" t="str">
        <f t="shared" si="74"/>
        <v>Pass</v>
      </c>
      <c r="AA566" s="8" t="str">
        <f t="shared" si="75"/>
        <v>Pass</v>
      </c>
      <c r="AB566" s="8" t="str">
        <f>TEXT(B566,"mmmm")</f>
        <v>October</v>
      </c>
      <c r="AC566" s="8" t="str">
        <f>TEXT(B566,"yyyy")</f>
        <v>2024</v>
      </c>
      <c r="AE566">
        <f t="shared" si="76"/>
        <v>1842.68</v>
      </c>
      <c r="AF566" s="11">
        <f t="shared" si="77"/>
        <v>1474.1440000000002</v>
      </c>
      <c r="AG566">
        <f t="shared" si="78"/>
        <v>874.22</v>
      </c>
      <c r="AH566" s="11">
        <f t="shared" si="79"/>
        <v>0.47442854972105847</v>
      </c>
      <c r="AI566" s="44">
        <f t="shared" si="80"/>
        <v>0.47442854972105847</v>
      </c>
    </row>
    <row r="567" spans="1:35">
      <c r="A567" t="s">
        <v>1792</v>
      </c>
      <c r="B567" s="5">
        <v>45876</v>
      </c>
      <c r="C567" s="5">
        <v>45882</v>
      </c>
      <c r="D567" s="13">
        <f t="shared" si="72"/>
        <v>6</v>
      </c>
      <c r="E567" t="s">
        <v>1793</v>
      </c>
      <c r="F567" t="s">
        <v>36</v>
      </c>
      <c r="G567" t="s">
        <v>90</v>
      </c>
      <c r="H567" t="s">
        <v>25</v>
      </c>
      <c r="I567" t="s">
        <v>350</v>
      </c>
      <c r="J567" t="s">
        <v>351</v>
      </c>
      <c r="K567" t="s">
        <v>74</v>
      </c>
      <c r="L567" t="s">
        <v>171</v>
      </c>
      <c r="M567" t="s">
        <v>1794</v>
      </c>
      <c r="N567" t="s">
        <v>59</v>
      </c>
      <c r="O567">
        <v>6</v>
      </c>
      <c r="P567">
        <v>1921.86</v>
      </c>
      <c r="Q567" s="11">
        <v>0.2</v>
      </c>
      <c r="R567">
        <v>9224.93</v>
      </c>
      <c r="S567">
        <v>7005.2</v>
      </c>
      <c r="T567">
        <v>2219.73</v>
      </c>
      <c r="U567" t="s">
        <v>102</v>
      </c>
      <c r="V567" t="s">
        <v>68</v>
      </c>
      <c r="X567" s="8" t="str">
        <f>IF(C567&gt;=B567,"Valid", "Invalid-Date")</f>
        <v>Valid</v>
      </c>
      <c r="Y567" s="8" t="str">
        <f t="shared" si="73"/>
        <v>Valid</v>
      </c>
      <c r="Z567" s="8" t="str">
        <f t="shared" si="74"/>
        <v>Pass</v>
      </c>
      <c r="AA567" s="8" t="str">
        <f t="shared" si="75"/>
        <v>Pass</v>
      </c>
      <c r="AB567" s="8" t="str">
        <f>TEXT(B567,"mmmm")</f>
        <v>August</v>
      </c>
      <c r="AC567" s="8" t="str">
        <f>TEXT(B567,"yyyy")</f>
        <v>2025</v>
      </c>
      <c r="AE567">
        <f t="shared" si="76"/>
        <v>11531.16</v>
      </c>
      <c r="AF567" s="11">
        <f t="shared" si="77"/>
        <v>9224.9279999999999</v>
      </c>
      <c r="AG567">
        <f t="shared" si="78"/>
        <v>4525.96</v>
      </c>
      <c r="AH567" s="11">
        <f t="shared" si="79"/>
        <v>0.39249823955265561</v>
      </c>
      <c r="AI567" s="44">
        <f t="shared" si="80"/>
        <v>0.39249823955265561</v>
      </c>
    </row>
    <row r="568" spans="1:35">
      <c r="A568" t="s">
        <v>1795</v>
      </c>
      <c r="B568" s="5">
        <v>45515</v>
      </c>
      <c r="C568" s="5">
        <v>45523</v>
      </c>
      <c r="D568" s="13">
        <f t="shared" si="72"/>
        <v>8</v>
      </c>
      <c r="E568" t="s">
        <v>1796</v>
      </c>
      <c r="F568" t="s">
        <v>132</v>
      </c>
      <c r="G568" t="s">
        <v>37</v>
      </c>
      <c r="H568" t="s">
        <v>63</v>
      </c>
      <c r="I568" t="s">
        <v>64</v>
      </c>
      <c r="J568" t="s">
        <v>65</v>
      </c>
      <c r="K568" t="s">
        <v>28</v>
      </c>
      <c r="L568" t="s">
        <v>29</v>
      </c>
      <c r="M568" t="s">
        <v>1797</v>
      </c>
      <c r="N568" t="s">
        <v>44</v>
      </c>
      <c r="O568">
        <v>2</v>
      </c>
      <c r="P568">
        <v>2617.89</v>
      </c>
      <c r="Q568" s="11">
        <v>0.1</v>
      </c>
      <c r="R568">
        <v>4712.2</v>
      </c>
      <c r="S568">
        <v>3851.91</v>
      </c>
      <c r="T568">
        <v>860.29</v>
      </c>
      <c r="U568" t="s">
        <v>155</v>
      </c>
      <c r="V568" t="s">
        <v>103</v>
      </c>
      <c r="X568" s="8" t="str">
        <f>IF(C568&gt;=B568,"Valid", "Invalid-Date")</f>
        <v>Valid</v>
      </c>
      <c r="Y568" s="8" t="str">
        <f t="shared" si="73"/>
        <v>Valid</v>
      </c>
      <c r="Z568" s="8" t="str">
        <f t="shared" si="74"/>
        <v>Pass</v>
      </c>
      <c r="AA568" s="8" t="str">
        <f t="shared" si="75"/>
        <v>Pass</v>
      </c>
      <c r="AB568" s="8" t="str">
        <f>TEXT(B568,"mmmm")</f>
        <v>August</v>
      </c>
      <c r="AC568" s="8" t="str">
        <f>TEXT(B568,"yyyy")</f>
        <v>2024</v>
      </c>
      <c r="AE568">
        <f t="shared" si="76"/>
        <v>5235.78</v>
      </c>
      <c r="AF568" s="11">
        <f t="shared" si="77"/>
        <v>4712.2020000000002</v>
      </c>
      <c r="AG568">
        <f t="shared" si="78"/>
        <v>1383.87</v>
      </c>
      <c r="AH568" s="11">
        <f t="shared" si="79"/>
        <v>0.26431018873978662</v>
      </c>
      <c r="AI568" s="44">
        <f t="shared" si="80"/>
        <v>0.26431018873978662</v>
      </c>
    </row>
    <row r="569" spans="1:35">
      <c r="A569" t="s">
        <v>1798</v>
      </c>
      <c r="B569" s="5">
        <v>45328</v>
      </c>
      <c r="C569" s="5">
        <v>45332</v>
      </c>
      <c r="D569" s="13">
        <f t="shared" si="72"/>
        <v>4</v>
      </c>
      <c r="E569" t="s">
        <v>1799</v>
      </c>
      <c r="F569" t="s">
        <v>53</v>
      </c>
      <c r="G569" t="s">
        <v>95</v>
      </c>
      <c r="H569" t="s">
        <v>25</v>
      </c>
      <c r="I569" t="s">
        <v>136</v>
      </c>
      <c r="J569" t="s">
        <v>137</v>
      </c>
      <c r="K569" t="s">
        <v>41</v>
      </c>
      <c r="L569" t="s">
        <v>57</v>
      </c>
      <c r="M569" t="s">
        <v>596</v>
      </c>
      <c r="N569" t="s">
        <v>44</v>
      </c>
      <c r="O569">
        <v>1</v>
      </c>
      <c r="P569">
        <v>1374.06</v>
      </c>
      <c r="Q569" s="11">
        <v>0.05</v>
      </c>
      <c r="R569">
        <v>1305.3599999999999</v>
      </c>
      <c r="S569">
        <v>731.89</v>
      </c>
      <c r="T569">
        <v>573.47</v>
      </c>
      <c r="U569" t="s">
        <v>32</v>
      </c>
      <c r="V569" t="s">
        <v>33</v>
      </c>
      <c r="X569" s="8" t="str">
        <f>IF(C569&gt;=B569,"Valid", "Invalid-Date")</f>
        <v>Valid</v>
      </c>
      <c r="Y569" s="8" t="str">
        <f t="shared" si="73"/>
        <v>Valid</v>
      </c>
      <c r="Z569" s="8" t="str">
        <f t="shared" si="74"/>
        <v>Pass</v>
      </c>
      <c r="AA569" s="8" t="str">
        <f t="shared" si="75"/>
        <v>Pass</v>
      </c>
      <c r="AB569" s="8" t="str">
        <f>TEXT(B569,"mmmm")</f>
        <v>February</v>
      </c>
      <c r="AC569" s="8" t="str">
        <f>TEXT(B569,"yyyy")</f>
        <v>2024</v>
      </c>
      <c r="AE569">
        <f t="shared" si="76"/>
        <v>1374.06</v>
      </c>
      <c r="AF569" s="11">
        <f t="shared" si="77"/>
        <v>1305.357</v>
      </c>
      <c r="AG569">
        <f t="shared" si="78"/>
        <v>642.16999999999996</v>
      </c>
      <c r="AH569" s="11">
        <f t="shared" si="79"/>
        <v>0.46735222624921763</v>
      </c>
      <c r="AI569" s="44">
        <f t="shared" si="80"/>
        <v>0.46735222624921763</v>
      </c>
    </row>
    <row r="570" spans="1:35">
      <c r="A570" t="s">
        <v>1800</v>
      </c>
      <c r="B570" s="5">
        <v>45312</v>
      </c>
      <c r="C570" s="5">
        <v>45315</v>
      </c>
      <c r="D570" s="13">
        <f t="shared" si="72"/>
        <v>3</v>
      </c>
      <c r="E570" t="s">
        <v>1801</v>
      </c>
      <c r="F570" t="s">
        <v>264</v>
      </c>
      <c r="G570" t="s">
        <v>90</v>
      </c>
      <c r="H570" t="s">
        <v>25</v>
      </c>
      <c r="I570" t="s">
        <v>122</v>
      </c>
      <c r="J570" t="s">
        <v>123</v>
      </c>
      <c r="K570" t="s">
        <v>74</v>
      </c>
      <c r="L570" t="s">
        <v>274</v>
      </c>
      <c r="M570" t="s">
        <v>1802</v>
      </c>
      <c r="N570" t="s">
        <v>44</v>
      </c>
      <c r="O570">
        <v>1</v>
      </c>
      <c r="P570">
        <v>3806.3</v>
      </c>
      <c r="Q570" s="11">
        <v>0.25</v>
      </c>
      <c r="R570">
        <v>2854.73</v>
      </c>
      <c r="S570">
        <v>1968.12</v>
      </c>
      <c r="T570">
        <v>886.61</v>
      </c>
      <c r="U570" t="s">
        <v>32</v>
      </c>
      <c r="V570" t="s">
        <v>33</v>
      </c>
      <c r="X570" s="8" t="str">
        <f>IF(C570&gt;=B570,"Valid", "Invalid-Date")</f>
        <v>Valid</v>
      </c>
      <c r="Y570" s="8" t="str">
        <f t="shared" si="73"/>
        <v>Valid</v>
      </c>
      <c r="Z570" s="8" t="str">
        <f t="shared" si="74"/>
        <v>Pass</v>
      </c>
      <c r="AA570" s="8" t="str">
        <f t="shared" si="75"/>
        <v>Pass</v>
      </c>
      <c r="AB570" s="8" t="str">
        <f>TEXT(B570,"mmmm")</f>
        <v>January</v>
      </c>
      <c r="AC570" s="8" t="str">
        <f>TEXT(B570,"yyyy")</f>
        <v>2024</v>
      </c>
      <c r="AE570">
        <f t="shared" si="76"/>
        <v>3806.3</v>
      </c>
      <c r="AF570" s="11">
        <f t="shared" si="77"/>
        <v>2854.7250000000004</v>
      </c>
      <c r="AG570">
        <f t="shared" si="78"/>
        <v>1838.1800000000003</v>
      </c>
      <c r="AH570" s="11">
        <f t="shared" si="79"/>
        <v>0.48293093029976625</v>
      </c>
      <c r="AI570" s="44">
        <f t="shared" si="80"/>
        <v>0.48293093029976625</v>
      </c>
    </row>
    <row r="571" spans="1:35">
      <c r="A571" t="s">
        <v>1803</v>
      </c>
      <c r="B571" s="5">
        <v>45878</v>
      </c>
      <c r="C571" s="5">
        <v>45939</v>
      </c>
      <c r="D571" s="13">
        <f t="shared" si="72"/>
        <v>61</v>
      </c>
      <c r="E571" t="s">
        <v>1804</v>
      </c>
      <c r="F571" t="s">
        <v>118</v>
      </c>
      <c r="G571" t="s">
        <v>95</v>
      </c>
      <c r="H571" t="s">
        <v>63</v>
      </c>
      <c r="I571" t="s">
        <v>64</v>
      </c>
      <c r="J571" t="s">
        <v>65</v>
      </c>
      <c r="K571" t="s">
        <v>41</v>
      </c>
      <c r="L571" t="s">
        <v>57</v>
      </c>
      <c r="M571" t="s">
        <v>1805</v>
      </c>
      <c r="N571" t="s">
        <v>59</v>
      </c>
      <c r="O571">
        <v>6</v>
      </c>
      <c r="P571">
        <v>3251.17</v>
      </c>
      <c r="Q571" s="11">
        <v>0.25</v>
      </c>
      <c r="R571">
        <v>14630.26</v>
      </c>
      <c r="S571">
        <v>11906.36</v>
      </c>
      <c r="T571">
        <v>2723.9</v>
      </c>
      <c r="U571" t="s">
        <v>102</v>
      </c>
      <c r="V571" t="s">
        <v>103</v>
      </c>
      <c r="X571" s="8" t="str">
        <f>IF(C571&gt;=B571,"Valid", "Invalid-Date")</f>
        <v>Valid</v>
      </c>
      <c r="Y571" s="8" t="str">
        <f t="shared" si="73"/>
        <v>Valid</v>
      </c>
      <c r="Z571" s="8" t="str">
        <f t="shared" si="74"/>
        <v>Pass</v>
      </c>
      <c r="AA571" s="8" t="str">
        <f t="shared" si="75"/>
        <v>Pass</v>
      </c>
      <c r="AB571" s="8" t="str">
        <f>TEXT(B571,"mmmm")</f>
        <v>August</v>
      </c>
      <c r="AC571" s="8" t="str">
        <f>TEXT(B571,"yyyy")</f>
        <v>2025</v>
      </c>
      <c r="AE571">
        <f t="shared" si="76"/>
        <v>19507.02</v>
      </c>
      <c r="AF571" s="11">
        <f t="shared" si="77"/>
        <v>14630.264999999999</v>
      </c>
      <c r="AG571">
        <f t="shared" si="78"/>
        <v>7600.66</v>
      </c>
      <c r="AH571" s="11">
        <f t="shared" si="79"/>
        <v>0.38963716651748959</v>
      </c>
      <c r="AI571" s="44">
        <f t="shared" si="80"/>
        <v>0.38963716651748959</v>
      </c>
    </row>
    <row r="572" spans="1:35">
      <c r="A572" t="s">
        <v>1806</v>
      </c>
      <c r="B572" s="5">
        <v>45887</v>
      </c>
      <c r="C572" s="5">
        <v>45891</v>
      </c>
      <c r="D572" s="13">
        <f t="shared" si="72"/>
        <v>4</v>
      </c>
      <c r="E572" t="s">
        <v>1807</v>
      </c>
      <c r="F572" t="s">
        <v>53</v>
      </c>
      <c r="G572" t="s">
        <v>24</v>
      </c>
      <c r="H572" t="s">
        <v>38</v>
      </c>
      <c r="I572" t="s">
        <v>228</v>
      </c>
      <c r="J572" t="s">
        <v>229</v>
      </c>
      <c r="K572" t="s">
        <v>41</v>
      </c>
      <c r="L572" t="s">
        <v>57</v>
      </c>
      <c r="M572" t="s">
        <v>1808</v>
      </c>
      <c r="N572" t="s">
        <v>31</v>
      </c>
      <c r="O572">
        <v>3</v>
      </c>
      <c r="P572">
        <v>3946.44</v>
      </c>
      <c r="Q572" s="11">
        <v>0.25</v>
      </c>
      <c r="R572">
        <v>8879.49</v>
      </c>
      <c r="S572">
        <v>6344.57</v>
      </c>
      <c r="T572">
        <v>2534.92</v>
      </c>
      <c r="U572" t="s">
        <v>155</v>
      </c>
      <c r="V572" t="s">
        <v>103</v>
      </c>
      <c r="X572" s="8" t="str">
        <f>IF(C572&gt;=B572,"Valid", "Invalid-Date")</f>
        <v>Valid</v>
      </c>
      <c r="Y572" s="8" t="str">
        <f t="shared" si="73"/>
        <v>Valid</v>
      </c>
      <c r="Z572" s="8" t="str">
        <f t="shared" si="74"/>
        <v>Pass</v>
      </c>
      <c r="AA572" s="8" t="str">
        <f t="shared" si="75"/>
        <v>Pass</v>
      </c>
      <c r="AB572" s="8" t="str">
        <f>TEXT(B572,"mmmm")</f>
        <v>August</v>
      </c>
      <c r="AC572" s="8" t="str">
        <f>TEXT(B572,"yyyy")</f>
        <v>2025</v>
      </c>
      <c r="AE572">
        <f t="shared" si="76"/>
        <v>11839.32</v>
      </c>
      <c r="AF572" s="11">
        <f t="shared" si="77"/>
        <v>8879.49</v>
      </c>
      <c r="AG572">
        <f t="shared" si="78"/>
        <v>5494.75</v>
      </c>
      <c r="AH572" s="11">
        <f t="shared" si="79"/>
        <v>0.46411026984657905</v>
      </c>
      <c r="AI572" s="44">
        <f t="shared" si="80"/>
        <v>0.46411026984657905</v>
      </c>
    </row>
    <row r="573" spans="1:35" s="15" customFormat="1">
      <c r="A573" s="15" t="s">
        <v>1809</v>
      </c>
      <c r="B573" s="16">
        <v>45698</v>
      </c>
      <c r="C573" s="16">
        <v>45702</v>
      </c>
      <c r="D573" s="17">
        <f t="shared" si="72"/>
        <v>4</v>
      </c>
      <c r="E573" s="15" t="s">
        <v>1810</v>
      </c>
      <c r="F573" s="15" t="s">
        <v>114</v>
      </c>
      <c r="G573" s="15" t="s">
        <v>37</v>
      </c>
      <c r="H573" s="15" t="s">
        <v>25</v>
      </c>
      <c r="I573" s="15" t="s">
        <v>136</v>
      </c>
      <c r="J573" s="15" t="s">
        <v>137</v>
      </c>
      <c r="K573" s="15" t="s">
        <v>74</v>
      </c>
      <c r="L573" s="15" t="s">
        <v>171</v>
      </c>
      <c r="M573" s="15" t="s">
        <v>1811</v>
      </c>
      <c r="N573" s="15" t="s">
        <v>2785</v>
      </c>
      <c r="O573" s="15">
        <v>5</v>
      </c>
      <c r="P573" s="15">
        <v>4276.29</v>
      </c>
      <c r="Q573" s="18">
        <v>0</v>
      </c>
      <c r="R573" s="15">
        <v>21381.45</v>
      </c>
      <c r="S573" s="15">
        <v>13240.21</v>
      </c>
      <c r="T573" s="15">
        <v>8141.24</v>
      </c>
      <c r="U573" s="15" t="s">
        <v>155</v>
      </c>
      <c r="V573" s="15" t="s">
        <v>103</v>
      </c>
      <c r="W573" s="25"/>
      <c r="X573" s="8" t="str">
        <f>IF(C573&gt;=B573,"Valid", "Invalid-Date")</f>
        <v>Valid</v>
      </c>
      <c r="Y573" s="8" t="str">
        <f t="shared" si="73"/>
        <v>Valid</v>
      </c>
      <c r="Z573" s="19" t="str">
        <f t="shared" si="74"/>
        <v>Flagged</v>
      </c>
      <c r="AA573" s="19" t="str">
        <f t="shared" si="75"/>
        <v>Pass</v>
      </c>
      <c r="AB573" s="19" t="str">
        <f>TEXT(B573,"mmmm")</f>
        <v>February</v>
      </c>
      <c r="AC573" s="19" t="str">
        <f>TEXT(B573,"yyyy")</f>
        <v>2025</v>
      </c>
      <c r="AD573" s="20"/>
      <c r="AE573" s="15">
        <f t="shared" si="76"/>
        <v>21381.45</v>
      </c>
      <c r="AF573" s="11">
        <f t="shared" si="77"/>
        <v>21381.45</v>
      </c>
      <c r="AG573" s="15">
        <f t="shared" si="78"/>
        <v>8141.2400000000016</v>
      </c>
      <c r="AH573" s="18">
        <f t="shared" si="79"/>
        <v>0.38076182859441249</v>
      </c>
      <c r="AI573" s="45">
        <f t="shared" si="80"/>
        <v>0.38076182859441249</v>
      </c>
    </row>
    <row r="574" spans="1:35">
      <c r="A574" t="s">
        <v>1812</v>
      </c>
      <c r="B574" s="5">
        <v>45323</v>
      </c>
      <c r="C574" s="5">
        <v>45300</v>
      </c>
      <c r="D574" s="13">
        <f t="shared" si="72"/>
        <v>-23</v>
      </c>
      <c r="E574" t="s">
        <v>1813</v>
      </c>
      <c r="F574" t="s">
        <v>162</v>
      </c>
      <c r="G574" t="s">
        <v>90</v>
      </c>
      <c r="H574" t="s">
        <v>25</v>
      </c>
      <c r="I574" t="s">
        <v>350</v>
      </c>
      <c r="J574" t="s">
        <v>351</v>
      </c>
      <c r="K574" t="s">
        <v>74</v>
      </c>
      <c r="L574" t="s">
        <v>171</v>
      </c>
      <c r="M574" t="s">
        <v>1814</v>
      </c>
      <c r="N574" t="s">
        <v>59</v>
      </c>
      <c r="O574">
        <v>3</v>
      </c>
      <c r="P574">
        <v>739.56</v>
      </c>
      <c r="Q574" s="11">
        <v>0.2</v>
      </c>
      <c r="R574">
        <v>1774.94</v>
      </c>
      <c r="S574">
        <v>1007.4</v>
      </c>
      <c r="T574">
        <v>767.54</v>
      </c>
      <c r="U574" t="s">
        <v>32</v>
      </c>
      <c r="V574" t="s">
        <v>33</v>
      </c>
      <c r="X574" s="8" t="str">
        <f>IF(C574&gt;=B574,"Valid", "Invalid-Date")</f>
        <v>Invalid-Date</v>
      </c>
      <c r="Y574" s="8" t="str">
        <f t="shared" si="73"/>
        <v>Valid</v>
      </c>
      <c r="Z574" s="8" t="str">
        <f t="shared" si="74"/>
        <v>Pass</v>
      </c>
      <c r="AA574" s="8" t="str">
        <f t="shared" si="75"/>
        <v>Pass</v>
      </c>
      <c r="AB574" s="8" t="str">
        <f>TEXT(B574,"mmmm")</f>
        <v>February</v>
      </c>
      <c r="AC574" s="8" t="str">
        <f>TEXT(B574,"yyyy")</f>
        <v>2024</v>
      </c>
      <c r="AE574">
        <f t="shared" si="76"/>
        <v>2218.6799999999998</v>
      </c>
      <c r="AF574" s="11">
        <f t="shared" si="77"/>
        <v>1774.944</v>
      </c>
      <c r="AG574">
        <f t="shared" si="78"/>
        <v>1211.2799999999997</v>
      </c>
      <c r="AH574" s="11">
        <f t="shared" si="79"/>
        <v>0.54594623830385625</v>
      </c>
      <c r="AI574" s="44">
        <f t="shared" si="80"/>
        <v>0.54594623830385625</v>
      </c>
    </row>
    <row r="575" spans="1:35">
      <c r="A575" t="s">
        <v>1815</v>
      </c>
      <c r="B575" s="5">
        <v>45922</v>
      </c>
      <c r="C575" s="5">
        <v>45926</v>
      </c>
      <c r="D575" s="13">
        <f t="shared" si="72"/>
        <v>4</v>
      </c>
      <c r="E575" t="s">
        <v>1816</v>
      </c>
      <c r="F575" t="s">
        <v>47</v>
      </c>
      <c r="G575" t="s">
        <v>24</v>
      </c>
      <c r="H575" t="s">
        <v>54</v>
      </c>
      <c r="I575" t="s">
        <v>84</v>
      </c>
      <c r="J575" t="s">
        <v>85</v>
      </c>
      <c r="K575" t="s">
        <v>74</v>
      </c>
      <c r="L575" t="s">
        <v>171</v>
      </c>
      <c r="M575" t="s">
        <v>1817</v>
      </c>
      <c r="N575" t="s">
        <v>59</v>
      </c>
      <c r="O575">
        <v>1</v>
      </c>
      <c r="P575">
        <v>573.65</v>
      </c>
      <c r="Q575" s="11">
        <v>0</v>
      </c>
      <c r="R575">
        <v>573.65</v>
      </c>
      <c r="S575">
        <v>322.67</v>
      </c>
      <c r="T575">
        <v>250.98</v>
      </c>
      <c r="U575" t="s">
        <v>32</v>
      </c>
      <c r="V575" t="s">
        <v>33</v>
      </c>
      <c r="X575" s="8" t="str">
        <f>IF(C575&gt;=B575,"Valid", "Invalid-Date")</f>
        <v>Valid</v>
      </c>
      <c r="Y575" s="8" t="str">
        <f t="shared" si="73"/>
        <v>Valid</v>
      </c>
      <c r="Z575" s="8" t="str">
        <f t="shared" si="74"/>
        <v>Pass</v>
      </c>
      <c r="AA575" s="8" t="str">
        <f t="shared" si="75"/>
        <v>Pass</v>
      </c>
      <c r="AB575" s="8" t="str">
        <f>TEXT(B575,"mmmm")</f>
        <v>September</v>
      </c>
      <c r="AC575" s="8" t="str">
        <f>TEXT(B575,"yyyy")</f>
        <v>2025</v>
      </c>
      <c r="AE575">
        <f t="shared" si="76"/>
        <v>573.65</v>
      </c>
      <c r="AF575" s="11">
        <f t="shared" si="77"/>
        <v>573.65</v>
      </c>
      <c r="AG575">
        <f t="shared" si="78"/>
        <v>250.97999999999996</v>
      </c>
      <c r="AH575" s="11">
        <f t="shared" si="79"/>
        <v>0.43751416368866031</v>
      </c>
      <c r="AI575" s="44">
        <f t="shared" si="80"/>
        <v>0.43751416368866031</v>
      </c>
    </row>
    <row r="576" spans="1:35">
      <c r="A576" t="s">
        <v>1818</v>
      </c>
      <c r="B576" s="5">
        <v>45342</v>
      </c>
      <c r="C576" s="5">
        <v>45347</v>
      </c>
      <c r="D576" s="13">
        <f t="shared" si="72"/>
        <v>5</v>
      </c>
      <c r="E576" t="s">
        <v>801</v>
      </c>
      <c r="F576" t="s">
        <v>162</v>
      </c>
      <c r="G576" t="s">
        <v>95</v>
      </c>
      <c r="H576" t="s">
        <v>25</v>
      </c>
      <c r="I576" t="s">
        <v>122</v>
      </c>
      <c r="J576" t="s">
        <v>123</v>
      </c>
      <c r="K576" t="s">
        <v>74</v>
      </c>
      <c r="L576" t="s">
        <v>274</v>
      </c>
      <c r="M576" t="s">
        <v>1819</v>
      </c>
      <c r="N576" t="s">
        <v>59</v>
      </c>
      <c r="O576">
        <v>4</v>
      </c>
      <c r="P576">
        <v>1355.8</v>
      </c>
      <c r="Q576" s="11">
        <v>0</v>
      </c>
      <c r="R576">
        <v>5423.2</v>
      </c>
      <c r="S576">
        <v>4072.44</v>
      </c>
      <c r="T576">
        <v>1350.76</v>
      </c>
      <c r="U576" t="s">
        <v>32</v>
      </c>
      <c r="V576" t="s">
        <v>33</v>
      </c>
      <c r="X576" s="8" t="str">
        <f>IF(C576&gt;=B576,"Valid", "Invalid-Date")</f>
        <v>Valid</v>
      </c>
      <c r="Y576" s="8" t="str">
        <f t="shared" si="73"/>
        <v>Valid</v>
      </c>
      <c r="Z576" s="8" t="str">
        <f t="shared" si="74"/>
        <v>Pass</v>
      </c>
      <c r="AA576" s="8" t="str">
        <f t="shared" si="75"/>
        <v>Pass</v>
      </c>
      <c r="AB576" s="8" t="str">
        <f>TEXT(B576,"mmmm")</f>
        <v>February</v>
      </c>
      <c r="AC576" s="8" t="str">
        <f>TEXT(B576,"yyyy")</f>
        <v>2024</v>
      </c>
      <c r="AE576">
        <f t="shared" si="76"/>
        <v>5423.2</v>
      </c>
      <c r="AF576" s="11">
        <f t="shared" si="77"/>
        <v>5423.2</v>
      </c>
      <c r="AG576">
        <f t="shared" si="78"/>
        <v>1350.7599999999998</v>
      </c>
      <c r="AH576" s="11">
        <f t="shared" si="79"/>
        <v>0.24907065938929043</v>
      </c>
      <c r="AI576" s="44">
        <f t="shared" si="80"/>
        <v>0.24907065938929043</v>
      </c>
    </row>
    <row r="577" spans="1:35">
      <c r="A577" t="s">
        <v>1820</v>
      </c>
      <c r="B577" s="5">
        <v>45727</v>
      </c>
      <c r="C577" s="5">
        <v>45730</v>
      </c>
      <c r="D577" s="13">
        <f t="shared" si="72"/>
        <v>3</v>
      </c>
      <c r="E577" t="s">
        <v>1821</v>
      </c>
      <c r="F577" t="s">
        <v>132</v>
      </c>
      <c r="G577" t="s">
        <v>95</v>
      </c>
      <c r="H577" t="s">
        <v>54</v>
      </c>
      <c r="I577" t="s">
        <v>185</v>
      </c>
      <c r="J577" t="s">
        <v>186</v>
      </c>
      <c r="K577" t="s">
        <v>41</v>
      </c>
      <c r="L577" t="s">
        <v>57</v>
      </c>
      <c r="M577" t="s">
        <v>1822</v>
      </c>
      <c r="N577" t="s">
        <v>44</v>
      </c>
      <c r="O577">
        <v>4</v>
      </c>
      <c r="P577">
        <v>1244.82</v>
      </c>
      <c r="Q577" s="11">
        <v>0.2</v>
      </c>
      <c r="R577">
        <v>3983.42</v>
      </c>
      <c r="S577">
        <v>3174.91</v>
      </c>
      <c r="T577">
        <v>808.51</v>
      </c>
      <c r="U577" t="s">
        <v>155</v>
      </c>
      <c r="V577" t="s">
        <v>103</v>
      </c>
      <c r="X577" s="8" t="str">
        <f>IF(C577&gt;=B577,"Valid", "Invalid-Date")</f>
        <v>Valid</v>
      </c>
      <c r="Y577" s="8" t="str">
        <f t="shared" si="73"/>
        <v>Valid</v>
      </c>
      <c r="Z577" s="8" t="str">
        <f t="shared" si="74"/>
        <v>Pass</v>
      </c>
      <c r="AA577" s="8" t="str">
        <f t="shared" si="75"/>
        <v>Pass</v>
      </c>
      <c r="AB577" s="8" t="str">
        <f>TEXT(B577,"mmmm")</f>
        <v>March</v>
      </c>
      <c r="AC577" s="8" t="str">
        <f>TEXT(B577,"yyyy")</f>
        <v>2025</v>
      </c>
      <c r="AE577">
        <f t="shared" si="76"/>
        <v>4979.28</v>
      </c>
      <c r="AF577" s="11">
        <f t="shared" si="77"/>
        <v>3983.424</v>
      </c>
      <c r="AG577">
        <f t="shared" si="78"/>
        <v>1804.37</v>
      </c>
      <c r="AH577" s="11">
        <f t="shared" si="79"/>
        <v>0.36237568483796856</v>
      </c>
      <c r="AI577" s="44">
        <f t="shared" si="80"/>
        <v>0.36237568483796856</v>
      </c>
    </row>
    <row r="578" spans="1:35">
      <c r="A578" t="s">
        <v>1823</v>
      </c>
      <c r="B578" s="5">
        <v>45339</v>
      </c>
      <c r="C578" s="5">
        <v>45345</v>
      </c>
      <c r="D578" s="13">
        <f t="shared" si="72"/>
        <v>6</v>
      </c>
      <c r="E578" t="s">
        <v>1824</v>
      </c>
      <c r="F578" t="s">
        <v>141</v>
      </c>
      <c r="G578" t="s">
        <v>95</v>
      </c>
      <c r="H578" t="s">
        <v>2785</v>
      </c>
      <c r="I578" t="s">
        <v>145</v>
      </c>
      <c r="J578" t="s">
        <v>146</v>
      </c>
      <c r="K578" t="s">
        <v>28</v>
      </c>
      <c r="L578" t="s">
        <v>153</v>
      </c>
      <c r="M578" t="s">
        <v>1825</v>
      </c>
      <c r="N578" t="s">
        <v>59</v>
      </c>
      <c r="O578">
        <v>9</v>
      </c>
      <c r="P578">
        <v>2614.46</v>
      </c>
      <c r="Q578" s="11">
        <v>0</v>
      </c>
      <c r="R578">
        <v>23530.14</v>
      </c>
      <c r="S578">
        <v>19537.79</v>
      </c>
      <c r="T578">
        <v>3992.35</v>
      </c>
      <c r="U578" t="s">
        <v>102</v>
      </c>
      <c r="V578" t="s">
        <v>103</v>
      </c>
      <c r="X578" s="8" t="str">
        <f>IF(C578&gt;=B578,"Valid", "Invalid-Date")</f>
        <v>Valid</v>
      </c>
      <c r="Y578" s="8" t="str">
        <f t="shared" si="73"/>
        <v>Valid</v>
      </c>
      <c r="Z578" s="8" t="str">
        <f t="shared" si="74"/>
        <v>Pass</v>
      </c>
      <c r="AA578" s="8" t="str">
        <f t="shared" si="75"/>
        <v>Flagged</v>
      </c>
      <c r="AB578" s="8" t="str">
        <f>TEXT(B578,"mmmm")</f>
        <v>February</v>
      </c>
      <c r="AC578" s="8" t="str">
        <f>TEXT(B578,"yyyy")</f>
        <v>2024</v>
      </c>
      <c r="AE578">
        <f t="shared" si="76"/>
        <v>23530.14</v>
      </c>
      <c r="AF578" s="11">
        <f t="shared" si="77"/>
        <v>23530.14</v>
      </c>
      <c r="AG578">
        <f t="shared" si="78"/>
        <v>3992.3499999999985</v>
      </c>
      <c r="AH578" s="11">
        <f t="shared" si="79"/>
        <v>0.16966962372514566</v>
      </c>
      <c r="AI578" s="44">
        <f t="shared" si="80"/>
        <v>0.16966962372514566</v>
      </c>
    </row>
    <row r="579" spans="1:35">
      <c r="A579" t="s">
        <v>1826</v>
      </c>
      <c r="B579" s="5">
        <v>45897</v>
      </c>
      <c r="C579" s="5">
        <v>45725</v>
      </c>
      <c r="D579" s="13">
        <f t="shared" ref="D579:D642" si="81">C579-B579</f>
        <v>-172</v>
      </c>
      <c r="E579" t="s">
        <v>1827</v>
      </c>
      <c r="F579" t="s">
        <v>114</v>
      </c>
      <c r="G579" t="s">
        <v>90</v>
      </c>
      <c r="H579" t="s">
        <v>63</v>
      </c>
      <c r="I579" t="s">
        <v>72</v>
      </c>
      <c r="J579" t="s">
        <v>73</v>
      </c>
      <c r="K579" t="s">
        <v>41</v>
      </c>
      <c r="L579" t="s">
        <v>57</v>
      </c>
      <c r="M579" t="s">
        <v>1828</v>
      </c>
      <c r="N579" t="s">
        <v>59</v>
      </c>
      <c r="O579">
        <v>7</v>
      </c>
      <c r="P579">
        <v>268.45</v>
      </c>
      <c r="Q579" s="11">
        <v>0</v>
      </c>
      <c r="R579">
        <v>1879.15</v>
      </c>
      <c r="S579">
        <v>1134.9000000000001</v>
      </c>
      <c r="T579">
        <v>744.25</v>
      </c>
      <c r="U579" t="s">
        <v>32</v>
      </c>
      <c r="V579" t="s">
        <v>33</v>
      </c>
      <c r="X579" s="8" t="str">
        <f>IF(C579&gt;=B579,"Valid", "Invalid-Date")</f>
        <v>Invalid-Date</v>
      </c>
      <c r="Y579" s="8" t="str">
        <f t="shared" ref="Y579:Y642" si="82">IF(OR(Q579&lt;0, Q579&gt;0.5), "Invalid-Discount", "Valid")</f>
        <v>Valid</v>
      </c>
      <c r="Z579" s="8" t="str">
        <f t="shared" ref="Z579:Z642" si="83">IF(N579="Unknown","Flagged","Pass")</f>
        <v>Pass</v>
      </c>
      <c r="AA579" s="8" t="str">
        <f t="shared" ref="AA579:AA642" si="84">IF(H579="Unknown","Flagged","Pass")</f>
        <v>Pass</v>
      </c>
      <c r="AB579" s="8" t="str">
        <f>TEXT(B579,"mmmm")</f>
        <v>August</v>
      </c>
      <c r="AC579" s="8" t="str">
        <f>TEXT(B579,"yyyy")</f>
        <v>2025</v>
      </c>
      <c r="AE579">
        <f t="shared" ref="AE579:AE642" si="85">O579*P579</f>
        <v>1879.1499999999999</v>
      </c>
      <c r="AF579" s="11">
        <f t="shared" ref="AF579:AF642" si="86">AE579*(1-Q579)</f>
        <v>1879.1499999999999</v>
      </c>
      <c r="AG579">
        <f t="shared" ref="AG579:AG642" si="87">AE579-S579</f>
        <v>744.24999999999977</v>
      </c>
      <c r="AH579" s="11">
        <f t="shared" ref="AH579:AH642" si="88">AG579/AE579</f>
        <v>0.39605672777585599</v>
      </c>
      <c r="AI579" s="44">
        <f t="shared" ref="AI579:AI642" si="89">AG579/AE579</f>
        <v>0.39605672777585599</v>
      </c>
    </row>
    <row r="580" spans="1:35">
      <c r="A580" t="s">
        <v>1829</v>
      </c>
      <c r="B580" s="5">
        <v>45343</v>
      </c>
      <c r="C580" s="5">
        <v>45345</v>
      </c>
      <c r="D580" s="13">
        <f t="shared" si="81"/>
        <v>2</v>
      </c>
      <c r="E580" t="s">
        <v>295</v>
      </c>
      <c r="F580" t="s">
        <v>79</v>
      </c>
      <c r="G580" t="s">
        <v>37</v>
      </c>
      <c r="H580" t="s">
        <v>63</v>
      </c>
      <c r="I580" t="s">
        <v>180</v>
      </c>
      <c r="J580" t="s">
        <v>181</v>
      </c>
      <c r="K580" t="s">
        <v>74</v>
      </c>
      <c r="L580" t="s">
        <v>80</v>
      </c>
      <c r="M580" t="s">
        <v>1830</v>
      </c>
      <c r="N580" t="s">
        <v>50</v>
      </c>
      <c r="O580">
        <v>6</v>
      </c>
      <c r="P580">
        <v>2633.65</v>
      </c>
      <c r="Q580" s="11">
        <v>0.05</v>
      </c>
      <c r="R580">
        <v>15011.81</v>
      </c>
      <c r="S580">
        <v>9660.36</v>
      </c>
      <c r="T580">
        <v>5351.45</v>
      </c>
      <c r="U580" t="s">
        <v>32</v>
      </c>
      <c r="V580" t="s">
        <v>33</v>
      </c>
      <c r="X580" s="8" t="str">
        <f>IF(C580&gt;=B580,"Valid", "Invalid-Date")</f>
        <v>Valid</v>
      </c>
      <c r="Y580" s="8" t="str">
        <f t="shared" si="82"/>
        <v>Valid</v>
      </c>
      <c r="Z580" s="8" t="str">
        <f t="shared" si="83"/>
        <v>Pass</v>
      </c>
      <c r="AA580" s="8" t="str">
        <f t="shared" si="84"/>
        <v>Pass</v>
      </c>
      <c r="AB580" s="8" t="str">
        <f>TEXT(B580,"mmmm")</f>
        <v>February</v>
      </c>
      <c r="AC580" s="8" t="str">
        <f>TEXT(B580,"yyyy")</f>
        <v>2024</v>
      </c>
      <c r="AE580">
        <f t="shared" si="85"/>
        <v>15801.900000000001</v>
      </c>
      <c r="AF580" s="11">
        <f t="shared" si="86"/>
        <v>15011.805</v>
      </c>
      <c r="AG580">
        <f t="shared" si="87"/>
        <v>6141.5400000000009</v>
      </c>
      <c r="AH580" s="11">
        <f t="shared" si="88"/>
        <v>0.3886583258975187</v>
      </c>
      <c r="AI580" s="44">
        <f t="shared" si="89"/>
        <v>0.3886583258975187</v>
      </c>
    </row>
    <row r="581" spans="1:35">
      <c r="A581" t="s">
        <v>1831</v>
      </c>
      <c r="B581" s="5">
        <v>45462</v>
      </c>
      <c r="C581" s="5">
        <v>45467</v>
      </c>
      <c r="D581" s="13">
        <f t="shared" si="81"/>
        <v>5</v>
      </c>
      <c r="E581" t="s">
        <v>1832</v>
      </c>
      <c r="F581" t="s">
        <v>128</v>
      </c>
      <c r="G581" t="s">
        <v>37</v>
      </c>
      <c r="H581" t="s">
        <v>54</v>
      </c>
      <c r="I581" t="s">
        <v>247</v>
      </c>
      <c r="J581" t="s">
        <v>248</v>
      </c>
      <c r="K581" t="s">
        <v>28</v>
      </c>
      <c r="L581" t="s">
        <v>124</v>
      </c>
      <c r="M581" t="s">
        <v>1833</v>
      </c>
      <c r="N581" t="s">
        <v>44</v>
      </c>
      <c r="O581">
        <v>1</v>
      </c>
      <c r="P581">
        <v>3202.41</v>
      </c>
      <c r="Q581" s="11">
        <v>0</v>
      </c>
      <c r="R581">
        <v>3202.41</v>
      </c>
      <c r="S581">
        <v>2608.44</v>
      </c>
      <c r="T581">
        <v>593.97</v>
      </c>
      <c r="U581" t="s">
        <v>32</v>
      </c>
      <c r="V581" t="s">
        <v>33</v>
      </c>
      <c r="X581" s="8" t="str">
        <f>IF(C581&gt;=B581,"Valid", "Invalid-Date")</f>
        <v>Valid</v>
      </c>
      <c r="Y581" s="8" t="str">
        <f t="shared" si="82"/>
        <v>Valid</v>
      </c>
      <c r="Z581" s="8" t="str">
        <f t="shared" si="83"/>
        <v>Pass</v>
      </c>
      <c r="AA581" s="8" t="str">
        <f t="shared" si="84"/>
        <v>Pass</v>
      </c>
      <c r="AB581" s="8" t="str">
        <f>TEXT(B581,"mmmm")</f>
        <v>June</v>
      </c>
      <c r="AC581" s="8" t="str">
        <f>TEXT(B581,"yyyy")</f>
        <v>2024</v>
      </c>
      <c r="AE581">
        <f t="shared" si="85"/>
        <v>3202.41</v>
      </c>
      <c r="AF581" s="11">
        <f t="shared" si="86"/>
        <v>3202.41</v>
      </c>
      <c r="AG581">
        <f t="shared" si="87"/>
        <v>593.9699999999998</v>
      </c>
      <c r="AH581" s="11">
        <f t="shared" si="88"/>
        <v>0.18547593843386695</v>
      </c>
      <c r="AI581" s="44">
        <f t="shared" si="89"/>
        <v>0.18547593843386695</v>
      </c>
    </row>
    <row r="582" spans="1:35">
      <c r="A582" t="s">
        <v>1834</v>
      </c>
      <c r="B582" s="5">
        <v>45722</v>
      </c>
      <c r="C582" s="5">
        <v>45729</v>
      </c>
      <c r="D582" s="13">
        <f t="shared" si="81"/>
        <v>7</v>
      </c>
      <c r="E582" t="s">
        <v>1835</v>
      </c>
      <c r="F582" t="s">
        <v>264</v>
      </c>
      <c r="G582" t="s">
        <v>24</v>
      </c>
      <c r="H582" t="s">
        <v>54</v>
      </c>
      <c r="I582" t="s">
        <v>185</v>
      </c>
      <c r="J582" t="s">
        <v>186</v>
      </c>
      <c r="K582" t="s">
        <v>41</v>
      </c>
      <c r="L582" t="s">
        <v>66</v>
      </c>
      <c r="M582" t="s">
        <v>1836</v>
      </c>
      <c r="N582" t="s">
        <v>59</v>
      </c>
      <c r="O582">
        <v>3</v>
      </c>
      <c r="P582">
        <v>163.72</v>
      </c>
      <c r="Q582" s="11">
        <v>0.15</v>
      </c>
      <c r="R582">
        <v>417.49</v>
      </c>
      <c r="S582">
        <v>261.67</v>
      </c>
      <c r="T582">
        <v>155.82</v>
      </c>
      <c r="U582" t="s">
        <v>155</v>
      </c>
      <c r="V582" t="s">
        <v>103</v>
      </c>
      <c r="X582" s="8" t="str">
        <f>IF(C582&gt;=B582,"Valid", "Invalid-Date")</f>
        <v>Valid</v>
      </c>
      <c r="Y582" s="8" t="str">
        <f t="shared" si="82"/>
        <v>Valid</v>
      </c>
      <c r="Z582" s="8" t="str">
        <f t="shared" si="83"/>
        <v>Pass</v>
      </c>
      <c r="AA582" s="8" t="str">
        <f t="shared" si="84"/>
        <v>Pass</v>
      </c>
      <c r="AB582" s="8" t="str">
        <f>TEXT(B582,"mmmm")</f>
        <v>March</v>
      </c>
      <c r="AC582" s="8" t="str">
        <f>TEXT(B582,"yyyy")</f>
        <v>2025</v>
      </c>
      <c r="AE582">
        <f t="shared" si="85"/>
        <v>491.15999999999997</v>
      </c>
      <c r="AF582" s="11">
        <f t="shared" si="86"/>
        <v>417.48599999999999</v>
      </c>
      <c r="AG582">
        <f t="shared" si="87"/>
        <v>229.48999999999995</v>
      </c>
      <c r="AH582" s="11">
        <f t="shared" si="88"/>
        <v>0.46724081765616088</v>
      </c>
      <c r="AI582" s="44">
        <f t="shared" si="89"/>
        <v>0.46724081765616088</v>
      </c>
    </row>
    <row r="583" spans="1:35">
      <c r="A583" t="s">
        <v>1837</v>
      </c>
      <c r="B583" s="5">
        <v>45878</v>
      </c>
      <c r="C583" s="5">
        <v>45938</v>
      </c>
      <c r="D583" s="13">
        <f t="shared" si="81"/>
        <v>60</v>
      </c>
      <c r="E583" t="s">
        <v>1838</v>
      </c>
      <c r="F583" t="s">
        <v>79</v>
      </c>
      <c r="G583" t="s">
        <v>24</v>
      </c>
      <c r="H583" t="s">
        <v>25</v>
      </c>
      <c r="I583" t="s">
        <v>350</v>
      </c>
      <c r="J583" t="s">
        <v>351</v>
      </c>
      <c r="K583" t="s">
        <v>28</v>
      </c>
      <c r="L583" t="s">
        <v>48</v>
      </c>
      <c r="M583" t="s">
        <v>1839</v>
      </c>
      <c r="N583" t="s">
        <v>31</v>
      </c>
      <c r="O583">
        <v>4</v>
      </c>
      <c r="P583">
        <v>4080.95</v>
      </c>
      <c r="Q583" s="11">
        <v>0</v>
      </c>
      <c r="R583">
        <v>16323.8</v>
      </c>
      <c r="S583">
        <v>9965.7900000000009</v>
      </c>
      <c r="T583">
        <v>6358.01</v>
      </c>
      <c r="U583" t="s">
        <v>102</v>
      </c>
      <c r="V583" t="s">
        <v>103</v>
      </c>
      <c r="X583" s="8" t="str">
        <f>IF(C583&gt;=B583,"Valid", "Invalid-Date")</f>
        <v>Valid</v>
      </c>
      <c r="Y583" s="8" t="str">
        <f t="shared" si="82"/>
        <v>Valid</v>
      </c>
      <c r="Z583" s="8" t="str">
        <f t="shared" si="83"/>
        <v>Pass</v>
      </c>
      <c r="AA583" s="8" t="str">
        <f t="shared" si="84"/>
        <v>Pass</v>
      </c>
      <c r="AB583" s="8" t="str">
        <f>TEXT(B583,"mmmm")</f>
        <v>August</v>
      </c>
      <c r="AC583" s="8" t="str">
        <f>TEXT(B583,"yyyy")</f>
        <v>2025</v>
      </c>
      <c r="AE583">
        <f t="shared" si="85"/>
        <v>16323.8</v>
      </c>
      <c r="AF583" s="11">
        <f t="shared" si="86"/>
        <v>16323.8</v>
      </c>
      <c r="AG583">
        <f t="shared" si="87"/>
        <v>6358.0099999999984</v>
      </c>
      <c r="AH583" s="11">
        <f t="shared" si="88"/>
        <v>0.38949325524693995</v>
      </c>
      <c r="AI583" s="44">
        <f t="shared" si="89"/>
        <v>0.38949325524693995</v>
      </c>
    </row>
    <row r="584" spans="1:35">
      <c r="A584" t="s">
        <v>1840</v>
      </c>
      <c r="B584" s="5">
        <v>45580</v>
      </c>
      <c r="C584" s="5">
        <v>45585</v>
      </c>
      <c r="D584" s="13">
        <f t="shared" si="81"/>
        <v>5</v>
      </c>
      <c r="E584" t="s">
        <v>1841</v>
      </c>
      <c r="F584" t="s">
        <v>62</v>
      </c>
      <c r="G584" t="s">
        <v>24</v>
      </c>
      <c r="H584" t="s">
        <v>38</v>
      </c>
      <c r="I584" t="s">
        <v>39</v>
      </c>
      <c r="J584" t="s">
        <v>40</v>
      </c>
      <c r="K584" t="s">
        <v>28</v>
      </c>
      <c r="L584" t="s">
        <v>48</v>
      </c>
      <c r="M584" t="s">
        <v>1842</v>
      </c>
      <c r="N584" t="s">
        <v>50</v>
      </c>
      <c r="O584">
        <v>5</v>
      </c>
      <c r="P584">
        <v>671.24</v>
      </c>
      <c r="Q584" s="11">
        <v>0</v>
      </c>
      <c r="R584">
        <v>3356.2</v>
      </c>
      <c r="S584">
        <v>2205.7199999999998</v>
      </c>
      <c r="T584">
        <v>1150.48</v>
      </c>
      <c r="U584" t="s">
        <v>111</v>
      </c>
      <c r="V584" t="s">
        <v>103</v>
      </c>
      <c r="X584" s="8" t="str">
        <f>IF(C584&gt;=B584,"Valid", "Invalid-Date")</f>
        <v>Valid</v>
      </c>
      <c r="Y584" s="8" t="str">
        <f t="shared" si="82"/>
        <v>Valid</v>
      </c>
      <c r="Z584" s="8" t="str">
        <f t="shared" si="83"/>
        <v>Pass</v>
      </c>
      <c r="AA584" s="8" t="str">
        <f t="shared" si="84"/>
        <v>Pass</v>
      </c>
      <c r="AB584" s="8" t="str">
        <f>TEXT(B584,"mmmm")</f>
        <v>October</v>
      </c>
      <c r="AC584" s="8" t="str">
        <f>TEXT(B584,"yyyy")</f>
        <v>2024</v>
      </c>
      <c r="AE584">
        <f t="shared" si="85"/>
        <v>3356.2</v>
      </c>
      <c r="AF584" s="11">
        <f t="shared" si="86"/>
        <v>3356.2</v>
      </c>
      <c r="AG584">
        <f t="shared" si="87"/>
        <v>1150.48</v>
      </c>
      <c r="AH584" s="11">
        <f t="shared" si="88"/>
        <v>0.34279244383528995</v>
      </c>
      <c r="AI584" s="44">
        <f t="shared" si="89"/>
        <v>0.34279244383528995</v>
      </c>
    </row>
    <row r="585" spans="1:35">
      <c r="A585" t="s">
        <v>1843</v>
      </c>
      <c r="B585" s="5">
        <v>45350</v>
      </c>
      <c r="C585" s="5">
        <v>45350</v>
      </c>
      <c r="D585" s="13">
        <f t="shared" si="81"/>
        <v>0</v>
      </c>
      <c r="E585" t="s">
        <v>1844</v>
      </c>
      <c r="F585" t="s">
        <v>141</v>
      </c>
      <c r="G585" t="s">
        <v>37</v>
      </c>
      <c r="H585" t="s">
        <v>38</v>
      </c>
      <c r="I585" t="s">
        <v>99</v>
      </c>
      <c r="J585" t="s">
        <v>100</v>
      </c>
      <c r="K585" t="s">
        <v>28</v>
      </c>
      <c r="L585" t="s">
        <v>124</v>
      </c>
      <c r="M585" t="s">
        <v>1845</v>
      </c>
      <c r="N585" t="s">
        <v>50</v>
      </c>
      <c r="O585">
        <v>1</v>
      </c>
      <c r="P585">
        <v>2626.84</v>
      </c>
      <c r="Q585" s="11">
        <v>0.2</v>
      </c>
      <c r="R585">
        <v>2101.4699999999998</v>
      </c>
      <c r="S585">
        <v>1217.83</v>
      </c>
      <c r="T585">
        <v>883.64</v>
      </c>
      <c r="U585" t="s">
        <v>155</v>
      </c>
      <c r="V585" t="s">
        <v>103</v>
      </c>
      <c r="X585" s="8" t="str">
        <f>IF(C585&gt;=B585,"Valid", "Invalid-Date")</f>
        <v>Valid</v>
      </c>
      <c r="Y585" s="8" t="str">
        <f t="shared" si="82"/>
        <v>Valid</v>
      </c>
      <c r="Z585" s="8" t="str">
        <f t="shared" si="83"/>
        <v>Pass</v>
      </c>
      <c r="AA585" s="8" t="str">
        <f t="shared" si="84"/>
        <v>Pass</v>
      </c>
      <c r="AB585" s="8" t="str">
        <f>TEXT(B585,"mmmm")</f>
        <v>February</v>
      </c>
      <c r="AC585" s="8" t="str">
        <f>TEXT(B585,"yyyy")</f>
        <v>2024</v>
      </c>
      <c r="AE585">
        <f t="shared" si="85"/>
        <v>2626.84</v>
      </c>
      <c r="AF585" s="11">
        <f t="shared" si="86"/>
        <v>2101.4720000000002</v>
      </c>
      <c r="AG585">
        <f t="shared" si="87"/>
        <v>1409.0100000000002</v>
      </c>
      <c r="AH585" s="11">
        <f t="shared" si="88"/>
        <v>0.53638973062691297</v>
      </c>
      <c r="AI585" s="44">
        <f t="shared" si="89"/>
        <v>0.53638973062691297</v>
      </c>
    </row>
    <row r="586" spans="1:35">
      <c r="A586" t="s">
        <v>1846</v>
      </c>
      <c r="B586" s="5">
        <v>45390</v>
      </c>
      <c r="C586" s="5">
        <v>45514</v>
      </c>
      <c r="D586" s="13">
        <f t="shared" si="81"/>
        <v>124</v>
      </c>
      <c r="E586" t="s">
        <v>1847</v>
      </c>
      <c r="F586" t="s">
        <v>71</v>
      </c>
      <c r="G586" t="s">
        <v>24</v>
      </c>
      <c r="H586" t="s">
        <v>38</v>
      </c>
      <c r="I586" t="s">
        <v>145</v>
      </c>
      <c r="J586" t="s">
        <v>146</v>
      </c>
      <c r="K586" t="s">
        <v>28</v>
      </c>
      <c r="L586" t="s">
        <v>48</v>
      </c>
      <c r="M586" t="s">
        <v>1848</v>
      </c>
      <c r="N586" t="s">
        <v>44</v>
      </c>
      <c r="O586">
        <v>1</v>
      </c>
      <c r="P586">
        <v>984.93</v>
      </c>
      <c r="Q586" s="11">
        <v>0.15</v>
      </c>
      <c r="R586">
        <v>837.19</v>
      </c>
      <c r="S586">
        <v>583.79</v>
      </c>
      <c r="T586">
        <v>253.4</v>
      </c>
      <c r="U586" t="s">
        <v>111</v>
      </c>
      <c r="V586" t="s">
        <v>103</v>
      </c>
      <c r="X586" s="8" t="str">
        <f>IF(C586&gt;=B586,"Valid", "Invalid-Date")</f>
        <v>Valid</v>
      </c>
      <c r="Y586" s="8" t="str">
        <f t="shared" si="82"/>
        <v>Valid</v>
      </c>
      <c r="Z586" s="8" t="str">
        <f t="shared" si="83"/>
        <v>Pass</v>
      </c>
      <c r="AA586" s="8" t="str">
        <f t="shared" si="84"/>
        <v>Pass</v>
      </c>
      <c r="AB586" s="8" t="str">
        <f>TEXT(B586,"mmmm")</f>
        <v>April</v>
      </c>
      <c r="AC586" s="8" t="str">
        <f>TEXT(B586,"yyyy")</f>
        <v>2024</v>
      </c>
      <c r="AE586">
        <f t="shared" si="85"/>
        <v>984.93</v>
      </c>
      <c r="AF586" s="11">
        <f t="shared" si="86"/>
        <v>837.19049999999993</v>
      </c>
      <c r="AG586">
        <f t="shared" si="87"/>
        <v>401.14</v>
      </c>
      <c r="AH586" s="11">
        <f t="shared" si="88"/>
        <v>0.40727767455555219</v>
      </c>
      <c r="AI586" s="44">
        <f t="shared" si="89"/>
        <v>0.40727767455555219</v>
      </c>
    </row>
    <row r="587" spans="1:35">
      <c r="A587" t="s">
        <v>1849</v>
      </c>
      <c r="B587" s="5">
        <v>45830</v>
      </c>
      <c r="C587" s="5">
        <v>45833</v>
      </c>
      <c r="D587" s="13">
        <f t="shared" si="81"/>
        <v>3</v>
      </c>
      <c r="E587" t="s">
        <v>1850</v>
      </c>
      <c r="F587" t="s">
        <v>162</v>
      </c>
      <c r="G587" t="s">
        <v>37</v>
      </c>
      <c r="H587" t="s">
        <v>63</v>
      </c>
      <c r="I587" t="s">
        <v>64</v>
      </c>
      <c r="J587" t="s">
        <v>65</v>
      </c>
      <c r="K587" t="s">
        <v>74</v>
      </c>
      <c r="L587" t="s">
        <v>171</v>
      </c>
      <c r="M587" t="s">
        <v>1851</v>
      </c>
      <c r="N587" t="s">
        <v>50</v>
      </c>
      <c r="O587">
        <v>8</v>
      </c>
      <c r="P587">
        <v>3453.66</v>
      </c>
      <c r="Q587" s="11">
        <v>0</v>
      </c>
      <c r="R587">
        <v>27629.279999999999</v>
      </c>
      <c r="S587">
        <v>22026.48</v>
      </c>
      <c r="T587">
        <v>5602.8</v>
      </c>
      <c r="U587" t="s">
        <v>32</v>
      </c>
      <c r="V587" t="s">
        <v>33</v>
      </c>
      <c r="X587" s="8" t="str">
        <f>IF(C587&gt;=B587,"Valid", "Invalid-Date")</f>
        <v>Valid</v>
      </c>
      <c r="Y587" s="8" t="str">
        <f t="shared" si="82"/>
        <v>Valid</v>
      </c>
      <c r="Z587" s="8" t="str">
        <f t="shared" si="83"/>
        <v>Pass</v>
      </c>
      <c r="AA587" s="8" t="str">
        <f t="shared" si="84"/>
        <v>Pass</v>
      </c>
      <c r="AB587" s="8" t="str">
        <f>TEXT(B587,"mmmm")</f>
        <v>June</v>
      </c>
      <c r="AC587" s="8" t="str">
        <f>TEXT(B587,"yyyy")</f>
        <v>2025</v>
      </c>
      <c r="AE587">
        <f t="shared" si="85"/>
        <v>27629.279999999999</v>
      </c>
      <c r="AF587" s="11">
        <f t="shared" si="86"/>
        <v>27629.279999999999</v>
      </c>
      <c r="AG587">
        <f t="shared" si="87"/>
        <v>5602.7999999999993</v>
      </c>
      <c r="AH587" s="11">
        <f t="shared" si="88"/>
        <v>0.20278487170132553</v>
      </c>
      <c r="AI587" s="44">
        <f t="shared" si="89"/>
        <v>0.20278487170132553</v>
      </c>
    </row>
    <row r="588" spans="1:35">
      <c r="A588" t="s">
        <v>1852</v>
      </c>
      <c r="B588" s="5">
        <v>45759</v>
      </c>
      <c r="C588" s="5">
        <v>45995</v>
      </c>
      <c r="D588" s="13">
        <f t="shared" si="81"/>
        <v>236</v>
      </c>
      <c r="E588" t="s">
        <v>1853</v>
      </c>
      <c r="F588" t="s">
        <v>36</v>
      </c>
      <c r="G588" t="s">
        <v>95</v>
      </c>
      <c r="H588" t="s">
        <v>25</v>
      </c>
      <c r="I588" t="s">
        <v>122</v>
      </c>
      <c r="J588" t="s">
        <v>123</v>
      </c>
      <c r="K588" t="s">
        <v>28</v>
      </c>
      <c r="L588" t="s">
        <v>153</v>
      </c>
      <c r="M588" t="s">
        <v>1854</v>
      </c>
      <c r="N588" t="s">
        <v>31</v>
      </c>
      <c r="O588">
        <v>7</v>
      </c>
      <c r="P588">
        <v>1334.2</v>
      </c>
      <c r="Q588" s="11">
        <v>0.2</v>
      </c>
      <c r="R588">
        <v>7471.52</v>
      </c>
      <c r="S588">
        <v>6184.32</v>
      </c>
      <c r="T588">
        <v>1287.2</v>
      </c>
      <c r="U588" t="s">
        <v>32</v>
      </c>
      <c r="V588" t="s">
        <v>33</v>
      </c>
      <c r="X588" s="8" t="str">
        <f>IF(C588&gt;=B588,"Valid", "Invalid-Date")</f>
        <v>Valid</v>
      </c>
      <c r="Y588" s="8" t="str">
        <f t="shared" si="82"/>
        <v>Valid</v>
      </c>
      <c r="Z588" s="8" t="str">
        <f t="shared" si="83"/>
        <v>Pass</v>
      </c>
      <c r="AA588" s="8" t="str">
        <f t="shared" si="84"/>
        <v>Pass</v>
      </c>
      <c r="AB588" s="8" t="str">
        <f>TEXT(B588,"mmmm")</f>
        <v>April</v>
      </c>
      <c r="AC588" s="8" t="str">
        <f>TEXT(B588,"yyyy")</f>
        <v>2025</v>
      </c>
      <c r="AE588">
        <f t="shared" si="85"/>
        <v>9339.4</v>
      </c>
      <c r="AF588" s="11">
        <f t="shared" si="86"/>
        <v>7471.52</v>
      </c>
      <c r="AG588">
        <f t="shared" si="87"/>
        <v>3155.08</v>
      </c>
      <c r="AH588" s="11">
        <f t="shared" si="88"/>
        <v>0.33782469965950707</v>
      </c>
      <c r="AI588" s="44">
        <f t="shared" si="89"/>
        <v>0.33782469965950707</v>
      </c>
    </row>
    <row r="589" spans="1:35">
      <c r="A589" t="s">
        <v>1855</v>
      </c>
      <c r="B589" s="5">
        <v>45861</v>
      </c>
      <c r="C589" s="5">
        <v>45869</v>
      </c>
      <c r="D589" s="13">
        <f t="shared" si="81"/>
        <v>8</v>
      </c>
      <c r="E589" t="s">
        <v>1856</v>
      </c>
      <c r="F589" t="s">
        <v>264</v>
      </c>
      <c r="G589" t="s">
        <v>95</v>
      </c>
      <c r="H589" t="s">
        <v>63</v>
      </c>
      <c r="I589" t="s">
        <v>72</v>
      </c>
      <c r="J589" t="s">
        <v>73</v>
      </c>
      <c r="K589" t="s">
        <v>74</v>
      </c>
      <c r="L589" t="s">
        <v>75</v>
      </c>
      <c r="M589" t="s">
        <v>1857</v>
      </c>
      <c r="N589" t="s">
        <v>50</v>
      </c>
      <c r="O589">
        <v>1</v>
      </c>
      <c r="P589">
        <v>4253.84</v>
      </c>
      <c r="Q589" s="11">
        <v>0.15</v>
      </c>
      <c r="R589">
        <v>3615.76</v>
      </c>
      <c r="S589">
        <v>2951.52</v>
      </c>
      <c r="T589">
        <v>664.24</v>
      </c>
      <c r="U589" t="s">
        <v>102</v>
      </c>
      <c r="V589" t="s">
        <v>68</v>
      </c>
      <c r="X589" s="8" t="str">
        <f>IF(C589&gt;=B589,"Valid", "Invalid-Date")</f>
        <v>Valid</v>
      </c>
      <c r="Y589" s="8" t="str">
        <f t="shared" si="82"/>
        <v>Valid</v>
      </c>
      <c r="Z589" s="8" t="str">
        <f t="shared" si="83"/>
        <v>Pass</v>
      </c>
      <c r="AA589" s="8" t="str">
        <f t="shared" si="84"/>
        <v>Pass</v>
      </c>
      <c r="AB589" s="8" t="str">
        <f>TEXT(B589,"mmmm")</f>
        <v>July</v>
      </c>
      <c r="AC589" s="8" t="str">
        <f>TEXT(B589,"yyyy")</f>
        <v>2025</v>
      </c>
      <c r="AE589">
        <f t="shared" si="85"/>
        <v>4253.84</v>
      </c>
      <c r="AF589" s="11">
        <f t="shared" si="86"/>
        <v>3615.7640000000001</v>
      </c>
      <c r="AG589">
        <f t="shared" si="87"/>
        <v>1302.3200000000002</v>
      </c>
      <c r="AH589" s="11">
        <f t="shared" si="88"/>
        <v>0.30615161830252197</v>
      </c>
      <c r="AI589" s="44">
        <f t="shared" si="89"/>
        <v>0.30615161830252197</v>
      </c>
    </row>
    <row r="590" spans="1:35">
      <c r="A590" t="s">
        <v>1858</v>
      </c>
      <c r="B590" s="5">
        <v>45727</v>
      </c>
      <c r="C590" s="5">
        <v>45731</v>
      </c>
      <c r="D590" s="13">
        <f t="shared" si="81"/>
        <v>4</v>
      </c>
      <c r="E590" t="s">
        <v>1859</v>
      </c>
      <c r="F590" t="s">
        <v>128</v>
      </c>
      <c r="G590" t="s">
        <v>95</v>
      </c>
      <c r="H590" t="s">
        <v>54</v>
      </c>
      <c r="I590" t="s">
        <v>175</v>
      </c>
      <c r="J590" t="s">
        <v>176</v>
      </c>
      <c r="K590" t="s">
        <v>74</v>
      </c>
      <c r="L590" t="s">
        <v>75</v>
      </c>
      <c r="M590" t="s">
        <v>1860</v>
      </c>
      <c r="N590" t="s">
        <v>31</v>
      </c>
      <c r="O590">
        <v>8</v>
      </c>
      <c r="P590">
        <v>4446.3599999999997</v>
      </c>
      <c r="Q590" s="11">
        <v>0.1</v>
      </c>
      <c r="R590">
        <v>32013.79</v>
      </c>
      <c r="S590">
        <v>20896.88</v>
      </c>
      <c r="T590">
        <v>11116.91</v>
      </c>
      <c r="U590" t="s">
        <v>102</v>
      </c>
      <c r="V590" t="s">
        <v>68</v>
      </c>
      <c r="X590" s="8" t="str">
        <f>IF(C590&gt;=B590,"Valid", "Invalid-Date")</f>
        <v>Valid</v>
      </c>
      <c r="Y590" s="8" t="str">
        <f t="shared" si="82"/>
        <v>Valid</v>
      </c>
      <c r="Z590" s="8" t="str">
        <f t="shared" si="83"/>
        <v>Pass</v>
      </c>
      <c r="AA590" s="8" t="str">
        <f t="shared" si="84"/>
        <v>Pass</v>
      </c>
      <c r="AB590" s="8" t="str">
        <f>TEXT(B590,"mmmm")</f>
        <v>March</v>
      </c>
      <c r="AC590" s="8" t="str">
        <f>TEXT(B590,"yyyy")</f>
        <v>2025</v>
      </c>
      <c r="AE590">
        <f t="shared" si="85"/>
        <v>35570.879999999997</v>
      </c>
      <c r="AF590" s="11">
        <f t="shared" si="86"/>
        <v>32013.791999999998</v>
      </c>
      <c r="AG590">
        <f t="shared" si="87"/>
        <v>14673.999999999996</v>
      </c>
      <c r="AH590" s="11">
        <f t="shared" si="88"/>
        <v>0.41252845023794738</v>
      </c>
      <c r="AI590" s="44">
        <f t="shared" si="89"/>
        <v>0.41252845023794738</v>
      </c>
    </row>
    <row r="591" spans="1:35">
      <c r="A591" t="s">
        <v>1861</v>
      </c>
      <c r="B591" s="5">
        <v>45632</v>
      </c>
      <c r="C591" s="5">
        <v>45638</v>
      </c>
      <c r="D591" s="13">
        <f t="shared" si="81"/>
        <v>6</v>
      </c>
      <c r="E591" t="s">
        <v>1862</v>
      </c>
      <c r="F591" t="s">
        <v>141</v>
      </c>
      <c r="G591" t="s">
        <v>90</v>
      </c>
      <c r="H591" t="s">
        <v>25</v>
      </c>
      <c r="I591" t="s">
        <v>136</v>
      </c>
      <c r="J591" t="s">
        <v>137</v>
      </c>
      <c r="K591" t="s">
        <v>74</v>
      </c>
      <c r="L591" t="s">
        <v>171</v>
      </c>
      <c r="M591" t="s">
        <v>1863</v>
      </c>
      <c r="N591" t="s">
        <v>50</v>
      </c>
      <c r="O591">
        <v>3</v>
      </c>
      <c r="P591">
        <v>524.75</v>
      </c>
      <c r="Q591" s="11">
        <v>0</v>
      </c>
      <c r="R591">
        <v>1574.25</v>
      </c>
      <c r="S591">
        <v>1326.12</v>
      </c>
      <c r="T591">
        <v>248.13</v>
      </c>
      <c r="U591" t="s">
        <v>32</v>
      </c>
      <c r="V591" t="s">
        <v>33</v>
      </c>
      <c r="X591" s="8" t="str">
        <f>IF(C591&gt;=B591,"Valid", "Invalid-Date")</f>
        <v>Valid</v>
      </c>
      <c r="Y591" s="8" t="str">
        <f t="shared" si="82"/>
        <v>Valid</v>
      </c>
      <c r="Z591" s="8" t="str">
        <f t="shared" si="83"/>
        <v>Pass</v>
      </c>
      <c r="AA591" s="8" t="str">
        <f t="shared" si="84"/>
        <v>Pass</v>
      </c>
      <c r="AB591" s="8" t="str">
        <f>TEXT(B591,"mmmm")</f>
        <v>December</v>
      </c>
      <c r="AC591" s="8" t="str">
        <f>TEXT(B591,"yyyy")</f>
        <v>2024</v>
      </c>
      <c r="AE591">
        <f t="shared" si="85"/>
        <v>1574.25</v>
      </c>
      <c r="AF591" s="11">
        <f t="shared" si="86"/>
        <v>1574.25</v>
      </c>
      <c r="AG591">
        <f t="shared" si="87"/>
        <v>248.13000000000011</v>
      </c>
      <c r="AH591" s="11">
        <f t="shared" si="88"/>
        <v>0.15761791329204389</v>
      </c>
      <c r="AI591" s="44">
        <f t="shared" si="89"/>
        <v>0.15761791329204389</v>
      </c>
    </row>
    <row r="592" spans="1:35">
      <c r="A592" t="s">
        <v>1864</v>
      </c>
      <c r="B592" s="5">
        <v>45441</v>
      </c>
      <c r="C592" s="5">
        <v>45441</v>
      </c>
      <c r="D592" s="13">
        <f t="shared" si="81"/>
        <v>0</v>
      </c>
      <c r="E592" t="s">
        <v>1865</v>
      </c>
      <c r="F592" t="s">
        <v>128</v>
      </c>
      <c r="G592" t="s">
        <v>95</v>
      </c>
      <c r="H592" t="s">
        <v>25</v>
      </c>
      <c r="I592" t="s">
        <v>350</v>
      </c>
      <c r="J592" t="s">
        <v>351</v>
      </c>
      <c r="K592" t="s">
        <v>41</v>
      </c>
      <c r="L592" t="s">
        <v>66</v>
      </c>
      <c r="M592" t="s">
        <v>1866</v>
      </c>
      <c r="N592" t="s">
        <v>44</v>
      </c>
      <c r="O592">
        <v>6</v>
      </c>
      <c r="P592">
        <v>3430.35</v>
      </c>
      <c r="Q592" s="11">
        <v>0</v>
      </c>
      <c r="R592">
        <v>20582.099999999999</v>
      </c>
      <c r="S592">
        <v>15897.65</v>
      </c>
      <c r="T592">
        <v>4684.45</v>
      </c>
      <c r="U592" t="s">
        <v>111</v>
      </c>
      <c r="V592" t="s">
        <v>68</v>
      </c>
      <c r="X592" s="8" t="str">
        <f>IF(C592&gt;=B592,"Valid", "Invalid-Date")</f>
        <v>Valid</v>
      </c>
      <c r="Y592" s="8" t="str">
        <f t="shared" si="82"/>
        <v>Valid</v>
      </c>
      <c r="Z592" s="8" t="str">
        <f t="shared" si="83"/>
        <v>Pass</v>
      </c>
      <c r="AA592" s="8" t="str">
        <f t="shared" si="84"/>
        <v>Pass</v>
      </c>
      <c r="AB592" s="8" t="str">
        <f>TEXT(B592,"mmmm")</f>
        <v>May</v>
      </c>
      <c r="AC592" s="8" t="str">
        <f>TEXT(B592,"yyyy")</f>
        <v>2024</v>
      </c>
      <c r="AE592">
        <f t="shared" si="85"/>
        <v>20582.099999999999</v>
      </c>
      <c r="AF592" s="11">
        <f t="shared" si="86"/>
        <v>20582.099999999999</v>
      </c>
      <c r="AG592">
        <f t="shared" si="87"/>
        <v>4684.4499999999989</v>
      </c>
      <c r="AH592" s="11">
        <f t="shared" si="88"/>
        <v>0.22759825285077806</v>
      </c>
      <c r="AI592" s="44">
        <f t="shared" si="89"/>
        <v>0.22759825285077806</v>
      </c>
    </row>
    <row r="593" spans="1:35">
      <c r="A593" t="s">
        <v>1867</v>
      </c>
      <c r="B593" s="5">
        <v>45344</v>
      </c>
      <c r="C593" s="5">
        <v>45346</v>
      </c>
      <c r="D593" s="13">
        <f t="shared" si="81"/>
        <v>2</v>
      </c>
      <c r="E593" t="s">
        <v>1868</v>
      </c>
      <c r="F593" t="s">
        <v>132</v>
      </c>
      <c r="G593" t="s">
        <v>24</v>
      </c>
      <c r="H593" t="s">
        <v>54</v>
      </c>
      <c r="I593" t="s">
        <v>175</v>
      </c>
      <c r="J593" t="s">
        <v>176</v>
      </c>
      <c r="K593" t="s">
        <v>74</v>
      </c>
      <c r="L593" t="s">
        <v>80</v>
      </c>
      <c r="M593" t="s">
        <v>1869</v>
      </c>
      <c r="N593" t="s">
        <v>50</v>
      </c>
      <c r="O593">
        <v>3</v>
      </c>
      <c r="P593">
        <v>3545.08</v>
      </c>
      <c r="Q593" s="11">
        <v>0</v>
      </c>
      <c r="R593">
        <v>10635.24</v>
      </c>
      <c r="S593">
        <v>6031.88</v>
      </c>
      <c r="T593">
        <v>4603.3599999999997</v>
      </c>
      <c r="U593" t="s">
        <v>155</v>
      </c>
      <c r="V593" t="s">
        <v>103</v>
      </c>
      <c r="X593" s="8" t="str">
        <f>IF(C593&gt;=B593,"Valid", "Invalid-Date")</f>
        <v>Valid</v>
      </c>
      <c r="Y593" s="8" t="str">
        <f t="shared" si="82"/>
        <v>Valid</v>
      </c>
      <c r="Z593" s="8" t="str">
        <f t="shared" si="83"/>
        <v>Pass</v>
      </c>
      <c r="AA593" s="8" t="str">
        <f t="shared" si="84"/>
        <v>Pass</v>
      </c>
      <c r="AB593" s="8" t="str">
        <f>TEXT(B593,"mmmm")</f>
        <v>February</v>
      </c>
      <c r="AC593" s="8" t="str">
        <f>TEXT(B593,"yyyy")</f>
        <v>2024</v>
      </c>
      <c r="AE593">
        <f t="shared" si="85"/>
        <v>10635.24</v>
      </c>
      <c r="AF593" s="11">
        <f t="shared" si="86"/>
        <v>10635.24</v>
      </c>
      <c r="AG593">
        <f t="shared" si="87"/>
        <v>4603.3599999999997</v>
      </c>
      <c r="AH593" s="11">
        <f t="shared" si="88"/>
        <v>0.43284025560307055</v>
      </c>
      <c r="AI593" s="44">
        <f t="shared" si="89"/>
        <v>0.43284025560307055</v>
      </c>
    </row>
    <row r="594" spans="1:35">
      <c r="A594" t="s">
        <v>1870</v>
      </c>
      <c r="B594" s="5">
        <v>45355</v>
      </c>
      <c r="C594" s="5">
        <v>45538</v>
      </c>
      <c r="D594" s="13">
        <f t="shared" si="81"/>
        <v>183</v>
      </c>
      <c r="E594" t="s">
        <v>1871</v>
      </c>
      <c r="F594" t="s">
        <v>36</v>
      </c>
      <c r="G594" t="s">
        <v>24</v>
      </c>
      <c r="H594" t="s">
        <v>38</v>
      </c>
      <c r="I594" t="s">
        <v>99</v>
      </c>
      <c r="J594" t="s">
        <v>100</v>
      </c>
      <c r="K594" t="s">
        <v>74</v>
      </c>
      <c r="L594" t="s">
        <v>75</v>
      </c>
      <c r="M594" t="s">
        <v>1872</v>
      </c>
      <c r="N594" t="s">
        <v>44</v>
      </c>
      <c r="O594">
        <v>8</v>
      </c>
      <c r="P594">
        <v>4401.41</v>
      </c>
      <c r="Q594" s="11">
        <v>0.15</v>
      </c>
      <c r="R594">
        <v>29929.59</v>
      </c>
      <c r="S594">
        <v>22436.03</v>
      </c>
      <c r="T594">
        <v>7493.56</v>
      </c>
      <c r="U594" t="s">
        <v>32</v>
      </c>
      <c r="V594" t="s">
        <v>33</v>
      </c>
      <c r="X594" s="8" t="str">
        <f>IF(C594&gt;=B594,"Valid", "Invalid-Date")</f>
        <v>Valid</v>
      </c>
      <c r="Y594" s="8" t="str">
        <f t="shared" si="82"/>
        <v>Valid</v>
      </c>
      <c r="Z594" s="8" t="str">
        <f t="shared" si="83"/>
        <v>Pass</v>
      </c>
      <c r="AA594" s="8" t="str">
        <f t="shared" si="84"/>
        <v>Pass</v>
      </c>
      <c r="AB594" s="8" t="str">
        <f>TEXT(B594,"mmmm")</f>
        <v>March</v>
      </c>
      <c r="AC594" s="8" t="str">
        <f>TEXT(B594,"yyyy")</f>
        <v>2024</v>
      </c>
      <c r="AE594">
        <f t="shared" si="85"/>
        <v>35211.279999999999</v>
      </c>
      <c r="AF594" s="11">
        <f t="shared" si="86"/>
        <v>29929.588</v>
      </c>
      <c r="AG594">
        <f t="shared" si="87"/>
        <v>12775.25</v>
      </c>
      <c r="AH594" s="11">
        <f t="shared" si="88"/>
        <v>0.36281697228842574</v>
      </c>
      <c r="AI594" s="44">
        <f t="shared" si="89"/>
        <v>0.36281697228842574</v>
      </c>
    </row>
    <row r="595" spans="1:35">
      <c r="A595" t="s">
        <v>1873</v>
      </c>
      <c r="B595" s="5">
        <v>45927</v>
      </c>
      <c r="C595" s="5">
        <v>45929</v>
      </c>
      <c r="D595" s="13">
        <f t="shared" si="81"/>
        <v>2</v>
      </c>
      <c r="E595" t="s">
        <v>1664</v>
      </c>
      <c r="F595" t="s">
        <v>53</v>
      </c>
      <c r="G595" t="s">
        <v>95</v>
      </c>
      <c r="H595" t="s">
        <v>25</v>
      </c>
      <c r="I595" t="s">
        <v>136</v>
      </c>
      <c r="J595" t="s">
        <v>137</v>
      </c>
      <c r="K595" t="s">
        <v>41</v>
      </c>
      <c r="L595" t="s">
        <v>42</v>
      </c>
      <c r="M595" t="s">
        <v>1874</v>
      </c>
      <c r="N595" t="s">
        <v>31</v>
      </c>
      <c r="O595">
        <v>9</v>
      </c>
      <c r="P595">
        <v>4100.1099999999997</v>
      </c>
      <c r="Q595" s="11">
        <v>0.25</v>
      </c>
      <c r="R595">
        <v>27675.74</v>
      </c>
      <c r="S595">
        <v>15571.08</v>
      </c>
      <c r="T595">
        <v>12104.66</v>
      </c>
      <c r="U595" t="s">
        <v>32</v>
      </c>
      <c r="V595" t="s">
        <v>33</v>
      </c>
      <c r="X595" s="8" t="str">
        <f>IF(C595&gt;=B595,"Valid", "Invalid-Date")</f>
        <v>Valid</v>
      </c>
      <c r="Y595" s="8" t="str">
        <f t="shared" si="82"/>
        <v>Valid</v>
      </c>
      <c r="Z595" s="8" t="str">
        <f t="shared" si="83"/>
        <v>Pass</v>
      </c>
      <c r="AA595" s="8" t="str">
        <f t="shared" si="84"/>
        <v>Pass</v>
      </c>
      <c r="AB595" s="8" t="str">
        <f>TEXT(B595,"mmmm")</f>
        <v>September</v>
      </c>
      <c r="AC595" s="8" t="str">
        <f>TEXT(B595,"yyyy")</f>
        <v>2025</v>
      </c>
      <c r="AE595">
        <f t="shared" si="85"/>
        <v>36900.99</v>
      </c>
      <c r="AF595" s="11">
        <f t="shared" si="86"/>
        <v>27675.7425</v>
      </c>
      <c r="AG595">
        <f t="shared" si="87"/>
        <v>21329.909999999996</v>
      </c>
      <c r="AH595" s="11">
        <f t="shared" si="88"/>
        <v>0.57803083331910599</v>
      </c>
      <c r="AI595" s="44">
        <f t="shared" si="89"/>
        <v>0.57803083331910599</v>
      </c>
    </row>
    <row r="596" spans="1:35">
      <c r="A596" t="s">
        <v>1875</v>
      </c>
      <c r="B596" s="5">
        <v>45554</v>
      </c>
      <c r="C596" s="5">
        <v>45556</v>
      </c>
      <c r="D596" s="13">
        <f t="shared" si="81"/>
        <v>2</v>
      </c>
      <c r="E596" t="s">
        <v>1876</v>
      </c>
      <c r="F596" t="s">
        <v>23</v>
      </c>
      <c r="G596" t="s">
        <v>37</v>
      </c>
      <c r="H596" t="s">
        <v>38</v>
      </c>
      <c r="I596" t="s">
        <v>99</v>
      </c>
      <c r="J596" t="s">
        <v>100</v>
      </c>
      <c r="K596" t="s">
        <v>41</v>
      </c>
      <c r="L596" t="s">
        <v>66</v>
      </c>
      <c r="M596" t="s">
        <v>1877</v>
      </c>
      <c r="N596" t="s">
        <v>50</v>
      </c>
      <c r="O596">
        <v>3</v>
      </c>
      <c r="P596">
        <v>3981.76</v>
      </c>
      <c r="Q596" s="11">
        <v>0</v>
      </c>
      <c r="R596">
        <v>11945.28</v>
      </c>
      <c r="S596">
        <v>9700.31</v>
      </c>
      <c r="T596">
        <v>2244.9699999999998</v>
      </c>
      <c r="U596" t="s">
        <v>32</v>
      </c>
      <c r="V596" t="s">
        <v>33</v>
      </c>
      <c r="X596" s="8" t="str">
        <f>IF(C596&gt;=B596,"Valid", "Invalid-Date")</f>
        <v>Valid</v>
      </c>
      <c r="Y596" s="8" t="str">
        <f t="shared" si="82"/>
        <v>Valid</v>
      </c>
      <c r="Z596" s="8" t="str">
        <f t="shared" si="83"/>
        <v>Pass</v>
      </c>
      <c r="AA596" s="8" t="str">
        <f t="shared" si="84"/>
        <v>Pass</v>
      </c>
      <c r="AB596" s="8" t="str">
        <f>TEXT(B596,"mmmm")</f>
        <v>September</v>
      </c>
      <c r="AC596" s="8" t="str">
        <f>TEXT(B596,"yyyy")</f>
        <v>2024</v>
      </c>
      <c r="AE596">
        <f t="shared" si="85"/>
        <v>11945.28</v>
      </c>
      <c r="AF596" s="11">
        <f t="shared" si="86"/>
        <v>11945.28</v>
      </c>
      <c r="AG596">
        <f t="shared" si="87"/>
        <v>2244.9700000000012</v>
      </c>
      <c r="AH596" s="11">
        <f t="shared" si="88"/>
        <v>0.18793782983739193</v>
      </c>
      <c r="AI596" s="44">
        <f t="shared" si="89"/>
        <v>0.18793782983739193</v>
      </c>
    </row>
    <row r="597" spans="1:35">
      <c r="A597" t="s">
        <v>1878</v>
      </c>
      <c r="B597" s="5">
        <v>45963</v>
      </c>
      <c r="C597" s="5">
        <v>45704</v>
      </c>
      <c r="D597" s="13">
        <f t="shared" si="81"/>
        <v>-259</v>
      </c>
      <c r="E597" t="s">
        <v>1879</v>
      </c>
      <c r="F597" t="s">
        <v>36</v>
      </c>
      <c r="G597" t="s">
        <v>90</v>
      </c>
      <c r="H597" t="s">
        <v>25</v>
      </c>
      <c r="I597" t="s">
        <v>136</v>
      </c>
      <c r="J597" t="s">
        <v>137</v>
      </c>
      <c r="K597" t="s">
        <v>74</v>
      </c>
      <c r="L597" t="s">
        <v>171</v>
      </c>
      <c r="M597" t="s">
        <v>1880</v>
      </c>
      <c r="N597" t="s">
        <v>50</v>
      </c>
      <c r="O597">
        <v>8</v>
      </c>
      <c r="P597">
        <v>1825.56</v>
      </c>
      <c r="Q597" s="11">
        <v>0.1</v>
      </c>
      <c r="R597">
        <v>13144.03</v>
      </c>
      <c r="S597">
        <v>9764</v>
      </c>
      <c r="T597">
        <v>3380.03</v>
      </c>
      <c r="U597" t="s">
        <v>32</v>
      </c>
      <c r="V597" t="s">
        <v>33</v>
      </c>
      <c r="X597" s="8" t="str">
        <f>IF(C597&gt;=B597,"Valid", "Invalid-Date")</f>
        <v>Invalid-Date</v>
      </c>
      <c r="Y597" s="8" t="str">
        <f t="shared" si="82"/>
        <v>Valid</v>
      </c>
      <c r="Z597" s="8" t="str">
        <f t="shared" si="83"/>
        <v>Pass</v>
      </c>
      <c r="AA597" s="8" t="str">
        <f t="shared" si="84"/>
        <v>Pass</v>
      </c>
      <c r="AB597" s="8" t="str">
        <f>TEXT(B597,"mmmm")</f>
        <v>November</v>
      </c>
      <c r="AC597" s="8" t="str">
        <f>TEXT(B597,"yyyy")</f>
        <v>2025</v>
      </c>
      <c r="AE597">
        <f t="shared" si="85"/>
        <v>14604.48</v>
      </c>
      <c r="AF597" s="11">
        <f t="shared" si="86"/>
        <v>13144.031999999999</v>
      </c>
      <c r="AG597">
        <f t="shared" si="87"/>
        <v>4840.4799999999996</v>
      </c>
      <c r="AH597" s="11">
        <f t="shared" si="88"/>
        <v>0.33143802449659282</v>
      </c>
      <c r="AI597" s="44">
        <f t="shared" si="89"/>
        <v>0.33143802449659282</v>
      </c>
    </row>
    <row r="598" spans="1:35">
      <c r="A598" t="s">
        <v>1881</v>
      </c>
      <c r="B598" s="5">
        <v>45392</v>
      </c>
      <c r="C598" s="5">
        <v>45398</v>
      </c>
      <c r="D598" s="13">
        <f t="shared" si="81"/>
        <v>6</v>
      </c>
      <c r="E598" t="s">
        <v>1882</v>
      </c>
      <c r="F598" t="s">
        <v>89</v>
      </c>
      <c r="G598" t="s">
        <v>24</v>
      </c>
      <c r="H598" t="s">
        <v>54</v>
      </c>
      <c r="I598" t="s">
        <v>185</v>
      </c>
      <c r="J598" t="s">
        <v>186</v>
      </c>
      <c r="K598" t="s">
        <v>41</v>
      </c>
      <c r="L598" t="s">
        <v>66</v>
      </c>
      <c r="M598" t="s">
        <v>1883</v>
      </c>
      <c r="N598" t="s">
        <v>31</v>
      </c>
      <c r="O598">
        <v>9</v>
      </c>
      <c r="P598">
        <v>2723.26</v>
      </c>
      <c r="Q598" s="11">
        <v>0.25</v>
      </c>
      <c r="R598">
        <v>18382.009999999998</v>
      </c>
      <c r="S598">
        <v>13108.2</v>
      </c>
      <c r="T598">
        <v>5273.81</v>
      </c>
      <c r="U598" t="s">
        <v>32</v>
      </c>
      <c r="V598" t="s">
        <v>33</v>
      </c>
      <c r="X598" s="8" t="str">
        <f>IF(C598&gt;=B598,"Valid", "Invalid-Date")</f>
        <v>Valid</v>
      </c>
      <c r="Y598" s="8" t="str">
        <f t="shared" si="82"/>
        <v>Valid</v>
      </c>
      <c r="Z598" s="8" t="str">
        <f t="shared" si="83"/>
        <v>Pass</v>
      </c>
      <c r="AA598" s="8" t="str">
        <f t="shared" si="84"/>
        <v>Pass</v>
      </c>
      <c r="AB598" s="8" t="str">
        <f>TEXT(B598,"mmmm")</f>
        <v>April</v>
      </c>
      <c r="AC598" s="8" t="str">
        <f>TEXT(B598,"yyyy")</f>
        <v>2024</v>
      </c>
      <c r="AE598">
        <f t="shared" si="85"/>
        <v>24509.340000000004</v>
      </c>
      <c r="AF598" s="11">
        <f t="shared" si="86"/>
        <v>18382.005000000005</v>
      </c>
      <c r="AG598">
        <f t="shared" si="87"/>
        <v>11401.140000000003</v>
      </c>
      <c r="AH598" s="11">
        <f t="shared" si="88"/>
        <v>0.46517531683839719</v>
      </c>
      <c r="AI598" s="44">
        <f t="shared" si="89"/>
        <v>0.46517531683839719</v>
      </c>
    </row>
    <row r="599" spans="1:35">
      <c r="A599" t="s">
        <v>1884</v>
      </c>
      <c r="B599" s="5">
        <v>45846</v>
      </c>
      <c r="C599" s="5">
        <v>45876</v>
      </c>
      <c r="D599" s="13">
        <f t="shared" si="81"/>
        <v>30</v>
      </c>
      <c r="E599" t="s">
        <v>1885</v>
      </c>
      <c r="F599" t="s">
        <v>89</v>
      </c>
      <c r="G599" t="s">
        <v>24</v>
      </c>
      <c r="H599" t="s">
        <v>54</v>
      </c>
      <c r="I599" t="s">
        <v>55</v>
      </c>
      <c r="J599" t="s">
        <v>56</v>
      </c>
      <c r="K599" t="s">
        <v>74</v>
      </c>
      <c r="L599" t="s">
        <v>80</v>
      </c>
      <c r="M599" t="s">
        <v>1886</v>
      </c>
      <c r="N599" t="s">
        <v>44</v>
      </c>
      <c r="O599">
        <v>9</v>
      </c>
      <c r="P599">
        <v>274.88</v>
      </c>
      <c r="Q599" s="11">
        <v>0.25</v>
      </c>
      <c r="R599">
        <v>1855.44</v>
      </c>
      <c r="S599">
        <v>1262.74</v>
      </c>
      <c r="T599">
        <v>592.70000000000005</v>
      </c>
      <c r="U599" t="s">
        <v>32</v>
      </c>
      <c r="V599" t="s">
        <v>33</v>
      </c>
      <c r="X599" s="8" t="str">
        <f>IF(C599&gt;=B599,"Valid", "Invalid-Date")</f>
        <v>Valid</v>
      </c>
      <c r="Y599" s="8" t="str">
        <f t="shared" si="82"/>
        <v>Valid</v>
      </c>
      <c r="Z599" s="8" t="str">
        <f t="shared" si="83"/>
        <v>Pass</v>
      </c>
      <c r="AA599" s="8" t="str">
        <f t="shared" si="84"/>
        <v>Pass</v>
      </c>
      <c r="AB599" s="8" t="str">
        <f>TEXT(B599,"mmmm")</f>
        <v>July</v>
      </c>
      <c r="AC599" s="8" t="str">
        <f>TEXT(B599,"yyyy")</f>
        <v>2025</v>
      </c>
      <c r="AE599">
        <f t="shared" si="85"/>
        <v>2473.92</v>
      </c>
      <c r="AF599" s="11">
        <f t="shared" si="86"/>
        <v>1855.44</v>
      </c>
      <c r="AG599">
        <f t="shared" si="87"/>
        <v>1211.18</v>
      </c>
      <c r="AH599" s="11">
        <f t="shared" si="88"/>
        <v>0.48957929116543786</v>
      </c>
      <c r="AI599" s="44">
        <f t="shared" si="89"/>
        <v>0.48957929116543786</v>
      </c>
    </row>
    <row r="600" spans="1:35" s="15" customFormat="1">
      <c r="A600" s="15" t="s">
        <v>1887</v>
      </c>
      <c r="B600" s="16">
        <v>45521</v>
      </c>
      <c r="C600" s="16">
        <v>45528</v>
      </c>
      <c r="D600" s="17">
        <f t="shared" si="81"/>
        <v>7</v>
      </c>
      <c r="E600" s="15" t="s">
        <v>1888</v>
      </c>
      <c r="F600" s="15" t="s">
        <v>62</v>
      </c>
      <c r="G600" s="15" t="s">
        <v>90</v>
      </c>
      <c r="H600" s="15" t="s">
        <v>38</v>
      </c>
      <c r="I600" s="15" t="s">
        <v>99</v>
      </c>
      <c r="J600" s="15" t="s">
        <v>100</v>
      </c>
      <c r="K600" s="15" t="s">
        <v>74</v>
      </c>
      <c r="L600" s="15" t="s">
        <v>80</v>
      </c>
      <c r="M600" s="15" t="s">
        <v>1889</v>
      </c>
      <c r="N600" s="15" t="s">
        <v>44</v>
      </c>
      <c r="O600" s="15">
        <v>3</v>
      </c>
      <c r="P600" s="15">
        <v>1490.69</v>
      </c>
      <c r="Q600" s="18">
        <v>0.25</v>
      </c>
      <c r="R600" s="15">
        <v>3354.05</v>
      </c>
      <c r="S600" s="15">
        <v>2672.67</v>
      </c>
      <c r="T600" s="15">
        <v>681.38</v>
      </c>
      <c r="U600" s="15" t="s">
        <v>32</v>
      </c>
      <c r="V600" s="15" t="s">
        <v>33</v>
      </c>
      <c r="W600" s="25"/>
      <c r="X600" s="8" t="str">
        <f>IF(C600&gt;=B600,"Valid", "Invalid-Date")</f>
        <v>Valid</v>
      </c>
      <c r="Y600" s="8" t="str">
        <f t="shared" si="82"/>
        <v>Valid</v>
      </c>
      <c r="Z600" s="19" t="str">
        <f t="shared" si="83"/>
        <v>Pass</v>
      </c>
      <c r="AA600" s="19" t="str">
        <f t="shared" si="84"/>
        <v>Pass</v>
      </c>
      <c r="AB600" s="19" t="str">
        <f>TEXT(B600,"mmmm")</f>
        <v>August</v>
      </c>
      <c r="AC600" s="19" t="str">
        <f>TEXT(B600,"yyyy")</f>
        <v>2024</v>
      </c>
      <c r="AD600" s="20"/>
      <c r="AE600" s="15">
        <f t="shared" si="85"/>
        <v>4472.07</v>
      </c>
      <c r="AF600" s="11">
        <f t="shared" si="86"/>
        <v>3354.0524999999998</v>
      </c>
      <c r="AG600" s="15">
        <f t="shared" si="87"/>
        <v>1799.3999999999996</v>
      </c>
      <c r="AH600" s="18">
        <f t="shared" si="88"/>
        <v>0.40236400593013966</v>
      </c>
      <c r="AI600" s="45">
        <f t="shared" si="89"/>
        <v>0.40236400593013966</v>
      </c>
    </row>
    <row r="601" spans="1:35">
      <c r="A601" t="s">
        <v>1890</v>
      </c>
      <c r="B601" s="5">
        <v>45523</v>
      </c>
      <c r="C601" s="5">
        <v>45525</v>
      </c>
      <c r="D601" s="13">
        <f t="shared" si="81"/>
        <v>2</v>
      </c>
      <c r="E601" t="s">
        <v>1891</v>
      </c>
      <c r="F601" t="s">
        <v>53</v>
      </c>
      <c r="G601" t="s">
        <v>24</v>
      </c>
      <c r="H601" t="s">
        <v>25</v>
      </c>
      <c r="I601" t="s">
        <v>122</v>
      </c>
      <c r="J601" t="s">
        <v>123</v>
      </c>
      <c r="K601" t="s">
        <v>74</v>
      </c>
      <c r="L601" t="s">
        <v>171</v>
      </c>
      <c r="M601" t="s">
        <v>1892</v>
      </c>
      <c r="N601" t="s">
        <v>50</v>
      </c>
      <c r="O601">
        <v>3</v>
      </c>
      <c r="P601">
        <v>1103.54</v>
      </c>
      <c r="Q601" s="11">
        <v>0.25</v>
      </c>
      <c r="R601">
        <v>2482.9699999999998</v>
      </c>
      <c r="S601">
        <v>1621.72</v>
      </c>
      <c r="T601">
        <v>861.25</v>
      </c>
      <c r="U601" t="s">
        <v>32</v>
      </c>
      <c r="V601" t="s">
        <v>33</v>
      </c>
      <c r="X601" s="8" t="str">
        <f>IF(C601&gt;=B601,"Valid", "Invalid-Date")</f>
        <v>Valid</v>
      </c>
      <c r="Y601" s="8" t="str">
        <f t="shared" si="82"/>
        <v>Valid</v>
      </c>
      <c r="Z601" s="8" t="str">
        <f t="shared" si="83"/>
        <v>Pass</v>
      </c>
      <c r="AA601" s="8" t="str">
        <f t="shared" si="84"/>
        <v>Pass</v>
      </c>
      <c r="AB601" s="8" t="str">
        <f>TEXT(B601,"mmmm")</f>
        <v>August</v>
      </c>
      <c r="AC601" s="8" t="str">
        <f>TEXT(B601,"yyyy")</f>
        <v>2024</v>
      </c>
      <c r="AE601">
        <f t="shared" si="85"/>
        <v>3310.62</v>
      </c>
      <c r="AF601" s="11">
        <f t="shared" si="86"/>
        <v>2482.9650000000001</v>
      </c>
      <c r="AG601">
        <f t="shared" si="87"/>
        <v>1688.8999999999999</v>
      </c>
      <c r="AH601" s="11">
        <f t="shared" si="88"/>
        <v>0.51014613576913082</v>
      </c>
      <c r="AI601" s="44">
        <f t="shared" si="89"/>
        <v>0.51014613576913082</v>
      </c>
    </row>
    <row r="602" spans="1:35">
      <c r="A602" t="s">
        <v>1893</v>
      </c>
      <c r="B602" s="5">
        <v>45721</v>
      </c>
      <c r="C602" s="5">
        <v>45994</v>
      </c>
      <c r="D602" s="13">
        <f t="shared" si="81"/>
        <v>273</v>
      </c>
      <c r="E602" t="s">
        <v>1894</v>
      </c>
      <c r="F602" t="s">
        <v>62</v>
      </c>
      <c r="G602" t="s">
        <v>90</v>
      </c>
      <c r="H602" t="s">
        <v>63</v>
      </c>
      <c r="I602" t="s">
        <v>72</v>
      </c>
      <c r="J602" t="s">
        <v>73</v>
      </c>
      <c r="K602" t="s">
        <v>28</v>
      </c>
      <c r="L602" t="s">
        <v>124</v>
      </c>
      <c r="M602" t="s">
        <v>1895</v>
      </c>
      <c r="N602" t="s">
        <v>44</v>
      </c>
      <c r="O602">
        <v>3</v>
      </c>
      <c r="P602">
        <v>3682.75</v>
      </c>
      <c r="Q602" s="11">
        <v>0</v>
      </c>
      <c r="R602">
        <v>11048.25</v>
      </c>
      <c r="S602">
        <v>9062.7199999999993</v>
      </c>
      <c r="T602">
        <v>1985.53</v>
      </c>
      <c r="U602" t="s">
        <v>32</v>
      </c>
      <c r="V602" t="s">
        <v>33</v>
      </c>
      <c r="X602" s="8" t="str">
        <f>IF(C602&gt;=B602,"Valid", "Invalid-Date")</f>
        <v>Valid</v>
      </c>
      <c r="Y602" s="8" t="str">
        <f t="shared" si="82"/>
        <v>Valid</v>
      </c>
      <c r="Z602" s="8" t="str">
        <f t="shared" si="83"/>
        <v>Pass</v>
      </c>
      <c r="AA602" s="8" t="str">
        <f t="shared" si="84"/>
        <v>Pass</v>
      </c>
      <c r="AB602" s="8" t="str">
        <f>TEXT(B602,"mmmm")</f>
        <v>March</v>
      </c>
      <c r="AC602" s="8" t="str">
        <f>TEXT(B602,"yyyy")</f>
        <v>2025</v>
      </c>
      <c r="AE602">
        <f t="shared" si="85"/>
        <v>11048.25</v>
      </c>
      <c r="AF602" s="11">
        <f t="shared" si="86"/>
        <v>11048.25</v>
      </c>
      <c r="AG602">
        <f t="shared" si="87"/>
        <v>1985.5300000000007</v>
      </c>
      <c r="AH602" s="11">
        <f t="shared" si="88"/>
        <v>0.17971443441268986</v>
      </c>
      <c r="AI602" s="44">
        <f t="shared" si="89"/>
        <v>0.17971443441268986</v>
      </c>
    </row>
    <row r="603" spans="1:35">
      <c r="A603" t="s">
        <v>1896</v>
      </c>
      <c r="B603" s="5">
        <v>45317</v>
      </c>
      <c r="C603" s="5">
        <v>45322</v>
      </c>
      <c r="D603" s="13">
        <f t="shared" si="81"/>
        <v>5</v>
      </c>
      <c r="E603" t="s">
        <v>1897</v>
      </c>
      <c r="F603" t="s">
        <v>62</v>
      </c>
      <c r="G603" t="s">
        <v>95</v>
      </c>
      <c r="H603" t="s">
        <v>38</v>
      </c>
      <c r="I603" t="s">
        <v>99</v>
      </c>
      <c r="J603" t="s">
        <v>100</v>
      </c>
      <c r="K603" t="s">
        <v>28</v>
      </c>
      <c r="L603" t="s">
        <v>29</v>
      </c>
      <c r="M603" t="s">
        <v>1898</v>
      </c>
      <c r="N603" t="s">
        <v>31</v>
      </c>
      <c r="O603">
        <v>5</v>
      </c>
      <c r="P603">
        <v>1615.03</v>
      </c>
      <c r="Q603" s="11">
        <v>0.2</v>
      </c>
      <c r="R603">
        <v>6460.12</v>
      </c>
      <c r="S603">
        <v>3604.03</v>
      </c>
      <c r="T603">
        <v>2856.09</v>
      </c>
      <c r="U603" t="s">
        <v>32</v>
      </c>
      <c r="V603" t="s">
        <v>33</v>
      </c>
      <c r="X603" s="8" t="str">
        <f>IF(C603&gt;=B603,"Valid", "Invalid-Date")</f>
        <v>Valid</v>
      </c>
      <c r="Y603" s="8" t="str">
        <f t="shared" si="82"/>
        <v>Valid</v>
      </c>
      <c r="Z603" s="8" t="str">
        <f t="shared" si="83"/>
        <v>Pass</v>
      </c>
      <c r="AA603" s="8" t="str">
        <f t="shared" si="84"/>
        <v>Pass</v>
      </c>
      <c r="AB603" s="8" t="str">
        <f>TEXT(B603,"mmmm")</f>
        <v>January</v>
      </c>
      <c r="AC603" s="8" t="str">
        <f>TEXT(B603,"yyyy")</f>
        <v>2024</v>
      </c>
      <c r="AE603">
        <f t="shared" si="85"/>
        <v>8075.15</v>
      </c>
      <c r="AF603" s="11">
        <f t="shared" si="86"/>
        <v>6460.12</v>
      </c>
      <c r="AG603">
        <f t="shared" si="87"/>
        <v>4471.119999999999</v>
      </c>
      <c r="AH603" s="11">
        <f t="shared" si="88"/>
        <v>0.55368878596682403</v>
      </c>
      <c r="AI603" s="44">
        <f t="shared" si="89"/>
        <v>0.55368878596682403</v>
      </c>
    </row>
    <row r="604" spans="1:35">
      <c r="A604" t="s">
        <v>1899</v>
      </c>
      <c r="B604" s="5">
        <v>45588</v>
      </c>
      <c r="C604" s="5">
        <v>45595</v>
      </c>
      <c r="D604" s="13">
        <f t="shared" si="81"/>
        <v>7</v>
      </c>
      <c r="E604" t="s">
        <v>1900</v>
      </c>
      <c r="F604" t="s">
        <v>128</v>
      </c>
      <c r="G604" t="s">
        <v>24</v>
      </c>
      <c r="H604" t="s">
        <v>38</v>
      </c>
      <c r="I604" t="s">
        <v>228</v>
      </c>
      <c r="J604" t="s">
        <v>229</v>
      </c>
      <c r="K604" t="s">
        <v>74</v>
      </c>
      <c r="L604" t="s">
        <v>80</v>
      </c>
      <c r="M604" t="s">
        <v>1901</v>
      </c>
      <c r="N604" t="s">
        <v>31</v>
      </c>
      <c r="O604">
        <v>9</v>
      </c>
      <c r="P604">
        <v>3423.82</v>
      </c>
      <c r="Q604" s="11">
        <v>0.15</v>
      </c>
      <c r="R604">
        <v>26192.22</v>
      </c>
      <c r="S604">
        <v>20795.55</v>
      </c>
      <c r="T604">
        <v>5396.67</v>
      </c>
      <c r="U604" t="s">
        <v>32</v>
      </c>
      <c r="V604" t="s">
        <v>33</v>
      </c>
      <c r="X604" s="8" t="str">
        <f>IF(C604&gt;=B604,"Valid", "Invalid-Date")</f>
        <v>Valid</v>
      </c>
      <c r="Y604" s="8" t="str">
        <f t="shared" si="82"/>
        <v>Valid</v>
      </c>
      <c r="Z604" s="8" t="str">
        <f t="shared" si="83"/>
        <v>Pass</v>
      </c>
      <c r="AA604" s="8" t="str">
        <f t="shared" si="84"/>
        <v>Pass</v>
      </c>
      <c r="AB604" s="8" t="str">
        <f>TEXT(B604,"mmmm")</f>
        <v>October</v>
      </c>
      <c r="AC604" s="8" t="str">
        <f>TEXT(B604,"yyyy")</f>
        <v>2024</v>
      </c>
      <c r="AE604">
        <f t="shared" si="85"/>
        <v>30814.38</v>
      </c>
      <c r="AF604" s="11">
        <f t="shared" si="86"/>
        <v>26192.223000000002</v>
      </c>
      <c r="AG604">
        <f t="shared" si="87"/>
        <v>10018.830000000002</v>
      </c>
      <c r="AH604" s="11">
        <f t="shared" si="88"/>
        <v>0.3251348883216213</v>
      </c>
      <c r="AI604" s="44">
        <f t="shared" si="89"/>
        <v>0.3251348883216213</v>
      </c>
    </row>
    <row r="605" spans="1:35">
      <c r="A605" t="s">
        <v>1902</v>
      </c>
      <c r="B605" s="5">
        <v>45717</v>
      </c>
      <c r="C605" s="5">
        <v>45668</v>
      </c>
      <c r="D605" s="13">
        <f t="shared" si="81"/>
        <v>-49</v>
      </c>
      <c r="E605" t="s">
        <v>334</v>
      </c>
      <c r="F605" t="s">
        <v>71</v>
      </c>
      <c r="G605" t="s">
        <v>90</v>
      </c>
      <c r="H605" t="s">
        <v>38</v>
      </c>
      <c r="I605" t="s">
        <v>145</v>
      </c>
      <c r="J605" t="s">
        <v>146</v>
      </c>
      <c r="K605" t="s">
        <v>74</v>
      </c>
      <c r="L605" t="s">
        <v>75</v>
      </c>
      <c r="M605" t="s">
        <v>1903</v>
      </c>
      <c r="N605" t="s">
        <v>50</v>
      </c>
      <c r="O605">
        <v>8</v>
      </c>
      <c r="P605">
        <v>2574.29</v>
      </c>
      <c r="Q605" s="11">
        <v>0.05</v>
      </c>
      <c r="R605">
        <v>19564.599999999999</v>
      </c>
      <c r="S605">
        <v>11154.59</v>
      </c>
      <c r="T605">
        <v>8410.01</v>
      </c>
      <c r="U605" t="s">
        <v>111</v>
      </c>
      <c r="V605" t="s">
        <v>68</v>
      </c>
      <c r="X605" s="8" t="str">
        <f>IF(C605&gt;=B605,"Valid", "Invalid-Date")</f>
        <v>Invalid-Date</v>
      </c>
      <c r="Y605" s="8" t="str">
        <f t="shared" si="82"/>
        <v>Valid</v>
      </c>
      <c r="Z605" s="8" t="str">
        <f t="shared" si="83"/>
        <v>Pass</v>
      </c>
      <c r="AA605" s="8" t="str">
        <f t="shared" si="84"/>
        <v>Pass</v>
      </c>
      <c r="AB605" s="8" t="str">
        <f>TEXT(B605,"mmmm")</f>
        <v>March</v>
      </c>
      <c r="AC605" s="8" t="str">
        <f>TEXT(B605,"yyyy")</f>
        <v>2025</v>
      </c>
      <c r="AE605">
        <f t="shared" si="85"/>
        <v>20594.32</v>
      </c>
      <c r="AF605" s="11">
        <f t="shared" si="86"/>
        <v>19564.603999999999</v>
      </c>
      <c r="AG605">
        <f t="shared" si="87"/>
        <v>9439.73</v>
      </c>
      <c r="AH605" s="11">
        <f t="shared" si="88"/>
        <v>0.45836570471858257</v>
      </c>
      <c r="AI605" s="44">
        <f t="shared" si="89"/>
        <v>0.45836570471858257</v>
      </c>
    </row>
    <row r="606" spans="1:35">
      <c r="A606" t="s">
        <v>1904</v>
      </c>
      <c r="B606" s="5">
        <v>45693</v>
      </c>
      <c r="C606" s="5">
        <v>45810</v>
      </c>
      <c r="D606" s="13">
        <f t="shared" si="81"/>
        <v>117</v>
      </c>
      <c r="E606" t="s">
        <v>1905</v>
      </c>
      <c r="F606" t="s">
        <v>62</v>
      </c>
      <c r="G606" t="s">
        <v>24</v>
      </c>
      <c r="H606" t="s">
        <v>63</v>
      </c>
      <c r="I606" t="s">
        <v>72</v>
      </c>
      <c r="J606" t="s">
        <v>73</v>
      </c>
      <c r="K606" t="s">
        <v>28</v>
      </c>
      <c r="L606" t="s">
        <v>153</v>
      </c>
      <c r="M606" t="s">
        <v>1906</v>
      </c>
      <c r="N606" t="s">
        <v>44</v>
      </c>
      <c r="O606">
        <v>3</v>
      </c>
      <c r="P606">
        <v>1076.3</v>
      </c>
      <c r="Q606" s="11">
        <v>0</v>
      </c>
      <c r="R606">
        <v>3228.9</v>
      </c>
      <c r="S606">
        <v>1853.23</v>
      </c>
      <c r="T606">
        <v>1375.67</v>
      </c>
      <c r="U606" t="s">
        <v>32</v>
      </c>
      <c r="V606" t="s">
        <v>33</v>
      </c>
      <c r="X606" s="8" t="str">
        <f>IF(C606&gt;=B606,"Valid", "Invalid-Date")</f>
        <v>Valid</v>
      </c>
      <c r="Y606" s="8" t="str">
        <f t="shared" si="82"/>
        <v>Valid</v>
      </c>
      <c r="Z606" s="8" t="str">
        <f t="shared" si="83"/>
        <v>Pass</v>
      </c>
      <c r="AA606" s="8" t="str">
        <f t="shared" si="84"/>
        <v>Pass</v>
      </c>
      <c r="AB606" s="8" t="str">
        <f>TEXT(B606,"mmmm")</f>
        <v>February</v>
      </c>
      <c r="AC606" s="8" t="str">
        <f>TEXT(B606,"yyyy")</f>
        <v>2025</v>
      </c>
      <c r="AE606">
        <f t="shared" si="85"/>
        <v>3228.8999999999996</v>
      </c>
      <c r="AF606" s="11">
        <f t="shared" si="86"/>
        <v>3228.8999999999996</v>
      </c>
      <c r="AG606">
        <f t="shared" si="87"/>
        <v>1375.6699999999996</v>
      </c>
      <c r="AH606" s="11">
        <f t="shared" si="88"/>
        <v>0.42604911889497965</v>
      </c>
      <c r="AI606" s="44">
        <f t="shared" si="89"/>
        <v>0.42604911889497965</v>
      </c>
    </row>
    <row r="607" spans="1:35">
      <c r="A607" t="s">
        <v>1907</v>
      </c>
      <c r="B607" s="5">
        <v>45847</v>
      </c>
      <c r="C607" s="5">
        <v>45851</v>
      </c>
      <c r="D607" s="13">
        <f t="shared" si="81"/>
        <v>4</v>
      </c>
      <c r="E607" t="s">
        <v>1908</v>
      </c>
      <c r="F607" t="s">
        <v>264</v>
      </c>
      <c r="G607" t="s">
        <v>90</v>
      </c>
      <c r="H607" t="s">
        <v>63</v>
      </c>
      <c r="I607" t="s">
        <v>190</v>
      </c>
      <c r="J607" t="s">
        <v>191</v>
      </c>
      <c r="K607" t="s">
        <v>41</v>
      </c>
      <c r="L607" t="s">
        <v>57</v>
      </c>
      <c r="M607" t="s">
        <v>1909</v>
      </c>
      <c r="N607" t="s">
        <v>31</v>
      </c>
      <c r="O607">
        <v>5</v>
      </c>
      <c r="P607">
        <v>1680.01</v>
      </c>
      <c r="Q607" s="11">
        <v>0.85</v>
      </c>
      <c r="R607">
        <v>7560.04</v>
      </c>
      <c r="S607">
        <v>6448.05</v>
      </c>
      <c r="T607">
        <v>1111.99</v>
      </c>
      <c r="U607" t="s">
        <v>32</v>
      </c>
      <c r="V607" t="s">
        <v>68</v>
      </c>
      <c r="X607" s="8" t="str">
        <f>IF(C607&gt;=B607,"Valid", "Invalid-Date")</f>
        <v>Valid</v>
      </c>
      <c r="Y607" s="8" t="str">
        <f t="shared" si="82"/>
        <v>Invalid-Discount</v>
      </c>
      <c r="Z607" s="8" t="str">
        <f t="shared" si="83"/>
        <v>Pass</v>
      </c>
      <c r="AA607" s="8" t="str">
        <f t="shared" si="84"/>
        <v>Pass</v>
      </c>
      <c r="AB607" s="8" t="str">
        <f>TEXT(B607,"mmmm")</f>
        <v>July</v>
      </c>
      <c r="AC607" s="8" t="str">
        <f>TEXT(B607,"yyyy")</f>
        <v>2025</v>
      </c>
      <c r="AE607">
        <f t="shared" si="85"/>
        <v>8400.0499999999993</v>
      </c>
      <c r="AF607" s="11">
        <f t="shared" si="86"/>
        <v>1260.0075000000002</v>
      </c>
      <c r="AG607">
        <f t="shared" si="87"/>
        <v>1951.9999999999991</v>
      </c>
      <c r="AH607" s="11">
        <f t="shared" si="88"/>
        <v>0.23237956916923105</v>
      </c>
      <c r="AI607" s="44">
        <f t="shared" si="89"/>
        <v>0.23237956916923105</v>
      </c>
    </row>
    <row r="608" spans="1:35">
      <c r="A608" t="s">
        <v>1910</v>
      </c>
      <c r="B608" s="5">
        <v>45710</v>
      </c>
      <c r="C608" s="5">
        <v>45716</v>
      </c>
      <c r="D608" s="13">
        <f t="shared" si="81"/>
        <v>6</v>
      </c>
      <c r="E608" t="s">
        <v>1911</v>
      </c>
      <c r="F608" t="s">
        <v>118</v>
      </c>
      <c r="G608" t="s">
        <v>95</v>
      </c>
      <c r="H608" t="s">
        <v>63</v>
      </c>
      <c r="I608" t="s">
        <v>72</v>
      </c>
      <c r="J608" t="s">
        <v>73</v>
      </c>
      <c r="K608" t="s">
        <v>74</v>
      </c>
      <c r="L608" t="s">
        <v>80</v>
      </c>
      <c r="M608" t="s">
        <v>1912</v>
      </c>
      <c r="N608" t="s">
        <v>44</v>
      </c>
      <c r="O608">
        <v>3</v>
      </c>
      <c r="P608">
        <v>3890.81</v>
      </c>
      <c r="Q608" s="11">
        <v>0.25</v>
      </c>
      <c r="R608">
        <v>8754.32</v>
      </c>
      <c r="S608">
        <v>6238.9</v>
      </c>
      <c r="T608">
        <v>2515.42</v>
      </c>
      <c r="U608" t="s">
        <v>32</v>
      </c>
      <c r="V608" t="s">
        <v>33</v>
      </c>
      <c r="X608" s="8" t="str">
        <f>IF(C608&gt;=B608,"Valid", "Invalid-Date")</f>
        <v>Valid</v>
      </c>
      <c r="Y608" s="8" t="str">
        <f t="shared" si="82"/>
        <v>Valid</v>
      </c>
      <c r="Z608" s="8" t="str">
        <f t="shared" si="83"/>
        <v>Pass</v>
      </c>
      <c r="AA608" s="8" t="str">
        <f t="shared" si="84"/>
        <v>Pass</v>
      </c>
      <c r="AB608" s="8" t="str">
        <f>TEXT(B608,"mmmm")</f>
        <v>February</v>
      </c>
      <c r="AC608" s="8" t="str">
        <f>TEXT(B608,"yyyy")</f>
        <v>2025</v>
      </c>
      <c r="AE608">
        <f t="shared" si="85"/>
        <v>11672.43</v>
      </c>
      <c r="AF608" s="11">
        <f t="shared" si="86"/>
        <v>8754.3225000000002</v>
      </c>
      <c r="AG608">
        <f t="shared" si="87"/>
        <v>5433.5300000000007</v>
      </c>
      <c r="AH608" s="11">
        <f t="shared" si="88"/>
        <v>0.46550118527161871</v>
      </c>
      <c r="AI608" s="44">
        <f t="shared" si="89"/>
        <v>0.46550118527161871</v>
      </c>
    </row>
    <row r="609" spans="1:35">
      <c r="A609" t="s">
        <v>1913</v>
      </c>
      <c r="B609" s="5">
        <v>45704</v>
      </c>
      <c r="C609" s="5">
        <v>45710</v>
      </c>
      <c r="D609" s="13">
        <f t="shared" si="81"/>
        <v>6</v>
      </c>
      <c r="E609" t="s">
        <v>1914</v>
      </c>
      <c r="F609" t="s">
        <v>132</v>
      </c>
      <c r="G609" t="s">
        <v>95</v>
      </c>
      <c r="H609" t="s">
        <v>38</v>
      </c>
      <c r="I609" t="s">
        <v>145</v>
      </c>
      <c r="J609" t="s">
        <v>146</v>
      </c>
      <c r="K609" t="s">
        <v>28</v>
      </c>
      <c r="L609" t="s">
        <v>124</v>
      </c>
      <c r="M609" t="s">
        <v>1915</v>
      </c>
      <c r="N609" t="s">
        <v>44</v>
      </c>
      <c r="O609">
        <v>5</v>
      </c>
      <c r="P609">
        <v>954.67</v>
      </c>
      <c r="Q609" s="11">
        <v>0.15</v>
      </c>
      <c r="R609">
        <v>4057.35</v>
      </c>
      <c r="S609">
        <v>2862.03</v>
      </c>
      <c r="T609">
        <v>1195.32</v>
      </c>
      <c r="U609" t="s">
        <v>32</v>
      </c>
      <c r="V609" t="s">
        <v>33</v>
      </c>
      <c r="X609" s="8" t="str">
        <f>IF(C609&gt;=B609,"Valid", "Invalid-Date")</f>
        <v>Valid</v>
      </c>
      <c r="Y609" s="8" t="str">
        <f t="shared" si="82"/>
        <v>Valid</v>
      </c>
      <c r="Z609" s="8" t="str">
        <f t="shared" si="83"/>
        <v>Pass</v>
      </c>
      <c r="AA609" s="8" t="str">
        <f t="shared" si="84"/>
        <v>Pass</v>
      </c>
      <c r="AB609" s="8" t="str">
        <f>TEXT(B609,"mmmm")</f>
        <v>February</v>
      </c>
      <c r="AC609" s="8" t="str">
        <f>TEXT(B609,"yyyy")</f>
        <v>2025</v>
      </c>
      <c r="AE609">
        <f t="shared" si="85"/>
        <v>4773.3499999999995</v>
      </c>
      <c r="AF609" s="11">
        <f t="shared" si="86"/>
        <v>4057.3474999999994</v>
      </c>
      <c r="AG609">
        <f t="shared" si="87"/>
        <v>1911.3199999999993</v>
      </c>
      <c r="AH609" s="11">
        <f t="shared" si="88"/>
        <v>0.40041480302093907</v>
      </c>
      <c r="AI609" s="44">
        <f t="shared" si="89"/>
        <v>0.40041480302093907</v>
      </c>
    </row>
    <row r="610" spans="1:35">
      <c r="A610" t="s">
        <v>1916</v>
      </c>
      <c r="B610" s="5">
        <v>45464</v>
      </c>
      <c r="C610" s="5">
        <v>45466</v>
      </c>
      <c r="D610" s="13">
        <f t="shared" si="81"/>
        <v>2</v>
      </c>
      <c r="E610" t="s">
        <v>1693</v>
      </c>
      <c r="F610" t="s">
        <v>23</v>
      </c>
      <c r="G610" t="s">
        <v>95</v>
      </c>
      <c r="H610" t="s">
        <v>63</v>
      </c>
      <c r="I610" t="s">
        <v>190</v>
      </c>
      <c r="J610" t="s">
        <v>191</v>
      </c>
      <c r="K610" t="s">
        <v>41</v>
      </c>
      <c r="L610" t="s">
        <v>57</v>
      </c>
      <c r="M610" t="s">
        <v>1917</v>
      </c>
      <c r="N610" t="s">
        <v>31</v>
      </c>
      <c r="O610">
        <v>9</v>
      </c>
      <c r="P610">
        <v>2153.75</v>
      </c>
      <c r="Q610" s="11">
        <v>0</v>
      </c>
      <c r="R610">
        <v>19383.75</v>
      </c>
      <c r="S610">
        <v>11667.43</v>
      </c>
      <c r="T610">
        <v>7716.32</v>
      </c>
      <c r="U610" t="s">
        <v>32</v>
      </c>
      <c r="V610" t="s">
        <v>33</v>
      </c>
      <c r="X610" s="8" t="str">
        <f>IF(C610&gt;=B610,"Valid", "Invalid-Date")</f>
        <v>Valid</v>
      </c>
      <c r="Y610" s="8" t="str">
        <f t="shared" si="82"/>
        <v>Valid</v>
      </c>
      <c r="Z610" s="8" t="str">
        <f t="shared" si="83"/>
        <v>Pass</v>
      </c>
      <c r="AA610" s="8" t="str">
        <f t="shared" si="84"/>
        <v>Pass</v>
      </c>
      <c r="AB610" s="8" t="str">
        <f>TEXT(B610,"mmmm")</f>
        <v>June</v>
      </c>
      <c r="AC610" s="8" t="str">
        <f>TEXT(B610,"yyyy")</f>
        <v>2024</v>
      </c>
      <c r="AE610">
        <f t="shared" si="85"/>
        <v>19383.75</v>
      </c>
      <c r="AF610" s="11">
        <f t="shared" si="86"/>
        <v>19383.75</v>
      </c>
      <c r="AG610">
        <f t="shared" si="87"/>
        <v>7716.32</v>
      </c>
      <c r="AH610" s="11">
        <f t="shared" si="88"/>
        <v>0.39808189849745274</v>
      </c>
      <c r="AI610" s="44">
        <f t="shared" si="89"/>
        <v>0.39808189849745274</v>
      </c>
    </row>
    <row r="611" spans="1:35">
      <c r="A611" t="s">
        <v>1918</v>
      </c>
      <c r="B611" s="5">
        <v>45665</v>
      </c>
      <c r="C611" s="5">
        <v>45669</v>
      </c>
      <c r="D611" s="13">
        <f t="shared" si="81"/>
        <v>4</v>
      </c>
      <c r="E611" t="s">
        <v>1919</v>
      </c>
      <c r="F611" t="s">
        <v>132</v>
      </c>
      <c r="G611" t="s">
        <v>95</v>
      </c>
      <c r="H611" t="s">
        <v>54</v>
      </c>
      <c r="I611" t="s">
        <v>175</v>
      </c>
      <c r="J611" t="s">
        <v>176</v>
      </c>
      <c r="K611" t="s">
        <v>41</v>
      </c>
      <c r="L611" t="s">
        <v>66</v>
      </c>
      <c r="M611" t="s">
        <v>1920</v>
      </c>
      <c r="N611" t="s">
        <v>59</v>
      </c>
      <c r="O611">
        <v>7</v>
      </c>
      <c r="P611">
        <v>4337.4799999999996</v>
      </c>
      <c r="Q611" s="11">
        <v>0</v>
      </c>
      <c r="R611">
        <v>30362.36</v>
      </c>
      <c r="S611">
        <v>25065.4</v>
      </c>
      <c r="T611">
        <v>5296.96</v>
      </c>
      <c r="U611" t="s">
        <v>32</v>
      </c>
      <c r="V611" t="s">
        <v>33</v>
      </c>
      <c r="X611" s="8" t="str">
        <f>IF(C611&gt;=B611,"Valid", "Invalid-Date")</f>
        <v>Valid</v>
      </c>
      <c r="Y611" s="8" t="str">
        <f t="shared" si="82"/>
        <v>Valid</v>
      </c>
      <c r="Z611" s="8" t="str">
        <f t="shared" si="83"/>
        <v>Pass</v>
      </c>
      <c r="AA611" s="8" t="str">
        <f t="shared" si="84"/>
        <v>Pass</v>
      </c>
      <c r="AB611" s="8" t="str">
        <f>TEXT(B611,"mmmm")</f>
        <v>January</v>
      </c>
      <c r="AC611" s="8" t="str">
        <f>TEXT(B611,"yyyy")</f>
        <v>2025</v>
      </c>
      <c r="AE611">
        <f t="shared" si="85"/>
        <v>30362.359999999997</v>
      </c>
      <c r="AF611" s="11">
        <f t="shared" si="86"/>
        <v>30362.359999999997</v>
      </c>
      <c r="AG611">
        <f t="shared" si="87"/>
        <v>5296.9599999999955</v>
      </c>
      <c r="AH611" s="11">
        <f t="shared" si="88"/>
        <v>0.17445811195177174</v>
      </c>
      <c r="AI611" s="44">
        <f t="shared" si="89"/>
        <v>0.17445811195177174</v>
      </c>
    </row>
    <row r="612" spans="1:35">
      <c r="A612" t="s">
        <v>1921</v>
      </c>
      <c r="B612" s="5">
        <v>45432</v>
      </c>
      <c r="C612" s="5">
        <v>45432</v>
      </c>
      <c r="D612" s="13">
        <f t="shared" si="81"/>
        <v>0</v>
      </c>
      <c r="E612" t="s">
        <v>1365</v>
      </c>
      <c r="F612" t="s">
        <v>23</v>
      </c>
      <c r="G612" t="s">
        <v>95</v>
      </c>
      <c r="H612" t="s">
        <v>63</v>
      </c>
      <c r="I612" t="s">
        <v>72</v>
      </c>
      <c r="J612" t="s">
        <v>73</v>
      </c>
      <c r="K612" t="s">
        <v>41</v>
      </c>
      <c r="L612" t="s">
        <v>66</v>
      </c>
      <c r="M612" t="s">
        <v>1922</v>
      </c>
      <c r="N612" t="s">
        <v>59</v>
      </c>
      <c r="O612">
        <v>1</v>
      </c>
      <c r="P612">
        <v>3032.95</v>
      </c>
      <c r="Q612" s="11">
        <v>0.1</v>
      </c>
      <c r="R612">
        <v>2729.65</v>
      </c>
      <c r="S612">
        <v>1715.36</v>
      </c>
      <c r="T612">
        <v>1014.29</v>
      </c>
      <c r="U612" t="s">
        <v>32</v>
      </c>
      <c r="V612" t="s">
        <v>33</v>
      </c>
      <c r="X612" s="8" t="str">
        <f>IF(C612&gt;=B612,"Valid", "Invalid-Date")</f>
        <v>Valid</v>
      </c>
      <c r="Y612" s="8" t="str">
        <f t="shared" si="82"/>
        <v>Valid</v>
      </c>
      <c r="Z612" s="8" t="str">
        <f t="shared" si="83"/>
        <v>Pass</v>
      </c>
      <c r="AA612" s="8" t="str">
        <f t="shared" si="84"/>
        <v>Pass</v>
      </c>
      <c r="AB612" s="8" t="str">
        <f>TEXT(B612,"mmmm")</f>
        <v>May</v>
      </c>
      <c r="AC612" s="8" t="str">
        <f>TEXT(B612,"yyyy")</f>
        <v>2024</v>
      </c>
      <c r="AE612">
        <f t="shared" si="85"/>
        <v>3032.95</v>
      </c>
      <c r="AF612" s="11">
        <f t="shared" si="86"/>
        <v>2729.6549999999997</v>
      </c>
      <c r="AG612">
        <f t="shared" si="87"/>
        <v>1317.59</v>
      </c>
      <c r="AH612" s="11">
        <f t="shared" si="88"/>
        <v>0.4344252295619776</v>
      </c>
      <c r="AI612" s="44">
        <f t="shared" si="89"/>
        <v>0.4344252295619776</v>
      </c>
    </row>
    <row r="613" spans="1:35">
      <c r="A613" t="s">
        <v>1923</v>
      </c>
      <c r="B613" s="5">
        <v>45846</v>
      </c>
      <c r="C613" s="5">
        <v>45853</v>
      </c>
      <c r="D613" s="13">
        <f t="shared" si="81"/>
        <v>7</v>
      </c>
      <c r="E613" t="s">
        <v>1924</v>
      </c>
      <c r="F613" t="s">
        <v>62</v>
      </c>
      <c r="G613" t="s">
        <v>37</v>
      </c>
      <c r="H613" t="s">
        <v>25</v>
      </c>
      <c r="I613" t="s">
        <v>26</v>
      </c>
      <c r="J613" t="s">
        <v>27</v>
      </c>
      <c r="K613" t="s">
        <v>28</v>
      </c>
      <c r="L613" t="s">
        <v>153</v>
      </c>
      <c r="M613" t="s">
        <v>1925</v>
      </c>
      <c r="N613" t="s">
        <v>44</v>
      </c>
      <c r="O613">
        <v>8</v>
      </c>
      <c r="P613">
        <v>655.28</v>
      </c>
      <c r="Q613" s="11">
        <v>0.1</v>
      </c>
      <c r="R613">
        <v>4718.0200000000004</v>
      </c>
      <c r="S613">
        <v>3908.23</v>
      </c>
      <c r="T613">
        <v>809.79</v>
      </c>
      <c r="U613" t="s">
        <v>32</v>
      </c>
      <c r="V613" t="s">
        <v>33</v>
      </c>
      <c r="X613" s="8" t="str">
        <f>IF(C613&gt;=B613,"Valid", "Invalid-Date")</f>
        <v>Valid</v>
      </c>
      <c r="Y613" s="8" t="str">
        <f t="shared" si="82"/>
        <v>Valid</v>
      </c>
      <c r="Z613" s="8" t="str">
        <f t="shared" si="83"/>
        <v>Pass</v>
      </c>
      <c r="AA613" s="8" t="str">
        <f t="shared" si="84"/>
        <v>Pass</v>
      </c>
      <c r="AB613" s="8" t="str">
        <f>TEXT(B613,"mmmm")</f>
        <v>July</v>
      </c>
      <c r="AC613" s="8" t="str">
        <f>TEXT(B613,"yyyy")</f>
        <v>2025</v>
      </c>
      <c r="AE613">
        <f t="shared" si="85"/>
        <v>5242.24</v>
      </c>
      <c r="AF613" s="11">
        <f t="shared" si="86"/>
        <v>4718.0159999999996</v>
      </c>
      <c r="AG613">
        <f t="shared" si="87"/>
        <v>1334.0099999999998</v>
      </c>
      <c r="AH613" s="11">
        <f t="shared" si="88"/>
        <v>0.25447327859846169</v>
      </c>
      <c r="AI613" s="44">
        <f t="shared" si="89"/>
        <v>0.25447327859846169</v>
      </c>
    </row>
    <row r="614" spans="1:35">
      <c r="A614" t="s">
        <v>1926</v>
      </c>
      <c r="B614" s="5">
        <v>45753</v>
      </c>
      <c r="C614" s="5">
        <v>45760</v>
      </c>
      <c r="D614" s="13">
        <f t="shared" si="81"/>
        <v>7</v>
      </c>
      <c r="E614" t="s">
        <v>1927</v>
      </c>
      <c r="F614" t="s">
        <v>89</v>
      </c>
      <c r="G614" t="s">
        <v>24</v>
      </c>
      <c r="H614" t="s">
        <v>2785</v>
      </c>
      <c r="I614" t="s">
        <v>39</v>
      </c>
      <c r="J614" t="s">
        <v>40</v>
      </c>
      <c r="K614" t="s">
        <v>74</v>
      </c>
      <c r="L614" t="s">
        <v>171</v>
      </c>
      <c r="M614" t="s">
        <v>1928</v>
      </c>
      <c r="N614" t="s">
        <v>59</v>
      </c>
      <c r="O614">
        <v>1</v>
      </c>
      <c r="P614">
        <v>3844.01</v>
      </c>
      <c r="Q614" s="11">
        <v>0</v>
      </c>
      <c r="R614">
        <v>3844.01</v>
      </c>
      <c r="S614">
        <v>2195.79</v>
      </c>
      <c r="T614">
        <v>1648.22</v>
      </c>
      <c r="U614" t="s">
        <v>32</v>
      </c>
      <c r="V614" t="s">
        <v>33</v>
      </c>
      <c r="X614" s="8" t="str">
        <f>IF(C614&gt;=B614,"Valid", "Invalid-Date")</f>
        <v>Valid</v>
      </c>
      <c r="Y614" s="8" t="str">
        <f t="shared" si="82"/>
        <v>Valid</v>
      </c>
      <c r="Z614" s="8" t="str">
        <f t="shared" si="83"/>
        <v>Pass</v>
      </c>
      <c r="AA614" s="8" t="str">
        <f t="shared" si="84"/>
        <v>Flagged</v>
      </c>
      <c r="AB614" s="8" t="str">
        <f>TEXT(B614,"mmmm")</f>
        <v>April</v>
      </c>
      <c r="AC614" s="8" t="str">
        <f>TEXT(B614,"yyyy")</f>
        <v>2025</v>
      </c>
      <c r="AE614">
        <f t="shared" si="85"/>
        <v>3844.01</v>
      </c>
      <c r="AF614" s="11">
        <f t="shared" si="86"/>
        <v>3844.01</v>
      </c>
      <c r="AG614">
        <f t="shared" si="87"/>
        <v>1648.2200000000003</v>
      </c>
      <c r="AH614" s="11">
        <f t="shared" si="88"/>
        <v>0.42877619985379856</v>
      </c>
      <c r="AI614" s="44">
        <f t="shared" si="89"/>
        <v>0.42877619985379856</v>
      </c>
    </row>
    <row r="615" spans="1:35">
      <c r="A615" t="s">
        <v>1929</v>
      </c>
      <c r="B615" s="5">
        <v>45570</v>
      </c>
      <c r="C615" s="5">
        <v>45575</v>
      </c>
      <c r="D615" s="13">
        <f t="shared" si="81"/>
        <v>5</v>
      </c>
      <c r="E615" t="s">
        <v>1930</v>
      </c>
      <c r="F615" t="s">
        <v>162</v>
      </c>
      <c r="G615" t="s">
        <v>95</v>
      </c>
      <c r="H615" t="s">
        <v>63</v>
      </c>
      <c r="I615" t="s">
        <v>180</v>
      </c>
      <c r="J615" t="s">
        <v>181</v>
      </c>
      <c r="K615" t="s">
        <v>74</v>
      </c>
      <c r="L615" t="s">
        <v>274</v>
      </c>
      <c r="M615" t="s">
        <v>1931</v>
      </c>
      <c r="N615" t="s">
        <v>44</v>
      </c>
      <c r="O615">
        <v>9</v>
      </c>
      <c r="P615">
        <v>3361.3</v>
      </c>
      <c r="Q615" s="11">
        <v>0.25</v>
      </c>
      <c r="R615">
        <v>22688.78</v>
      </c>
      <c r="S615">
        <v>14672.41</v>
      </c>
      <c r="T615">
        <v>8016.37</v>
      </c>
      <c r="U615" t="s">
        <v>32</v>
      </c>
      <c r="V615" t="s">
        <v>33</v>
      </c>
      <c r="X615" s="8" t="str">
        <f>IF(C615&gt;=B615,"Valid", "Invalid-Date")</f>
        <v>Valid</v>
      </c>
      <c r="Y615" s="8" t="str">
        <f t="shared" si="82"/>
        <v>Valid</v>
      </c>
      <c r="Z615" s="8" t="str">
        <f t="shared" si="83"/>
        <v>Pass</v>
      </c>
      <c r="AA615" s="8" t="str">
        <f t="shared" si="84"/>
        <v>Pass</v>
      </c>
      <c r="AB615" s="8" t="str">
        <f>TEXT(B615,"mmmm")</f>
        <v>October</v>
      </c>
      <c r="AC615" s="8" t="str">
        <f>TEXT(B615,"yyyy")</f>
        <v>2024</v>
      </c>
      <c r="AE615">
        <f t="shared" si="85"/>
        <v>30251.7</v>
      </c>
      <c r="AF615" s="11">
        <f t="shared" si="86"/>
        <v>22688.775000000001</v>
      </c>
      <c r="AG615">
        <f t="shared" si="87"/>
        <v>15579.29</v>
      </c>
      <c r="AH615" s="11">
        <f t="shared" si="88"/>
        <v>0.51498890971416489</v>
      </c>
      <c r="AI615" s="44">
        <f t="shared" si="89"/>
        <v>0.51498890971416489</v>
      </c>
    </row>
    <row r="616" spans="1:35">
      <c r="A616" t="s">
        <v>1932</v>
      </c>
      <c r="B616" s="5">
        <v>45333</v>
      </c>
      <c r="C616" s="5">
        <v>45341</v>
      </c>
      <c r="D616" s="13">
        <f t="shared" si="81"/>
        <v>8</v>
      </c>
      <c r="E616" t="s">
        <v>1933</v>
      </c>
      <c r="F616" t="s">
        <v>62</v>
      </c>
      <c r="G616" t="s">
        <v>95</v>
      </c>
      <c r="H616" t="s">
        <v>54</v>
      </c>
      <c r="I616" t="s">
        <v>55</v>
      </c>
      <c r="J616" t="s">
        <v>56</v>
      </c>
      <c r="K616" t="s">
        <v>41</v>
      </c>
      <c r="L616" t="s">
        <v>66</v>
      </c>
      <c r="M616" t="s">
        <v>1934</v>
      </c>
      <c r="N616" t="s">
        <v>59</v>
      </c>
      <c r="O616">
        <v>8</v>
      </c>
      <c r="P616">
        <v>3398.32</v>
      </c>
      <c r="Q616" s="11">
        <v>0.25</v>
      </c>
      <c r="R616">
        <v>20389.919999999998</v>
      </c>
      <c r="S616">
        <v>16661.080000000002</v>
      </c>
      <c r="T616">
        <v>3728.84</v>
      </c>
      <c r="U616" t="s">
        <v>102</v>
      </c>
      <c r="V616" t="s">
        <v>68</v>
      </c>
      <c r="X616" s="8" t="str">
        <f>IF(C616&gt;=B616,"Valid", "Invalid-Date")</f>
        <v>Valid</v>
      </c>
      <c r="Y616" s="8" t="str">
        <f t="shared" si="82"/>
        <v>Valid</v>
      </c>
      <c r="Z616" s="8" t="str">
        <f t="shared" si="83"/>
        <v>Pass</v>
      </c>
      <c r="AA616" s="8" t="str">
        <f t="shared" si="84"/>
        <v>Pass</v>
      </c>
      <c r="AB616" s="8" t="str">
        <f>TEXT(B616,"mmmm")</f>
        <v>February</v>
      </c>
      <c r="AC616" s="8" t="str">
        <f>TEXT(B616,"yyyy")</f>
        <v>2024</v>
      </c>
      <c r="AE616">
        <f t="shared" si="85"/>
        <v>27186.560000000001</v>
      </c>
      <c r="AF616" s="11">
        <f t="shared" si="86"/>
        <v>20389.920000000002</v>
      </c>
      <c r="AG616">
        <f t="shared" si="87"/>
        <v>10525.48</v>
      </c>
      <c r="AH616" s="11">
        <f t="shared" si="88"/>
        <v>0.38715747781256615</v>
      </c>
      <c r="AI616" s="44">
        <f t="shared" si="89"/>
        <v>0.38715747781256615</v>
      </c>
    </row>
    <row r="617" spans="1:35">
      <c r="A617" t="s">
        <v>1935</v>
      </c>
      <c r="B617" s="5">
        <v>45569</v>
      </c>
      <c r="C617" s="5">
        <v>45483</v>
      </c>
      <c r="D617" s="13">
        <f t="shared" si="81"/>
        <v>-86</v>
      </c>
      <c r="E617" t="s">
        <v>1936</v>
      </c>
      <c r="F617" t="s">
        <v>118</v>
      </c>
      <c r="G617" t="s">
        <v>90</v>
      </c>
      <c r="H617" t="s">
        <v>54</v>
      </c>
      <c r="I617" t="s">
        <v>185</v>
      </c>
      <c r="J617" t="s">
        <v>186</v>
      </c>
      <c r="K617" t="s">
        <v>28</v>
      </c>
      <c r="L617" t="s">
        <v>48</v>
      </c>
      <c r="M617" t="s">
        <v>1937</v>
      </c>
      <c r="N617" t="s">
        <v>31</v>
      </c>
      <c r="O617">
        <v>2</v>
      </c>
      <c r="P617">
        <v>3144.38</v>
      </c>
      <c r="Q617" s="11">
        <v>0.1</v>
      </c>
      <c r="R617">
        <v>5904.57</v>
      </c>
      <c r="S617">
        <v>4337.79</v>
      </c>
      <c r="T617">
        <v>1322.09</v>
      </c>
      <c r="U617" t="s">
        <v>32</v>
      </c>
      <c r="V617" t="s">
        <v>33</v>
      </c>
      <c r="X617" s="8" t="str">
        <f>IF(C617&gt;=B617,"Valid", "Invalid-Date")</f>
        <v>Invalid-Date</v>
      </c>
      <c r="Y617" s="8" t="str">
        <f t="shared" si="82"/>
        <v>Valid</v>
      </c>
      <c r="Z617" s="8" t="str">
        <f t="shared" si="83"/>
        <v>Pass</v>
      </c>
      <c r="AA617" s="8" t="str">
        <f t="shared" si="84"/>
        <v>Pass</v>
      </c>
      <c r="AB617" s="8" t="str">
        <f>TEXT(B617,"mmmm")</f>
        <v>October</v>
      </c>
      <c r="AC617" s="8" t="str">
        <f>TEXT(B617,"yyyy")</f>
        <v>2024</v>
      </c>
      <c r="AE617">
        <f t="shared" si="85"/>
        <v>6288.76</v>
      </c>
      <c r="AF617" s="11">
        <f t="shared" si="86"/>
        <v>5659.884</v>
      </c>
      <c r="AG617">
        <f t="shared" si="87"/>
        <v>1950.9700000000003</v>
      </c>
      <c r="AH617" s="11">
        <f t="shared" si="88"/>
        <v>0.31023126975747212</v>
      </c>
      <c r="AI617" s="44">
        <f t="shared" si="89"/>
        <v>0.31023126975747212</v>
      </c>
    </row>
    <row r="618" spans="1:35">
      <c r="A618" t="s">
        <v>1938</v>
      </c>
      <c r="B618" s="5">
        <v>45520</v>
      </c>
      <c r="C618" s="5">
        <v>45523</v>
      </c>
      <c r="D618" s="13">
        <f t="shared" si="81"/>
        <v>3</v>
      </c>
      <c r="E618" t="s">
        <v>1939</v>
      </c>
      <c r="F618" t="s">
        <v>264</v>
      </c>
      <c r="G618" t="s">
        <v>24</v>
      </c>
      <c r="H618" t="s">
        <v>54</v>
      </c>
      <c r="I618" t="s">
        <v>55</v>
      </c>
      <c r="J618" t="s">
        <v>56</v>
      </c>
      <c r="K618" t="s">
        <v>28</v>
      </c>
      <c r="L618" t="s">
        <v>29</v>
      </c>
      <c r="M618" t="s">
        <v>1940</v>
      </c>
      <c r="N618" t="s">
        <v>59</v>
      </c>
      <c r="O618">
        <v>6</v>
      </c>
      <c r="P618">
        <v>3925.55</v>
      </c>
      <c r="Q618" s="11">
        <v>0.2</v>
      </c>
      <c r="R618">
        <v>18842.64</v>
      </c>
      <c r="S618">
        <v>11840.58</v>
      </c>
      <c r="T618">
        <v>7002.06</v>
      </c>
      <c r="U618" t="s">
        <v>32</v>
      </c>
      <c r="V618" t="s">
        <v>33</v>
      </c>
      <c r="X618" s="8" t="str">
        <f>IF(C618&gt;=B618,"Valid", "Invalid-Date")</f>
        <v>Valid</v>
      </c>
      <c r="Y618" s="8" t="str">
        <f t="shared" si="82"/>
        <v>Valid</v>
      </c>
      <c r="Z618" s="8" t="str">
        <f t="shared" si="83"/>
        <v>Pass</v>
      </c>
      <c r="AA618" s="8" t="str">
        <f t="shared" si="84"/>
        <v>Pass</v>
      </c>
      <c r="AB618" s="8" t="str">
        <f>TEXT(B618,"mmmm")</f>
        <v>August</v>
      </c>
      <c r="AC618" s="8" t="str">
        <f>TEXT(B618,"yyyy")</f>
        <v>2024</v>
      </c>
      <c r="AE618">
        <f t="shared" si="85"/>
        <v>23553.300000000003</v>
      </c>
      <c r="AF618" s="11">
        <f t="shared" si="86"/>
        <v>18842.640000000003</v>
      </c>
      <c r="AG618">
        <f t="shared" si="87"/>
        <v>11712.720000000003</v>
      </c>
      <c r="AH618" s="11">
        <f t="shared" si="88"/>
        <v>0.49728573066194554</v>
      </c>
      <c r="AI618" s="44">
        <f t="shared" si="89"/>
        <v>0.49728573066194554</v>
      </c>
    </row>
    <row r="619" spans="1:35">
      <c r="A619" t="s">
        <v>1941</v>
      </c>
      <c r="B619" s="5">
        <v>45564</v>
      </c>
      <c r="C619" s="5">
        <v>45565</v>
      </c>
      <c r="D619" s="13">
        <f t="shared" si="81"/>
        <v>1</v>
      </c>
      <c r="E619" t="s">
        <v>1942</v>
      </c>
      <c r="F619" t="s">
        <v>36</v>
      </c>
      <c r="G619" t="s">
        <v>95</v>
      </c>
      <c r="H619" t="s">
        <v>54</v>
      </c>
      <c r="I619" t="s">
        <v>55</v>
      </c>
      <c r="J619" t="s">
        <v>56</v>
      </c>
      <c r="K619" t="s">
        <v>74</v>
      </c>
      <c r="L619" t="s">
        <v>171</v>
      </c>
      <c r="M619" t="s">
        <v>1943</v>
      </c>
      <c r="N619" t="s">
        <v>59</v>
      </c>
      <c r="O619">
        <v>9</v>
      </c>
      <c r="P619">
        <v>2741.91</v>
      </c>
      <c r="Q619" s="11">
        <v>0</v>
      </c>
      <c r="R619">
        <v>24677.19</v>
      </c>
      <c r="S619">
        <v>20350.849999999999</v>
      </c>
      <c r="T619">
        <v>4326.34</v>
      </c>
      <c r="U619" t="s">
        <v>32</v>
      </c>
      <c r="V619" t="s">
        <v>33</v>
      </c>
      <c r="X619" s="8" t="str">
        <f>IF(C619&gt;=B619,"Valid", "Invalid-Date")</f>
        <v>Valid</v>
      </c>
      <c r="Y619" s="8" t="str">
        <f t="shared" si="82"/>
        <v>Valid</v>
      </c>
      <c r="Z619" s="8" t="str">
        <f t="shared" si="83"/>
        <v>Pass</v>
      </c>
      <c r="AA619" s="8" t="str">
        <f t="shared" si="84"/>
        <v>Pass</v>
      </c>
      <c r="AB619" s="8" t="str">
        <f>TEXT(B619,"mmmm")</f>
        <v>September</v>
      </c>
      <c r="AC619" s="8" t="str">
        <f>TEXT(B619,"yyyy")</f>
        <v>2024</v>
      </c>
      <c r="AE619">
        <f t="shared" si="85"/>
        <v>24677.19</v>
      </c>
      <c r="AF619" s="11">
        <f t="shared" si="86"/>
        <v>24677.19</v>
      </c>
      <c r="AG619">
        <f t="shared" si="87"/>
        <v>4326.34</v>
      </c>
      <c r="AH619" s="11">
        <f t="shared" si="88"/>
        <v>0.17531736798233513</v>
      </c>
      <c r="AI619" s="44">
        <f t="shared" si="89"/>
        <v>0.17531736798233513</v>
      </c>
    </row>
    <row r="620" spans="1:35">
      <c r="A620" t="s">
        <v>1944</v>
      </c>
      <c r="B620" s="5">
        <v>45496</v>
      </c>
      <c r="C620" s="5">
        <v>45503</v>
      </c>
      <c r="D620" s="13">
        <f t="shared" si="81"/>
        <v>7</v>
      </c>
      <c r="E620" t="s">
        <v>1945</v>
      </c>
      <c r="F620" t="s">
        <v>264</v>
      </c>
      <c r="G620" t="s">
        <v>90</v>
      </c>
      <c r="H620" t="s">
        <v>25</v>
      </c>
      <c r="I620" t="s">
        <v>26</v>
      </c>
      <c r="J620" t="s">
        <v>27</v>
      </c>
      <c r="K620" t="s">
        <v>41</v>
      </c>
      <c r="L620" t="s">
        <v>42</v>
      </c>
      <c r="M620" t="s">
        <v>1946</v>
      </c>
      <c r="N620" t="s">
        <v>44</v>
      </c>
      <c r="O620">
        <v>9</v>
      </c>
      <c r="P620">
        <v>1870.11</v>
      </c>
      <c r="Q620" s="11">
        <v>0.25</v>
      </c>
      <c r="R620">
        <v>12623.24</v>
      </c>
      <c r="S620">
        <v>10540.8</v>
      </c>
      <c r="T620">
        <v>2082.44</v>
      </c>
      <c r="U620" t="s">
        <v>155</v>
      </c>
      <c r="V620" t="s">
        <v>68</v>
      </c>
      <c r="X620" s="8" t="str">
        <f>IF(C620&gt;=B620,"Valid", "Invalid-Date")</f>
        <v>Valid</v>
      </c>
      <c r="Y620" s="8" t="str">
        <f t="shared" si="82"/>
        <v>Valid</v>
      </c>
      <c r="Z620" s="8" t="str">
        <f t="shared" si="83"/>
        <v>Pass</v>
      </c>
      <c r="AA620" s="8" t="str">
        <f t="shared" si="84"/>
        <v>Pass</v>
      </c>
      <c r="AB620" s="8" t="str">
        <f>TEXT(B620,"mmmm")</f>
        <v>July</v>
      </c>
      <c r="AC620" s="8" t="str">
        <f>TEXT(B620,"yyyy")</f>
        <v>2024</v>
      </c>
      <c r="AE620">
        <f t="shared" si="85"/>
        <v>16830.989999999998</v>
      </c>
      <c r="AF620" s="11">
        <f t="shared" si="86"/>
        <v>12623.242499999998</v>
      </c>
      <c r="AG620">
        <f t="shared" si="87"/>
        <v>6290.1899999999987</v>
      </c>
      <c r="AH620" s="11">
        <f t="shared" si="88"/>
        <v>0.37372667917929958</v>
      </c>
      <c r="AI620" s="44">
        <f t="shared" si="89"/>
        <v>0.37372667917929958</v>
      </c>
    </row>
    <row r="621" spans="1:35">
      <c r="A621" t="s">
        <v>1947</v>
      </c>
      <c r="B621" s="5">
        <v>45618</v>
      </c>
      <c r="C621" s="5">
        <v>45623</v>
      </c>
      <c r="D621" s="13">
        <f t="shared" si="81"/>
        <v>5</v>
      </c>
      <c r="E621" t="s">
        <v>1948</v>
      </c>
      <c r="F621" t="s">
        <v>114</v>
      </c>
      <c r="G621" t="s">
        <v>90</v>
      </c>
      <c r="H621" t="s">
        <v>54</v>
      </c>
      <c r="I621" t="s">
        <v>247</v>
      </c>
      <c r="J621" t="s">
        <v>248</v>
      </c>
      <c r="K621" t="s">
        <v>28</v>
      </c>
      <c r="L621" t="s">
        <v>153</v>
      </c>
      <c r="M621" t="s">
        <v>1949</v>
      </c>
      <c r="N621" t="s">
        <v>50</v>
      </c>
      <c r="O621">
        <v>1</v>
      </c>
      <c r="P621">
        <v>4251.26</v>
      </c>
      <c r="Q621" s="11">
        <v>0.2</v>
      </c>
      <c r="R621">
        <v>3401.01</v>
      </c>
      <c r="S621">
        <v>2917.54</v>
      </c>
      <c r="T621">
        <v>483.47</v>
      </c>
      <c r="U621" t="s">
        <v>102</v>
      </c>
      <c r="V621" t="s">
        <v>103</v>
      </c>
      <c r="X621" s="8" t="str">
        <f>IF(C621&gt;=B621,"Valid", "Invalid-Date")</f>
        <v>Valid</v>
      </c>
      <c r="Y621" s="8" t="str">
        <f t="shared" si="82"/>
        <v>Valid</v>
      </c>
      <c r="Z621" s="8" t="str">
        <f t="shared" si="83"/>
        <v>Pass</v>
      </c>
      <c r="AA621" s="8" t="str">
        <f t="shared" si="84"/>
        <v>Pass</v>
      </c>
      <c r="AB621" s="8" t="str">
        <f>TEXT(B621,"mmmm")</f>
        <v>November</v>
      </c>
      <c r="AC621" s="8" t="str">
        <f>TEXT(B621,"yyyy")</f>
        <v>2024</v>
      </c>
      <c r="AE621">
        <f t="shared" si="85"/>
        <v>4251.26</v>
      </c>
      <c r="AF621" s="11">
        <f t="shared" si="86"/>
        <v>3401.0080000000003</v>
      </c>
      <c r="AG621">
        <f t="shared" si="87"/>
        <v>1333.7200000000003</v>
      </c>
      <c r="AH621" s="11">
        <f t="shared" si="88"/>
        <v>0.313723460809266</v>
      </c>
      <c r="AI621" s="44">
        <f t="shared" si="89"/>
        <v>0.313723460809266</v>
      </c>
    </row>
    <row r="622" spans="1:35">
      <c r="A622" t="s">
        <v>1950</v>
      </c>
      <c r="B622" s="5">
        <v>45522</v>
      </c>
      <c r="C622" s="5">
        <v>45525</v>
      </c>
      <c r="D622" s="13">
        <f t="shared" si="81"/>
        <v>3</v>
      </c>
      <c r="E622" t="s">
        <v>1951</v>
      </c>
      <c r="F622" t="s">
        <v>71</v>
      </c>
      <c r="G622" t="s">
        <v>24</v>
      </c>
      <c r="H622" t="s">
        <v>25</v>
      </c>
      <c r="I622" t="s">
        <v>136</v>
      </c>
      <c r="J622" t="s">
        <v>137</v>
      </c>
      <c r="K622" t="s">
        <v>74</v>
      </c>
      <c r="L622" t="s">
        <v>274</v>
      </c>
      <c r="M622" t="s">
        <v>1952</v>
      </c>
      <c r="N622" t="s">
        <v>59</v>
      </c>
      <c r="O622">
        <v>9</v>
      </c>
      <c r="P622">
        <v>734.34</v>
      </c>
      <c r="Q622" s="11">
        <v>0</v>
      </c>
      <c r="R622">
        <v>6609.06</v>
      </c>
      <c r="S622">
        <v>4946.78</v>
      </c>
      <c r="T622">
        <v>1662.28</v>
      </c>
      <c r="U622" t="s">
        <v>32</v>
      </c>
      <c r="V622" t="s">
        <v>33</v>
      </c>
      <c r="X622" s="8" t="str">
        <f>IF(C622&gt;=B622,"Valid", "Invalid-Date")</f>
        <v>Valid</v>
      </c>
      <c r="Y622" s="8" t="str">
        <f t="shared" si="82"/>
        <v>Valid</v>
      </c>
      <c r="Z622" s="8" t="str">
        <f t="shared" si="83"/>
        <v>Pass</v>
      </c>
      <c r="AA622" s="8" t="str">
        <f t="shared" si="84"/>
        <v>Pass</v>
      </c>
      <c r="AB622" s="8" t="str">
        <f>TEXT(B622,"mmmm")</f>
        <v>August</v>
      </c>
      <c r="AC622" s="8" t="str">
        <f>TEXT(B622,"yyyy")</f>
        <v>2024</v>
      </c>
      <c r="AE622">
        <f t="shared" si="85"/>
        <v>6609.06</v>
      </c>
      <c r="AF622" s="11">
        <f t="shared" si="86"/>
        <v>6609.06</v>
      </c>
      <c r="AG622">
        <f t="shared" si="87"/>
        <v>1662.2800000000007</v>
      </c>
      <c r="AH622" s="11">
        <f t="shared" si="88"/>
        <v>0.25151534408826681</v>
      </c>
      <c r="AI622" s="44">
        <f t="shared" si="89"/>
        <v>0.25151534408826681</v>
      </c>
    </row>
    <row r="623" spans="1:35">
      <c r="A623" t="s">
        <v>1953</v>
      </c>
      <c r="B623" s="5">
        <v>45624</v>
      </c>
      <c r="C623" s="5">
        <v>45632</v>
      </c>
      <c r="D623" s="13">
        <f t="shared" si="81"/>
        <v>8</v>
      </c>
      <c r="E623" t="s">
        <v>1954</v>
      </c>
      <c r="F623" t="s">
        <v>89</v>
      </c>
      <c r="G623" t="s">
        <v>24</v>
      </c>
      <c r="H623" t="s">
        <v>63</v>
      </c>
      <c r="I623" t="s">
        <v>64</v>
      </c>
      <c r="J623" t="s">
        <v>65</v>
      </c>
      <c r="K623" t="s">
        <v>41</v>
      </c>
      <c r="L623" t="s">
        <v>66</v>
      </c>
      <c r="M623" t="s">
        <v>1955</v>
      </c>
      <c r="N623" t="s">
        <v>44</v>
      </c>
      <c r="O623">
        <v>5</v>
      </c>
      <c r="P623">
        <v>1092.8399999999999</v>
      </c>
      <c r="Q623" s="11">
        <v>0</v>
      </c>
      <c r="R623">
        <v>5464.2</v>
      </c>
      <c r="S623">
        <v>3318.09</v>
      </c>
      <c r="T623">
        <v>2146.11</v>
      </c>
      <c r="U623" t="s">
        <v>32</v>
      </c>
      <c r="V623" t="s">
        <v>33</v>
      </c>
      <c r="X623" s="8" t="str">
        <f>IF(C623&gt;=B623,"Valid", "Invalid-Date")</f>
        <v>Valid</v>
      </c>
      <c r="Y623" s="8" t="str">
        <f t="shared" si="82"/>
        <v>Valid</v>
      </c>
      <c r="Z623" s="8" t="str">
        <f t="shared" si="83"/>
        <v>Pass</v>
      </c>
      <c r="AA623" s="8" t="str">
        <f t="shared" si="84"/>
        <v>Pass</v>
      </c>
      <c r="AB623" s="8" t="str">
        <f>TEXT(B623,"mmmm")</f>
        <v>November</v>
      </c>
      <c r="AC623" s="8" t="str">
        <f>TEXT(B623,"yyyy")</f>
        <v>2024</v>
      </c>
      <c r="AE623">
        <f t="shared" si="85"/>
        <v>5464.2</v>
      </c>
      <c r="AF623" s="11">
        <f t="shared" si="86"/>
        <v>5464.2</v>
      </c>
      <c r="AG623">
        <f t="shared" si="87"/>
        <v>2146.1099999999997</v>
      </c>
      <c r="AH623" s="11">
        <f t="shared" si="88"/>
        <v>0.39275831777753373</v>
      </c>
      <c r="AI623" s="44">
        <f t="shared" si="89"/>
        <v>0.39275831777753373</v>
      </c>
    </row>
    <row r="624" spans="1:35">
      <c r="A624" t="s">
        <v>1956</v>
      </c>
      <c r="B624" s="5">
        <v>45686</v>
      </c>
      <c r="C624" s="5">
        <v>45810</v>
      </c>
      <c r="D624" s="13">
        <f t="shared" si="81"/>
        <v>124</v>
      </c>
      <c r="E624" t="s">
        <v>1957</v>
      </c>
      <c r="F624" t="s">
        <v>71</v>
      </c>
      <c r="G624" t="s">
        <v>24</v>
      </c>
      <c r="H624" t="s">
        <v>38</v>
      </c>
      <c r="I624" t="s">
        <v>145</v>
      </c>
      <c r="J624" t="s">
        <v>146</v>
      </c>
      <c r="K624" t="s">
        <v>28</v>
      </c>
      <c r="L624" t="s">
        <v>124</v>
      </c>
      <c r="M624" t="s">
        <v>1958</v>
      </c>
      <c r="N624" t="s">
        <v>59</v>
      </c>
      <c r="O624">
        <v>4</v>
      </c>
      <c r="P624">
        <v>2759.01</v>
      </c>
      <c r="Q624" s="11">
        <v>0.05</v>
      </c>
      <c r="R624">
        <v>10484.24</v>
      </c>
      <c r="S624">
        <v>6680.15</v>
      </c>
      <c r="T624">
        <v>3804.09</v>
      </c>
      <c r="U624" t="s">
        <v>32</v>
      </c>
      <c r="V624" t="s">
        <v>33</v>
      </c>
      <c r="X624" s="8" t="str">
        <f>IF(C624&gt;=B624,"Valid", "Invalid-Date")</f>
        <v>Valid</v>
      </c>
      <c r="Y624" s="8" t="str">
        <f t="shared" si="82"/>
        <v>Valid</v>
      </c>
      <c r="Z624" s="8" t="str">
        <f t="shared" si="83"/>
        <v>Pass</v>
      </c>
      <c r="AA624" s="8" t="str">
        <f t="shared" si="84"/>
        <v>Pass</v>
      </c>
      <c r="AB624" s="8" t="str">
        <f>TEXT(B624,"mmmm")</f>
        <v>January</v>
      </c>
      <c r="AC624" s="8" t="str">
        <f>TEXT(B624,"yyyy")</f>
        <v>2025</v>
      </c>
      <c r="AE624">
        <f t="shared" si="85"/>
        <v>11036.04</v>
      </c>
      <c r="AF624" s="11">
        <f t="shared" si="86"/>
        <v>10484.238000000001</v>
      </c>
      <c r="AG624">
        <f t="shared" si="87"/>
        <v>4355.8900000000012</v>
      </c>
      <c r="AH624" s="11">
        <f t="shared" si="88"/>
        <v>0.39469682965991432</v>
      </c>
      <c r="AI624" s="44">
        <f t="shared" si="89"/>
        <v>0.39469682965991432</v>
      </c>
    </row>
    <row r="625" spans="1:35">
      <c r="A625" t="s">
        <v>1959</v>
      </c>
      <c r="B625" s="5">
        <v>45512</v>
      </c>
      <c r="C625" s="5">
        <v>45518</v>
      </c>
      <c r="D625" s="13">
        <f t="shared" si="81"/>
        <v>6</v>
      </c>
      <c r="E625" t="s">
        <v>1960</v>
      </c>
      <c r="F625" t="s">
        <v>71</v>
      </c>
      <c r="G625" t="s">
        <v>95</v>
      </c>
      <c r="H625" t="s">
        <v>25</v>
      </c>
      <c r="I625" t="s">
        <v>122</v>
      </c>
      <c r="J625" t="s">
        <v>123</v>
      </c>
      <c r="K625" t="s">
        <v>28</v>
      </c>
      <c r="L625" t="s">
        <v>124</v>
      </c>
      <c r="M625" t="s">
        <v>1961</v>
      </c>
      <c r="N625" t="s">
        <v>31</v>
      </c>
      <c r="O625">
        <v>8</v>
      </c>
      <c r="P625">
        <v>1359.19</v>
      </c>
      <c r="Q625" s="11">
        <v>0.05</v>
      </c>
      <c r="R625">
        <v>10329.84</v>
      </c>
      <c r="S625">
        <v>7512.22</v>
      </c>
      <c r="T625">
        <v>2817.62</v>
      </c>
      <c r="U625" t="s">
        <v>32</v>
      </c>
      <c r="V625" t="s">
        <v>33</v>
      </c>
      <c r="X625" s="8" t="str">
        <f>IF(C625&gt;=B625,"Valid", "Invalid-Date")</f>
        <v>Valid</v>
      </c>
      <c r="Y625" s="8" t="str">
        <f t="shared" si="82"/>
        <v>Valid</v>
      </c>
      <c r="Z625" s="8" t="str">
        <f t="shared" si="83"/>
        <v>Pass</v>
      </c>
      <c r="AA625" s="8" t="str">
        <f t="shared" si="84"/>
        <v>Pass</v>
      </c>
      <c r="AB625" s="8" t="str">
        <f>TEXT(B625,"mmmm")</f>
        <v>August</v>
      </c>
      <c r="AC625" s="8" t="str">
        <f>TEXT(B625,"yyyy")</f>
        <v>2024</v>
      </c>
      <c r="AE625">
        <f t="shared" si="85"/>
        <v>10873.52</v>
      </c>
      <c r="AF625" s="11">
        <f t="shared" si="86"/>
        <v>10329.843999999999</v>
      </c>
      <c r="AG625">
        <f t="shared" si="87"/>
        <v>3361.3</v>
      </c>
      <c r="AH625" s="11">
        <f t="shared" si="88"/>
        <v>0.30912712718604463</v>
      </c>
      <c r="AI625" s="44">
        <f t="shared" si="89"/>
        <v>0.30912712718604463</v>
      </c>
    </row>
    <row r="626" spans="1:35">
      <c r="A626" t="s">
        <v>1962</v>
      </c>
      <c r="B626" s="5">
        <v>45321</v>
      </c>
      <c r="C626" s="5">
        <v>45293</v>
      </c>
      <c r="D626" s="13">
        <f t="shared" si="81"/>
        <v>-28</v>
      </c>
      <c r="E626" t="s">
        <v>1963</v>
      </c>
      <c r="F626" t="s">
        <v>79</v>
      </c>
      <c r="G626" t="s">
        <v>95</v>
      </c>
      <c r="H626" t="s">
        <v>38</v>
      </c>
      <c r="I626" t="s">
        <v>166</v>
      </c>
      <c r="J626" t="s">
        <v>167</v>
      </c>
      <c r="K626" t="s">
        <v>41</v>
      </c>
      <c r="L626" t="s">
        <v>66</v>
      </c>
      <c r="M626" t="s">
        <v>1964</v>
      </c>
      <c r="N626" t="s">
        <v>50</v>
      </c>
      <c r="O626">
        <v>2</v>
      </c>
      <c r="P626">
        <v>4451.03</v>
      </c>
      <c r="Q626" s="11">
        <v>0.05</v>
      </c>
      <c r="R626">
        <v>8456.9599999999991</v>
      </c>
      <c r="S626">
        <v>5462.85</v>
      </c>
      <c r="T626">
        <v>2994.11</v>
      </c>
      <c r="U626" t="s">
        <v>32</v>
      </c>
      <c r="V626" t="s">
        <v>33</v>
      </c>
      <c r="X626" s="8" t="str">
        <f>IF(C626&gt;=B626,"Valid", "Invalid-Date")</f>
        <v>Invalid-Date</v>
      </c>
      <c r="Y626" s="8" t="str">
        <f t="shared" si="82"/>
        <v>Valid</v>
      </c>
      <c r="Z626" s="8" t="str">
        <f t="shared" si="83"/>
        <v>Pass</v>
      </c>
      <c r="AA626" s="8" t="str">
        <f t="shared" si="84"/>
        <v>Pass</v>
      </c>
      <c r="AB626" s="8" t="str">
        <f>TEXT(B626,"mmmm")</f>
        <v>January</v>
      </c>
      <c r="AC626" s="8" t="str">
        <f>TEXT(B626,"yyyy")</f>
        <v>2024</v>
      </c>
      <c r="AE626">
        <f t="shared" si="85"/>
        <v>8902.06</v>
      </c>
      <c r="AF626" s="11">
        <f t="shared" si="86"/>
        <v>8456.9569999999985</v>
      </c>
      <c r="AG626">
        <f t="shared" si="87"/>
        <v>3439.2099999999991</v>
      </c>
      <c r="AH626" s="11">
        <f t="shared" si="88"/>
        <v>0.3863386676791663</v>
      </c>
      <c r="AI626" s="44">
        <f t="shared" si="89"/>
        <v>0.3863386676791663</v>
      </c>
    </row>
    <row r="627" spans="1:35">
      <c r="A627" t="s">
        <v>1965</v>
      </c>
      <c r="B627" s="5">
        <v>45641</v>
      </c>
      <c r="C627" s="5">
        <v>45647</v>
      </c>
      <c r="D627" s="13">
        <f t="shared" si="81"/>
        <v>6</v>
      </c>
      <c r="E627" t="s">
        <v>1966</v>
      </c>
      <c r="F627" t="s">
        <v>162</v>
      </c>
      <c r="G627" t="s">
        <v>90</v>
      </c>
      <c r="H627" t="s">
        <v>63</v>
      </c>
      <c r="I627" t="s">
        <v>26</v>
      </c>
      <c r="J627" t="s">
        <v>109</v>
      </c>
      <c r="K627" t="s">
        <v>41</v>
      </c>
      <c r="L627" t="s">
        <v>66</v>
      </c>
      <c r="M627" t="s">
        <v>1967</v>
      </c>
      <c r="N627" t="s">
        <v>44</v>
      </c>
      <c r="O627">
        <v>3</v>
      </c>
      <c r="P627">
        <v>527.66999999999996</v>
      </c>
      <c r="Q627" s="11">
        <v>0.2</v>
      </c>
      <c r="R627">
        <v>1266.4100000000001</v>
      </c>
      <c r="S627">
        <v>983.92</v>
      </c>
      <c r="T627">
        <v>282.49</v>
      </c>
      <c r="U627" t="s">
        <v>32</v>
      </c>
      <c r="V627" t="s">
        <v>33</v>
      </c>
      <c r="X627" s="8" t="str">
        <f>IF(C627&gt;=B627,"Valid", "Invalid-Date")</f>
        <v>Valid</v>
      </c>
      <c r="Y627" s="8" t="str">
        <f t="shared" si="82"/>
        <v>Valid</v>
      </c>
      <c r="Z627" s="8" t="str">
        <f t="shared" si="83"/>
        <v>Pass</v>
      </c>
      <c r="AA627" s="8" t="str">
        <f t="shared" si="84"/>
        <v>Pass</v>
      </c>
      <c r="AB627" s="8" t="str">
        <f>TEXT(B627,"mmmm")</f>
        <v>December</v>
      </c>
      <c r="AC627" s="8" t="str">
        <f>TEXT(B627,"yyyy")</f>
        <v>2024</v>
      </c>
      <c r="AE627">
        <f t="shared" si="85"/>
        <v>1583.0099999999998</v>
      </c>
      <c r="AF627" s="11">
        <f t="shared" si="86"/>
        <v>1266.4079999999999</v>
      </c>
      <c r="AG627">
        <f t="shared" si="87"/>
        <v>599.0899999999998</v>
      </c>
      <c r="AH627" s="11">
        <f t="shared" si="88"/>
        <v>0.3784499150352808</v>
      </c>
      <c r="AI627" s="44">
        <f t="shared" si="89"/>
        <v>0.3784499150352808</v>
      </c>
    </row>
    <row r="628" spans="1:35">
      <c r="A628" t="s">
        <v>1968</v>
      </c>
      <c r="B628" s="5">
        <v>45812</v>
      </c>
      <c r="C628" s="5">
        <v>45844</v>
      </c>
      <c r="D628" s="13">
        <f t="shared" si="81"/>
        <v>32</v>
      </c>
      <c r="E628" t="s">
        <v>1969</v>
      </c>
      <c r="F628" t="s">
        <v>132</v>
      </c>
      <c r="G628" t="s">
        <v>95</v>
      </c>
      <c r="H628" t="s">
        <v>38</v>
      </c>
      <c r="I628" t="s">
        <v>166</v>
      </c>
      <c r="J628" t="s">
        <v>167</v>
      </c>
      <c r="K628" t="s">
        <v>74</v>
      </c>
      <c r="L628" t="s">
        <v>274</v>
      </c>
      <c r="M628" t="s">
        <v>1970</v>
      </c>
      <c r="N628" t="s">
        <v>59</v>
      </c>
      <c r="O628">
        <v>8</v>
      </c>
      <c r="P628">
        <v>1434.13</v>
      </c>
      <c r="Q628" s="11">
        <v>0</v>
      </c>
      <c r="R628">
        <v>11473.04</v>
      </c>
      <c r="S628">
        <v>8931.33</v>
      </c>
      <c r="T628">
        <v>2541.71</v>
      </c>
      <c r="U628" t="s">
        <v>111</v>
      </c>
      <c r="V628" t="s">
        <v>103</v>
      </c>
      <c r="X628" s="8" t="str">
        <f>IF(C628&gt;=B628,"Valid", "Invalid-Date")</f>
        <v>Valid</v>
      </c>
      <c r="Y628" s="8" t="str">
        <f t="shared" si="82"/>
        <v>Valid</v>
      </c>
      <c r="Z628" s="8" t="str">
        <f t="shared" si="83"/>
        <v>Pass</v>
      </c>
      <c r="AA628" s="8" t="str">
        <f t="shared" si="84"/>
        <v>Pass</v>
      </c>
      <c r="AB628" s="8" t="str">
        <f>TEXT(B628,"mmmm")</f>
        <v>June</v>
      </c>
      <c r="AC628" s="8" t="str">
        <f>TEXT(B628,"yyyy")</f>
        <v>2025</v>
      </c>
      <c r="AE628">
        <f t="shared" si="85"/>
        <v>11473.04</v>
      </c>
      <c r="AF628" s="11">
        <f t="shared" si="86"/>
        <v>11473.04</v>
      </c>
      <c r="AG628">
        <f t="shared" si="87"/>
        <v>2541.7100000000009</v>
      </c>
      <c r="AH628" s="11">
        <f t="shared" si="88"/>
        <v>0.22153762211236086</v>
      </c>
      <c r="AI628" s="44">
        <f t="shared" si="89"/>
        <v>0.22153762211236086</v>
      </c>
    </row>
    <row r="629" spans="1:35">
      <c r="A629" t="s">
        <v>1971</v>
      </c>
      <c r="B629" s="5">
        <v>45701</v>
      </c>
      <c r="C629" s="5">
        <v>45709</v>
      </c>
      <c r="D629" s="13">
        <f t="shared" si="81"/>
        <v>8</v>
      </c>
      <c r="E629" t="s">
        <v>1972</v>
      </c>
      <c r="F629" t="s">
        <v>23</v>
      </c>
      <c r="G629" t="s">
        <v>37</v>
      </c>
      <c r="H629" t="s">
        <v>54</v>
      </c>
      <c r="I629" t="s">
        <v>185</v>
      </c>
      <c r="J629" t="s">
        <v>186</v>
      </c>
      <c r="K629" t="s">
        <v>74</v>
      </c>
      <c r="L629" t="s">
        <v>171</v>
      </c>
      <c r="M629" t="s">
        <v>1973</v>
      </c>
      <c r="N629" t="s">
        <v>31</v>
      </c>
      <c r="O629">
        <v>2</v>
      </c>
      <c r="P629">
        <v>2360.02</v>
      </c>
      <c r="Q629" s="11">
        <v>0.15</v>
      </c>
      <c r="R629">
        <v>4012.03</v>
      </c>
      <c r="S629">
        <v>3142.92</v>
      </c>
      <c r="T629">
        <v>869.11</v>
      </c>
      <c r="U629" t="s">
        <v>111</v>
      </c>
      <c r="V629" t="s">
        <v>68</v>
      </c>
      <c r="X629" s="8" t="str">
        <f>IF(C629&gt;=B629,"Valid", "Invalid-Date")</f>
        <v>Valid</v>
      </c>
      <c r="Y629" s="8" t="str">
        <f t="shared" si="82"/>
        <v>Valid</v>
      </c>
      <c r="Z629" s="8" t="str">
        <f t="shared" si="83"/>
        <v>Pass</v>
      </c>
      <c r="AA629" s="8" t="str">
        <f t="shared" si="84"/>
        <v>Pass</v>
      </c>
      <c r="AB629" s="8" t="str">
        <f>TEXT(B629,"mmmm")</f>
        <v>February</v>
      </c>
      <c r="AC629" s="8" t="str">
        <f>TEXT(B629,"yyyy")</f>
        <v>2025</v>
      </c>
      <c r="AE629">
        <f t="shared" si="85"/>
        <v>4720.04</v>
      </c>
      <c r="AF629" s="11">
        <f t="shared" si="86"/>
        <v>4012.0339999999997</v>
      </c>
      <c r="AG629">
        <f t="shared" si="87"/>
        <v>1577.12</v>
      </c>
      <c r="AH629" s="11">
        <f t="shared" si="88"/>
        <v>0.33413276158676619</v>
      </c>
      <c r="AI629" s="44">
        <f t="shared" si="89"/>
        <v>0.33413276158676619</v>
      </c>
    </row>
    <row r="630" spans="1:35">
      <c r="A630" t="s">
        <v>1974</v>
      </c>
      <c r="B630" s="5">
        <v>45935</v>
      </c>
      <c r="C630" s="5">
        <v>46001</v>
      </c>
      <c r="D630" s="13">
        <f t="shared" si="81"/>
        <v>66</v>
      </c>
      <c r="E630" t="s">
        <v>1975</v>
      </c>
      <c r="F630" t="s">
        <v>62</v>
      </c>
      <c r="G630" t="s">
        <v>95</v>
      </c>
      <c r="H630" t="s">
        <v>38</v>
      </c>
      <c r="I630" t="s">
        <v>228</v>
      </c>
      <c r="J630" t="s">
        <v>229</v>
      </c>
      <c r="K630" t="s">
        <v>74</v>
      </c>
      <c r="L630" t="s">
        <v>75</v>
      </c>
      <c r="M630" t="s">
        <v>1976</v>
      </c>
      <c r="N630" t="s">
        <v>44</v>
      </c>
      <c r="O630">
        <v>7</v>
      </c>
      <c r="P630">
        <v>806.67</v>
      </c>
      <c r="Q630" s="11">
        <v>0.05</v>
      </c>
      <c r="R630">
        <v>5364.36</v>
      </c>
      <c r="S630">
        <v>4391.29</v>
      </c>
      <c r="T630">
        <v>973.07</v>
      </c>
      <c r="U630" t="s">
        <v>32</v>
      </c>
      <c r="V630" t="s">
        <v>33</v>
      </c>
      <c r="X630" s="8" t="str">
        <f>IF(C630&gt;=B630,"Valid", "Invalid-Date")</f>
        <v>Valid</v>
      </c>
      <c r="Y630" s="8" t="str">
        <f t="shared" si="82"/>
        <v>Valid</v>
      </c>
      <c r="Z630" s="8" t="str">
        <f t="shared" si="83"/>
        <v>Pass</v>
      </c>
      <c r="AA630" s="8" t="str">
        <f t="shared" si="84"/>
        <v>Pass</v>
      </c>
      <c r="AB630" s="8" t="str">
        <f>TEXT(B630,"mmmm")</f>
        <v>October</v>
      </c>
      <c r="AC630" s="8" t="str">
        <f>TEXT(B630,"yyyy")</f>
        <v>2025</v>
      </c>
      <c r="AE630">
        <f t="shared" si="85"/>
        <v>5646.69</v>
      </c>
      <c r="AF630" s="11">
        <f t="shared" si="86"/>
        <v>5364.3554999999997</v>
      </c>
      <c r="AG630">
        <f t="shared" si="87"/>
        <v>1255.3999999999996</v>
      </c>
      <c r="AH630" s="11">
        <f t="shared" si="88"/>
        <v>0.22232493726413169</v>
      </c>
      <c r="AI630" s="44">
        <f t="shared" si="89"/>
        <v>0.22232493726413169</v>
      </c>
    </row>
    <row r="631" spans="1:35">
      <c r="A631" t="s">
        <v>1977</v>
      </c>
      <c r="B631" s="5">
        <v>45939</v>
      </c>
      <c r="C631" s="5">
        <v>45914</v>
      </c>
      <c r="D631" s="13">
        <f t="shared" si="81"/>
        <v>-25</v>
      </c>
      <c r="E631" t="s">
        <v>1978</v>
      </c>
      <c r="F631" t="s">
        <v>53</v>
      </c>
      <c r="G631" t="s">
        <v>95</v>
      </c>
      <c r="H631" t="s">
        <v>63</v>
      </c>
      <c r="I631" t="s">
        <v>180</v>
      </c>
      <c r="J631" t="s">
        <v>181</v>
      </c>
      <c r="K631" t="s">
        <v>41</v>
      </c>
      <c r="L631" t="s">
        <v>42</v>
      </c>
      <c r="M631" t="s">
        <v>1979</v>
      </c>
      <c r="N631" t="s">
        <v>44</v>
      </c>
      <c r="O631">
        <v>3</v>
      </c>
      <c r="P631">
        <v>4198.46</v>
      </c>
      <c r="Q631" s="11">
        <v>0.15</v>
      </c>
      <c r="R631">
        <v>10706.07</v>
      </c>
      <c r="S631">
        <v>5927.1</v>
      </c>
      <c r="T631">
        <v>4778.97</v>
      </c>
      <c r="U631" t="s">
        <v>32</v>
      </c>
      <c r="V631" t="s">
        <v>33</v>
      </c>
      <c r="X631" s="8" t="str">
        <f>IF(C631&gt;=B631,"Valid", "Invalid-Date")</f>
        <v>Invalid-Date</v>
      </c>
      <c r="Y631" s="8" t="str">
        <f t="shared" si="82"/>
        <v>Valid</v>
      </c>
      <c r="Z631" s="8" t="str">
        <f t="shared" si="83"/>
        <v>Pass</v>
      </c>
      <c r="AA631" s="8" t="str">
        <f t="shared" si="84"/>
        <v>Pass</v>
      </c>
      <c r="AB631" s="8" t="str">
        <f>TEXT(B631,"mmmm")</f>
        <v>October</v>
      </c>
      <c r="AC631" s="8" t="str">
        <f>TEXT(B631,"yyyy")</f>
        <v>2025</v>
      </c>
      <c r="AE631">
        <f t="shared" si="85"/>
        <v>12595.380000000001</v>
      </c>
      <c r="AF631" s="11">
        <f t="shared" si="86"/>
        <v>10706.073</v>
      </c>
      <c r="AG631">
        <f t="shared" si="87"/>
        <v>6668.2800000000007</v>
      </c>
      <c r="AH631" s="11">
        <f t="shared" si="88"/>
        <v>0.52942269308270173</v>
      </c>
      <c r="AI631" s="44">
        <f t="shared" si="89"/>
        <v>0.52942269308270173</v>
      </c>
    </row>
    <row r="632" spans="1:35">
      <c r="A632" t="s">
        <v>1980</v>
      </c>
      <c r="B632" s="5">
        <v>45391</v>
      </c>
      <c r="C632" s="5">
        <v>45569</v>
      </c>
      <c r="D632" s="13">
        <f t="shared" si="81"/>
        <v>178</v>
      </c>
      <c r="E632" t="s">
        <v>1981</v>
      </c>
      <c r="F632" t="s">
        <v>114</v>
      </c>
      <c r="G632" t="s">
        <v>90</v>
      </c>
      <c r="H632" t="s">
        <v>38</v>
      </c>
      <c r="I632" t="s">
        <v>166</v>
      </c>
      <c r="J632" t="s">
        <v>167</v>
      </c>
      <c r="K632" t="s">
        <v>28</v>
      </c>
      <c r="L632" t="s">
        <v>29</v>
      </c>
      <c r="M632" t="s">
        <v>1982</v>
      </c>
      <c r="N632" t="s">
        <v>59</v>
      </c>
      <c r="O632">
        <v>4</v>
      </c>
      <c r="P632">
        <v>3047.05</v>
      </c>
      <c r="Q632" s="11">
        <v>0.1</v>
      </c>
      <c r="R632">
        <v>10969.38</v>
      </c>
      <c r="S632">
        <v>9254.4599999999991</v>
      </c>
      <c r="T632">
        <v>1714.92</v>
      </c>
      <c r="U632" t="s">
        <v>32</v>
      </c>
      <c r="V632" t="s">
        <v>33</v>
      </c>
      <c r="X632" s="8" t="str">
        <f>IF(C632&gt;=B632,"Valid", "Invalid-Date")</f>
        <v>Valid</v>
      </c>
      <c r="Y632" s="8" t="str">
        <f t="shared" si="82"/>
        <v>Valid</v>
      </c>
      <c r="Z632" s="8" t="str">
        <f t="shared" si="83"/>
        <v>Pass</v>
      </c>
      <c r="AA632" s="8" t="str">
        <f t="shared" si="84"/>
        <v>Pass</v>
      </c>
      <c r="AB632" s="8" t="str">
        <f>TEXT(B632,"mmmm")</f>
        <v>April</v>
      </c>
      <c r="AC632" s="8" t="str">
        <f>TEXT(B632,"yyyy")</f>
        <v>2024</v>
      </c>
      <c r="AE632">
        <f t="shared" si="85"/>
        <v>12188.2</v>
      </c>
      <c r="AF632" s="11">
        <f t="shared" si="86"/>
        <v>10969.380000000001</v>
      </c>
      <c r="AG632">
        <f t="shared" si="87"/>
        <v>2933.7400000000016</v>
      </c>
      <c r="AH632" s="11">
        <f t="shared" si="88"/>
        <v>0.24070330319489353</v>
      </c>
      <c r="AI632" s="44">
        <f t="shared" si="89"/>
        <v>0.24070330319489353</v>
      </c>
    </row>
    <row r="633" spans="1:35">
      <c r="A633" t="s">
        <v>1983</v>
      </c>
      <c r="B633" s="5">
        <v>45392</v>
      </c>
      <c r="C633" s="5">
        <v>45397</v>
      </c>
      <c r="D633" s="13">
        <f t="shared" si="81"/>
        <v>5</v>
      </c>
      <c r="E633" t="s">
        <v>1984</v>
      </c>
      <c r="F633" t="s">
        <v>128</v>
      </c>
      <c r="G633" t="s">
        <v>95</v>
      </c>
      <c r="H633" t="s">
        <v>63</v>
      </c>
      <c r="I633" t="s">
        <v>26</v>
      </c>
      <c r="J633" t="s">
        <v>109</v>
      </c>
      <c r="K633" t="s">
        <v>41</v>
      </c>
      <c r="L633" t="s">
        <v>66</v>
      </c>
      <c r="M633" t="s">
        <v>1985</v>
      </c>
      <c r="N633" t="s">
        <v>59</v>
      </c>
      <c r="O633">
        <v>8</v>
      </c>
      <c r="P633">
        <v>4362.4799999999996</v>
      </c>
      <c r="Q633" s="11">
        <v>0.1</v>
      </c>
      <c r="R633">
        <v>31409.86</v>
      </c>
      <c r="S633">
        <v>22523.54</v>
      </c>
      <c r="T633">
        <v>8886.32</v>
      </c>
      <c r="U633" t="s">
        <v>32</v>
      </c>
      <c r="V633" t="s">
        <v>33</v>
      </c>
      <c r="X633" s="8" t="str">
        <f>IF(C633&gt;=B633,"Valid", "Invalid-Date")</f>
        <v>Valid</v>
      </c>
      <c r="Y633" s="8" t="str">
        <f t="shared" si="82"/>
        <v>Valid</v>
      </c>
      <c r="Z633" s="8" t="str">
        <f t="shared" si="83"/>
        <v>Pass</v>
      </c>
      <c r="AA633" s="8" t="str">
        <f t="shared" si="84"/>
        <v>Pass</v>
      </c>
      <c r="AB633" s="8" t="str">
        <f>TEXT(B633,"mmmm")</f>
        <v>April</v>
      </c>
      <c r="AC633" s="8" t="str">
        <f>TEXT(B633,"yyyy")</f>
        <v>2024</v>
      </c>
      <c r="AE633">
        <f t="shared" si="85"/>
        <v>34899.839999999997</v>
      </c>
      <c r="AF633" s="11">
        <f t="shared" si="86"/>
        <v>31409.855999999996</v>
      </c>
      <c r="AG633">
        <f t="shared" si="87"/>
        <v>12376.299999999996</v>
      </c>
      <c r="AH633" s="11">
        <f t="shared" si="88"/>
        <v>0.35462340228493877</v>
      </c>
      <c r="AI633" s="44">
        <f t="shared" si="89"/>
        <v>0.35462340228493877</v>
      </c>
    </row>
    <row r="634" spans="1:35" s="15" customFormat="1">
      <c r="A634" s="15" t="s">
        <v>1986</v>
      </c>
      <c r="B634" s="16">
        <v>45762</v>
      </c>
      <c r="C634" s="16">
        <v>45763</v>
      </c>
      <c r="D634" s="17">
        <f t="shared" si="81"/>
        <v>1</v>
      </c>
      <c r="E634" s="15" t="s">
        <v>1987</v>
      </c>
      <c r="F634" s="15" t="s">
        <v>132</v>
      </c>
      <c r="G634" s="15" t="s">
        <v>37</v>
      </c>
      <c r="H634" s="15" t="s">
        <v>54</v>
      </c>
      <c r="I634" s="15" t="s">
        <v>175</v>
      </c>
      <c r="J634" s="15" t="s">
        <v>176</v>
      </c>
      <c r="K634" s="15" t="s">
        <v>41</v>
      </c>
      <c r="L634" s="15" t="s">
        <v>57</v>
      </c>
      <c r="M634" s="15" t="s">
        <v>1988</v>
      </c>
      <c r="N634" s="15" t="s">
        <v>50</v>
      </c>
      <c r="O634" s="15">
        <v>5</v>
      </c>
      <c r="P634" s="15">
        <v>2850.53</v>
      </c>
      <c r="Q634" s="18">
        <v>0</v>
      </c>
      <c r="R634" s="15">
        <v>14252.65</v>
      </c>
      <c r="S634" s="15">
        <v>11558.31</v>
      </c>
      <c r="T634" s="15">
        <v>2694.34</v>
      </c>
      <c r="U634" s="15" t="s">
        <v>32</v>
      </c>
      <c r="V634" s="15" t="s">
        <v>33</v>
      </c>
      <c r="W634" s="25"/>
      <c r="X634" s="8" t="str">
        <f>IF(C634&gt;=B634,"Valid", "Invalid-Date")</f>
        <v>Valid</v>
      </c>
      <c r="Y634" s="8" t="str">
        <f t="shared" si="82"/>
        <v>Valid</v>
      </c>
      <c r="Z634" s="19" t="str">
        <f t="shared" si="83"/>
        <v>Pass</v>
      </c>
      <c r="AA634" s="19" t="str">
        <f t="shared" si="84"/>
        <v>Pass</v>
      </c>
      <c r="AB634" s="19" t="str">
        <f>TEXT(B634,"mmmm")</f>
        <v>April</v>
      </c>
      <c r="AC634" s="19" t="str">
        <f>TEXT(B634,"yyyy")</f>
        <v>2025</v>
      </c>
      <c r="AD634" s="20"/>
      <c r="AE634" s="15">
        <f t="shared" si="85"/>
        <v>14252.650000000001</v>
      </c>
      <c r="AF634" s="11">
        <f t="shared" si="86"/>
        <v>14252.650000000001</v>
      </c>
      <c r="AG634" s="15">
        <f t="shared" si="87"/>
        <v>2694.340000000002</v>
      </c>
      <c r="AH634" s="18">
        <f t="shared" si="88"/>
        <v>0.18904133617257154</v>
      </c>
      <c r="AI634" s="45">
        <f t="shared" si="89"/>
        <v>0.18904133617257154</v>
      </c>
    </row>
    <row r="635" spans="1:35">
      <c r="A635" t="s">
        <v>1989</v>
      </c>
      <c r="B635" s="5">
        <v>45765</v>
      </c>
      <c r="C635" s="5">
        <v>45767</v>
      </c>
      <c r="D635" s="13">
        <f t="shared" si="81"/>
        <v>2</v>
      </c>
      <c r="E635" t="s">
        <v>1990</v>
      </c>
      <c r="F635" t="s">
        <v>128</v>
      </c>
      <c r="G635" t="s">
        <v>37</v>
      </c>
      <c r="H635" t="s">
        <v>54</v>
      </c>
      <c r="I635" t="s">
        <v>247</v>
      </c>
      <c r="J635" t="s">
        <v>248</v>
      </c>
      <c r="K635" t="s">
        <v>74</v>
      </c>
      <c r="L635" t="s">
        <v>75</v>
      </c>
      <c r="M635" t="s">
        <v>1991</v>
      </c>
      <c r="N635" t="s">
        <v>31</v>
      </c>
      <c r="O635">
        <v>1</v>
      </c>
      <c r="P635">
        <v>1626.08</v>
      </c>
      <c r="Q635" s="11">
        <v>0.15</v>
      </c>
      <c r="R635">
        <v>1382.17</v>
      </c>
      <c r="S635">
        <v>810.03</v>
      </c>
      <c r="T635">
        <v>572.14</v>
      </c>
      <c r="U635" t="s">
        <v>32</v>
      </c>
      <c r="V635" t="s">
        <v>33</v>
      </c>
      <c r="X635" s="8" t="str">
        <f>IF(C635&gt;=B635,"Valid", "Invalid-Date")</f>
        <v>Valid</v>
      </c>
      <c r="Y635" s="8" t="str">
        <f t="shared" si="82"/>
        <v>Valid</v>
      </c>
      <c r="Z635" s="8" t="str">
        <f t="shared" si="83"/>
        <v>Pass</v>
      </c>
      <c r="AA635" s="8" t="str">
        <f t="shared" si="84"/>
        <v>Pass</v>
      </c>
      <c r="AB635" s="8" t="str">
        <f>TEXT(B635,"mmmm")</f>
        <v>April</v>
      </c>
      <c r="AC635" s="8" t="str">
        <f>TEXT(B635,"yyyy")</f>
        <v>2025</v>
      </c>
      <c r="AE635">
        <f t="shared" si="85"/>
        <v>1626.08</v>
      </c>
      <c r="AF635" s="11">
        <f t="shared" si="86"/>
        <v>1382.1679999999999</v>
      </c>
      <c r="AG635">
        <f t="shared" si="87"/>
        <v>816.05</v>
      </c>
      <c r="AH635" s="11">
        <f t="shared" si="88"/>
        <v>0.50185107743776447</v>
      </c>
      <c r="AI635" s="44">
        <f t="shared" si="89"/>
        <v>0.50185107743776447</v>
      </c>
    </row>
    <row r="636" spans="1:35">
      <c r="A636" t="s">
        <v>1992</v>
      </c>
      <c r="B636" s="5">
        <v>45962</v>
      </c>
      <c r="C636" s="5">
        <v>45992</v>
      </c>
      <c r="D636" s="13">
        <f t="shared" si="81"/>
        <v>30</v>
      </c>
      <c r="E636" t="s">
        <v>1993</v>
      </c>
      <c r="F636" t="s">
        <v>89</v>
      </c>
      <c r="G636" t="s">
        <v>24</v>
      </c>
      <c r="H636" t="s">
        <v>54</v>
      </c>
      <c r="I636" t="s">
        <v>55</v>
      </c>
      <c r="J636" t="s">
        <v>56</v>
      </c>
      <c r="K636" t="s">
        <v>41</v>
      </c>
      <c r="L636" t="s">
        <v>66</v>
      </c>
      <c r="M636" t="s">
        <v>1994</v>
      </c>
      <c r="N636" t="s">
        <v>31</v>
      </c>
      <c r="O636">
        <v>4</v>
      </c>
      <c r="P636">
        <v>2427.15</v>
      </c>
      <c r="Q636" s="11">
        <v>0.05</v>
      </c>
      <c r="R636">
        <v>9223.17</v>
      </c>
      <c r="S636">
        <v>5103.7</v>
      </c>
      <c r="T636">
        <v>4119.47</v>
      </c>
      <c r="U636" t="s">
        <v>32</v>
      </c>
      <c r="V636" t="s">
        <v>33</v>
      </c>
      <c r="X636" s="8" t="str">
        <f>IF(C636&gt;=B636,"Valid", "Invalid-Date")</f>
        <v>Valid</v>
      </c>
      <c r="Y636" s="8" t="str">
        <f t="shared" si="82"/>
        <v>Valid</v>
      </c>
      <c r="Z636" s="8" t="str">
        <f t="shared" si="83"/>
        <v>Pass</v>
      </c>
      <c r="AA636" s="8" t="str">
        <f t="shared" si="84"/>
        <v>Pass</v>
      </c>
      <c r="AB636" s="8" t="str">
        <f>TEXT(B636,"mmmm")</f>
        <v>November</v>
      </c>
      <c r="AC636" s="8" t="str">
        <f>TEXT(B636,"yyyy")</f>
        <v>2025</v>
      </c>
      <c r="AE636">
        <f t="shared" si="85"/>
        <v>9708.6</v>
      </c>
      <c r="AF636" s="11">
        <f t="shared" si="86"/>
        <v>9223.17</v>
      </c>
      <c r="AG636">
        <f t="shared" si="87"/>
        <v>4604.9000000000005</v>
      </c>
      <c r="AH636" s="11">
        <f t="shared" si="88"/>
        <v>0.47431143522238017</v>
      </c>
      <c r="AI636" s="44">
        <f t="shared" si="89"/>
        <v>0.47431143522238017</v>
      </c>
    </row>
    <row r="637" spans="1:35">
      <c r="A637" t="s">
        <v>1995</v>
      </c>
      <c r="B637" s="5">
        <v>45432</v>
      </c>
      <c r="C637" s="5">
        <v>45437</v>
      </c>
      <c r="D637" s="13">
        <f t="shared" si="81"/>
        <v>5</v>
      </c>
      <c r="E637" t="s">
        <v>1996</v>
      </c>
      <c r="F637" t="s">
        <v>36</v>
      </c>
      <c r="G637" t="s">
        <v>90</v>
      </c>
      <c r="H637" t="s">
        <v>54</v>
      </c>
      <c r="I637" t="s">
        <v>84</v>
      </c>
      <c r="J637" t="s">
        <v>85</v>
      </c>
      <c r="K637" t="s">
        <v>41</v>
      </c>
      <c r="L637" t="s">
        <v>66</v>
      </c>
      <c r="M637" t="s">
        <v>1997</v>
      </c>
      <c r="N637" t="s">
        <v>44</v>
      </c>
      <c r="O637">
        <v>7</v>
      </c>
      <c r="P637">
        <v>3122.85</v>
      </c>
      <c r="Q637" s="11">
        <v>0.25</v>
      </c>
      <c r="R637">
        <v>16394.96</v>
      </c>
      <c r="S637">
        <v>10404.17</v>
      </c>
      <c r="T637">
        <v>5990.79</v>
      </c>
      <c r="U637" t="s">
        <v>32</v>
      </c>
      <c r="V637" t="s">
        <v>33</v>
      </c>
      <c r="X637" s="8" t="str">
        <f>IF(C637&gt;=B637,"Valid", "Invalid-Date")</f>
        <v>Valid</v>
      </c>
      <c r="Y637" s="8" t="str">
        <f t="shared" si="82"/>
        <v>Valid</v>
      </c>
      <c r="Z637" s="8" t="str">
        <f t="shared" si="83"/>
        <v>Pass</v>
      </c>
      <c r="AA637" s="8" t="str">
        <f t="shared" si="84"/>
        <v>Pass</v>
      </c>
      <c r="AB637" s="8" t="str">
        <f>TEXT(B637,"mmmm")</f>
        <v>May</v>
      </c>
      <c r="AC637" s="8" t="str">
        <f>TEXT(B637,"yyyy")</f>
        <v>2024</v>
      </c>
      <c r="AE637">
        <f t="shared" si="85"/>
        <v>21859.95</v>
      </c>
      <c r="AF637" s="11">
        <f t="shared" si="86"/>
        <v>16394.962500000001</v>
      </c>
      <c r="AG637">
        <f t="shared" si="87"/>
        <v>11455.78</v>
      </c>
      <c r="AH637" s="11">
        <f t="shared" si="88"/>
        <v>0.52405334870390829</v>
      </c>
      <c r="AI637" s="44">
        <f t="shared" si="89"/>
        <v>0.52405334870390829</v>
      </c>
    </row>
    <row r="638" spans="1:35">
      <c r="A638" t="s">
        <v>1998</v>
      </c>
      <c r="B638" s="5">
        <v>45567</v>
      </c>
      <c r="C638" s="5">
        <v>45545</v>
      </c>
      <c r="D638" s="13">
        <f t="shared" si="81"/>
        <v>-22</v>
      </c>
      <c r="E638" t="s">
        <v>1999</v>
      </c>
      <c r="F638" t="s">
        <v>62</v>
      </c>
      <c r="G638" t="s">
        <v>24</v>
      </c>
      <c r="H638" t="s">
        <v>54</v>
      </c>
      <c r="I638" t="s">
        <v>247</v>
      </c>
      <c r="J638" t="s">
        <v>248</v>
      </c>
      <c r="K638" t="s">
        <v>28</v>
      </c>
      <c r="L638" t="s">
        <v>29</v>
      </c>
      <c r="M638" t="s">
        <v>2000</v>
      </c>
      <c r="N638" t="s">
        <v>59</v>
      </c>
      <c r="O638">
        <v>8</v>
      </c>
      <c r="P638">
        <v>1910.31</v>
      </c>
      <c r="Q638" s="11">
        <v>0.15</v>
      </c>
      <c r="R638">
        <v>12990.11</v>
      </c>
      <c r="S638">
        <v>10200.799999999999</v>
      </c>
      <c r="T638">
        <v>2789.31</v>
      </c>
      <c r="U638" t="s">
        <v>32</v>
      </c>
      <c r="V638" t="s">
        <v>33</v>
      </c>
      <c r="X638" s="8" t="str">
        <f>IF(C638&gt;=B638,"Valid", "Invalid-Date")</f>
        <v>Invalid-Date</v>
      </c>
      <c r="Y638" s="8" t="str">
        <f t="shared" si="82"/>
        <v>Valid</v>
      </c>
      <c r="Z638" s="8" t="str">
        <f t="shared" si="83"/>
        <v>Pass</v>
      </c>
      <c r="AA638" s="8" t="str">
        <f t="shared" si="84"/>
        <v>Pass</v>
      </c>
      <c r="AB638" s="8" t="str">
        <f>TEXT(B638,"mmmm")</f>
        <v>October</v>
      </c>
      <c r="AC638" s="8" t="str">
        <f>TEXT(B638,"yyyy")</f>
        <v>2024</v>
      </c>
      <c r="AE638">
        <f t="shared" si="85"/>
        <v>15282.48</v>
      </c>
      <c r="AF638" s="11">
        <f t="shared" si="86"/>
        <v>12990.108</v>
      </c>
      <c r="AG638">
        <f t="shared" si="87"/>
        <v>5081.68</v>
      </c>
      <c r="AH638" s="11">
        <f t="shared" si="88"/>
        <v>0.33251671194727561</v>
      </c>
      <c r="AI638" s="44">
        <f t="shared" si="89"/>
        <v>0.33251671194727561</v>
      </c>
    </row>
    <row r="639" spans="1:35">
      <c r="A639" t="s">
        <v>2001</v>
      </c>
      <c r="B639" s="5">
        <v>45438</v>
      </c>
      <c r="C639" s="5">
        <v>45438</v>
      </c>
      <c r="D639" s="13">
        <f t="shared" si="81"/>
        <v>0</v>
      </c>
      <c r="E639" t="s">
        <v>2002</v>
      </c>
      <c r="F639" t="s">
        <v>118</v>
      </c>
      <c r="G639" t="s">
        <v>37</v>
      </c>
      <c r="H639" t="s">
        <v>63</v>
      </c>
      <c r="I639" t="s">
        <v>190</v>
      </c>
      <c r="J639" t="s">
        <v>191</v>
      </c>
      <c r="K639" t="s">
        <v>74</v>
      </c>
      <c r="L639" t="s">
        <v>80</v>
      </c>
      <c r="M639" t="s">
        <v>2003</v>
      </c>
      <c r="N639" t="s">
        <v>50</v>
      </c>
      <c r="O639">
        <v>2</v>
      </c>
      <c r="P639">
        <v>3192.47</v>
      </c>
      <c r="Q639" s="11">
        <v>0.2</v>
      </c>
      <c r="R639">
        <v>5107.95</v>
      </c>
      <c r="S639">
        <v>3133.08</v>
      </c>
      <c r="T639">
        <v>1974.87</v>
      </c>
      <c r="U639" t="s">
        <v>32</v>
      </c>
      <c r="V639" t="s">
        <v>33</v>
      </c>
      <c r="X639" s="8" t="str">
        <f>IF(C639&gt;=B639,"Valid", "Invalid-Date")</f>
        <v>Valid</v>
      </c>
      <c r="Y639" s="8" t="str">
        <f t="shared" si="82"/>
        <v>Valid</v>
      </c>
      <c r="Z639" s="8" t="str">
        <f t="shared" si="83"/>
        <v>Pass</v>
      </c>
      <c r="AA639" s="8" t="str">
        <f t="shared" si="84"/>
        <v>Pass</v>
      </c>
      <c r="AB639" s="8" t="str">
        <f>TEXT(B639,"mmmm")</f>
        <v>May</v>
      </c>
      <c r="AC639" s="8" t="str">
        <f>TEXT(B639,"yyyy")</f>
        <v>2024</v>
      </c>
      <c r="AE639">
        <f t="shared" si="85"/>
        <v>6384.94</v>
      </c>
      <c r="AF639" s="11">
        <f t="shared" si="86"/>
        <v>5107.9520000000002</v>
      </c>
      <c r="AG639">
        <f t="shared" si="87"/>
        <v>3251.8599999999997</v>
      </c>
      <c r="AH639" s="11">
        <f t="shared" si="88"/>
        <v>0.50930157526930553</v>
      </c>
      <c r="AI639" s="44">
        <f t="shared" si="89"/>
        <v>0.50930157526930553</v>
      </c>
    </row>
    <row r="640" spans="1:35">
      <c r="A640" t="s">
        <v>2004</v>
      </c>
      <c r="B640" s="5">
        <v>45317</v>
      </c>
      <c r="C640" s="5">
        <v>45322</v>
      </c>
      <c r="D640" s="13">
        <f t="shared" si="81"/>
        <v>5</v>
      </c>
      <c r="E640" t="s">
        <v>2005</v>
      </c>
      <c r="F640" t="s">
        <v>23</v>
      </c>
      <c r="G640" t="s">
        <v>90</v>
      </c>
      <c r="H640" t="s">
        <v>54</v>
      </c>
      <c r="I640" t="s">
        <v>185</v>
      </c>
      <c r="J640" t="s">
        <v>186</v>
      </c>
      <c r="K640" t="s">
        <v>28</v>
      </c>
      <c r="L640" t="s">
        <v>124</v>
      </c>
      <c r="M640" t="s">
        <v>2006</v>
      </c>
      <c r="N640" t="s">
        <v>31</v>
      </c>
      <c r="O640">
        <v>3</v>
      </c>
      <c r="P640">
        <v>3224.32</v>
      </c>
      <c r="Q640" s="11">
        <v>0.2</v>
      </c>
      <c r="R640">
        <v>7738.37</v>
      </c>
      <c r="S640">
        <v>4626.8500000000004</v>
      </c>
      <c r="T640">
        <v>3111.52</v>
      </c>
      <c r="U640" t="s">
        <v>155</v>
      </c>
      <c r="V640" t="s">
        <v>103</v>
      </c>
      <c r="X640" s="8" t="str">
        <f>IF(C640&gt;=B640,"Valid", "Invalid-Date")</f>
        <v>Valid</v>
      </c>
      <c r="Y640" s="8" t="str">
        <f t="shared" si="82"/>
        <v>Valid</v>
      </c>
      <c r="Z640" s="8" t="str">
        <f t="shared" si="83"/>
        <v>Pass</v>
      </c>
      <c r="AA640" s="8" t="str">
        <f t="shared" si="84"/>
        <v>Pass</v>
      </c>
      <c r="AB640" s="8" t="str">
        <f>TEXT(B640,"mmmm")</f>
        <v>January</v>
      </c>
      <c r="AC640" s="8" t="str">
        <f>TEXT(B640,"yyyy")</f>
        <v>2024</v>
      </c>
      <c r="AE640">
        <f t="shared" si="85"/>
        <v>9672.9600000000009</v>
      </c>
      <c r="AF640" s="11">
        <f t="shared" si="86"/>
        <v>7738.3680000000013</v>
      </c>
      <c r="AG640">
        <f t="shared" si="87"/>
        <v>5046.1100000000006</v>
      </c>
      <c r="AH640" s="11">
        <f t="shared" si="88"/>
        <v>0.52167175301045388</v>
      </c>
      <c r="AI640" s="44">
        <f t="shared" si="89"/>
        <v>0.52167175301045388</v>
      </c>
    </row>
    <row r="641" spans="1:35">
      <c r="A641" t="s">
        <v>2007</v>
      </c>
      <c r="B641" s="5">
        <v>45653</v>
      </c>
      <c r="C641" s="5">
        <v>45657</v>
      </c>
      <c r="D641" s="13">
        <f t="shared" si="81"/>
        <v>4</v>
      </c>
      <c r="E641" t="s">
        <v>2008</v>
      </c>
      <c r="F641" t="s">
        <v>47</v>
      </c>
      <c r="G641" t="s">
        <v>37</v>
      </c>
      <c r="H641" t="s">
        <v>38</v>
      </c>
      <c r="I641" t="s">
        <v>39</v>
      </c>
      <c r="J641" t="s">
        <v>40</v>
      </c>
      <c r="K641" t="s">
        <v>41</v>
      </c>
      <c r="L641" t="s">
        <v>66</v>
      </c>
      <c r="M641" t="s">
        <v>2009</v>
      </c>
      <c r="N641" t="s">
        <v>31</v>
      </c>
      <c r="O641">
        <v>1</v>
      </c>
      <c r="P641">
        <v>1594.7</v>
      </c>
      <c r="Q641" s="11">
        <v>0.05</v>
      </c>
      <c r="R641">
        <v>1514.96</v>
      </c>
      <c r="S641">
        <v>1046.17</v>
      </c>
      <c r="T641">
        <v>468.79</v>
      </c>
      <c r="U641" t="s">
        <v>32</v>
      </c>
      <c r="V641" t="s">
        <v>33</v>
      </c>
      <c r="X641" s="8" t="str">
        <f>IF(C641&gt;=B641,"Valid", "Invalid-Date")</f>
        <v>Valid</v>
      </c>
      <c r="Y641" s="8" t="str">
        <f t="shared" si="82"/>
        <v>Valid</v>
      </c>
      <c r="Z641" s="8" t="str">
        <f t="shared" si="83"/>
        <v>Pass</v>
      </c>
      <c r="AA641" s="8" t="str">
        <f t="shared" si="84"/>
        <v>Pass</v>
      </c>
      <c r="AB641" s="8" t="str">
        <f>TEXT(B641,"mmmm")</f>
        <v>December</v>
      </c>
      <c r="AC641" s="8" t="str">
        <f>TEXT(B641,"yyyy")</f>
        <v>2024</v>
      </c>
      <c r="AE641">
        <f t="shared" si="85"/>
        <v>1594.7</v>
      </c>
      <c r="AF641" s="11">
        <f t="shared" si="86"/>
        <v>1514.9649999999999</v>
      </c>
      <c r="AG641">
        <f t="shared" si="87"/>
        <v>548.53</v>
      </c>
      <c r="AH641" s="11">
        <f t="shared" si="88"/>
        <v>0.34397065278735811</v>
      </c>
      <c r="AI641" s="44">
        <f t="shared" si="89"/>
        <v>0.34397065278735811</v>
      </c>
    </row>
    <row r="642" spans="1:35">
      <c r="A642" t="s">
        <v>2010</v>
      </c>
      <c r="B642" s="5">
        <v>45671</v>
      </c>
      <c r="C642" s="5">
        <v>45674</v>
      </c>
      <c r="D642" s="13">
        <f t="shared" si="81"/>
        <v>3</v>
      </c>
      <c r="E642" t="s">
        <v>2011</v>
      </c>
      <c r="F642" t="s">
        <v>71</v>
      </c>
      <c r="G642" t="s">
        <v>24</v>
      </c>
      <c r="H642" t="s">
        <v>63</v>
      </c>
      <c r="I642" t="s">
        <v>190</v>
      </c>
      <c r="J642" t="s">
        <v>191</v>
      </c>
      <c r="K642" t="s">
        <v>28</v>
      </c>
      <c r="L642" t="s">
        <v>124</v>
      </c>
      <c r="M642" t="s">
        <v>2012</v>
      </c>
      <c r="N642" t="s">
        <v>50</v>
      </c>
      <c r="O642">
        <v>1</v>
      </c>
      <c r="P642">
        <v>1584.12</v>
      </c>
      <c r="Q642" s="11">
        <v>0.2</v>
      </c>
      <c r="R642">
        <v>1267.3</v>
      </c>
      <c r="S642">
        <v>923.53</v>
      </c>
      <c r="T642">
        <v>343.77</v>
      </c>
      <c r="U642" t="s">
        <v>32</v>
      </c>
      <c r="V642" t="s">
        <v>33</v>
      </c>
      <c r="X642" s="8" t="str">
        <f>IF(C642&gt;=B642,"Valid", "Invalid-Date")</f>
        <v>Valid</v>
      </c>
      <c r="Y642" s="8" t="str">
        <f t="shared" si="82"/>
        <v>Valid</v>
      </c>
      <c r="Z642" s="8" t="str">
        <f t="shared" si="83"/>
        <v>Pass</v>
      </c>
      <c r="AA642" s="8" t="str">
        <f t="shared" si="84"/>
        <v>Pass</v>
      </c>
      <c r="AB642" s="8" t="str">
        <f>TEXT(B642,"mmmm")</f>
        <v>January</v>
      </c>
      <c r="AC642" s="8" t="str">
        <f>TEXT(B642,"yyyy")</f>
        <v>2025</v>
      </c>
      <c r="AE642">
        <f t="shared" si="85"/>
        <v>1584.12</v>
      </c>
      <c r="AF642" s="11">
        <f t="shared" si="86"/>
        <v>1267.296</v>
      </c>
      <c r="AG642">
        <f t="shared" si="87"/>
        <v>660.58999999999992</v>
      </c>
      <c r="AH642" s="11">
        <f t="shared" si="88"/>
        <v>0.41700754993308586</v>
      </c>
      <c r="AI642" s="44">
        <f t="shared" si="89"/>
        <v>0.41700754993308586</v>
      </c>
    </row>
    <row r="643" spans="1:35">
      <c r="A643" t="s">
        <v>2013</v>
      </c>
      <c r="B643" s="5">
        <v>45756</v>
      </c>
      <c r="C643" s="5">
        <v>45761</v>
      </c>
      <c r="D643" s="13">
        <f t="shared" ref="D643:D706" si="90">C643-B643</f>
        <v>5</v>
      </c>
      <c r="E643" t="s">
        <v>2014</v>
      </c>
      <c r="F643" t="s">
        <v>23</v>
      </c>
      <c r="G643" t="s">
        <v>24</v>
      </c>
      <c r="H643" t="s">
        <v>25</v>
      </c>
      <c r="I643" t="s">
        <v>350</v>
      </c>
      <c r="J643" t="s">
        <v>351</v>
      </c>
      <c r="K643" t="s">
        <v>41</v>
      </c>
      <c r="L643" t="s">
        <v>57</v>
      </c>
      <c r="M643" t="s">
        <v>2015</v>
      </c>
      <c r="N643" t="s">
        <v>44</v>
      </c>
      <c r="O643">
        <v>2</v>
      </c>
      <c r="P643">
        <v>3202.87</v>
      </c>
      <c r="Q643" s="11">
        <v>0</v>
      </c>
      <c r="R643">
        <v>6405.74</v>
      </c>
      <c r="S643">
        <v>3561.87</v>
      </c>
      <c r="T643">
        <v>2843.87</v>
      </c>
      <c r="U643" t="s">
        <v>32</v>
      </c>
      <c r="V643" t="s">
        <v>33</v>
      </c>
      <c r="X643" s="8" t="str">
        <f>IF(C643&gt;=B643,"Valid", "Invalid-Date")</f>
        <v>Valid</v>
      </c>
      <c r="Y643" s="8" t="str">
        <f t="shared" ref="Y643:Y706" si="91">IF(OR(Q643&lt;0, Q643&gt;0.5), "Invalid-Discount", "Valid")</f>
        <v>Valid</v>
      </c>
      <c r="Z643" s="8" t="str">
        <f t="shared" ref="Z643:Z706" si="92">IF(N643="Unknown","Flagged","Pass")</f>
        <v>Pass</v>
      </c>
      <c r="AA643" s="8" t="str">
        <f t="shared" ref="AA643:AA706" si="93">IF(H643="Unknown","Flagged","Pass")</f>
        <v>Pass</v>
      </c>
      <c r="AB643" s="8" t="str">
        <f>TEXT(B643,"mmmm")</f>
        <v>April</v>
      </c>
      <c r="AC643" s="8" t="str">
        <f>TEXT(B643,"yyyy")</f>
        <v>2025</v>
      </c>
      <c r="AE643">
        <f t="shared" ref="AE643:AE706" si="94">O643*P643</f>
        <v>6405.74</v>
      </c>
      <c r="AF643" s="11">
        <f t="shared" ref="AF643:AF706" si="95">AE643*(1-Q643)</f>
        <v>6405.74</v>
      </c>
      <c r="AG643">
        <f t="shared" ref="AG643:AG706" si="96">AE643-S643</f>
        <v>2843.87</v>
      </c>
      <c r="AH643" s="11">
        <f t="shared" ref="AH643:AH706" si="97">AG643/AE643</f>
        <v>0.44395651400150488</v>
      </c>
      <c r="AI643" s="44">
        <f t="shared" ref="AI643:AI706" si="98">AG643/AE643</f>
        <v>0.44395651400150488</v>
      </c>
    </row>
    <row r="644" spans="1:35">
      <c r="A644" t="s">
        <v>2016</v>
      </c>
      <c r="B644" s="5">
        <v>45533</v>
      </c>
      <c r="C644" s="5">
        <v>45535</v>
      </c>
      <c r="D644" s="13">
        <f t="shared" si="90"/>
        <v>2</v>
      </c>
      <c r="E644" t="s">
        <v>2017</v>
      </c>
      <c r="F644" t="s">
        <v>47</v>
      </c>
      <c r="G644" t="s">
        <v>95</v>
      </c>
      <c r="H644" t="s">
        <v>38</v>
      </c>
      <c r="I644" t="s">
        <v>166</v>
      </c>
      <c r="J644" t="s">
        <v>167</v>
      </c>
      <c r="K644" t="s">
        <v>28</v>
      </c>
      <c r="L644" t="s">
        <v>153</v>
      </c>
      <c r="M644" t="s">
        <v>2018</v>
      </c>
      <c r="N644" t="s">
        <v>31</v>
      </c>
      <c r="O644">
        <v>9</v>
      </c>
      <c r="P644">
        <v>1275.21</v>
      </c>
      <c r="Q644" s="11">
        <v>0.25</v>
      </c>
      <c r="R644">
        <v>8607.67</v>
      </c>
      <c r="S644">
        <v>5337.64</v>
      </c>
      <c r="T644">
        <v>3270.03</v>
      </c>
      <c r="U644" t="s">
        <v>155</v>
      </c>
      <c r="V644" t="s">
        <v>103</v>
      </c>
      <c r="X644" s="8" t="str">
        <f>IF(C644&gt;=B644,"Valid", "Invalid-Date")</f>
        <v>Valid</v>
      </c>
      <c r="Y644" s="8" t="str">
        <f t="shared" si="91"/>
        <v>Valid</v>
      </c>
      <c r="Z644" s="8" t="str">
        <f t="shared" si="92"/>
        <v>Pass</v>
      </c>
      <c r="AA644" s="8" t="str">
        <f t="shared" si="93"/>
        <v>Pass</v>
      </c>
      <c r="AB644" s="8" t="str">
        <f>TEXT(B644,"mmmm")</f>
        <v>August</v>
      </c>
      <c r="AC644" s="8" t="str">
        <f>TEXT(B644,"yyyy")</f>
        <v>2024</v>
      </c>
      <c r="AE644">
        <f t="shared" si="94"/>
        <v>11476.89</v>
      </c>
      <c r="AF644" s="11">
        <f t="shared" si="95"/>
        <v>8607.6674999999996</v>
      </c>
      <c r="AG644">
        <f t="shared" si="96"/>
        <v>6139.2499999999991</v>
      </c>
      <c r="AH644" s="11">
        <f t="shared" si="97"/>
        <v>0.53492278831634699</v>
      </c>
      <c r="AI644" s="44">
        <f t="shared" si="98"/>
        <v>0.53492278831634699</v>
      </c>
    </row>
    <row r="645" spans="1:35">
      <c r="A645" t="s">
        <v>2019</v>
      </c>
      <c r="B645" s="5">
        <v>45327</v>
      </c>
      <c r="C645" s="5">
        <v>45335</v>
      </c>
      <c r="D645" s="13">
        <f t="shared" si="90"/>
        <v>8</v>
      </c>
      <c r="E645" t="s">
        <v>720</v>
      </c>
      <c r="F645" t="s">
        <v>128</v>
      </c>
      <c r="G645" t="s">
        <v>95</v>
      </c>
      <c r="H645" t="s">
        <v>25</v>
      </c>
      <c r="I645" t="s">
        <v>136</v>
      </c>
      <c r="J645" t="s">
        <v>137</v>
      </c>
      <c r="K645" t="s">
        <v>28</v>
      </c>
      <c r="L645" t="s">
        <v>91</v>
      </c>
      <c r="M645" t="s">
        <v>2020</v>
      </c>
      <c r="N645" t="s">
        <v>59</v>
      </c>
      <c r="O645">
        <v>8</v>
      </c>
      <c r="P645">
        <v>3871.18</v>
      </c>
      <c r="Q645" s="11">
        <v>0.15</v>
      </c>
      <c r="R645">
        <v>26324.02</v>
      </c>
      <c r="S645">
        <v>16277.96</v>
      </c>
      <c r="T645">
        <v>10046.06</v>
      </c>
      <c r="U645" t="s">
        <v>155</v>
      </c>
      <c r="V645" t="s">
        <v>103</v>
      </c>
      <c r="X645" s="8" t="str">
        <f>IF(C645&gt;=B645,"Valid", "Invalid-Date")</f>
        <v>Valid</v>
      </c>
      <c r="Y645" s="8" t="str">
        <f t="shared" si="91"/>
        <v>Valid</v>
      </c>
      <c r="Z645" s="8" t="str">
        <f t="shared" si="92"/>
        <v>Pass</v>
      </c>
      <c r="AA645" s="8" t="str">
        <f t="shared" si="93"/>
        <v>Pass</v>
      </c>
      <c r="AB645" s="8" t="str">
        <f>TEXT(B645,"mmmm")</f>
        <v>February</v>
      </c>
      <c r="AC645" s="8" t="str">
        <f>TEXT(B645,"yyyy")</f>
        <v>2024</v>
      </c>
      <c r="AE645">
        <f t="shared" si="94"/>
        <v>30969.439999999999</v>
      </c>
      <c r="AF645" s="11">
        <f t="shared" si="95"/>
        <v>26324.023999999998</v>
      </c>
      <c r="AG645">
        <f t="shared" si="96"/>
        <v>14691.48</v>
      </c>
      <c r="AH645" s="11">
        <f t="shared" si="97"/>
        <v>0.47438636281443902</v>
      </c>
      <c r="AI645" s="44">
        <f t="shared" si="98"/>
        <v>0.47438636281443902</v>
      </c>
    </row>
    <row r="646" spans="1:35">
      <c r="A646" t="s">
        <v>2021</v>
      </c>
      <c r="B646" s="5">
        <v>45757</v>
      </c>
      <c r="C646" s="5">
        <v>45764</v>
      </c>
      <c r="D646" s="13">
        <f t="shared" si="90"/>
        <v>7</v>
      </c>
      <c r="E646" t="s">
        <v>2022</v>
      </c>
      <c r="F646" t="s">
        <v>71</v>
      </c>
      <c r="G646" t="s">
        <v>24</v>
      </c>
      <c r="H646" t="s">
        <v>38</v>
      </c>
      <c r="I646" t="s">
        <v>99</v>
      </c>
      <c r="J646" t="s">
        <v>100</v>
      </c>
      <c r="K646" t="s">
        <v>41</v>
      </c>
      <c r="L646" t="s">
        <v>66</v>
      </c>
      <c r="M646" t="s">
        <v>2023</v>
      </c>
      <c r="N646" t="s">
        <v>59</v>
      </c>
      <c r="O646">
        <v>4</v>
      </c>
      <c r="P646">
        <v>3750.02</v>
      </c>
      <c r="Q646" s="11">
        <v>0.05</v>
      </c>
      <c r="R646">
        <v>14250.08</v>
      </c>
      <c r="S646">
        <v>10914.92</v>
      </c>
      <c r="T646">
        <v>3335.16</v>
      </c>
      <c r="U646" t="s">
        <v>32</v>
      </c>
      <c r="V646" t="s">
        <v>33</v>
      </c>
      <c r="X646" s="8" t="str">
        <f>IF(C646&gt;=B646,"Valid", "Invalid-Date")</f>
        <v>Valid</v>
      </c>
      <c r="Y646" s="8" t="str">
        <f t="shared" si="91"/>
        <v>Valid</v>
      </c>
      <c r="Z646" s="8" t="str">
        <f t="shared" si="92"/>
        <v>Pass</v>
      </c>
      <c r="AA646" s="8" t="str">
        <f t="shared" si="93"/>
        <v>Pass</v>
      </c>
      <c r="AB646" s="8" t="str">
        <f>TEXT(B646,"mmmm")</f>
        <v>April</v>
      </c>
      <c r="AC646" s="8" t="str">
        <f>TEXT(B646,"yyyy")</f>
        <v>2025</v>
      </c>
      <c r="AE646">
        <f t="shared" si="94"/>
        <v>15000.08</v>
      </c>
      <c r="AF646" s="11">
        <f t="shared" si="95"/>
        <v>14250.075999999999</v>
      </c>
      <c r="AG646">
        <f t="shared" si="96"/>
        <v>4085.16</v>
      </c>
      <c r="AH646" s="11">
        <f t="shared" si="97"/>
        <v>0.27234254750641329</v>
      </c>
      <c r="AI646" s="44">
        <f t="shared" si="98"/>
        <v>0.27234254750641329</v>
      </c>
    </row>
    <row r="647" spans="1:35">
      <c r="A647" t="s">
        <v>2024</v>
      </c>
      <c r="B647" s="5">
        <v>45295</v>
      </c>
      <c r="C647" s="5">
        <v>45300</v>
      </c>
      <c r="D647" s="13">
        <f t="shared" si="90"/>
        <v>5</v>
      </c>
      <c r="E647" t="s">
        <v>2025</v>
      </c>
      <c r="F647" t="s">
        <v>264</v>
      </c>
      <c r="G647" t="s">
        <v>24</v>
      </c>
      <c r="H647" t="s">
        <v>38</v>
      </c>
      <c r="I647" t="s">
        <v>145</v>
      </c>
      <c r="J647" t="s">
        <v>146</v>
      </c>
      <c r="K647" t="s">
        <v>41</v>
      </c>
      <c r="L647" t="s">
        <v>66</v>
      </c>
      <c r="M647" t="s">
        <v>2026</v>
      </c>
      <c r="N647" t="s">
        <v>31</v>
      </c>
      <c r="O647">
        <v>6</v>
      </c>
      <c r="P647">
        <v>2423.61</v>
      </c>
      <c r="Q647" s="11">
        <v>0.1</v>
      </c>
      <c r="R647">
        <v>13087.49</v>
      </c>
      <c r="S647">
        <v>7608.89</v>
      </c>
      <c r="T647">
        <v>5133.22</v>
      </c>
      <c r="U647" t="s">
        <v>32</v>
      </c>
      <c r="V647" t="s">
        <v>33</v>
      </c>
      <c r="X647" s="8" t="str">
        <f>IF(C647&gt;=B647,"Valid", "Invalid-Date")</f>
        <v>Valid</v>
      </c>
      <c r="Y647" s="8" t="str">
        <f t="shared" si="91"/>
        <v>Valid</v>
      </c>
      <c r="Z647" s="8" t="str">
        <f t="shared" si="92"/>
        <v>Pass</v>
      </c>
      <c r="AA647" s="8" t="str">
        <f t="shared" si="93"/>
        <v>Pass</v>
      </c>
      <c r="AB647" s="8" t="str">
        <f>TEXT(B647,"mmmm")</f>
        <v>January</v>
      </c>
      <c r="AC647" s="8" t="str">
        <f>TEXT(B647,"yyyy")</f>
        <v>2024</v>
      </c>
      <c r="AE647">
        <f t="shared" si="94"/>
        <v>14541.66</v>
      </c>
      <c r="AF647" s="11">
        <f t="shared" si="95"/>
        <v>13087.494000000001</v>
      </c>
      <c r="AG647">
        <f t="shared" si="96"/>
        <v>6932.7699999999995</v>
      </c>
      <c r="AH647" s="11">
        <f t="shared" si="97"/>
        <v>0.47675231025893877</v>
      </c>
      <c r="AI647" s="44">
        <f t="shared" si="98"/>
        <v>0.47675231025893877</v>
      </c>
    </row>
    <row r="648" spans="1:35">
      <c r="A648" t="s">
        <v>2027</v>
      </c>
      <c r="B648" s="5">
        <v>45553</v>
      </c>
      <c r="C648" s="5">
        <v>45559</v>
      </c>
      <c r="D648" s="13">
        <f t="shared" si="90"/>
        <v>6</v>
      </c>
      <c r="E648" t="s">
        <v>2028</v>
      </c>
      <c r="F648" t="s">
        <v>71</v>
      </c>
      <c r="G648" t="s">
        <v>37</v>
      </c>
      <c r="H648" t="s">
        <v>38</v>
      </c>
      <c r="I648" t="s">
        <v>228</v>
      </c>
      <c r="J648" t="s">
        <v>229</v>
      </c>
      <c r="K648" t="s">
        <v>74</v>
      </c>
      <c r="L648" t="s">
        <v>274</v>
      </c>
      <c r="M648" t="s">
        <v>2029</v>
      </c>
      <c r="N648" t="s">
        <v>50</v>
      </c>
      <c r="O648">
        <v>3</v>
      </c>
      <c r="P648">
        <v>729.14</v>
      </c>
      <c r="Q648" s="11">
        <v>0.25</v>
      </c>
      <c r="R648">
        <v>1640.57</v>
      </c>
      <c r="S648">
        <v>1136.98</v>
      </c>
      <c r="T648">
        <v>503.59</v>
      </c>
      <c r="U648" t="s">
        <v>32</v>
      </c>
      <c r="V648" t="s">
        <v>33</v>
      </c>
      <c r="X648" s="8" t="str">
        <f>IF(C648&gt;=B648,"Valid", "Invalid-Date")</f>
        <v>Valid</v>
      </c>
      <c r="Y648" s="8" t="str">
        <f t="shared" si="91"/>
        <v>Valid</v>
      </c>
      <c r="Z648" s="8" t="str">
        <f t="shared" si="92"/>
        <v>Pass</v>
      </c>
      <c r="AA648" s="8" t="str">
        <f t="shared" si="93"/>
        <v>Pass</v>
      </c>
      <c r="AB648" s="8" t="str">
        <f>TEXT(B648,"mmmm")</f>
        <v>September</v>
      </c>
      <c r="AC648" s="8" t="str">
        <f>TEXT(B648,"yyyy")</f>
        <v>2024</v>
      </c>
      <c r="AE648">
        <f t="shared" si="94"/>
        <v>2187.42</v>
      </c>
      <c r="AF648" s="11">
        <f t="shared" si="95"/>
        <v>1640.5650000000001</v>
      </c>
      <c r="AG648">
        <f t="shared" si="96"/>
        <v>1050.44</v>
      </c>
      <c r="AH648" s="11">
        <f t="shared" si="97"/>
        <v>0.48021870514121662</v>
      </c>
      <c r="AI648" s="44">
        <f t="shared" si="98"/>
        <v>0.48021870514121662</v>
      </c>
    </row>
    <row r="649" spans="1:35">
      <c r="A649" t="s">
        <v>2030</v>
      </c>
      <c r="B649" s="5">
        <v>45658</v>
      </c>
      <c r="C649" s="5">
        <v>45666</v>
      </c>
      <c r="D649" s="13">
        <f t="shared" si="90"/>
        <v>8</v>
      </c>
      <c r="E649" t="s">
        <v>2031</v>
      </c>
      <c r="F649" t="s">
        <v>141</v>
      </c>
      <c r="G649" t="s">
        <v>37</v>
      </c>
      <c r="H649" t="s">
        <v>25</v>
      </c>
      <c r="I649" t="s">
        <v>122</v>
      </c>
      <c r="J649" t="s">
        <v>123</v>
      </c>
      <c r="K649" t="s">
        <v>28</v>
      </c>
      <c r="L649" t="s">
        <v>48</v>
      </c>
      <c r="M649" t="s">
        <v>2032</v>
      </c>
      <c r="N649" t="s">
        <v>50</v>
      </c>
      <c r="O649">
        <v>8</v>
      </c>
      <c r="P649">
        <v>2123.81</v>
      </c>
      <c r="Q649" s="11">
        <v>0.15</v>
      </c>
      <c r="R649">
        <v>14441.91</v>
      </c>
      <c r="S649">
        <v>10872.89</v>
      </c>
      <c r="T649">
        <v>3569.02</v>
      </c>
      <c r="U649" t="s">
        <v>32</v>
      </c>
      <c r="V649" t="s">
        <v>33</v>
      </c>
      <c r="X649" s="8" t="str">
        <f>IF(C649&gt;=B649,"Valid", "Invalid-Date")</f>
        <v>Valid</v>
      </c>
      <c r="Y649" s="8" t="str">
        <f t="shared" si="91"/>
        <v>Valid</v>
      </c>
      <c r="Z649" s="8" t="str">
        <f t="shared" si="92"/>
        <v>Pass</v>
      </c>
      <c r="AA649" s="8" t="str">
        <f t="shared" si="93"/>
        <v>Pass</v>
      </c>
      <c r="AB649" s="8" t="str">
        <f>TEXT(B649,"mmmm")</f>
        <v>January</v>
      </c>
      <c r="AC649" s="8" t="str">
        <f>TEXT(B649,"yyyy")</f>
        <v>2025</v>
      </c>
      <c r="AE649">
        <f t="shared" si="94"/>
        <v>16990.48</v>
      </c>
      <c r="AF649" s="11">
        <f t="shared" si="95"/>
        <v>14441.907999999999</v>
      </c>
      <c r="AG649">
        <f t="shared" si="96"/>
        <v>6117.59</v>
      </c>
      <c r="AH649" s="11">
        <f t="shared" si="97"/>
        <v>0.36005986882065721</v>
      </c>
      <c r="AI649" s="44">
        <f t="shared" si="98"/>
        <v>0.36005986882065721</v>
      </c>
    </row>
    <row r="650" spans="1:35">
      <c r="A650" t="s">
        <v>2033</v>
      </c>
      <c r="B650" s="5">
        <v>45403</v>
      </c>
      <c r="C650" s="5">
        <v>45406</v>
      </c>
      <c r="D650" s="13">
        <f t="shared" si="90"/>
        <v>3</v>
      </c>
      <c r="E650" t="s">
        <v>2034</v>
      </c>
      <c r="F650" t="s">
        <v>79</v>
      </c>
      <c r="G650" t="s">
        <v>37</v>
      </c>
      <c r="H650" t="s">
        <v>54</v>
      </c>
      <c r="I650" t="s">
        <v>84</v>
      </c>
      <c r="J650" t="s">
        <v>85</v>
      </c>
      <c r="K650" t="s">
        <v>28</v>
      </c>
      <c r="L650" t="s">
        <v>48</v>
      </c>
      <c r="M650" t="s">
        <v>2035</v>
      </c>
      <c r="N650" t="s">
        <v>44</v>
      </c>
      <c r="O650">
        <v>9</v>
      </c>
      <c r="P650">
        <v>703.59</v>
      </c>
      <c r="Q650" s="11">
        <v>0.2</v>
      </c>
      <c r="R650">
        <v>5065.8500000000004</v>
      </c>
      <c r="S650">
        <v>3517.23</v>
      </c>
      <c r="T650">
        <v>1548.62</v>
      </c>
      <c r="U650" t="s">
        <v>155</v>
      </c>
      <c r="V650" t="s">
        <v>103</v>
      </c>
      <c r="X650" s="8" t="str">
        <f>IF(C650&gt;=B650,"Valid", "Invalid-Date")</f>
        <v>Valid</v>
      </c>
      <c r="Y650" s="8" t="str">
        <f t="shared" si="91"/>
        <v>Valid</v>
      </c>
      <c r="Z650" s="8" t="str">
        <f t="shared" si="92"/>
        <v>Pass</v>
      </c>
      <c r="AA650" s="8" t="str">
        <f t="shared" si="93"/>
        <v>Pass</v>
      </c>
      <c r="AB650" s="8" t="str">
        <f>TEXT(B650,"mmmm")</f>
        <v>April</v>
      </c>
      <c r="AC650" s="8" t="str">
        <f>TEXT(B650,"yyyy")</f>
        <v>2024</v>
      </c>
      <c r="AE650">
        <f t="shared" si="94"/>
        <v>6332.31</v>
      </c>
      <c r="AF650" s="11">
        <f t="shared" si="95"/>
        <v>5065.8480000000009</v>
      </c>
      <c r="AG650">
        <f t="shared" si="96"/>
        <v>2815.0800000000004</v>
      </c>
      <c r="AH650" s="11">
        <f t="shared" si="97"/>
        <v>0.44455814702691437</v>
      </c>
      <c r="AI650" s="44">
        <f t="shared" si="98"/>
        <v>0.44455814702691437</v>
      </c>
    </row>
    <row r="651" spans="1:35">
      <c r="A651" t="s">
        <v>2036</v>
      </c>
      <c r="B651" s="5">
        <v>45880</v>
      </c>
      <c r="C651" s="5">
        <v>45888</v>
      </c>
      <c r="D651" s="13">
        <f t="shared" si="90"/>
        <v>8</v>
      </c>
      <c r="E651" t="s">
        <v>2037</v>
      </c>
      <c r="F651" t="s">
        <v>264</v>
      </c>
      <c r="G651" t="s">
        <v>37</v>
      </c>
      <c r="H651" t="s">
        <v>54</v>
      </c>
      <c r="I651" t="s">
        <v>185</v>
      </c>
      <c r="J651" t="s">
        <v>186</v>
      </c>
      <c r="K651" t="s">
        <v>74</v>
      </c>
      <c r="L651" t="s">
        <v>75</v>
      </c>
      <c r="M651" t="s">
        <v>2038</v>
      </c>
      <c r="N651" t="s">
        <v>59</v>
      </c>
      <c r="O651">
        <v>4</v>
      </c>
      <c r="P651">
        <v>2258.96</v>
      </c>
      <c r="Q651" s="11">
        <v>0.25</v>
      </c>
      <c r="R651">
        <v>6776.88</v>
      </c>
      <c r="S651">
        <v>3836.24</v>
      </c>
      <c r="T651">
        <v>2940.64</v>
      </c>
      <c r="U651" t="s">
        <v>32</v>
      </c>
      <c r="V651" t="s">
        <v>33</v>
      </c>
      <c r="X651" s="8" t="str">
        <f>IF(C651&gt;=B651,"Valid", "Invalid-Date")</f>
        <v>Valid</v>
      </c>
      <c r="Y651" s="8" t="str">
        <f t="shared" si="91"/>
        <v>Valid</v>
      </c>
      <c r="Z651" s="8" t="str">
        <f t="shared" si="92"/>
        <v>Pass</v>
      </c>
      <c r="AA651" s="8" t="str">
        <f t="shared" si="93"/>
        <v>Pass</v>
      </c>
      <c r="AB651" s="8" t="str">
        <f>TEXT(B651,"mmmm")</f>
        <v>August</v>
      </c>
      <c r="AC651" s="8" t="str">
        <f>TEXT(B651,"yyyy")</f>
        <v>2025</v>
      </c>
      <c r="AE651">
        <f t="shared" si="94"/>
        <v>9035.84</v>
      </c>
      <c r="AF651" s="11">
        <f t="shared" si="95"/>
        <v>6776.88</v>
      </c>
      <c r="AG651">
        <f t="shared" si="96"/>
        <v>5199.6000000000004</v>
      </c>
      <c r="AH651" s="11">
        <f t="shared" si="97"/>
        <v>0.5754417962248114</v>
      </c>
      <c r="AI651" s="44">
        <f t="shared" si="98"/>
        <v>0.5754417962248114</v>
      </c>
    </row>
    <row r="652" spans="1:35">
      <c r="A652" t="s">
        <v>2039</v>
      </c>
      <c r="B652" s="5">
        <v>45395</v>
      </c>
      <c r="C652" s="5">
        <v>45403</v>
      </c>
      <c r="D652" s="13">
        <f t="shared" si="90"/>
        <v>8</v>
      </c>
      <c r="E652" t="s">
        <v>378</v>
      </c>
      <c r="F652" t="s">
        <v>128</v>
      </c>
      <c r="G652" t="s">
        <v>95</v>
      </c>
      <c r="H652" t="s">
        <v>38</v>
      </c>
      <c r="I652" t="s">
        <v>145</v>
      </c>
      <c r="J652" t="s">
        <v>146</v>
      </c>
      <c r="K652" t="s">
        <v>74</v>
      </c>
      <c r="L652" t="s">
        <v>75</v>
      </c>
      <c r="M652" t="s">
        <v>2040</v>
      </c>
      <c r="N652" t="s">
        <v>44</v>
      </c>
      <c r="O652">
        <v>7</v>
      </c>
      <c r="P652">
        <v>2648.76</v>
      </c>
      <c r="Q652" s="11">
        <v>0.15</v>
      </c>
      <c r="R652">
        <v>15760.12</v>
      </c>
      <c r="S652">
        <v>9931.5300000000007</v>
      </c>
      <c r="T652">
        <v>5828.59</v>
      </c>
      <c r="U652" t="s">
        <v>155</v>
      </c>
      <c r="V652" t="s">
        <v>103</v>
      </c>
      <c r="X652" s="8" t="str">
        <f>IF(C652&gt;=B652,"Valid", "Invalid-Date")</f>
        <v>Valid</v>
      </c>
      <c r="Y652" s="8" t="str">
        <f t="shared" si="91"/>
        <v>Valid</v>
      </c>
      <c r="Z652" s="8" t="str">
        <f t="shared" si="92"/>
        <v>Pass</v>
      </c>
      <c r="AA652" s="8" t="str">
        <f t="shared" si="93"/>
        <v>Pass</v>
      </c>
      <c r="AB652" s="8" t="str">
        <f>TEXT(B652,"mmmm")</f>
        <v>April</v>
      </c>
      <c r="AC652" s="8" t="str">
        <f>TEXT(B652,"yyyy")</f>
        <v>2024</v>
      </c>
      <c r="AE652">
        <f t="shared" si="94"/>
        <v>18541.32</v>
      </c>
      <c r="AF652" s="11">
        <f t="shared" si="95"/>
        <v>15760.121999999999</v>
      </c>
      <c r="AG652">
        <f t="shared" si="96"/>
        <v>8609.7899999999991</v>
      </c>
      <c r="AH652" s="11">
        <f t="shared" si="97"/>
        <v>0.46435690662800705</v>
      </c>
      <c r="AI652" s="44">
        <f t="shared" si="98"/>
        <v>0.46435690662800705</v>
      </c>
    </row>
    <row r="653" spans="1:35">
      <c r="A653" t="s">
        <v>2041</v>
      </c>
      <c r="B653" s="5">
        <v>45875</v>
      </c>
      <c r="C653" s="5">
        <v>45878</v>
      </c>
      <c r="D653" s="13">
        <f t="shared" si="90"/>
        <v>3</v>
      </c>
      <c r="E653" t="s">
        <v>2042</v>
      </c>
      <c r="F653" t="s">
        <v>36</v>
      </c>
      <c r="G653" t="s">
        <v>37</v>
      </c>
      <c r="H653" t="s">
        <v>54</v>
      </c>
      <c r="I653" t="s">
        <v>84</v>
      </c>
      <c r="J653" t="s">
        <v>85</v>
      </c>
      <c r="K653" t="s">
        <v>28</v>
      </c>
      <c r="L653" t="s">
        <v>29</v>
      </c>
      <c r="M653" t="s">
        <v>2043</v>
      </c>
      <c r="N653" t="s">
        <v>31</v>
      </c>
      <c r="O653">
        <v>3</v>
      </c>
      <c r="P653">
        <v>598.54999999999995</v>
      </c>
      <c r="Q653" s="11">
        <v>0</v>
      </c>
      <c r="R653">
        <v>1795.65</v>
      </c>
      <c r="S653">
        <v>996.72</v>
      </c>
      <c r="T653">
        <v>798.93</v>
      </c>
      <c r="U653" t="s">
        <v>32</v>
      </c>
      <c r="V653" t="s">
        <v>33</v>
      </c>
      <c r="X653" s="8" t="str">
        <f>IF(C653&gt;=B653,"Valid", "Invalid-Date")</f>
        <v>Valid</v>
      </c>
      <c r="Y653" s="8" t="str">
        <f t="shared" si="91"/>
        <v>Valid</v>
      </c>
      <c r="Z653" s="8" t="str">
        <f t="shared" si="92"/>
        <v>Pass</v>
      </c>
      <c r="AA653" s="8" t="str">
        <f t="shared" si="93"/>
        <v>Pass</v>
      </c>
      <c r="AB653" s="8" t="str">
        <f>TEXT(B653,"mmmm")</f>
        <v>August</v>
      </c>
      <c r="AC653" s="8" t="str">
        <f>TEXT(B653,"yyyy")</f>
        <v>2025</v>
      </c>
      <c r="AE653">
        <f t="shared" si="94"/>
        <v>1795.6499999999999</v>
      </c>
      <c r="AF653" s="11">
        <f t="shared" si="95"/>
        <v>1795.6499999999999</v>
      </c>
      <c r="AG653">
        <f t="shared" si="96"/>
        <v>798.92999999999984</v>
      </c>
      <c r="AH653" s="11">
        <f t="shared" si="97"/>
        <v>0.44492523598696843</v>
      </c>
      <c r="AI653" s="44">
        <f t="shared" si="98"/>
        <v>0.44492523598696843</v>
      </c>
    </row>
    <row r="654" spans="1:35">
      <c r="A654" t="s">
        <v>2044</v>
      </c>
      <c r="B654" s="5">
        <v>45733</v>
      </c>
      <c r="C654" s="5">
        <v>45737</v>
      </c>
      <c r="D654" s="13">
        <f t="shared" si="90"/>
        <v>4</v>
      </c>
      <c r="E654" t="s">
        <v>1687</v>
      </c>
      <c r="F654" t="s">
        <v>132</v>
      </c>
      <c r="G654" t="s">
        <v>24</v>
      </c>
      <c r="H654" t="s">
        <v>25</v>
      </c>
      <c r="I654" t="s">
        <v>136</v>
      </c>
      <c r="J654" t="s">
        <v>137</v>
      </c>
      <c r="K654" t="s">
        <v>28</v>
      </c>
      <c r="L654" t="s">
        <v>153</v>
      </c>
      <c r="M654" t="s">
        <v>2045</v>
      </c>
      <c r="N654" t="s">
        <v>59</v>
      </c>
      <c r="O654">
        <v>5</v>
      </c>
      <c r="P654">
        <v>4320.59</v>
      </c>
      <c r="Q654" s="11">
        <v>0.15</v>
      </c>
      <c r="R654">
        <v>18362.509999999998</v>
      </c>
      <c r="S654">
        <v>11133.97</v>
      </c>
      <c r="T654">
        <v>7228.54</v>
      </c>
      <c r="U654" t="s">
        <v>32</v>
      </c>
      <c r="V654" t="s">
        <v>33</v>
      </c>
      <c r="X654" s="8" t="str">
        <f>IF(C654&gt;=B654,"Valid", "Invalid-Date")</f>
        <v>Valid</v>
      </c>
      <c r="Y654" s="8" t="str">
        <f t="shared" si="91"/>
        <v>Valid</v>
      </c>
      <c r="Z654" s="8" t="str">
        <f t="shared" si="92"/>
        <v>Pass</v>
      </c>
      <c r="AA654" s="8" t="str">
        <f t="shared" si="93"/>
        <v>Pass</v>
      </c>
      <c r="AB654" s="8" t="str">
        <f>TEXT(B654,"mmmm")</f>
        <v>March</v>
      </c>
      <c r="AC654" s="8" t="str">
        <f>TEXT(B654,"yyyy")</f>
        <v>2025</v>
      </c>
      <c r="AE654">
        <f t="shared" si="94"/>
        <v>21602.95</v>
      </c>
      <c r="AF654" s="11">
        <f t="shared" si="95"/>
        <v>18362.5075</v>
      </c>
      <c r="AG654">
        <f t="shared" si="96"/>
        <v>10468.980000000001</v>
      </c>
      <c r="AH654" s="11">
        <f t="shared" si="97"/>
        <v>0.48460881499980329</v>
      </c>
      <c r="AI654" s="44">
        <f t="shared" si="98"/>
        <v>0.48460881499980329</v>
      </c>
    </row>
    <row r="655" spans="1:35">
      <c r="A655" t="s">
        <v>2046</v>
      </c>
      <c r="B655" s="5">
        <v>45751</v>
      </c>
      <c r="C655" s="5">
        <v>45842</v>
      </c>
      <c r="D655" s="13">
        <f t="shared" si="90"/>
        <v>91</v>
      </c>
      <c r="E655" t="s">
        <v>2047</v>
      </c>
      <c r="F655" t="s">
        <v>114</v>
      </c>
      <c r="G655" t="s">
        <v>37</v>
      </c>
      <c r="H655" t="s">
        <v>54</v>
      </c>
      <c r="I655" t="s">
        <v>247</v>
      </c>
      <c r="J655" t="s">
        <v>248</v>
      </c>
      <c r="K655" t="s">
        <v>74</v>
      </c>
      <c r="L655" t="s">
        <v>80</v>
      </c>
      <c r="M655" t="s">
        <v>2048</v>
      </c>
      <c r="N655" t="s">
        <v>31</v>
      </c>
      <c r="O655">
        <v>7</v>
      </c>
      <c r="P655">
        <v>4457.93</v>
      </c>
      <c r="Q655" s="11">
        <v>0.15</v>
      </c>
      <c r="R655">
        <v>26524.68</v>
      </c>
      <c r="S655">
        <v>20574.3</v>
      </c>
      <c r="T655">
        <v>5950.38</v>
      </c>
      <c r="U655" t="s">
        <v>32</v>
      </c>
      <c r="V655" t="s">
        <v>33</v>
      </c>
      <c r="X655" s="8" t="str">
        <f>IF(C655&gt;=B655,"Valid", "Invalid-Date")</f>
        <v>Valid</v>
      </c>
      <c r="Y655" s="8" t="str">
        <f t="shared" si="91"/>
        <v>Valid</v>
      </c>
      <c r="Z655" s="8" t="str">
        <f t="shared" si="92"/>
        <v>Pass</v>
      </c>
      <c r="AA655" s="8" t="str">
        <f t="shared" si="93"/>
        <v>Pass</v>
      </c>
      <c r="AB655" s="8" t="str">
        <f>TEXT(B655,"mmmm")</f>
        <v>April</v>
      </c>
      <c r="AC655" s="8" t="str">
        <f>TEXT(B655,"yyyy")</f>
        <v>2025</v>
      </c>
      <c r="AE655">
        <f t="shared" si="94"/>
        <v>31205.510000000002</v>
      </c>
      <c r="AF655" s="11">
        <f t="shared" si="95"/>
        <v>26524.683500000003</v>
      </c>
      <c r="AG655">
        <f t="shared" si="96"/>
        <v>10631.210000000003</v>
      </c>
      <c r="AH655" s="11">
        <f t="shared" si="97"/>
        <v>0.34068374463355999</v>
      </c>
      <c r="AI655" s="44">
        <f t="shared" si="98"/>
        <v>0.34068374463355999</v>
      </c>
    </row>
    <row r="656" spans="1:35">
      <c r="A656" t="s">
        <v>2049</v>
      </c>
      <c r="B656" s="5">
        <v>46001</v>
      </c>
      <c r="C656" s="5">
        <v>45946</v>
      </c>
      <c r="D656" s="13">
        <f t="shared" si="90"/>
        <v>-55</v>
      </c>
      <c r="E656" t="s">
        <v>926</v>
      </c>
      <c r="F656" t="s">
        <v>162</v>
      </c>
      <c r="G656" t="s">
        <v>90</v>
      </c>
      <c r="H656" t="s">
        <v>38</v>
      </c>
      <c r="I656" t="s">
        <v>145</v>
      </c>
      <c r="J656" t="s">
        <v>146</v>
      </c>
      <c r="K656" t="s">
        <v>74</v>
      </c>
      <c r="L656" t="s">
        <v>274</v>
      </c>
      <c r="M656" t="s">
        <v>2050</v>
      </c>
      <c r="N656" t="s">
        <v>44</v>
      </c>
      <c r="O656">
        <v>1</v>
      </c>
      <c r="P656">
        <v>2570.06</v>
      </c>
      <c r="Q656" s="11">
        <v>0.2</v>
      </c>
      <c r="R656">
        <v>2056.0500000000002</v>
      </c>
      <c r="S656">
        <v>1662.39</v>
      </c>
      <c r="T656">
        <v>393.66</v>
      </c>
      <c r="U656" t="s">
        <v>32</v>
      </c>
      <c r="V656" t="s">
        <v>33</v>
      </c>
      <c r="X656" s="8" t="str">
        <f>IF(C656&gt;=B656,"Valid", "Invalid-Date")</f>
        <v>Invalid-Date</v>
      </c>
      <c r="Y656" s="8" t="str">
        <f t="shared" si="91"/>
        <v>Valid</v>
      </c>
      <c r="Z656" s="8" t="str">
        <f t="shared" si="92"/>
        <v>Pass</v>
      </c>
      <c r="AA656" s="8" t="str">
        <f t="shared" si="93"/>
        <v>Pass</v>
      </c>
      <c r="AB656" s="8" t="str">
        <f>TEXT(B656,"mmmm")</f>
        <v>December</v>
      </c>
      <c r="AC656" s="8" t="str">
        <f>TEXT(B656,"yyyy")</f>
        <v>2025</v>
      </c>
      <c r="AE656">
        <f t="shared" si="94"/>
        <v>2570.06</v>
      </c>
      <c r="AF656" s="11">
        <f t="shared" si="95"/>
        <v>2056.0480000000002</v>
      </c>
      <c r="AG656">
        <f t="shared" si="96"/>
        <v>907.66999999999985</v>
      </c>
      <c r="AH656" s="11">
        <f t="shared" si="97"/>
        <v>0.3531707430954919</v>
      </c>
      <c r="AI656" s="44">
        <f t="shared" si="98"/>
        <v>0.3531707430954919</v>
      </c>
    </row>
    <row r="657" spans="1:35">
      <c r="A657" t="s">
        <v>2051</v>
      </c>
      <c r="B657" s="5">
        <v>45895</v>
      </c>
      <c r="C657" s="5">
        <v>45895</v>
      </c>
      <c r="D657" s="13">
        <f t="shared" si="90"/>
        <v>0</v>
      </c>
      <c r="E657" t="s">
        <v>2052</v>
      </c>
      <c r="F657" t="s">
        <v>79</v>
      </c>
      <c r="G657" t="s">
        <v>95</v>
      </c>
      <c r="H657" t="s">
        <v>38</v>
      </c>
      <c r="I657" t="s">
        <v>99</v>
      </c>
      <c r="J657" t="s">
        <v>100</v>
      </c>
      <c r="K657" t="s">
        <v>41</v>
      </c>
      <c r="L657" t="s">
        <v>57</v>
      </c>
      <c r="M657" t="s">
        <v>2053</v>
      </c>
      <c r="N657" t="s">
        <v>59</v>
      </c>
      <c r="O657">
        <v>4</v>
      </c>
      <c r="P657">
        <v>2151.8200000000002</v>
      </c>
      <c r="Q657" s="11">
        <v>0</v>
      </c>
      <c r="R657">
        <v>8607.2800000000007</v>
      </c>
      <c r="S657">
        <v>5124.01</v>
      </c>
      <c r="T657">
        <v>3483.27</v>
      </c>
      <c r="U657" t="s">
        <v>32</v>
      </c>
      <c r="V657" t="s">
        <v>33</v>
      </c>
      <c r="X657" s="8" t="str">
        <f>IF(C657&gt;=B657,"Valid", "Invalid-Date")</f>
        <v>Valid</v>
      </c>
      <c r="Y657" s="8" t="str">
        <f t="shared" si="91"/>
        <v>Valid</v>
      </c>
      <c r="Z657" s="8" t="str">
        <f t="shared" si="92"/>
        <v>Pass</v>
      </c>
      <c r="AA657" s="8" t="str">
        <f t="shared" si="93"/>
        <v>Pass</v>
      </c>
      <c r="AB657" s="8" t="str">
        <f>TEXT(B657,"mmmm")</f>
        <v>August</v>
      </c>
      <c r="AC657" s="8" t="str">
        <f>TEXT(B657,"yyyy")</f>
        <v>2025</v>
      </c>
      <c r="AE657">
        <f t="shared" si="94"/>
        <v>8607.2800000000007</v>
      </c>
      <c r="AF657" s="11">
        <f t="shared" si="95"/>
        <v>8607.2800000000007</v>
      </c>
      <c r="AG657">
        <f t="shared" si="96"/>
        <v>3483.2700000000004</v>
      </c>
      <c r="AH657" s="11">
        <f t="shared" si="97"/>
        <v>0.40468882155570635</v>
      </c>
      <c r="AI657" s="44">
        <f t="shared" si="98"/>
        <v>0.40468882155570635</v>
      </c>
    </row>
    <row r="658" spans="1:35">
      <c r="A658" t="s">
        <v>2054</v>
      </c>
      <c r="B658" s="5">
        <v>45419</v>
      </c>
      <c r="C658" s="5">
        <v>45426</v>
      </c>
      <c r="D658" s="13">
        <f t="shared" si="90"/>
        <v>7</v>
      </c>
      <c r="E658" t="s">
        <v>2055</v>
      </c>
      <c r="F658" t="s">
        <v>79</v>
      </c>
      <c r="G658" t="s">
        <v>37</v>
      </c>
      <c r="H658" t="s">
        <v>25</v>
      </c>
      <c r="I658" t="s">
        <v>236</v>
      </c>
      <c r="J658" t="s">
        <v>237</v>
      </c>
      <c r="K658" t="s">
        <v>74</v>
      </c>
      <c r="L658" t="s">
        <v>274</v>
      </c>
      <c r="M658" t="s">
        <v>2056</v>
      </c>
      <c r="N658" t="s">
        <v>44</v>
      </c>
      <c r="O658">
        <v>4</v>
      </c>
      <c r="P658">
        <v>2751.1</v>
      </c>
      <c r="Q658" s="11">
        <v>-0.05</v>
      </c>
      <c r="R658">
        <v>9903.9599999999991</v>
      </c>
      <c r="S658">
        <v>7696.28</v>
      </c>
      <c r="T658">
        <v>2207.6799999999998</v>
      </c>
      <c r="U658" t="s">
        <v>32</v>
      </c>
      <c r="V658" t="s">
        <v>33</v>
      </c>
      <c r="X658" s="8" t="str">
        <f>IF(C658&gt;=B658,"Valid", "Invalid-Date")</f>
        <v>Valid</v>
      </c>
      <c r="Y658" s="8" t="str">
        <f t="shared" si="91"/>
        <v>Invalid-Discount</v>
      </c>
      <c r="Z658" s="8" t="str">
        <f t="shared" si="92"/>
        <v>Pass</v>
      </c>
      <c r="AA658" s="8" t="str">
        <f t="shared" si="93"/>
        <v>Pass</v>
      </c>
      <c r="AB658" s="8" t="str">
        <f>TEXT(B658,"mmmm")</f>
        <v>May</v>
      </c>
      <c r="AC658" s="8" t="str">
        <f>TEXT(B658,"yyyy")</f>
        <v>2024</v>
      </c>
      <c r="AE658">
        <f t="shared" si="94"/>
        <v>11004.4</v>
      </c>
      <c r="AF658" s="11">
        <f t="shared" si="95"/>
        <v>11554.62</v>
      </c>
      <c r="AG658">
        <f t="shared" si="96"/>
        <v>3308.12</v>
      </c>
      <c r="AH658" s="11">
        <f t="shared" si="97"/>
        <v>0.30061793464432407</v>
      </c>
      <c r="AI658" s="44">
        <f t="shared" si="98"/>
        <v>0.30061793464432407</v>
      </c>
    </row>
    <row r="659" spans="1:35">
      <c r="A659" t="s">
        <v>2057</v>
      </c>
      <c r="B659" s="5">
        <v>45846</v>
      </c>
      <c r="C659" s="5">
        <v>45938</v>
      </c>
      <c r="D659" s="13">
        <f t="shared" si="90"/>
        <v>92</v>
      </c>
      <c r="E659" t="s">
        <v>2058</v>
      </c>
      <c r="F659" t="s">
        <v>89</v>
      </c>
      <c r="G659" t="s">
        <v>95</v>
      </c>
      <c r="H659" t="s">
        <v>38</v>
      </c>
      <c r="I659" t="s">
        <v>145</v>
      </c>
      <c r="J659" t="s">
        <v>146</v>
      </c>
      <c r="K659" t="s">
        <v>28</v>
      </c>
      <c r="L659" t="s">
        <v>124</v>
      </c>
      <c r="M659" t="s">
        <v>2059</v>
      </c>
      <c r="N659" t="s">
        <v>31</v>
      </c>
      <c r="O659">
        <v>1</v>
      </c>
      <c r="P659">
        <v>2541.25</v>
      </c>
      <c r="Q659" s="11">
        <v>0.2</v>
      </c>
      <c r="R659">
        <v>2033</v>
      </c>
      <c r="S659">
        <v>1291.4100000000001</v>
      </c>
      <c r="T659">
        <v>741.59</v>
      </c>
      <c r="U659" t="s">
        <v>32</v>
      </c>
      <c r="V659" t="s">
        <v>33</v>
      </c>
      <c r="X659" s="8" t="str">
        <f>IF(C659&gt;=B659,"Valid", "Invalid-Date")</f>
        <v>Valid</v>
      </c>
      <c r="Y659" s="8" t="str">
        <f t="shared" si="91"/>
        <v>Valid</v>
      </c>
      <c r="Z659" s="8" t="str">
        <f t="shared" si="92"/>
        <v>Pass</v>
      </c>
      <c r="AA659" s="8" t="str">
        <f t="shared" si="93"/>
        <v>Pass</v>
      </c>
      <c r="AB659" s="8" t="str">
        <f>TEXT(B659,"mmmm")</f>
        <v>July</v>
      </c>
      <c r="AC659" s="8" t="str">
        <f>TEXT(B659,"yyyy")</f>
        <v>2025</v>
      </c>
      <c r="AE659">
        <f t="shared" si="94"/>
        <v>2541.25</v>
      </c>
      <c r="AF659" s="11">
        <f t="shared" si="95"/>
        <v>2033</v>
      </c>
      <c r="AG659">
        <f t="shared" si="96"/>
        <v>1249.8399999999999</v>
      </c>
      <c r="AH659" s="11">
        <f t="shared" si="97"/>
        <v>0.49182095425479583</v>
      </c>
      <c r="AI659" s="44">
        <f t="shared" si="98"/>
        <v>0.49182095425479583</v>
      </c>
    </row>
    <row r="660" spans="1:35">
      <c r="A660" t="s">
        <v>2060</v>
      </c>
      <c r="B660" s="5">
        <v>45817</v>
      </c>
      <c r="C660" s="5">
        <v>45997</v>
      </c>
      <c r="D660" s="13">
        <f t="shared" si="90"/>
        <v>180</v>
      </c>
      <c r="E660" t="s">
        <v>2061</v>
      </c>
      <c r="F660" t="s">
        <v>132</v>
      </c>
      <c r="G660" t="s">
        <v>24</v>
      </c>
      <c r="H660" t="s">
        <v>2785</v>
      </c>
      <c r="I660" t="s">
        <v>145</v>
      </c>
      <c r="J660" t="s">
        <v>146</v>
      </c>
      <c r="K660" t="s">
        <v>28</v>
      </c>
      <c r="L660" t="s">
        <v>48</v>
      </c>
      <c r="M660" t="s">
        <v>2062</v>
      </c>
      <c r="N660" t="s">
        <v>50</v>
      </c>
      <c r="O660">
        <v>7</v>
      </c>
      <c r="P660">
        <v>2852.42</v>
      </c>
      <c r="Q660" s="11">
        <v>0</v>
      </c>
      <c r="R660">
        <v>19966.939999999999</v>
      </c>
      <c r="S660">
        <v>12690.83</v>
      </c>
      <c r="T660">
        <v>7276.11</v>
      </c>
      <c r="U660" t="s">
        <v>102</v>
      </c>
      <c r="V660" t="s">
        <v>68</v>
      </c>
      <c r="X660" s="8" t="str">
        <f>IF(C660&gt;=B660,"Valid", "Invalid-Date")</f>
        <v>Valid</v>
      </c>
      <c r="Y660" s="8" t="str">
        <f t="shared" si="91"/>
        <v>Valid</v>
      </c>
      <c r="Z660" s="8" t="str">
        <f t="shared" si="92"/>
        <v>Pass</v>
      </c>
      <c r="AA660" s="8" t="str">
        <f t="shared" si="93"/>
        <v>Flagged</v>
      </c>
      <c r="AB660" s="8" t="str">
        <f>TEXT(B660,"mmmm")</f>
        <v>June</v>
      </c>
      <c r="AC660" s="8" t="str">
        <f>TEXT(B660,"yyyy")</f>
        <v>2025</v>
      </c>
      <c r="AE660">
        <f t="shared" si="94"/>
        <v>19966.940000000002</v>
      </c>
      <c r="AF660" s="11">
        <f t="shared" si="95"/>
        <v>19966.940000000002</v>
      </c>
      <c r="AG660">
        <f t="shared" si="96"/>
        <v>7276.1100000000024</v>
      </c>
      <c r="AH660" s="11">
        <f t="shared" si="97"/>
        <v>0.36440786620283339</v>
      </c>
      <c r="AI660" s="44">
        <f t="shared" si="98"/>
        <v>0.36440786620283339</v>
      </c>
    </row>
    <row r="661" spans="1:35">
      <c r="A661" t="s">
        <v>2063</v>
      </c>
      <c r="B661" s="5">
        <v>45678</v>
      </c>
      <c r="C661" s="5">
        <v>45679</v>
      </c>
      <c r="D661" s="13">
        <f t="shared" si="90"/>
        <v>1</v>
      </c>
      <c r="E661" t="s">
        <v>2064</v>
      </c>
      <c r="F661" t="s">
        <v>162</v>
      </c>
      <c r="G661" t="s">
        <v>90</v>
      </c>
      <c r="H661" t="s">
        <v>54</v>
      </c>
      <c r="I661" t="s">
        <v>175</v>
      </c>
      <c r="J661" t="s">
        <v>176</v>
      </c>
      <c r="K661" t="s">
        <v>74</v>
      </c>
      <c r="L661" t="s">
        <v>171</v>
      </c>
      <c r="M661" t="s">
        <v>2065</v>
      </c>
      <c r="N661" t="s">
        <v>31</v>
      </c>
      <c r="O661">
        <v>2</v>
      </c>
      <c r="P661">
        <v>444.31</v>
      </c>
      <c r="Q661" s="11">
        <v>0.2</v>
      </c>
      <c r="R661">
        <v>710.9</v>
      </c>
      <c r="S661">
        <v>513.88</v>
      </c>
      <c r="T661">
        <v>197.02</v>
      </c>
      <c r="U661" t="s">
        <v>102</v>
      </c>
      <c r="V661" t="s">
        <v>68</v>
      </c>
      <c r="X661" s="8" t="str">
        <f>IF(C661&gt;=B661,"Valid", "Invalid-Date")</f>
        <v>Valid</v>
      </c>
      <c r="Y661" s="8" t="str">
        <f t="shared" si="91"/>
        <v>Valid</v>
      </c>
      <c r="Z661" s="8" t="str">
        <f t="shared" si="92"/>
        <v>Pass</v>
      </c>
      <c r="AA661" s="8" t="str">
        <f t="shared" si="93"/>
        <v>Pass</v>
      </c>
      <c r="AB661" s="8" t="str">
        <f>TEXT(B661,"mmmm")</f>
        <v>January</v>
      </c>
      <c r="AC661" s="8" t="str">
        <f>TEXT(B661,"yyyy")</f>
        <v>2025</v>
      </c>
      <c r="AE661">
        <f t="shared" si="94"/>
        <v>888.62</v>
      </c>
      <c r="AF661" s="11">
        <f t="shared" si="95"/>
        <v>710.89600000000007</v>
      </c>
      <c r="AG661">
        <f t="shared" si="96"/>
        <v>374.74</v>
      </c>
      <c r="AH661" s="11">
        <f t="shared" si="97"/>
        <v>0.42171006729535687</v>
      </c>
      <c r="AI661" s="44">
        <f t="shared" si="98"/>
        <v>0.42171006729535687</v>
      </c>
    </row>
    <row r="662" spans="1:35">
      <c r="A662" t="s">
        <v>2066</v>
      </c>
      <c r="B662" s="5">
        <v>45853</v>
      </c>
      <c r="C662" s="5">
        <v>45853</v>
      </c>
      <c r="D662" s="13">
        <f t="shared" si="90"/>
        <v>0</v>
      </c>
      <c r="E662" t="s">
        <v>2067</v>
      </c>
      <c r="F662" t="s">
        <v>53</v>
      </c>
      <c r="G662" t="s">
        <v>37</v>
      </c>
      <c r="H662" t="s">
        <v>38</v>
      </c>
      <c r="I662" t="s">
        <v>228</v>
      </c>
      <c r="J662" t="s">
        <v>229</v>
      </c>
      <c r="K662" t="s">
        <v>74</v>
      </c>
      <c r="L662" t="s">
        <v>171</v>
      </c>
      <c r="M662" t="s">
        <v>2068</v>
      </c>
      <c r="N662" t="s">
        <v>44</v>
      </c>
      <c r="O662">
        <v>4</v>
      </c>
      <c r="P662">
        <v>4442.91</v>
      </c>
      <c r="Q662" s="11">
        <v>0.1</v>
      </c>
      <c r="R662">
        <v>15994.48</v>
      </c>
      <c r="S662">
        <v>9224.2800000000007</v>
      </c>
      <c r="T662">
        <v>6770.2</v>
      </c>
      <c r="U662" t="s">
        <v>32</v>
      </c>
      <c r="V662" t="s">
        <v>33</v>
      </c>
      <c r="X662" s="8" t="str">
        <f>IF(C662&gt;=B662,"Valid", "Invalid-Date")</f>
        <v>Valid</v>
      </c>
      <c r="Y662" s="8" t="str">
        <f t="shared" si="91"/>
        <v>Valid</v>
      </c>
      <c r="Z662" s="8" t="str">
        <f t="shared" si="92"/>
        <v>Pass</v>
      </c>
      <c r="AA662" s="8" t="str">
        <f t="shared" si="93"/>
        <v>Pass</v>
      </c>
      <c r="AB662" s="8" t="str">
        <f>TEXT(B662,"mmmm")</f>
        <v>July</v>
      </c>
      <c r="AC662" s="8" t="str">
        <f>TEXT(B662,"yyyy")</f>
        <v>2025</v>
      </c>
      <c r="AE662">
        <f t="shared" si="94"/>
        <v>17771.64</v>
      </c>
      <c r="AF662" s="11">
        <f t="shared" si="95"/>
        <v>15994.476000000001</v>
      </c>
      <c r="AG662">
        <f t="shared" si="96"/>
        <v>8547.3599999999988</v>
      </c>
      <c r="AH662" s="11">
        <f t="shared" si="97"/>
        <v>0.48095504973091957</v>
      </c>
      <c r="AI662" s="44">
        <f t="shared" si="98"/>
        <v>0.48095504973091957</v>
      </c>
    </row>
    <row r="663" spans="1:35">
      <c r="A663" t="s">
        <v>2069</v>
      </c>
      <c r="B663" s="5">
        <v>45429</v>
      </c>
      <c r="C663" s="5">
        <v>45434</v>
      </c>
      <c r="D663" s="13">
        <f t="shared" si="90"/>
        <v>5</v>
      </c>
      <c r="E663" t="s">
        <v>2070</v>
      </c>
      <c r="F663" t="s">
        <v>132</v>
      </c>
      <c r="G663" t="s">
        <v>24</v>
      </c>
      <c r="H663" t="s">
        <v>54</v>
      </c>
      <c r="I663" t="s">
        <v>84</v>
      </c>
      <c r="J663" t="s">
        <v>85</v>
      </c>
      <c r="K663" t="s">
        <v>74</v>
      </c>
      <c r="L663" t="s">
        <v>274</v>
      </c>
      <c r="M663" t="s">
        <v>2071</v>
      </c>
      <c r="N663" t="s">
        <v>31</v>
      </c>
      <c r="O663">
        <v>7</v>
      </c>
      <c r="P663">
        <v>232.5</v>
      </c>
      <c r="Q663" s="11">
        <v>0</v>
      </c>
      <c r="R663">
        <v>1627.5</v>
      </c>
      <c r="S663">
        <v>939.9</v>
      </c>
      <c r="T663">
        <v>687.6</v>
      </c>
      <c r="U663" t="s">
        <v>32</v>
      </c>
      <c r="V663" t="s">
        <v>33</v>
      </c>
      <c r="X663" s="8" t="str">
        <f>IF(C663&gt;=B663,"Valid", "Invalid-Date")</f>
        <v>Valid</v>
      </c>
      <c r="Y663" s="8" t="str">
        <f t="shared" si="91"/>
        <v>Valid</v>
      </c>
      <c r="Z663" s="8" t="str">
        <f t="shared" si="92"/>
        <v>Pass</v>
      </c>
      <c r="AA663" s="8" t="str">
        <f t="shared" si="93"/>
        <v>Pass</v>
      </c>
      <c r="AB663" s="8" t="str">
        <f>TEXT(B663,"mmmm")</f>
        <v>May</v>
      </c>
      <c r="AC663" s="8" t="str">
        <f>TEXT(B663,"yyyy")</f>
        <v>2024</v>
      </c>
      <c r="AE663">
        <f t="shared" si="94"/>
        <v>1627.5</v>
      </c>
      <c r="AF663" s="11">
        <f t="shared" si="95"/>
        <v>1627.5</v>
      </c>
      <c r="AG663">
        <f t="shared" si="96"/>
        <v>687.6</v>
      </c>
      <c r="AH663" s="11">
        <f t="shared" si="97"/>
        <v>0.4224884792626728</v>
      </c>
      <c r="AI663" s="44">
        <f t="shared" si="98"/>
        <v>0.4224884792626728</v>
      </c>
    </row>
    <row r="664" spans="1:35">
      <c r="A664" t="s">
        <v>2072</v>
      </c>
      <c r="B664" s="5">
        <v>45305</v>
      </c>
      <c r="C664" s="5">
        <v>45309</v>
      </c>
      <c r="D664" s="13">
        <f t="shared" si="90"/>
        <v>4</v>
      </c>
      <c r="E664" t="s">
        <v>2073</v>
      </c>
      <c r="F664" t="s">
        <v>36</v>
      </c>
      <c r="G664" t="s">
        <v>95</v>
      </c>
      <c r="H664" t="s">
        <v>63</v>
      </c>
      <c r="I664" t="s">
        <v>26</v>
      </c>
      <c r="J664" t="s">
        <v>109</v>
      </c>
      <c r="K664" t="s">
        <v>74</v>
      </c>
      <c r="L664" t="s">
        <v>274</v>
      </c>
      <c r="M664" t="s">
        <v>2074</v>
      </c>
      <c r="N664" t="s">
        <v>44</v>
      </c>
      <c r="O664">
        <v>6</v>
      </c>
      <c r="P664">
        <v>1784.8</v>
      </c>
      <c r="Q664" s="11">
        <v>0.1</v>
      </c>
      <c r="R664">
        <v>9637.92</v>
      </c>
      <c r="S664">
        <v>7329.29</v>
      </c>
      <c r="T664">
        <v>2308.63</v>
      </c>
      <c r="U664" t="s">
        <v>32</v>
      </c>
      <c r="V664" t="s">
        <v>33</v>
      </c>
      <c r="X664" s="8" t="str">
        <f>IF(C664&gt;=B664,"Valid", "Invalid-Date")</f>
        <v>Valid</v>
      </c>
      <c r="Y664" s="8" t="str">
        <f t="shared" si="91"/>
        <v>Valid</v>
      </c>
      <c r="Z664" s="8" t="str">
        <f t="shared" si="92"/>
        <v>Pass</v>
      </c>
      <c r="AA664" s="8" t="str">
        <f t="shared" si="93"/>
        <v>Pass</v>
      </c>
      <c r="AB664" s="8" t="str">
        <f>TEXT(B664,"mmmm")</f>
        <v>January</v>
      </c>
      <c r="AC664" s="8" t="str">
        <f>TEXT(B664,"yyyy")</f>
        <v>2024</v>
      </c>
      <c r="AE664">
        <f t="shared" si="94"/>
        <v>10708.8</v>
      </c>
      <c r="AF664" s="11">
        <f t="shared" si="95"/>
        <v>9637.92</v>
      </c>
      <c r="AG664">
        <f t="shared" si="96"/>
        <v>3379.5099999999993</v>
      </c>
      <c r="AH664" s="11">
        <f t="shared" si="97"/>
        <v>0.31558251157926187</v>
      </c>
      <c r="AI664" s="44">
        <f t="shared" si="98"/>
        <v>0.31558251157926187</v>
      </c>
    </row>
    <row r="665" spans="1:35">
      <c r="A665" t="s">
        <v>2075</v>
      </c>
      <c r="B665" s="5">
        <v>45327</v>
      </c>
      <c r="C665" s="5">
        <v>45509</v>
      </c>
      <c r="D665" s="13">
        <f t="shared" si="90"/>
        <v>182</v>
      </c>
      <c r="E665" t="s">
        <v>2076</v>
      </c>
      <c r="F665" t="s">
        <v>118</v>
      </c>
      <c r="G665" t="s">
        <v>95</v>
      </c>
      <c r="H665" t="s">
        <v>38</v>
      </c>
      <c r="I665" t="s">
        <v>228</v>
      </c>
      <c r="J665" t="s">
        <v>229</v>
      </c>
      <c r="K665" t="s">
        <v>74</v>
      </c>
      <c r="L665" t="s">
        <v>80</v>
      </c>
      <c r="M665" t="s">
        <v>2077</v>
      </c>
      <c r="N665" t="s">
        <v>31</v>
      </c>
      <c r="O665">
        <v>2</v>
      </c>
      <c r="P665">
        <v>3185.01</v>
      </c>
      <c r="Q665" s="11">
        <v>-0.24</v>
      </c>
      <c r="R665">
        <v>4777.5200000000004</v>
      </c>
      <c r="S665">
        <v>3152.98</v>
      </c>
      <c r="T665">
        <v>1624.54</v>
      </c>
      <c r="U665" t="s">
        <v>32</v>
      </c>
      <c r="V665" t="s">
        <v>33</v>
      </c>
      <c r="X665" s="8" t="str">
        <f>IF(C665&gt;=B665,"Valid", "Invalid-Date")</f>
        <v>Valid</v>
      </c>
      <c r="Y665" s="8" t="str">
        <f t="shared" si="91"/>
        <v>Invalid-Discount</v>
      </c>
      <c r="Z665" s="8" t="str">
        <f t="shared" si="92"/>
        <v>Pass</v>
      </c>
      <c r="AA665" s="8" t="str">
        <f t="shared" si="93"/>
        <v>Pass</v>
      </c>
      <c r="AB665" s="8" t="str">
        <f>TEXT(B665,"mmmm")</f>
        <v>February</v>
      </c>
      <c r="AC665" s="8" t="str">
        <f>TEXT(B665,"yyyy")</f>
        <v>2024</v>
      </c>
      <c r="AE665">
        <f t="shared" si="94"/>
        <v>6370.02</v>
      </c>
      <c r="AF665" s="11">
        <f t="shared" si="95"/>
        <v>7898.8248000000003</v>
      </c>
      <c r="AG665">
        <f t="shared" si="96"/>
        <v>3217.0400000000004</v>
      </c>
      <c r="AH665" s="11">
        <f t="shared" si="97"/>
        <v>0.50502824166957094</v>
      </c>
      <c r="AI665" s="44">
        <f t="shared" si="98"/>
        <v>0.50502824166957094</v>
      </c>
    </row>
    <row r="666" spans="1:35">
      <c r="A666" t="s">
        <v>2078</v>
      </c>
      <c r="B666" s="5">
        <v>45633</v>
      </c>
      <c r="C666" s="5">
        <v>45577</v>
      </c>
      <c r="D666" s="13">
        <f t="shared" si="90"/>
        <v>-56</v>
      </c>
      <c r="E666" t="s">
        <v>2079</v>
      </c>
      <c r="F666" t="s">
        <v>36</v>
      </c>
      <c r="G666" t="s">
        <v>95</v>
      </c>
      <c r="H666" t="s">
        <v>54</v>
      </c>
      <c r="I666" t="s">
        <v>55</v>
      </c>
      <c r="J666" t="s">
        <v>56</v>
      </c>
      <c r="K666" t="s">
        <v>74</v>
      </c>
      <c r="L666" t="s">
        <v>75</v>
      </c>
      <c r="M666" t="s">
        <v>2080</v>
      </c>
      <c r="N666" t="s">
        <v>59</v>
      </c>
      <c r="O666">
        <v>1</v>
      </c>
      <c r="P666">
        <v>1908.83</v>
      </c>
      <c r="Q666" s="11">
        <v>0.2</v>
      </c>
      <c r="R666">
        <v>1527.06</v>
      </c>
      <c r="S666">
        <v>1055.8900000000001</v>
      </c>
      <c r="T666">
        <v>471.17</v>
      </c>
      <c r="U666" t="s">
        <v>32</v>
      </c>
      <c r="V666" t="s">
        <v>33</v>
      </c>
      <c r="X666" s="8" t="str">
        <f>IF(C666&gt;=B666,"Valid", "Invalid-Date")</f>
        <v>Invalid-Date</v>
      </c>
      <c r="Y666" s="8" t="str">
        <f t="shared" si="91"/>
        <v>Valid</v>
      </c>
      <c r="Z666" s="8" t="str">
        <f t="shared" si="92"/>
        <v>Pass</v>
      </c>
      <c r="AA666" s="8" t="str">
        <f t="shared" si="93"/>
        <v>Pass</v>
      </c>
      <c r="AB666" s="8" t="str">
        <f>TEXT(B666,"mmmm")</f>
        <v>December</v>
      </c>
      <c r="AC666" s="8" t="str">
        <f>TEXT(B666,"yyyy")</f>
        <v>2024</v>
      </c>
      <c r="AE666">
        <f t="shared" si="94"/>
        <v>1908.83</v>
      </c>
      <c r="AF666" s="11">
        <f t="shared" si="95"/>
        <v>1527.0640000000001</v>
      </c>
      <c r="AG666">
        <f t="shared" si="96"/>
        <v>852.93999999999983</v>
      </c>
      <c r="AH666" s="11">
        <f t="shared" si="97"/>
        <v>0.44683916325707362</v>
      </c>
      <c r="AI666" s="44">
        <f t="shared" si="98"/>
        <v>0.44683916325707362</v>
      </c>
    </row>
    <row r="667" spans="1:35">
      <c r="A667" t="s">
        <v>2081</v>
      </c>
      <c r="B667" s="5">
        <v>45670</v>
      </c>
      <c r="C667" s="5">
        <v>45670</v>
      </c>
      <c r="D667" s="13">
        <f t="shared" si="90"/>
        <v>0</v>
      </c>
      <c r="E667" t="s">
        <v>2082</v>
      </c>
      <c r="F667" t="s">
        <v>118</v>
      </c>
      <c r="G667" t="s">
        <v>95</v>
      </c>
      <c r="H667" t="s">
        <v>63</v>
      </c>
      <c r="I667" t="s">
        <v>180</v>
      </c>
      <c r="J667" t="s">
        <v>181</v>
      </c>
      <c r="K667" t="s">
        <v>28</v>
      </c>
      <c r="L667" t="s">
        <v>48</v>
      </c>
      <c r="M667" t="s">
        <v>2083</v>
      </c>
      <c r="N667" t="s">
        <v>59</v>
      </c>
      <c r="O667">
        <v>3</v>
      </c>
      <c r="P667">
        <v>2110.52</v>
      </c>
      <c r="Q667" s="11">
        <v>0.1</v>
      </c>
      <c r="R667">
        <v>5698.4</v>
      </c>
      <c r="S667">
        <v>3640.89</v>
      </c>
      <c r="T667">
        <v>2057.5100000000002</v>
      </c>
      <c r="U667" t="s">
        <v>155</v>
      </c>
      <c r="V667" t="s">
        <v>68</v>
      </c>
      <c r="X667" s="8" t="str">
        <f>IF(C667&gt;=B667,"Valid", "Invalid-Date")</f>
        <v>Valid</v>
      </c>
      <c r="Y667" s="8" t="str">
        <f t="shared" si="91"/>
        <v>Valid</v>
      </c>
      <c r="Z667" s="8" t="str">
        <f t="shared" si="92"/>
        <v>Pass</v>
      </c>
      <c r="AA667" s="8" t="str">
        <f t="shared" si="93"/>
        <v>Pass</v>
      </c>
      <c r="AB667" s="8" t="str">
        <f>TEXT(B667,"mmmm")</f>
        <v>January</v>
      </c>
      <c r="AC667" s="8" t="str">
        <f>TEXT(B667,"yyyy")</f>
        <v>2025</v>
      </c>
      <c r="AE667">
        <f t="shared" si="94"/>
        <v>6331.5599999999995</v>
      </c>
      <c r="AF667" s="11">
        <f t="shared" si="95"/>
        <v>5698.4039999999995</v>
      </c>
      <c r="AG667">
        <f t="shared" si="96"/>
        <v>2690.6699999999996</v>
      </c>
      <c r="AH667" s="11">
        <f t="shared" si="97"/>
        <v>0.4249616208327805</v>
      </c>
      <c r="AI667" s="44">
        <f t="shared" si="98"/>
        <v>0.4249616208327805</v>
      </c>
    </row>
    <row r="668" spans="1:35">
      <c r="A668" t="s">
        <v>2084</v>
      </c>
      <c r="B668" s="5">
        <v>45464</v>
      </c>
      <c r="C668" s="5">
        <v>45469</v>
      </c>
      <c r="D668" s="13">
        <f t="shared" si="90"/>
        <v>5</v>
      </c>
      <c r="E668" t="s">
        <v>2085</v>
      </c>
      <c r="F668" t="s">
        <v>141</v>
      </c>
      <c r="G668" t="s">
        <v>37</v>
      </c>
      <c r="H668" t="s">
        <v>25</v>
      </c>
      <c r="I668" t="s">
        <v>122</v>
      </c>
      <c r="J668" t="s">
        <v>123</v>
      </c>
      <c r="K668" t="s">
        <v>74</v>
      </c>
      <c r="L668" t="s">
        <v>80</v>
      </c>
      <c r="M668" t="s">
        <v>2086</v>
      </c>
      <c r="N668" t="s">
        <v>44</v>
      </c>
      <c r="O668">
        <v>1</v>
      </c>
      <c r="P668">
        <v>279.83</v>
      </c>
      <c r="Q668" s="11">
        <v>0.05</v>
      </c>
      <c r="R668">
        <v>265.83999999999997</v>
      </c>
      <c r="S668">
        <v>223.49</v>
      </c>
      <c r="T668">
        <v>42.35</v>
      </c>
      <c r="U668" t="s">
        <v>32</v>
      </c>
      <c r="V668" t="s">
        <v>33</v>
      </c>
      <c r="X668" s="8" t="str">
        <f>IF(C668&gt;=B668,"Valid", "Invalid-Date")</f>
        <v>Valid</v>
      </c>
      <c r="Y668" s="8" t="str">
        <f t="shared" si="91"/>
        <v>Valid</v>
      </c>
      <c r="Z668" s="8" t="str">
        <f t="shared" si="92"/>
        <v>Pass</v>
      </c>
      <c r="AA668" s="8" t="str">
        <f t="shared" si="93"/>
        <v>Pass</v>
      </c>
      <c r="AB668" s="8" t="str">
        <f>TEXT(B668,"mmmm")</f>
        <v>June</v>
      </c>
      <c r="AC668" s="8" t="str">
        <f>TEXT(B668,"yyyy")</f>
        <v>2024</v>
      </c>
      <c r="AE668">
        <f t="shared" si="94"/>
        <v>279.83</v>
      </c>
      <c r="AF668" s="11">
        <f t="shared" si="95"/>
        <v>265.83849999999995</v>
      </c>
      <c r="AG668">
        <f t="shared" si="96"/>
        <v>56.339999999999975</v>
      </c>
      <c r="AH668" s="11">
        <f t="shared" si="97"/>
        <v>0.20133652574777536</v>
      </c>
      <c r="AI668" s="44">
        <f t="shared" si="98"/>
        <v>0.20133652574777536</v>
      </c>
    </row>
    <row r="669" spans="1:35">
      <c r="A669" t="s">
        <v>2087</v>
      </c>
      <c r="B669" s="5">
        <v>45797</v>
      </c>
      <c r="C669" s="5">
        <v>45804</v>
      </c>
      <c r="D669" s="13">
        <f t="shared" si="90"/>
        <v>7</v>
      </c>
      <c r="E669" t="s">
        <v>2088</v>
      </c>
      <c r="F669" t="s">
        <v>162</v>
      </c>
      <c r="G669" t="s">
        <v>37</v>
      </c>
      <c r="H669" t="s">
        <v>38</v>
      </c>
      <c r="I669" t="s">
        <v>145</v>
      </c>
      <c r="J669" t="s">
        <v>146</v>
      </c>
      <c r="K669" t="s">
        <v>74</v>
      </c>
      <c r="L669" t="s">
        <v>274</v>
      </c>
      <c r="M669" t="s">
        <v>2089</v>
      </c>
      <c r="N669" t="s">
        <v>59</v>
      </c>
      <c r="O669">
        <v>1</v>
      </c>
      <c r="P669">
        <v>3959.14</v>
      </c>
      <c r="Q669" s="11">
        <v>0</v>
      </c>
      <c r="R669">
        <v>3959.14</v>
      </c>
      <c r="S669">
        <v>3239.53</v>
      </c>
      <c r="T669">
        <v>719.61</v>
      </c>
      <c r="U669" t="s">
        <v>111</v>
      </c>
      <c r="V669" t="s">
        <v>103</v>
      </c>
      <c r="X669" s="8" t="str">
        <f>IF(C669&gt;=B669,"Valid", "Invalid-Date")</f>
        <v>Valid</v>
      </c>
      <c r="Y669" s="8" t="str">
        <f t="shared" si="91"/>
        <v>Valid</v>
      </c>
      <c r="Z669" s="8" t="str">
        <f t="shared" si="92"/>
        <v>Pass</v>
      </c>
      <c r="AA669" s="8" t="str">
        <f t="shared" si="93"/>
        <v>Pass</v>
      </c>
      <c r="AB669" s="8" t="str">
        <f>TEXT(B669,"mmmm")</f>
        <v>May</v>
      </c>
      <c r="AC669" s="8" t="str">
        <f>TEXT(B669,"yyyy")</f>
        <v>2025</v>
      </c>
      <c r="AE669">
        <f t="shared" si="94"/>
        <v>3959.14</v>
      </c>
      <c r="AF669" s="11">
        <f t="shared" si="95"/>
        <v>3959.14</v>
      </c>
      <c r="AG669">
        <f t="shared" si="96"/>
        <v>719.60999999999967</v>
      </c>
      <c r="AH669" s="11">
        <f t="shared" si="97"/>
        <v>0.18175916992074029</v>
      </c>
      <c r="AI669" s="44">
        <f t="shared" si="98"/>
        <v>0.18175916992074029</v>
      </c>
    </row>
    <row r="670" spans="1:35">
      <c r="A670" t="s">
        <v>2090</v>
      </c>
      <c r="B670" s="5">
        <v>45617</v>
      </c>
      <c r="C670" s="5">
        <v>45619</v>
      </c>
      <c r="D670" s="13">
        <f t="shared" si="90"/>
        <v>2</v>
      </c>
      <c r="E670" t="s">
        <v>2091</v>
      </c>
      <c r="F670" t="s">
        <v>36</v>
      </c>
      <c r="G670" t="s">
        <v>90</v>
      </c>
      <c r="H670" t="s">
        <v>63</v>
      </c>
      <c r="I670" t="s">
        <v>180</v>
      </c>
      <c r="J670" t="s">
        <v>181</v>
      </c>
      <c r="K670" t="s">
        <v>28</v>
      </c>
      <c r="L670" t="s">
        <v>29</v>
      </c>
      <c r="M670" t="s">
        <v>2092</v>
      </c>
      <c r="N670" t="s">
        <v>31</v>
      </c>
      <c r="O670">
        <v>5</v>
      </c>
      <c r="P670">
        <v>600.46</v>
      </c>
      <c r="Q670" s="11">
        <v>0.2</v>
      </c>
      <c r="R670">
        <v>2401.84</v>
      </c>
      <c r="S670">
        <v>1873.11</v>
      </c>
      <c r="T670">
        <v>528.73</v>
      </c>
      <c r="U670" t="s">
        <v>32</v>
      </c>
      <c r="V670" t="s">
        <v>33</v>
      </c>
      <c r="X670" s="8" t="str">
        <f>IF(C670&gt;=B670,"Valid", "Invalid-Date")</f>
        <v>Valid</v>
      </c>
      <c r="Y670" s="8" t="str">
        <f t="shared" si="91"/>
        <v>Valid</v>
      </c>
      <c r="Z670" s="8" t="str">
        <f t="shared" si="92"/>
        <v>Pass</v>
      </c>
      <c r="AA670" s="8" t="str">
        <f t="shared" si="93"/>
        <v>Pass</v>
      </c>
      <c r="AB670" s="8" t="str">
        <f>TEXT(B670,"mmmm")</f>
        <v>November</v>
      </c>
      <c r="AC670" s="8" t="str">
        <f>TEXT(B670,"yyyy")</f>
        <v>2024</v>
      </c>
      <c r="AE670">
        <f t="shared" si="94"/>
        <v>3002.3</v>
      </c>
      <c r="AF670" s="11">
        <f t="shared" si="95"/>
        <v>2401.84</v>
      </c>
      <c r="AG670">
        <f t="shared" si="96"/>
        <v>1129.1900000000003</v>
      </c>
      <c r="AH670" s="11">
        <f t="shared" si="97"/>
        <v>0.3761083169569997</v>
      </c>
      <c r="AI670" s="44">
        <f t="shared" si="98"/>
        <v>0.3761083169569997</v>
      </c>
    </row>
    <row r="671" spans="1:35">
      <c r="A671" t="s">
        <v>2093</v>
      </c>
      <c r="B671" s="5">
        <v>45375</v>
      </c>
      <c r="C671" s="5">
        <v>45295</v>
      </c>
      <c r="D671" s="13">
        <f t="shared" si="90"/>
        <v>-80</v>
      </c>
      <c r="E671" t="s">
        <v>2094</v>
      </c>
      <c r="F671" t="s">
        <v>62</v>
      </c>
      <c r="G671" t="s">
        <v>95</v>
      </c>
      <c r="H671" t="s">
        <v>63</v>
      </c>
      <c r="I671" t="s">
        <v>64</v>
      </c>
      <c r="J671" t="s">
        <v>65</v>
      </c>
      <c r="K671" t="s">
        <v>41</v>
      </c>
      <c r="L671" t="s">
        <v>42</v>
      </c>
      <c r="M671" t="s">
        <v>2095</v>
      </c>
      <c r="N671" t="s">
        <v>31</v>
      </c>
      <c r="O671">
        <v>4</v>
      </c>
      <c r="P671">
        <v>1700.72</v>
      </c>
      <c r="Q671" s="11">
        <v>0.25</v>
      </c>
      <c r="R671">
        <v>5102.16</v>
      </c>
      <c r="S671">
        <v>3226.45</v>
      </c>
      <c r="T671">
        <v>1875.71</v>
      </c>
      <c r="U671" t="s">
        <v>32</v>
      </c>
      <c r="V671" t="s">
        <v>33</v>
      </c>
      <c r="X671" s="8" t="str">
        <f>IF(C671&gt;=B671,"Valid", "Invalid-Date")</f>
        <v>Invalid-Date</v>
      </c>
      <c r="Y671" s="8" t="str">
        <f t="shared" si="91"/>
        <v>Valid</v>
      </c>
      <c r="Z671" s="8" t="str">
        <f t="shared" si="92"/>
        <v>Pass</v>
      </c>
      <c r="AA671" s="8" t="str">
        <f t="shared" si="93"/>
        <v>Pass</v>
      </c>
      <c r="AB671" s="8" t="str">
        <f>TEXT(B671,"mmmm")</f>
        <v>March</v>
      </c>
      <c r="AC671" s="8" t="str">
        <f>TEXT(B671,"yyyy")</f>
        <v>2024</v>
      </c>
      <c r="AE671">
        <f t="shared" si="94"/>
        <v>6802.88</v>
      </c>
      <c r="AF671" s="11">
        <f t="shared" si="95"/>
        <v>5102.16</v>
      </c>
      <c r="AG671">
        <f t="shared" si="96"/>
        <v>3576.4300000000003</v>
      </c>
      <c r="AH671" s="11">
        <f t="shared" si="97"/>
        <v>0.52572292911237595</v>
      </c>
      <c r="AI671" s="44">
        <f t="shared" si="98"/>
        <v>0.52572292911237595</v>
      </c>
    </row>
    <row r="672" spans="1:35">
      <c r="A672" t="s">
        <v>2096</v>
      </c>
      <c r="B672" s="5">
        <v>45690</v>
      </c>
      <c r="C672" s="5">
        <v>45810</v>
      </c>
      <c r="D672" s="13">
        <f t="shared" si="90"/>
        <v>120</v>
      </c>
      <c r="E672" t="s">
        <v>1597</v>
      </c>
      <c r="F672" t="s">
        <v>132</v>
      </c>
      <c r="G672" t="s">
        <v>90</v>
      </c>
      <c r="H672" t="s">
        <v>25</v>
      </c>
      <c r="I672" t="s">
        <v>136</v>
      </c>
      <c r="J672" t="s">
        <v>137</v>
      </c>
      <c r="K672" t="s">
        <v>41</v>
      </c>
      <c r="L672" t="s">
        <v>42</v>
      </c>
      <c r="M672" t="s">
        <v>2097</v>
      </c>
      <c r="N672" t="s">
        <v>59</v>
      </c>
      <c r="O672">
        <v>8</v>
      </c>
      <c r="P672">
        <v>857.86</v>
      </c>
      <c r="Q672" s="11">
        <v>0.1</v>
      </c>
      <c r="R672">
        <v>6176.59</v>
      </c>
      <c r="S672">
        <v>3560.96</v>
      </c>
      <c r="T672">
        <v>2615.63</v>
      </c>
      <c r="U672" t="s">
        <v>32</v>
      </c>
      <c r="V672" t="s">
        <v>33</v>
      </c>
      <c r="X672" s="8" t="str">
        <f>IF(C672&gt;=B672,"Valid", "Invalid-Date")</f>
        <v>Valid</v>
      </c>
      <c r="Y672" s="8" t="str">
        <f t="shared" si="91"/>
        <v>Valid</v>
      </c>
      <c r="Z672" s="8" t="str">
        <f t="shared" si="92"/>
        <v>Pass</v>
      </c>
      <c r="AA672" s="8" t="str">
        <f t="shared" si="93"/>
        <v>Pass</v>
      </c>
      <c r="AB672" s="8" t="str">
        <f>TEXT(B672,"mmmm")</f>
        <v>February</v>
      </c>
      <c r="AC672" s="8" t="str">
        <f>TEXT(B672,"yyyy")</f>
        <v>2025</v>
      </c>
      <c r="AE672">
        <f t="shared" si="94"/>
        <v>6862.88</v>
      </c>
      <c r="AF672" s="11">
        <f t="shared" si="95"/>
        <v>6176.5920000000006</v>
      </c>
      <c r="AG672">
        <f t="shared" si="96"/>
        <v>3301.92</v>
      </c>
      <c r="AH672" s="11">
        <f t="shared" si="97"/>
        <v>0.48112745669456553</v>
      </c>
      <c r="AI672" s="44">
        <f t="shared" si="98"/>
        <v>0.48112745669456553</v>
      </c>
    </row>
    <row r="673" spans="1:35">
      <c r="A673" t="s">
        <v>2098</v>
      </c>
      <c r="B673" s="5">
        <v>45373</v>
      </c>
      <c r="C673" s="5">
        <v>45378</v>
      </c>
      <c r="D673" s="13">
        <f t="shared" si="90"/>
        <v>5</v>
      </c>
      <c r="E673" t="s">
        <v>2099</v>
      </c>
      <c r="F673" t="s">
        <v>89</v>
      </c>
      <c r="G673" t="s">
        <v>95</v>
      </c>
      <c r="H673" t="s">
        <v>63</v>
      </c>
      <c r="I673" t="s">
        <v>190</v>
      </c>
      <c r="J673" t="s">
        <v>191</v>
      </c>
      <c r="K673" t="s">
        <v>74</v>
      </c>
      <c r="L673" t="s">
        <v>80</v>
      </c>
      <c r="M673" t="s">
        <v>2100</v>
      </c>
      <c r="N673" t="s">
        <v>31</v>
      </c>
      <c r="O673">
        <v>9</v>
      </c>
      <c r="P673">
        <v>3649.51</v>
      </c>
      <c r="Q673" s="11">
        <v>0.05</v>
      </c>
      <c r="R673">
        <v>31203.31</v>
      </c>
      <c r="S673">
        <v>17738.13</v>
      </c>
      <c r="T673">
        <v>13465.18</v>
      </c>
      <c r="U673" t="s">
        <v>32</v>
      </c>
      <c r="V673" t="s">
        <v>33</v>
      </c>
      <c r="X673" s="8" t="str">
        <f>IF(C673&gt;=B673,"Valid", "Invalid-Date")</f>
        <v>Valid</v>
      </c>
      <c r="Y673" s="8" t="str">
        <f t="shared" si="91"/>
        <v>Valid</v>
      </c>
      <c r="Z673" s="8" t="str">
        <f t="shared" si="92"/>
        <v>Pass</v>
      </c>
      <c r="AA673" s="8" t="str">
        <f t="shared" si="93"/>
        <v>Pass</v>
      </c>
      <c r="AB673" s="8" t="str">
        <f>TEXT(B673,"mmmm")</f>
        <v>March</v>
      </c>
      <c r="AC673" s="8" t="str">
        <f>TEXT(B673,"yyyy")</f>
        <v>2024</v>
      </c>
      <c r="AE673">
        <f t="shared" si="94"/>
        <v>32845.590000000004</v>
      </c>
      <c r="AF673" s="11">
        <f t="shared" si="95"/>
        <v>31203.310500000003</v>
      </c>
      <c r="AG673">
        <f t="shared" si="96"/>
        <v>15107.460000000003</v>
      </c>
      <c r="AH673" s="11">
        <f t="shared" si="97"/>
        <v>0.45995398469018217</v>
      </c>
      <c r="AI673" s="44">
        <f t="shared" si="98"/>
        <v>0.45995398469018217</v>
      </c>
    </row>
    <row r="674" spans="1:35">
      <c r="A674" t="s">
        <v>2101</v>
      </c>
      <c r="B674" s="5">
        <v>45539</v>
      </c>
      <c r="C674" s="5">
        <v>45421</v>
      </c>
      <c r="D674" s="13">
        <f t="shared" si="90"/>
        <v>-118</v>
      </c>
      <c r="E674" t="s">
        <v>2102</v>
      </c>
      <c r="F674" t="s">
        <v>89</v>
      </c>
      <c r="G674" t="s">
        <v>90</v>
      </c>
      <c r="H674" t="s">
        <v>63</v>
      </c>
      <c r="I674" t="s">
        <v>72</v>
      </c>
      <c r="J674" t="s">
        <v>73</v>
      </c>
      <c r="K674" t="s">
        <v>41</v>
      </c>
      <c r="L674" t="s">
        <v>66</v>
      </c>
      <c r="M674" t="s">
        <v>2103</v>
      </c>
      <c r="N674" t="s">
        <v>59</v>
      </c>
      <c r="O674">
        <v>5</v>
      </c>
      <c r="P674">
        <v>2528.5300000000002</v>
      </c>
      <c r="Q674" s="11">
        <v>0.05</v>
      </c>
      <c r="R674">
        <v>12010.52</v>
      </c>
      <c r="S674">
        <v>7864.61</v>
      </c>
      <c r="T674">
        <v>4145.91</v>
      </c>
      <c r="U674" t="s">
        <v>32</v>
      </c>
      <c r="V674" t="s">
        <v>103</v>
      </c>
      <c r="X674" s="8" t="str">
        <f>IF(C674&gt;=B674,"Valid", "Invalid-Date")</f>
        <v>Invalid-Date</v>
      </c>
      <c r="Y674" s="8" t="str">
        <f t="shared" si="91"/>
        <v>Valid</v>
      </c>
      <c r="Z674" s="8" t="str">
        <f t="shared" si="92"/>
        <v>Pass</v>
      </c>
      <c r="AA674" s="8" t="str">
        <f t="shared" si="93"/>
        <v>Pass</v>
      </c>
      <c r="AB674" s="8" t="str">
        <f>TEXT(B674,"mmmm")</f>
        <v>September</v>
      </c>
      <c r="AC674" s="8" t="str">
        <f>TEXT(B674,"yyyy")</f>
        <v>2024</v>
      </c>
      <c r="AE674">
        <f t="shared" si="94"/>
        <v>12642.650000000001</v>
      </c>
      <c r="AF674" s="11">
        <f t="shared" si="95"/>
        <v>12010.5175</v>
      </c>
      <c r="AG674">
        <f t="shared" si="96"/>
        <v>4778.0400000000018</v>
      </c>
      <c r="AH674" s="11">
        <f t="shared" si="97"/>
        <v>0.37793025987431444</v>
      </c>
      <c r="AI674" s="44">
        <f t="shared" si="98"/>
        <v>0.37793025987431444</v>
      </c>
    </row>
    <row r="675" spans="1:35">
      <c r="A675" t="s">
        <v>2104</v>
      </c>
      <c r="B675" s="5">
        <v>45701</v>
      </c>
      <c r="C675" s="5">
        <v>45704</v>
      </c>
      <c r="D675" s="13">
        <f t="shared" si="90"/>
        <v>3</v>
      </c>
      <c r="E675" t="s">
        <v>2105</v>
      </c>
      <c r="F675" t="s">
        <v>53</v>
      </c>
      <c r="G675" t="s">
        <v>37</v>
      </c>
      <c r="H675" t="s">
        <v>63</v>
      </c>
      <c r="I675" t="s">
        <v>26</v>
      </c>
      <c r="J675" t="s">
        <v>109</v>
      </c>
      <c r="K675" t="s">
        <v>41</v>
      </c>
      <c r="L675" t="s">
        <v>158</v>
      </c>
      <c r="M675" t="s">
        <v>2106</v>
      </c>
      <c r="N675" t="s">
        <v>31</v>
      </c>
      <c r="O675">
        <v>4</v>
      </c>
      <c r="P675">
        <v>4072.9</v>
      </c>
      <c r="Q675" s="11">
        <v>0.15</v>
      </c>
      <c r="R675">
        <v>13847.86</v>
      </c>
      <c r="S675">
        <v>8471.7800000000007</v>
      </c>
      <c r="T675">
        <v>5376.08</v>
      </c>
      <c r="U675" t="s">
        <v>32</v>
      </c>
      <c r="V675" t="s">
        <v>33</v>
      </c>
      <c r="X675" s="8" t="str">
        <f>IF(C675&gt;=B675,"Valid", "Invalid-Date")</f>
        <v>Valid</v>
      </c>
      <c r="Y675" s="8" t="str">
        <f t="shared" si="91"/>
        <v>Valid</v>
      </c>
      <c r="Z675" s="8" t="str">
        <f t="shared" si="92"/>
        <v>Pass</v>
      </c>
      <c r="AA675" s="8" t="str">
        <f t="shared" si="93"/>
        <v>Pass</v>
      </c>
      <c r="AB675" s="8" t="str">
        <f>TEXT(B675,"mmmm")</f>
        <v>February</v>
      </c>
      <c r="AC675" s="8" t="str">
        <f>TEXT(B675,"yyyy")</f>
        <v>2025</v>
      </c>
      <c r="AE675">
        <f t="shared" si="94"/>
        <v>16291.6</v>
      </c>
      <c r="AF675" s="11">
        <f t="shared" si="95"/>
        <v>13847.86</v>
      </c>
      <c r="AG675">
        <f t="shared" si="96"/>
        <v>7819.82</v>
      </c>
      <c r="AH675" s="11">
        <f t="shared" si="97"/>
        <v>0.47999091556384882</v>
      </c>
      <c r="AI675" s="44">
        <f t="shared" si="98"/>
        <v>0.47999091556384882</v>
      </c>
    </row>
    <row r="676" spans="1:35">
      <c r="A676" t="s">
        <v>2107</v>
      </c>
      <c r="B676" s="5">
        <v>45430</v>
      </c>
      <c r="C676" s="5">
        <v>45433</v>
      </c>
      <c r="D676" s="13">
        <f t="shared" si="90"/>
        <v>3</v>
      </c>
      <c r="E676" t="s">
        <v>2108</v>
      </c>
      <c r="F676" t="s">
        <v>71</v>
      </c>
      <c r="G676" t="s">
        <v>90</v>
      </c>
      <c r="H676" t="s">
        <v>38</v>
      </c>
      <c r="I676" t="s">
        <v>228</v>
      </c>
      <c r="J676" t="s">
        <v>229</v>
      </c>
      <c r="K676" t="s">
        <v>74</v>
      </c>
      <c r="L676" t="s">
        <v>75</v>
      </c>
      <c r="M676" t="s">
        <v>2109</v>
      </c>
      <c r="N676" t="s">
        <v>31</v>
      </c>
      <c r="O676">
        <v>1</v>
      </c>
      <c r="P676">
        <v>1033.71</v>
      </c>
      <c r="Q676" s="11">
        <v>0</v>
      </c>
      <c r="R676">
        <v>1033.71</v>
      </c>
      <c r="S676">
        <v>630.82000000000005</v>
      </c>
      <c r="T676">
        <v>402.89</v>
      </c>
      <c r="U676" t="s">
        <v>111</v>
      </c>
      <c r="V676" t="s">
        <v>103</v>
      </c>
      <c r="X676" s="8" t="str">
        <f>IF(C676&gt;=B676,"Valid", "Invalid-Date")</f>
        <v>Valid</v>
      </c>
      <c r="Y676" s="8" t="str">
        <f t="shared" si="91"/>
        <v>Valid</v>
      </c>
      <c r="Z676" s="8" t="str">
        <f t="shared" si="92"/>
        <v>Pass</v>
      </c>
      <c r="AA676" s="8" t="str">
        <f t="shared" si="93"/>
        <v>Pass</v>
      </c>
      <c r="AB676" s="8" t="str">
        <f>TEXT(B676,"mmmm")</f>
        <v>May</v>
      </c>
      <c r="AC676" s="8" t="str">
        <f>TEXT(B676,"yyyy")</f>
        <v>2024</v>
      </c>
      <c r="AE676">
        <f t="shared" si="94"/>
        <v>1033.71</v>
      </c>
      <c r="AF676" s="11">
        <f t="shared" si="95"/>
        <v>1033.71</v>
      </c>
      <c r="AG676">
        <f t="shared" si="96"/>
        <v>402.89</v>
      </c>
      <c r="AH676" s="11">
        <f t="shared" si="97"/>
        <v>0.38975147768716562</v>
      </c>
      <c r="AI676" s="44">
        <f t="shared" si="98"/>
        <v>0.38975147768716562</v>
      </c>
    </row>
    <row r="677" spans="1:35">
      <c r="A677" t="s">
        <v>2110</v>
      </c>
      <c r="B677" s="5">
        <v>45815</v>
      </c>
      <c r="C677" s="5">
        <v>45936</v>
      </c>
      <c r="D677" s="13">
        <f t="shared" si="90"/>
        <v>121</v>
      </c>
      <c r="E677" t="s">
        <v>2011</v>
      </c>
      <c r="F677" t="s">
        <v>128</v>
      </c>
      <c r="G677" t="s">
        <v>24</v>
      </c>
      <c r="H677" t="s">
        <v>25</v>
      </c>
      <c r="I677" t="s">
        <v>26</v>
      </c>
      <c r="J677" t="s">
        <v>27</v>
      </c>
      <c r="K677" t="s">
        <v>41</v>
      </c>
      <c r="L677" t="s">
        <v>57</v>
      </c>
      <c r="M677" t="s">
        <v>2111</v>
      </c>
      <c r="N677" t="s">
        <v>44</v>
      </c>
      <c r="O677">
        <v>3</v>
      </c>
      <c r="P677">
        <v>963.26</v>
      </c>
      <c r="Q677" s="11">
        <v>0</v>
      </c>
      <c r="R677">
        <v>2889.78</v>
      </c>
      <c r="S677">
        <v>1811.23</v>
      </c>
      <c r="T677">
        <v>1078.55</v>
      </c>
      <c r="U677" t="s">
        <v>32</v>
      </c>
      <c r="V677" t="s">
        <v>33</v>
      </c>
      <c r="X677" s="8" t="str">
        <f>IF(C677&gt;=B677,"Valid", "Invalid-Date")</f>
        <v>Valid</v>
      </c>
      <c r="Y677" s="8" t="str">
        <f t="shared" si="91"/>
        <v>Valid</v>
      </c>
      <c r="Z677" s="8" t="str">
        <f t="shared" si="92"/>
        <v>Pass</v>
      </c>
      <c r="AA677" s="8" t="str">
        <f t="shared" si="93"/>
        <v>Pass</v>
      </c>
      <c r="AB677" s="8" t="str">
        <f>TEXT(B677,"mmmm")</f>
        <v>June</v>
      </c>
      <c r="AC677" s="8" t="str">
        <f>TEXT(B677,"yyyy")</f>
        <v>2025</v>
      </c>
      <c r="AE677">
        <f t="shared" si="94"/>
        <v>2889.7799999999997</v>
      </c>
      <c r="AF677" s="11">
        <f t="shared" si="95"/>
        <v>2889.7799999999997</v>
      </c>
      <c r="AG677">
        <f t="shared" si="96"/>
        <v>1078.5499999999997</v>
      </c>
      <c r="AH677" s="11">
        <f t="shared" si="97"/>
        <v>0.37322910394562903</v>
      </c>
      <c r="AI677" s="44">
        <f t="shared" si="98"/>
        <v>0.37322910394562903</v>
      </c>
    </row>
    <row r="678" spans="1:35" s="15" customFormat="1">
      <c r="A678" s="15" t="s">
        <v>2112</v>
      </c>
      <c r="B678" s="16">
        <v>45970</v>
      </c>
      <c r="C678" s="16">
        <v>45918</v>
      </c>
      <c r="D678" s="17">
        <f t="shared" si="90"/>
        <v>-52</v>
      </c>
      <c r="E678" s="15" t="s">
        <v>2113</v>
      </c>
      <c r="F678" s="15" t="s">
        <v>118</v>
      </c>
      <c r="G678" s="15" t="s">
        <v>37</v>
      </c>
      <c r="H678" s="15" t="s">
        <v>25</v>
      </c>
      <c r="I678" s="15" t="s">
        <v>350</v>
      </c>
      <c r="J678" s="15" t="s">
        <v>351</v>
      </c>
      <c r="K678" s="15" t="s">
        <v>74</v>
      </c>
      <c r="L678" s="15" t="s">
        <v>171</v>
      </c>
      <c r="M678" s="15" t="s">
        <v>2114</v>
      </c>
      <c r="N678" s="15" t="s">
        <v>44</v>
      </c>
      <c r="O678" s="15">
        <v>7</v>
      </c>
      <c r="P678" s="15">
        <v>3411.21</v>
      </c>
      <c r="Q678" s="18">
        <v>0.15</v>
      </c>
      <c r="R678" s="15">
        <v>20296.7</v>
      </c>
      <c r="S678" s="15">
        <v>14920.87</v>
      </c>
      <c r="T678" s="15">
        <v>5375.83</v>
      </c>
      <c r="U678" s="15" t="s">
        <v>32</v>
      </c>
      <c r="V678" s="15" t="s">
        <v>33</v>
      </c>
      <c r="W678" s="25"/>
      <c r="X678" s="8" t="str">
        <f>IF(C678&gt;=B678,"Valid", "Invalid-Date")</f>
        <v>Invalid-Date</v>
      </c>
      <c r="Y678" s="8" t="str">
        <f t="shared" si="91"/>
        <v>Valid</v>
      </c>
      <c r="Z678" s="19" t="str">
        <f t="shared" si="92"/>
        <v>Pass</v>
      </c>
      <c r="AA678" s="19" t="str">
        <f t="shared" si="93"/>
        <v>Pass</v>
      </c>
      <c r="AB678" s="19" t="str">
        <f>TEXT(B678,"mmmm")</f>
        <v>November</v>
      </c>
      <c r="AC678" s="19" t="str">
        <f>TEXT(B678,"yyyy")</f>
        <v>2025</v>
      </c>
      <c r="AD678" s="20"/>
      <c r="AE678" s="15">
        <f t="shared" si="94"/>
        <v>23878.47</v>
      </c>
      <c r="AF678" s="11">
        <f t="shared" si="95"/>
        <v>20296.699499999999</v>
      </c>
      <c r="AG678" s="15">
        <f t="shared" si="96"/>
        <v>8957.6</v>
      </c>
      <c r="AH678" s="18">
        <f t="shared" si="97"/>
        <v>0.3751329126196109</v>
      </c>
      <c r="AI678" s="45">
        <f t="shared" si="98"/>
        <v>0.3751329126196109</v>
      </c>
    </row>
    <row r="679" spans="1:35">
      <c r="A679" t="s">
        <v>2115</v>
      </c>
      <c r="B679" s="5">
        <v>45465</v>
      </c>
      <c r="C679" s="5">
        <v>45470</v>
      </c>
      <c r="D679" s="13">
        <f t="shared" si="90"/>
        <v>5</v>
      </c>
      <c r="E679" t="s">
        <v>22</v>
      </c>
      <c r="F679" t="s">
        <v>47</v>
      </c>
      <c r="G679" t="s">
        <v>95</v>
      </c>
      <c r="H679" t="s">
        <v>54</v>
      </c>
      <c r="I679" t="s">
        <v>175</v>
      </c>
      <c r="J679" t="s">
        <v>176</v>
      </c>
      <c r="K679" t="s">
        <v>41</v>
      </c>
      <c r="L679" t="s">
        <v>66</v>
      </c>
      <c r="M679" t="s">
        <v>2116</v>
      </c>
      <c r="N679" t="s">
        <v>44</v>
      </c>
      <c r="O679">
        <v>7</v>
      </c>
      <c r="P679">
        <v>2623.48</v>
      </c>
      <c r="Q679" s="11">
        <v>0</v>
      </c>
      <c r="R679">
        <v>18364.36</v>
      </c>
      <c r="S679">
        <v>15445.81</v>
      </c>
      <c r="T679">
        <v>2918.55</v>
      </c>
      <c r="U679" t="s">
        <v>32</v>
      </c>
      <c r="V679" t="s">
        <v>33</v>
      </c>
      <c r="X679" s="8" t="str">
        <f>IF(C679&gt;=B679,"Valid", "Invalid-Date")</f>
        <v>Valid</v>
      </c>
      <c r="Y679" s="8" t="str">
        <f t="shared" si="91"/>
        <v>Valid</v>
      </c>
      <c r="Z679" s="8" t="str">
        <f t="shared" si="92"/>
        <v>Pass</v>
      </c>
      <c r="AA679" s="8" t="str">
        <f t="shared" si="93"/>
        <v>Pass</v>
      </c>
      <c r="AB679" s="8" t="str">
        <f>TEXT(B679,"mmmm")</f>
        <v>June</v>
      </c>
      <c r="AC679" s="8" t="str">
        <f>TEXT(B679,"yyyy")</f>
        <v>2024</v>
      </c>
      <c r="AE679">
        <f t="shared" si="94"/>
        <v>18364.36</v>
      </c>
      <c r="AF679" s="11">
        <f t="shared" si="95"/>
        <v>18364.36</v>
      </c>
      <c r="AG679">
        <f t="shared" si="96"/>
        <v>2918.5500000000011</v>
      </c>
      <c r="AH679" s="11">
        <f t="shared" si="97"/>
        <v>0.15892467801763857</v>
      </c>
      <c r="AI679" s="44">
        <f t="shared" si="98"/>
        <v>0.15892467801763857</v>
      </c>
    </row>
    <row r="680" spans="1:35">
      <c r="A680" t="s">
        <v>2117</v>
      </c>
      <c r="B680" s="5">
        <v>45620</v>
      </c>
      <c r="C680" s="5">
        <v>45303</v>
      </c>
      <c r="D680" s="13">
        <f t="shared" si="90"/>
        <v>-317</v>
      </c>
      <c r="E680" t="s">
        <v>2118</v>
      </c>
      <c r="F680" t="s">
        <v>264</v>
      </c>
      <c r="G680" t="s">
        <v>90</v>
      </c>
      <c r="H680" t="s">
        <v>54</v>
      </c>
      <c r="I680" t="s">
        <v>175</v>
      </c>
      <c r="J680" t="s">
        <v>176</v>
      </c>
      <c r="K680" t="s">
        <v>41</v>
      </c>
      <c r="L680" t="s">
        <v>42</v>
      </c>
      <c r="M680" t="s">
        <v>2119</v>
      </c>
      <c r="N680" t="s">
        <v>31</v>
      </c>
      <c r="O680">
        <v>9</v>
      </c>
      <c r="P680">
        <v>2763.61</v>
      </c>
      <c r="Q680" s="11">
        <v>0.15</v>
      </c>
      <c r="R680">
        <v>21141.62</v>
      </c>
      <c r="S680">
        <v>11676.33</v>
      </c>
      <c r="T680">
        <v>9465.2900000000009</v>
      </c>
      <c r="U680" t="s">
        <v>32</v>
      </c>
      <c r="V680" t="s">
        <v>33</v>
      </c>
      <c r="X680" s="8" t="str">
        <f>IF(C680&gt;=B680,"Valid", "Invalid-Date")</f>
        <v>Invalid-Date</v>
      </c>
      <c r="Y680" s="8" t="str">
        <f t="shared" si="91"/>
        <v>Valid</v>
      </c>
      <c r="Z680" s="8" t="str">
        <f t="shared" si="92"/>
        <v>Pass</v>
      </c>
      <c r="AA680" s="8" t="str">
        <f t="shared" si="93"/>
        <v>Pass</v>
      </c>
      <c r="AB680" s="8" t="str">
        <f>TEXT(B680,"mmmm")</f>
        <v>November</v>
      </c>
      <c r="AC680" s="8" t="str">
        <f>TEXT(B680,"yyyy")</f>
        <v>2024</v>
      </c>
      <c r="AE680">
        <f t="shared" si="94"/>
        <v>24872.49</v>
      </c>
      <c r="AF680" s="11">
        <f t="shared" si="95"/>
        <v>21141.6165</v>
      </c>
      <c r="AG680">
        <f t="shared" si="96"/>
        <v>13196.160000000002</v>
      </c>
      <c r="AH680" s="11">
        <f t="shared" si="97"/>
        <v>0.530552429611993</v>
      </c>
      <c r="AI680" s="44">
        <f t="shared" si="98"/>
        <v>0.530552429611993</v>
      </c>
    </row>
    <row r="681" spans="1:35">
      <c r="A681" t="s">
        <v>2120</v>
      </c>
      <c r="B681" s="5">
        <v>45885</v>
      </c>
      <c r="C681" s="5">
        <v>45892</v>
      </c>
      <c r="D681" s="13">
        <f t="shared" si="90"/>
        <v>7</v>
      </c>
      <c r="E681" t="s">
        <v>2121</v>
      </c>
      <c r="F681" t="s">
        <v>141</v>
      </c>
      <c r="G681" t="s">
        <v>90</v>
      </c>
      <c r="H681" t="s">
        <v>25</v>
      </c>
      <c r="I681" t="s">
        <v>122</v>
      </c>
      <c r="J681" t="s">
        <v>123</v>
      </c>
      <c r="K681" t="s">
        <v>74</v>
      </c>
      <c r="L681" t="s">
        <v>80</v>
      </c>
      <c r="M681" t="s">
        <v>2122</v>
      </c>
      <c r="N681" t="s">
        <v>44</v>
      </c>
      <c r="O681">
        <v>4</v>
      </c>
      <c r="P681">
        <v>1410.57</v>
      </c>
      <c r="Q681" s="11">
        <v>0.7</v>
      </c>
      <c r="R681">
        <v>5360.17</v>
      </c>
      <c r="S681">
        <v>3881.51</v>
      </c>
      <c r="T681">
        <v>1478.66</v>
      </c>
      <c r="U681" t="s">
        <v>102</v>
      </c>
      <c r="V681" t="s">
        <v>68</v>
      </c>
      <c r="X681" s="8" t="str">
        <f>IF(C681&gt;=B681,"Valid", "Invalid-Date")</f>
        <v>Valid</v>
      </c>
      <c r="Y681" s="8" t="str">
        <f t="shared" si="91"/>
        <v>Invalid-Discount</v>
      </c>
      <c r="Z681" s="8" t="str">
        <f t="shared" si="92"/>
        <v>Pass</v>
      </c>
      <c r="AA681" s="8" t="str">
        <f t="shared" si="93"/>
        <v>Pass</v>
      </c>
      <c r="AB681" s="8" t="str">
        <f>TEXT(B681,"mmmm")</f>
        <v>August</v>
      </c>
      <c r="AC681" s="8" t="str">
        <f>TEXT(B681,"yyyy")</f>
        <v>2025</v>
      </c>
      <c r="AE681">
        <f t="shared" si="94"/>
        <v>5642.28</v>
      </c>
      <c r="AF681" s="11">
        <f t="shared" si="95"/>
        <v>1692.6840000000002</v>
      </c>
      <c r="AG681">
        <f t="shared" si="96"/>
        <v>1760.7699999999995</v>
      </c>
      <c r="AH681" s="11">
        <f t="shared" si="97"/>
        <v>0.31206710762315937</v>
      </c>
      <c r="AI681" s="44">
        <f t="shared" si="98"/>
        <v>0.31206710762315937</v>
      </c>
    </row>
    <row r="682" spans="1:35">
      <c r="A682" t="s">
        <v>2123</v>
      </c>
      <c r="B682" s="5">
        <v>45441</v>
      </c>
      <c r="C682" s="5">
        <v>45418</v>
      </c>
      <c r="D682" s="13">
        <f t="shared" si="90"/>
        <v>-23</v>
      </c>
      <c r="E682" t="s">
        <v>2124</v>
      </c>
      <c r="F682" t="s">
        <v>264</v>
      </c>
      <c r="G682" t="s">
        <v>90</v>
      </c>
      <c r="H682" t="s">
        <v>54</v>
      </c>
      <c r="I682" t="s">
        <v>247</v>
      </c>
      <c r="J682" t="s">
        <v>248</v>
      </c>
      <c r="K682" t="s">
        <v>74</v>
      </c>
      <c r="L682" t="s">
        <v>75</v>
      </c>
      <c r="M682" t="s">
        <v>2125</v>
      </c>
      <c r="N682" t="s">
        <v>50</v>
      </c>
      <c r="O682">
        <v>4</v>
      </c>
      <c r="P682">
        <v>3700.24</v>
      </c>
      <c r="Q682" s="11">
        <v>0</v>
      </c>
      <c r="R682">
        <v>14800.96</v>
      </c>
      <c r="S682">
        <v>12048.39</v>
      </c>
      <c r="T682">
        <v>2752.57</v>
      </c>
      <c r="U682" t="s">
        <v>32</v>
      </c>
      <c r="V682" t="s">
        <v>33</v>
      </c>
      <c r="X682" s="8" t="str">
        <f>IF(C682&gt;=B682,"Valid", "Invalid-Date")</f>
        <v>Invalid-Date</v>
      </c>
      <c r="Y682" s="8" t="str">
        <f t="shared" si="91"/>
        <v>Valid</v>
      </c>
      <c r="Z682" s="8" t="str">
        <f t="shared" si="92"/>
        <v>Pass</v>
      </c>
      <c r="AA682" s="8" t="str">
        <f t="shared" si="93"/>
        <v>Pass</v>
      </c>
      <c r="AB682" s="8" t="str">
        <f>TEXT(B682,"mmmm")</f>
        <v>May</v>
      </c>
      <c r="AC682" s="8" t="str">
        <f>TEXT(B682,"yyyy")</f>
        <v>2024</v>
      </c>
      <c r="AE682">
        <f t="shared" si="94"/>
        <v>14800.96</v>
      </c>
      <c r="AF682" s="11">
        <f t="shared" si="95"/>
        <v>14800.96</v>
      </c>
      <c r="AG682">
        <f t="shared" si="96"/>
        <v>2752.5699999999997</v>
      </c>
      <c r="AH682" s="11">
        <f t="shared" si="97"/>
        <v>0.18597239638509933</v>
      </c>
      <c r="AI682" s="44">
        <f t="shared" si="98"/>
        <v>0.18597239638509933</v>
      </c>
    </row>
    <row r="683" spans="1:35">
      <c r="A683" t="s">
        <v>2126</v>
      </c>
      <c r="B683" s="5">
        <v>45389</v>
      </c>
      <c r="C683" s="5">
        <v>45572</v>
      </c>
      <c r="D683" s="13">
        <f t="shared" si="90"/>
        <v>183</v>
      </c>
      <c r="E683" t="s">
        <v>2127</v>
      </c>
      <c r="F683" t="s">
        <v>71</v>
      </c>
      <c r="G683" t="s">
        <v>90</v>
      </c>
      <c r="H683" t="s">
        <v>25</v>
      </c>
      <c r="I683" t="s">
        <v>350</v>
      </c>
      <c r="J683" t="s">
        <v>351</v>
      </c>
      <c r="K683" t="s">
        <v>41</v>
      </c>
      <c r="L683" t="s">
        <v>42</v>
      </c>
      <c r="M683" t="s">
        <v>2128</v>
      </c>
      <c r="N683" t="s">
        <v>31</v>
      </c>
      <c r="O683">
        <v>5</v>
      </c>
      <c r="P683">
        <v>1200.27</v>
      </c>
      <c r="Q683" s="11">
        <v>0</v>
      </c>
      <c r="R683">
        <v>6001.35</v>
      </c>
      <c r="S683">
        <v>4182.99</v>
      </c>
      <c r="T683">
        <v>1818.36</v>
      </c>
      <c r="U683" t="s">
        <v>32</v>
      </c>
      <c r="V683" t="s">
        <v>68</v>
      </c>
      <c r="X683" s="8" t="str">
        <f>IF(C683&gt;=B683,"Valid", "Invalid-Date")</f>
        <v>Valid</v>
      </c>
      <c r="Y683" s="8" t="str">
        <f t="shared" si="91"/>
        <v>Valid</v>
      </c>
      <c r="Z683" s="8" t="str">
        <f t="shared" si="92"/>
        <v>Pass</v>
      </c>
      <c r="AA683" s="8" t="str">
        <f t="shared" si="93"/>
        <v>Pass</v>
      </c>
      <c r="AB683" s="8" t="str">
        <f>TEXT(B683,"mmmm")</f>
        <v>April</v>
      </c>
      <c r="AC683" s="8" t="str">
        <f>TEXT(B683,"yyyy")</f>
        <v>2024</v>
      </c>
      <c r="AE683">
        <f t="shared" si="94"/>
        <v>6001.35</v>
      </c>
      <c r="AF683" s="11">
        <f t="shared" si="95"/>
        <v>6001.35</v>
      </c>
      <c r="AG683">
        <f t="shared" si="96"/>
        <v>1818.3600000000006</v>
      </c>
      <c r="AH683" s="11">
        <f t="shared" si="97"/>
        <v>0.30299182683896131</v>
      </c>
      <c r="AI683" s="44">
        <f t="shared" si="98"/>
        <v>0.30299182683896131</v>
      </c>
    </row>
    <row r="684" spans="1:35">
      <c r="A684" t="s">
        <v>2129</v>
      </c>
      <c r="B684" s="5">
        <v>45693</v>
      </c>
      <c r="C684" s="5">
        <v>45693</v>
      </c>
      <c r="D684" s="13">
        <f t="shared" si="90"/>
        <v>0</v>
      </c>
      <c r="E684" t="s">
        <v>2130</v>
      </c>
      <c r="F684" t="s">
        <v>2131</v>
      </c>
      <c r="G684" t="s">
        <v>90</v>
      </c>
      <c r="H684" t="s">
        <v>25</v>
      </c>
      <c r="I684" t="s">
        <v>236</v>
      </c>
      <c r="J684" t="s">
        <v>237</v>
      </c>
      <c r="K684" t="s">
        <v>28</v>
      </c>
      <c r="L684" t="s">
        <v>124</v>
      </c>
      <c r="M684" t="s">
        <v>2132</v>
      </c>
      <c r="N684" t="s">
        <v>44</v>
      </c>
      <c r="O684">
        <v>3</v>
      </c>
      <c r="P684">
        <v>2590.7800000000002</v>
      </c>
      <c r="Q684" s="11">
        <v>0</v>
      </c>
      <c r="R684">
        <v>7383.72</v>
      </c>
      <c r="S684">
        <v>4113.66</v>
      </c>
      <c r="T684">
        <v>3270.06</v>
      </c>
      <c r="U684" t="s">
        <v>32</v>
      </c>
      <c r="V684" t="s">
        <v>33</v>
      </c>
      <c r="X684" s="8" t="str">
        <f>IF(C684&gt;=B684,"Valid", "Invalid-Date")</f>
        <v>Valid</v>
      </c>
      <c r="Y684" s="8" t="str">
        <f t="shared" si="91"/>
        <v>Valid</v>
      </c>
      <c r="Z684" s="8" t="str">
        <f t="shared" si="92"/>
        <v>Pass</v>
      </c>
      <c r="AA684" s="8" t="str">
        <f t="shared" si="93"/>
        <v>Pass</v>
      </c>
      <c r="AB684" s="8" t="str">
        <f>TEXT(B684,"mmmm")</f>
        <v>February</v>
      </c>
      <c r="AC684" s="8" t="str">
        <f>TEXT(B684,"yyyy")</f>
        <v>2025</v>
      </c>
      <c r="AE684">
        <f t="shared" si="94"/>
        <v>7772.34</v>
      </c>
      <c r="AF684" s="11">
        <f t="shared" si="95"/>
        <v>7772.34</v>
      </c>
      <c r="AG684">
        <f t="shared" si="96"/>
        <v>3658.6800000000003</v>
      </c>
      <c r="AH684" s="11">
        <f t="shared" si="97"/>
        <v>0.47073082237781677</v>
      </c>
      <c r="AI684" s="44">
        <f t="shared" si="98"/>
        <v>0.47073082237781677</v>
      </c>
    </row>
    <row r="685" spans="1:35">
      <c r="A685" t="s">
        <v>2133</v>
      </c>
      <c r="B685" s="5">
        <v>45858</v>
      </c>
      <c r="C685" s="5">
        <v>45862</v>
      </c>
      <c r="D685" s="13">
        <f t="shared" si="90"/>
        <v>4</v>
      </c>
      <c r="E685" t="s">
        <v>2134</v>
      </c>
      <c r="F685" t="s">
        <v>53</v>
      </c>
      <c r="G685" t="s">
        <v>37</v>
      </c>
      <c r="H685" t="s">
        <v>54</v>
      </c>
      <c r="I685" t="s">
        <v>55</v>
      </c>
      <c r="J685" t="s">
        <v>56</v>
      </c>
      <c r="K685" t="s">
        <v>41</v>
      </c>
      <c r="L685" t="s">
        <v>57</v>
      </c>
      <c r="M685" t="s">
        <v>2135</v>
      </c>
      <c r="N685" t="s">
        <v>31</v>
      </c>
      <c r="O685">
        <v>6</v>
      </c>
      <c r="P685">
        <v>1646.45</v>
      </c>
      <c r="Q685" s="11">
        <v>0.2</v>
      </c>
      <c r="R685">
        <v>7902.96</v>
      </c>
      <c r="S685">
        <v>5512.03</v>
      </c>
      <c r="T685">
        <v>2390.9299999999998</v>
      </c>
      <c r="U685" t="s">
        <v>102</v>
      </c>
      <c r="V685" t="s">
        <v>68</v>
      </c>
      <c r="X685" s="8" t="str">
        <f>IF(C685&gt;=B685,"Valid", "Invalid-Date")</f>
        <v>Valid</v>
      </c>
      <c r="Y685" s="8" t="str">
        <f t="shared" si="91"/>
        <v>Valid</v>
      </c>
      <c r="Z685" s="8" t="str">
        <f t="shared" si="92"/>
        <v>Pass</v>
      </c>
      <c r="AA685" s="8" t="str">
        <f t="shared" si="93"/>
        <v>Pass</v>
      </c>
      <c r="AB685" s="8" t="str">
        <f>TEXT(B685,"mmmm")</f>
        <v>July</v>
      </c>
      <c r="AC685" s="8" t="str">
        <f>TEXT(B685,"yyyy")</f>
        <v>2025</v>
      </c>
      <c r="AE685">
        <f t="shared" si="94"/>
        <v>9878.7000000000007</v>
      </c>
      <c r="AF685" s="11">
        <f t="shared" si="95"/>
        <v>7902.9600000000009</v>
      </c>
      <c r="AG685">
        <f t="shared" si="96"/>
        <v>4366.670000000001</v>
      </c>
      <c r="AH685" s="11">
        <f t="shared" si="97"/>
        <v>0.44202880945873452</v>
      </c>
      <c r="AI685" s="44">
        <f t="shared" si="98"/>
        <v>0.44202880945873452</v>
      </c>
    </row>
    <row r="686" spans="1:35">
      <c r="A686" t="s">
        <v>2136</v>
      </c>
      <c r="B686" s="5">
        <v>45859</v>
      </c>
      <c r="C686" s="5">
        <v>45859</v>
      </c>
      <c r="D686" s="13">
        <f t="shared" si="90"/>
        <v>0</v>
      </c>
      <c r="E686" t="s">
        <v>2137</v>
      </c>
      <c r="F686" t="s">
        <v>47</v>
      </c>
      <c r="G686" t="s">
        <v>95</v>
      </c>
      <c r="H686" t="s">
        <v>54</v>
      </c>
      <c r="I686" t="s">
        <v>247</v>
      </c>
      <c r="J686" t="s">
        <v>248</v>
      </c>
      <c r="K686" t="s">
        <v>41</v>
      </c>
      <c r="L686" t="s">
        <v>158</v>
      </c>
      <c r="M686" t="s">
        <v>2138</v>
      </c>
      <c r="N686" t="s">
        <v>50</v>
      </c>
      <c r="O686">
        <v>7</v>
      </c>
      <c r="P686">
        <v>4396.6499999999996</v>
      </c>
      <c r="Q686" s="11">
        <v>0.2</v>
      </c>
      <c r="R686">
        <v>24621.24</v>
      </c>
      <c r="S686">
        <v>17155.48</v>
      </c>
      <c r="T686">
        <v>7465.76</v>
      </c>
      <c r="U686" t="s">
        <v>102</v>
      </c>
      <c r="V686" t="s">
        <v>68</v>
      </c>
      <c r="X686" s="8" t="str">
        <f>IF(C686&gt;=B686,"Valid", "Invalid-Date")</f>
        <v>Valid</v>
      </c>
      <c r="Y686" s="8" t="str">
        <f t="shared" si="91"/>
        <v>Valid</v>
      </c>
      <c r="Z686" s="8" t="str">
        <f t="shared" si="92"/>
        <v>Pass</v>
      </c>
      <c r="AA686" s="8" t="str">
        <f t="shared" si="93"/>
        <v>Pass</v>
      </c>
      <c r="AB686" s="8" t="str">
        <f>TEXT(B686,"mmmm")</f>
        <v>July</v>
      </c>
      <c r="AC686" s="8" t="str">
        <f>TEXT(B686,"yyyy")</f>
        <v>2025</v>
      </c>
      <c r="AE686">
        <f t="shared" si="94"/>
        <v>30776.549999999996</v>
      </c>
      <c r="AF686" s="11">
        <f t="shared" si="95"/>
        <v>24621.239999999998</v>
      </c>
      <c r="AG686">
        <f t="shared" si="96"/>
        <v>13621.069999999996</v>
      </c>
      <c r="AH686" s="11">
        <f t="shared" si="97"/>
        <v>0.44257949640229322</v>
      </c>
      <c r="AI686" s="44">
        <f t="shared" si="98"/>
        <v>0.44257949640229322</v>
      </c>
    </row>
    <row r="687" spans="1:35">
      <c r="A687" t="s">
        <v>2139</v>
      </c>
      <c r="B687" s="5">
        <v>45931</v>
      </c>
      <c r="C687" s="5">
        <v>45726</v>
      </c>
      <c r="D687" s="13">
        <f t="shared" si="90"/>
        <v>-205</v>
      </c>
      <c r="E687" t="s">
        <v>1804</v>
      </c>
      <c r="F687" t="s">
        <v>79</v>
      </c>
      <c r="G687" t="s">
        <v>90</v>
      </c>
      <c r="H687" t="s">
        <v>63</v>
      </c>
      <c r="I687" t="s">
        <v>190</v>
      </c>
      <c r="J687" t="s">
        <v>191</v>
      </c>
      <c r="K687" t="s">
        <v>28</v>
      </c>
      <c r="L687" t="s">
        <v>48</v>
      </c>
      <c r="M687" t="s">
        <v>2140</v>
      </c>
      <c r="N687" t="s">
        <v>59</v>
      </c>
      <c r="O687">
        <v>9</v>
      </c>
      <c r="P687">
        <v>818.15</v>
      </c>
      <c r="Q687" s="11">
        <v>0.55000000000000004</v>
      </c>
      <c r="R687">
        <v>6627.01</v>
      </c>
      <c r="S687">
        <v>5606.79</v>
      </c>
      <c r="T687">
        <v>1020.22</v>
      </c>
      <c r="U687" t="s">
        <v>155</v>
      </c>
      <c r="V687" t="s">
        <v>68</v>
      </c>
      <c r="X687" s="8" t="str">
        <f>IF(C687&gt;=B687,"Valid", "Invalid-Date")</f>
        <v>Invalid-Date</v>
      </c>
      <c r="Y687" s="8" t="str">
        <f t="shared" si="91"/>
        <v>Invalid-Discount</v>
      </c>
      <c r="Z687" s="8" t="str">
        <f t="shared" si="92"/>
        <v>Pass</v>
      </c>
      <c r="AA687" s="8" t="str">
        <f t="shared" si="93"/>
        <v>Pass</v>
      </c>
      <c r="AB687" s="8" t="str">
        <f>TEXT(B687,"mmmm")</f>
        <v>October</v>
      </c>
      <c r="AC687" s="8" t="str">
        <f>TEXT(B687,"yyyy")</f>
        <v>2025</v>
      </c>
      <c r="AE687">
        <f t="shared" si="94"/>
        <v>7363.3499999999995</v>
      </c>
      <c r="AF687" s="11">
        <f t="shared" si="95"/>
        <v>3313.5074999999993</v>
      </c>
      <c r="AG687">
        <f t="shared" si="96"/>
        <v>1756.5599999999995</v>
      </c>
      <c r="AH687" s="11">
        <f t="shared" si="97"/>
        <v>0.2385544623031636</v>
      </c>
      <c r="AI687" s="44">
        <f t="shared" si="98"/>
        <v>0.2385544623031636</v>
      </c>
    </row>
    <row r="688" spans="1:35">
      <c r="A688" t="s">
        <v>2141</v>
      </c>
      <c r="B688" s="5">
        <v>45376</v>
      </c>
      <c r="C688" s="5">
        <v>45326</v>
      </c>
      <c r="D688" s="13">
        <f t="shared" si="90"/>
        <v>-50</v>
      </c>
      <c r="E688" t="s">
        <v>2142</v>
      </c>
      <c r="F688" t="s">
        <v>132</v>
      </c>
      <c r="G688" t="s">
        <v>95</v>
      </c>
      <c r="H688" t="s">
        <v>54</v>
      </c>
      <c r="I688" t="s">
        <v>247</v>
      </c>
      <c r="J688" t="s">
        <v>248</v>
      </c>
      <c r="K688" t="s">
        <v>74</v>
      </c>
      <c r="L688" t="s">
        <v>80</v>
      </c>
      <c r="M688" t="s">
        <v>2143</v>
      </c>
      <c r="N688" t="s">
        <v>59</v>
      </c>
      <c r="O688">
        <v>2</v>
      </c>
      <c r="P688">
        <v>2349.13</v>
      </c>
      <c r="Q688" s="11">
        <v>0</v>
      </c>
      <c r="R688">
        <v>4698.26</v>
      </c>
      <c r="S688">
        <v>2654.92</v>
      </c>
      <c r="T688">
        <v>2043.34</v>
      </c>
      <c r="U688" t="s">
        <v>32</v>
      </c>
      <c r="V688" t="s">
        <v>33</v>
      </c>
      <c r="X688" s="8" t="str">
        <f>IF(C688&gt;=B688,"Valid", "Invalid-Date")</f>
        <v>Invalid-Date</v>
      </c>
      <c r="Y688" s="8" t="str">
        <f t="shared" si="91"/>
        <v>Valid</v>
      </c>
      <c r="Z688" s="8" t="str">
        <f t="shared" si="92"/>
        <v>Pass</v>
      </c>
      <c r="AA688" s="8" t="str">
        <f t="shared" si="93"/>
        <v>Pass</v>
      </c>
      <c r="AB688" s="8" t="str">
        <f>TEXT(B688,"mmmm")</f>
        <v>March</v>
      </c>
      <c r="AC688" s="8" t="str">
        <f>TEXT(B688,"yyyy")</f>
        <v>2024</v>
      </c>
      <c r="AE688">
        <f t="shared" si="94"/>
        <v>4698.26</v>
      </c>
      <c r="AF688" s="11">
        <f t="shared" si="95"/>
        <v>4698.26</v>
      </c>
      <c r="AG688">
        <f t="shared" si="96"/>
        <v>2043.3400000000001</v>
      </c>
      <c r="AH688" s="11">
        <f t="shared" si="97"/>
        <v>0.43491420227914163</v>
      </c>
      <c r="AI688" s="44">
        <f t="shared" si="98"/>
        <v>0.43491420227914163</v>
      </c>
    </row>
    <row r="689" spans="1:35">
      <c r="A689" t="s">
        <v>2144</v>
      </c>
      <c r="B689" s="5">
        <v>45938</v>
      </c>
      <c r="C689" s="5">
        <v>45943</v>
      </c>
      <c r="D689" s="13">
        <f t="shared" si="90"/>
        <v>5</v>
      </c>
      <c r="E689" t="s">
        <v>2145</v>
      </c>
      <c r="F689" t="s">
        <v>36</v>
      </c>
      <c r="G689" t="s">
        <v>95</v>
      </c>
      <c r="H689" t="s">
        <v>25</v>
      </c>
      <c r="I689" t="s">
        <v>122</v>
      </c>
      <c r="J689" t="s">
        <v>123</v>
      </c>
      <c r="K689" t="s">
        <v>41</v>
      </c>
      <c r="L689" t="s">
        <v>42</v>
      </c>
      <c r="M689" t="s">
        <v>2146</v>
      </c>
      <c r="N689" t="s">
        <v>50</v>
      </c>
      <c r="O689">
        <v>4</v>
      </c>
      <c r="P689">
        <v>172.05</v>
      </c>
      <c r="Q689" s="11">
        <v>0</v>
      </c>
      <c r="R689">
        <v>688.2</v>
      </c>
      <c r="S689">
        <v>497.68</v>
      </c>
      <c r="T689">
        <v>190.52</v>
      </c>
      <c r="U689" t="s">
        <v>155</v>
      </c>
      <c r="V689" t="s">
        <v>68</v>
      </c>
      <c r="X689" s="8" t="str">
        <f>IF(C689&gt;=B689,"Valid", "Invalid-Date")</f>
        <v>Valid</v>
      </c>
      <c r="Y689" s="8" t="str">
        <f t="shared" si="91"/>
        <v>Valid</v>
      </c>
      <c r="Z689" s="8" t="str">
        <f t="shared" si="92"/>
        <v>Pass</v>
      </c>
      <c r="AA689" s="8" t="str">
        <f t="shared" si="93"/>
        <v>Pass</v>
      </c>
      <c r="AB689" s="8" t="str">
        <f>TEXT(B689,"mmmm")</f>
        <v>October</v>
      </c>
      <c r="AC689" s="8" t="str">
        <f>TEXT(B689,"yyyy")</f>
        <v>2025</v>
      </c>
      <c r="AE689">
        <f t="shared" si="94"/>
        <v>688.2</v>
      </c>
      <c r="AF689" s="11">
        <f t="shared" si="95"/>
        <v>688.2</v>
      </c>
      <c r="AG689">
        <f t="shared" si="96"/>
        <v>190.52000000000004</v>
      </c>
      <c r="AH689" s="11">
        <f t="shared" si="97"/>
        <v>0.27683812845103173</v>
      </c>
      <c r="AI689" s="44">
        <f t="shared" si="98"/>
        <v>0.27683812845103173</v>
      </c>
    </row>
    <row r="690" spans="1:35">
      <c r="A690" t="s">
        <v>2147</v>
      </c>
      <c r="B690" s="5">
        <v>45714</v>
      </c>
      <c r="C690" s="5">
        <v>45715</v>
      </c>
      <c r="D690" s="13">
        <f t="shared" si="90"/>
        <v>1</v>
      </c>
      <c r="E690" t="s">
        <v>2148</v>
      </c>
      <c r="F690" t="s">
        <v>79</v>
      </c>
      <c r="G690" t="s">
        <v>95</v>
      </c>
      <c r="H690" t="s">
        <v>25</v>
      </c>
      <c r="I690" t="s">
        <v>236</v>
      </c>
      <c r="J690" t="s">
        <v>237</v>
      </c>
      <c r="K690" t="s">
        <v>28</v>
      </c>
      <c r="L690" t="s">
        <v>48</v>
      </c>
      <c r="M690" t="s">
        <v>2149</v>
      </c>
      <c r="N690" t="s">
        <v>31</v>
      </c>
      <c r="O690">
        <v>6</v>
      </c>
      <c r="P690">
        <v>3037.66</v>
      </c>
      <c r="Q690" s="11">
        <v>0.15</v>
      </c>
      <c r="R690">
        <v>15492.07</v>
      </c>
      <c r="S690">
        <v>12581.23</v>
      </c>
      <c r="T690">
        <v>2910.84</v>
      </c>
      <c r="U690" t="s">
        <v>32</v>
      </c>
      <c r="V690" t="s">
        <v>33</v>
      </c>
      <c r="X690" s="8" t="str">
        <f>IF(C690&gt;=B690,"Valid", "Invalid-Date")</f>
        <v>Valid</v>
      </c>
      <c r="Y690" s="8" t="str">
        <f t="shared" si="91"/>
        <v>Valid</v>
      </c>
      <c r="Z690" s="8" t="str">
        <f t="shared" si="92"/>
        <v>Pass</v>
      </c>
      <c r="AA690" s="8" t="str">
        <f t="shared" si="93"/>
        <v>Pass</v>
      </c>
      <c r="AB690" s="8" t="str">
        <f>TEXT(B690,"mmmm")</f>
        <v>February</v>
      </c>
      <c r="AC690" s="8" t="str">
        <f>TEXT(B690,"yyyy")</f>
        <v>2025</v>
      </c>
      <c r="AE690">
        <f t="shared" si="94"/>
        <v>18225.96</v>
      </c>
      <c r="AF690" s="11">
        <f t="shared" si="95"/>
        <v>15492.065999999999</v>
      </c>
      <c r="AG690">
        <f t="shared" si="96"/>
        <v>5644.73</v>
      </c>
      <c r="AH690" s="11">
        <f t="shared" si="97"/>
        <v>0.30970824033411681</v>
      </c>
      <c r="AI690" s="44">
        <f t="shared" si="98"/>
        <v>0.30970824033411681</v>
      </c>
    </row>
    <row r="691" spans="1:35">
      <c r="A691" t="s">
        <v>2150</v>
      </c>
      <c r="B691" s="5">
        <v>45570</v>
      </c>
      <c r="C691" s="5">
        <v>45453</v>
      </c>
      <c r="D691" s="13">
        <f t="shared" si="90"/>
        <v>-117</v>
      </c>
      <c r="E691" t="s">
        <v>2151</v>
      </c>
      <c r="F691" t="s">
        <v>141</v>
      </c>
      <c r="G691" t="s">
        <v>37</v>
      </c>
      <c r="H691" t="s">
        <v>25</v>
      </c>
      <c r="I691" t="s">
        <v>122</v>
      </c>
      <c r="J691" t="s">
        <v>123</v>
      </c>
      <c r="K691" t="s">
        <v>41</v>
      </c>
      <c r="L691" t="s">
        <v>42</v>
      </c>
      <c r="M691" t="s">
        <v>2152</v>
      </c>
      <c r="N691" t="s">
        <v>59</v>
      </c>
      <c r="O691">
        <v>9</v>
      </c>
      <c r="P691">
        <v>489.58</v>
      </c>
      <c r="Q691" s="11">
        <v>0.15</v>
      </c>
      <c r="R691">
        <v>3745.29</v>
      </c>
      <c r="S691">
        <v>2302.65</v>
      </c>
      <c r="T691">
        <v>1442.64</v>
      </c>
      <c r="U691" t="s">
        <v>155</v>
      </c>
      <c r="V691" t="s">
        <v>68</v>
      </c>
      <c r="X691" s="8" t="str">
        <f>IF(C691&gt;=B691,"Valid", "Invalid-Date")</f>
        <v>Invalid-Date</v>
      </c>
      <c r="Y691" s="8" t="str">
        <f t="shared" si="91"/>
        <v>Valid</v>
      </c>
      <c r="Z691" s="8" t="str">
        <f t="shared" si="92"/>
        <v>Pass</v>
      </c>
      <c r="AA691" s="8" t="str">
        <f t="shared" si="93"/>
        <v>Pass</v>
      </c>
      <c r="AB691" s="8" t="str">
        <f>TEXT(B691,"mmmm")</f>
        <v>October</v>
      </c>
      <c r="AC691" s="8" t="str">
        <f>TEXT(B691,"yyyy")</f>
        <v>2024</v>
      </c>
      <c r="AE691">
        <f t="shared" si="94"/>
        <v>4406.22</v>
      </c>
      <c r="AF691" s="11">
        <f t="shared" si="95"/>
        <v>3745.2870000000003</v>
      </c>
      <c r="AG691">
        <f t="shared" si="96"/>
        <v>2103.5700000000002</v>
      </c>
      <c r="AH691" s="11">
        <f t="shared" si="97"/>
        <v>0.47740920789247926</v>
      </c>
      <c r="AI691" s="44">
        <f t="shared" si="98"/>
        <v>0.47740920789247926</v>
      </c>
    </row>
    <row r="692" spans="1:35">
      <c r="A692" t="s">
        <v>2153</v>
      </c>
      <c r="B692" s="5">
        <v>45605</v>
      </c>
      <c r="C692" s="5">
        <v>45550</v>
      </c>
      <c r="D692" s="13">
        <f t="shared" si="90"/>
        <v>-55</v>
      </c>
      <c r="E692" t="s">
        <v>2154</v>
      </c>
      <c r="F692" t="s">
        <v>132</v>
      </c>
      <c r="G692" t="s">
        <v>90</v>
      </c>
      <c r="H692" t="s">
        <v>54</v>
      </c>
      <c r="I692" t="s">
        <v>247</v>
      </c>
      <c r="J692" t="s">
        <v>248</v>
      </c>
      <c r="K692" t="s">
        <v>28</v>
      </c>
      <c r="L692" t="s">
        <v>48</v>
      </c>
      <c r="M692" t="s">
        <v>2155</v>
      </c>
      <c r="N692" t="s">
        <v>59</v>
      </c>
      <c r="O692">
        <v>4</v>
      </c>
      <c r="P692">
        <v>865.63</v>
      </c>
      <c r="Q692" s="11">
        <v>0</v>
      </c>
      <c r="R692">
        <v>3462.52</v>
      </c>
      <c r="S692">
        <v>2797.29</v>
      </c>
      <c r="T692">
        <v>665.23</v>
      </c>
      <c r="U692" t="s">
        <v>155</v>
      </c>
      <c r="V692" t="s">
        <v>103</v>
      </c>
      <c r="X692" s="8" t="str">
        <f>IF(C692&gt;=B692,"Valid", "Invalid-Date")</f>
        <v>Invalid-Date</v>
      </c>
      <c r="Y692" s="8" t="str">
        <f t="shared" si="91"/>
        <v>Valid</v>
      </c>
      <c r="Z692" s="8" t="str">
        <f t="shared" si="92"/>
        <v>Pass</v>
      </c>
      <c r="AA692" s="8" t="str">
        <f t="shared" si="93"/>
        <v>Pass</v>
      </c>
      <c r="AB692" s="8" t="str">
        <f>TEXT(B692,"mmmm")</f>
        <v>November</v>
      </c>
      <c r="AC692" s="8" t="str">
        <f>TEXT(B692,"yyyy")</f>
        <v>2024</v>
      </c>
      <c r="AE692">
        <f t="shared" si="94"/>
        <v>3462.52</v>
      </c>
      <c r="AF692" s="11">
        <f t="shared" si="95"/>
        <v>3462.52</v>
      </c>
      <c r="AG692">
        <f t="shared" si="96"/>
        <v>665.23</v>
      </c>
      <c r="AH692" s="11">
        <f t="shared" si="97"/>
        <v>0.19212307798944123</v>
      </c>
      <c r="AI692" s="44">
        <f t="shared" si="98"/>
        <v>0.19212307798944123</v>
      </c>
    </row>
    <row r="693" spans="1:35">
      <c r="A693" t="s">
        <v>2156</v>
      </c>
      <c r="B693" s="5">
        <v>45641</v>
      </c>
      <c r="C693" s="5">
        <v>45642</v>
      </c>
      <c r="D693" s="13">
        <f t="shared" si="90"/>
        <v>1</v>
      </c>
      <c r="E693" t="s">
        <v>2157</v>
      </c>
      <c r="F693" t="s">
        <v>141</v>
      </c>
      <c r="G693" t="s">
        <v>24</v>
      </c>
      <c r="H693" t="s">
        <v>38</v>
      </c>
      <c r="I693" t="s">
        <v>39</v>
      </c>
      <c r="J693" t="s">
        <v>40</v>
      </c>
      <c r="K693" t="s">
        <v>74</v>
      </c>
      <c r="L693" t="s">
        <v>80</v>
      </c>
      <c r="M693" t="s">
        <v>2158</v>
      </c>
      <c r="N693" t="s">
        <v>31</v>
      </c>
      <c r="O693">
        <v>6</v>
      </c>
      <c r="P693">
        <v>1538.1</v>
      </c>
      <c r="Q693" s="11">
        <v>0.05</v>
      </c>
      <c r="R693">
        <v>8767.17</v>
      </c>
      <c r="S693">
        <v>5098.2</v>
      </c>
      <c r="T693">
        <v>3668.97</v>
      </c>
      <c r="U693" t="s">
        <v>32</v>
      </c>
      <c r="V693" t="s">
        <v>33</v>
      </c>
      <c r="X693" s="8" t="str">
        <f>IF(C693&gt;=B693,"Valid", "Invalid-Date")</f>
        <v>Valid</v>
      </c>
      <c r="Y693" s="8" t="str">
        <f t="shared" si="91"/>
        <v>Valid</v>
      </c>
      <c r="Z693" s="8" t="str">
        <f t="shared" si="92"/>
        <v>Pass</v>
      </c>
      <c r="AA693" s="8" t="str">
        <f t="shared" si="93"/>
        <v>Pass</v>
      </c>
      <c r="AB693" s="8" t="str">
        <f>TEXT(B693,"mmmm")</f>
        <v>December</v>
      </c>
      <c r="AC693" s="8" t="str">
        <f>TEXT(B693,"yyyy")</f>
        <v>2024</v>
      </c>
      <c r="AE693">
        <f t="shared" si="94"/>
        <v>9228.5999999999985</v>
      </c>
      <c r="AF693" s="11">
        <f t="shared" si="95"/>
        <v>8767.1699999999983</v>
      </c>
      <c r="AG693">
        <f t="shared" si="96"/>
        <v>4130.3999999999987</v>
      </c>
      <c r="AH693" s="11">
        <f t="shared" si="97"/>
        <v>0.4475651778167869</v>
      </c>
      <c r="AI693" s="44">
        <f t="shared" si="98"/>
        <v>0.4475651778167869</v>
      </c>
    </row>
    <row r="694" spans="1:35">
      <c r="A694" t="s">
        <v>2159</v>
      </c>
      <c r="B694" s="5">
        <v>45935</v>
      </c>
      <c r="C694" s="5">
        <v>45940</v>
      </c>
      <c r="D694" s="13">
        <f t="shared" si="90"/>
        <v>5</v>
      </c>
      <c r="E694" t="s">
        <v>2160</v>
      </c>
      <c r="F694" t="s">
        <v>47</v>
      </c>
      <c r="G694" t="s">
        <v>90</v>
      </c>
      <c r="H694" t="s">
        <v>54</v>
      </c>
      <c r="I694" t="s">
        <v>175</v>
      </c>
      <c r="J694" t="s">
        <v>176</v>
      </c>
      <c r="K694" t="s">
        <v>41</v>
      </c>
      <c r="L694" t="s">
        <v>57</v>
      </c>
      <c r="M694" t="s">
        <v>2161</v>
      </c>
      <c r="N694" t="s">
        <v>31</v>
      </c>
      <c r="O694">
        <v>4</v>
      </c>
      <c r="P694">
        <v>2365.6799999999998</v>
      </c>
      <c r="Q694" s="11">
        <v>0.1</v>
      </c>
      <c r="R694">
        <v>8516.4500000000007</v>
      </c>
      <c r="S694">
        <v>5903.81</v>
      </c>
      <c r="T694">
        <v>2612.64</v>
      </c>
      <c r="U694" t="s">
        <v>32</v>
      </c>
      <c r="V694" t="s">
        <v>33</v>
      </c>
      <c r="X694" s="8" t="str">
        <f>IF(C694&gt;=B694,"Valid", "Invalid-Date")</f>
        <v>Valid</v>
      </c>
      <c r="Y694" s="8" t="str">
        <f t="shared" si="91"/>
        <v>Valid</v>
      </c>
      <c r="Z694" s="8" t="str">
        <f t="shared" si="92"/>
        <v>Pass</v>
      </c>
      <c r="AA694" s="8" t="str">
        <f t="shared" si="93"/>
        <v>Pass</v>
      </c>
      <c r="AB694" s="8" t="str">
        <f>TEXT(B694,"mmmm")</f>
        <v>October</v>
      </c>
      <c r="AC694" s="8" t="str">
        <f>TEXT(B694,"yyyy")</f>
        <v>2025</v>
      </c>
      <c r="AE694">
        <f t="shared" si="94"/>
        <v>9462.7199999999993</v>
      </c>
      <c r="AF694" s="11">
        <f t="shared" si="95"/>
        <v>8516.4480000000003</v>
      </c>
      <c r="AG694">
        <f t="shared" si="96"/>
        <v>3558.9099999999989</v>
      </c>
      <c r="AH694" s="11">
        <f t="shared" si="97"/>
        <v>0.37609799296608154</v>
      </c>
      <c r="AI694" s="44">
        <f t="shared" si="98"/>
        <v>0.37609799296608154</v>
      </c>
    </row>
    <row r="695" spans="1:35">
      <c r="A695" t="s">
        <v>2162</v>
      </c>
      <c r="B695" s="5">
        <v>45750</v>
      </c>
      <c r="C695" s="5">
        <v>45965</v>
      </c>
      <c r="D695" s="13">
        <f t="shared" si="90"/>
        <v>215</v>
      </c>
      <c r="E695" t="s">
        <v>2163</v>
      </c>
      <c r="F695" t="s">
        <v>53</v>
      </c>
      <c r="G695" t="s">
        <v>24</v>
      </c>
      <c r="H695" t="s">
        <v>54</v>
      </c>
      <c r="I695" t="s">
        <v>247</v>
      </c>
      <c r="J695" t="s">
        <v>248</v>
      </c>
      <c r="K695" t="s">
        <v>41</v>
      </c>
      <c r="L695" t="s">
        <v>158</v>
      </c>
      <c r="M695" t="s">
        <v>2164</v>
      </c>
      <c r="N695" t="s">
        <v>31</v>
      </c>
      <c r="O695">
        <v>3</v>
      </c>
      <c r="P695">
        <v>4149.7700000000004</v>
      </c>
      <c r="Q695" s="11">
        <v>0.05</v>
      </c>
      <c r="R695">
        <v>11826.84</v>
      </c>
      <c r="S695">
        <v>8035.96</v>
      </c>
      <c r="T695">
        <v>3790.88</v>
      </c>
      <c r="U695" t="s">
        <v>32</v>
      </c>
      <c r="V695" t="s">
        <v>33</v>
      </c>
      <c r="X695" s="8" t="str">
        <f>IF(C695&gt;=B695,"Valid", "Invalid-Date")</f>
        <v>Valid</v>
      </c>
      <c r="Y695" s="8" t="str">
        <f t="shared" si="91"/>
        <v>Valid</v>
      </c>
      <c r="Z695" s="8" t="str">
        <f t="shared" si="92"/>
        <v>Pass</v>
      </c>
      <c r="AA695" s="8" t="str">
        <f t="shared" si="93"/>
        <v>Pass</v>
      </c>
      <c r="AB695" s="8" t="str">
        <f>TEXT(B695,"mmmm")</f>
        <v>April</v>
      </c>
      <c r="AC695" s="8" t="str">
        <f>TEXT(B695,"yyyy")</f>
        <v>2025</v>
      </c>
      <c r="AE695">
        <f t="shared" si="94"/>
        <v>12449.310000000001</v>
      </c>
      <c r="AF695" s="11">
        <f t="shared" si="95"/>
        <v>11826.844500000001</v>
      </c>
      <c r="AG695">
        <f t="shared" si="96"/>
        <v>4413.3500000000013</v>
      </c>
      <c r="AH695" s="11">
        <f t="shared" si="97"/>
        <v>0.35450559107291896</v>
      </c>
      <c r="AI695" s="44">
        <f t="shared" si="98"/>
        <v>0.35450559107291896</v>
      </c>
    </row>
    <row r="696" spans="1:35" s="15" customFormat="1">
      <c r="A696" s="15" t="s">
        <v>2165</v>
      </c>
      <c r="B696" s="16">
        <v>45870</v>
      </c>
      <c r="C696" s="16">
        <v>45878</v>
      </c>
      <c r="D696" s="17">
        <f t="shared" si="90"/>
        <v>8</v>
      </c>
      <c r="E696" s="15" t="s">
        <v>1136</v>
      </c>
      <c r="F696" s="15" t="s">
        <v>47</v>
      </c>
      <c r="G696" s="15" t="s">
        <v>24</v>
      </c>
      <c r="H696" s="15" t="s">
        <v>54</v>
      </c>
      <c r="I696" s="15" t="s">
        <v>84</v>
      </c>
      <c r="J696" s="15" t="s">
        <v>85</v>
      </c>
      <c r="K696" s="15" t="s">
        <v>28</v>
      </c>
      <c r="L696" s="15" t="s">
        <v>124</v>
      </c>
      <c r="M696" s="15" t="s">
        <v>2166</v>
      </c>
      <c r="N696" s="15" t="s">
        <v>50</v>
      </c>
      <c r="O696" s="15">
        <v>5</v>
      </c>
      <c r="P696" s="15">
        <v>2736.24</v>
      </c>
      <c r="Q696" s="18">
        <v>0.15</v>
      </c>
      <c r="R696" s="15">
        <v>11629.02</v>
      </c>
      <c r="S696" s="15">
        <v>9627.2099999999991</v>
      </c>
      <c r="T696" s="15">
        <v>2001.81</v>
      </c>
      <c r="U696" s="15" t="s">
        <v>32</v>
      </c>
      <c r="V696" s="15" t="s">
        <v>33</v>
      </c>
      <c r="W696" s="25"/>
      <c r="X696" s="8" t="str">
        <f>IF(C696&gt;=B696,"Valid", "Invalid-Date")</f>
        <v>Valid</v>
      </c>
      <c r="Y696" s="8" t="str">
        <f t="shared" si="91"/>
        <v>Valid</v>
      </c>
      <c r="Z696" s="19" t="str">
        <f t="shared" si="92"/>
        <v>Pass</v>
      </c>
      <c r="AA696" s="19" t="str">
        <f t="shared" si="93"/>
        <v>Pass</v>
      </c>
      <c r="AB696" s="19" t="str">
        <f>TEXT(B696,"mmmm")</f>
        <v>August</v>
      </c>
      <c r="AC696" s="19" t="str">
        <f>TEXT(B696,"yyyy")</f>
        <v>2025</v>
      </c>
      <c r="AD696" s="20"/>
      <c r="AE696" s="15">
        <f t="shared" si="94"/>
        <v>13681.199999999999</v>
      </c>
      <c r="AF696" s="11">
        <f t="shared" si="95"/>
        <v>11629.019999999999</v>
      </c>
      <c r="AG696" s="15">
        <f t="shared" si="96"/>
        <v>4053.99</v>
      </c>
      <c r="AH696" s="18">
        <f t="shared" si="97"/>
        <v>0.29631830541180598</v>
      </c>
      <c r="AI696" s="45">
        <f t="shared" si="98"/>
        <v>0.29631830541180598</v>
      </c>
    </row>
    <row r="697" spans="1:35">
      <c r="A697" t="s">
        <v>2167</v>
      </c>
      <c r="B697" s="5">
        <v>45474</v>
      </c>
      <c r="C697" s="5">
        <v>45474</v>
      </c>
      <c r="D697" s="13">
        <f t="shared" si="90"/>
        <v>0</v>
      </c>
      <c r="E697" t="s">
        <v>2168</v>
      </c>
      <c r="F697" t="s">
        <v>128</v>
      </c>
      <c r="G697" t="s">
        <v>24</v>
      </c>
      <c r="H697" t="s">
        <v>63</v>
      </c>
      <c r="I697" t="s">
        <v>72</v>
      </c>
      <c r="J697" t="s">
        <v>73</v>
      </c>
      <c r="K697" t="s">
        <v>74</v>
      </c>
      <c r="L697" t="s">
        <v>274</v>
      </c>
      <c r="M697" t="s">
        <v>2169</v>
      </c>
      <c r="N697" t="s">
        <v>59</v>
      </c>
      <c r="O697">
        <v>4</v>
      </c>
      <c r="P697">
        <v>257.39</v>
      </c>
      <c r="Q697" s="11">
        <v>0</v>
      </c>
      <c r="R697">
        <v>1029.56</v>
      </c>
      <c r="S697">
        <v>626.33000000000004</v>
      </c>
      <c r="T697">
        <v>403.23</v>
      </c>
      <c r="U697" t="s">
        <v>32</v>
      </c>
      <c r="V697" t="s">
        <v>33</v>
      </c>
      <c r="X697" s="8" t="str">
        <f>IF(C697&gt;=B697,"Valid", "Invalid-Date")</f>
        <v>Valid</v>
      </c>
      <c r="Y697" s="8" t="str">
        <f t="shared" si="91"/>
        <v>Valid</v>
      </c>
      <c r="Z697" s="8" t="str">
        <f t="shared" si="92"/>
        <v>Pass</v>
      </c>
      <c r="AA697" s="8" t="str">
        <f t="shared" si="93"/>
        <v>Pass</v>
      </c>
      <c r="AB697" s="8" t="str">
        <f>TEXT(B697,"mmmm")</f>
        <v>July</v>
      </c>
      <c r="AC697" s="8" t="str">
        <f>TEXT(B697,"yyyy")</f>
        <v>2024</v>
      </c>
      <c r="AE697">
        <f t="shared" si="94"/>
        <v>1029.56</v>
      </c>
      <c r="AF697" s="11">
        <f t="shared" si="95"/>
        <v>1029.56</v>
      </c>
      <c r="AG697">
        <f t="shared" si="96"/>
        <v>403.2299999999999</v>
      </c>
      <c r="AH697" s="11">
        <f t="shared" si="97"/>
        <v>0.39165274486188267</v>
      </c>
      <c r="AI697" s="44">
        <f t="shared" si="98"/>
        <v>0.39165274486188267</v>
      </c>
    </row>
    <row r="698" spans="1:35">
      <c r="A698" t="s">
        <v>2170</v>
      </c>
      <c r="B698" s="5">
        <v>45922</v>
      </c>
      <c r="C698" s="5">
        <v>45925</v>
      </c>
      <c r="D698" s="13">
        <f t="shared" si="90"/>
        <v>3</v>
      </c>
      <c r="E698" t="s">
        <v>2171</v>
      </c>
      <c r="F698" t="s">
        <v>47</v>
      </c>
      <c r="G698" t="s">
        <v>37</v>
      </c>
      <c r="H698" t="s">
        <v>54</v>
      </c>
      <c r="I698" t="s">
        <v>185</v>
      </c>
      <c r="J698" t="s">
        <v>186</v>
      </c>
      <c r="K698" t="s">
        <v>74</v>
      </c>
      <c r="L698" t="s">
        <v>171</v>
      </c>
      <c r="M698" t="s">
        <v>2172</v>
      </c>
      <c r="N698" t="s">
        <v>2785</v>
      </c>
      <c r="O698">
        <v>4</v>
      </c>
      <c r="P698">
        <v>1178.8399999999999</v>
      </c>
      <c r="Q698" s="11">
        <v>0.25</v>
      </c>
      <c r="R698">
        <v>3536.52</v>
      </c>
      <c r="S698">
        <v>2102.41</v>
      </c>
      <c r="T698">
        <v>1363.28</v>
      </c>
      <c r="U698" t="s">
        <v>32</v>
      </c>
      <c r="V698" t="s">
        <v>33</v>
      </c>
      <c r="X698" s="8" t="str">
        <f>IF(C698&gt;=B698,"Valid", "Invalid-Date")</f>
        <v>Valid</v>
      </c>
      <c r="Y698" s="8" t="str">
        <f t="shared" si="91"/>
        <v>Valid</v>
      </c>
      <c r="Z698" s="8" t="str">
        <f t="shared" si="92"/>
        <v>Flagged</v>
      </c>
      <c r="AA698" s="8" t="str">
        <f t="shared" si="93"/>
        <v>Pass</v>
      </c>
      <c r="AB698" s="8" t="str">
        <f>TEXT(B698,"mmmm")</f>
        <v>September</v>
      </c>
      <c r="AC698" s="8" t="str">
        <f>TEXT(B698,"yyyy")</f>
        <v>2025</v>
      </c>
      <c r="AE698">
        <f t="shared" si="94"/>
        <v>4715.3599999999997</v>
      </c>
      <c r="AF698" s="11">
        <f t="shared" si="95"/>
        <v>3536.5199999999995</v>
      </c>
      <c r="AG698">
        <f t="shared" si="96"/>
        <v>2612.9499999999998</v>
      </c>
      <c r="AH698" s="11">
        <f t="shared" si="97"/>
        <v>0.55413584540734961</v>
      </c>
      <c r="AI698" s="44">
        <f t="shared" si="98"/>
        <v>0.55413584540734961</v>
      </c>
    </row>
    <row r="699" spans="1:35">
      <c r="A699" t="s">
        <v>2173</v>
      </c>
      <c r="B699" s="5">
        <v>45660</v>
      </c>
      <c r="C699" s="5">
        <v>45723</v>
      </c>
      <c r="D699" s="13">
        <f t="shared" si="90"/>
        <v>63</v>
      </c>
      <c r="E699" t="s">
        <v>2174</v>
      </c>
      <c r="F699" t="s">
        <v>53</v>
      </c>
      <c r="G699" t="s">
        <v>90</v>
      </c>
      <c r="H699" t="s">
        <v>54</v>
      </c>
      <c r="I699" t="s">
        <v>84</v>
      </c>
      <c r="J699" t="s">
        <v>85</v>
      </c>
      <c r="K699" t="s">
        <v>28</v>
      </c>
      <c r="L699" t="s">
        <v>91</v>
      </c>
      <c r="M699" t="s">
        <v>2175</v>
      </c>
      <c r="N699" t="s">
        <v>50</v>
      </c>
      <c r="O699">
        <v>7</v>
      </c>
      <c r="P699">
        <v>567.15</v>
      </c>
      <c r="Q699" s="11">
        <v>0</v>
      </c>
      <c r="R699">
        <v>2977.54</v>
      </c>
      <c r="S699">
        <v>1849.3</v>
      </c>
      <c r="T699">
        <v>1128.24</v>
      </c>
      <c r="U699" t="s">
        <v>102</v>
      </c>
      <c r="V699" t="s">
        <v>103</v>
      </c>
      <c r="X699" s="8" t="str">
        <f>IF(C699&gt;=B699,"Valid", "Invalid-Date")</f>
        <v>Valid</v>
      </c>
      <c r="Y699" s="8" t="str">
        <f t="shared" si="91"/>
        <v>Valid</v>
      </c>
      <c r="Z699" s="8" t="str">
        <f t="shared" si="92"/>
        <v>Pass</v>
      </c>
      <c r="AA699" s="8" t="str">
        <f t="shared" si="93"/>
        <v>Pass</v>
      </c>
      <c r="AB699" s="8" t="str">
        <f>TEXT(B699,"mmmm")</f>
        <v>January</v>
      </c>
      <c r="AC699" s="8" t="str">
        <f>TEXT(B699,"yyyy")</f>
        <v>2025</v>
      </c>
      <c r="AE699">
        <f t="shared" si="94"/>
        <v>3970.0499999999997</v>
      </c>
      <c r="AF699" s="11">
        <f t="shared" si="95"/>
        <v>3970.0499999999997</v>
      </c>
      <c r="AG699">
        <f t="shared" si="96"/>
        <v>2120.75</v>
      </c>
      <c r="AH699" s="11">
        <f t="shared" si="97"/>
        <v>0.53418722686112274</v>
      </c>
      <c r="AI699" s="44">
        <f t="shared" si="98"/>
        <v>0.53418722686112274</v>
      </c>
    </row>
    <row r="700" spans="1:35">
      <c r="A700" t="s">
        <v>2176</v>
      </c>
      <c r="B700" s="5">
        <v>45549</v>
      </c>
      <c r="C700" s="5">
        <v>45549</v>
      </c>
      <c r="D700" s="13">
        <f t="shared" si="90"/>
        <v>0</v>
      </c>
      <c r="E700" t="s">
        <v>2177</v>
      </c>
      <c r="F700" t="s">
        <v>36</v>
      </c>
      <c r="G700" t="s">
        <v>90</v>
      </c>
      <c r="H700" t="s">
        <v>25</v>
      </c>
      <c r="I700" t="s">
        <v>26</v>
      </c>
      <c r="J700" t="s">
        <v>27</v>
      </c>
      <c r="K700" t="s">
        <v>74</v>
      </c>
      <c r="L700" t="s">
        <v>274</v>
      </c>
      <c r="M700" t="s">
        <v>2178</v>
      </c>
      <c r="N700" t="s">
        <v>59</v>
      </c>
      <c r="O700">
        <v>8</v>
      </c>
      <c r="P700">
        <v>4081.66</v>
      </c>
      <c r="Q700" s="11">
        <v>0.15</v>
      </c>
      <c r="R700">
        <v>28208.1</v>
      </c>
      <c r="S700">
        <v>23751.91</v>
      </c>
      <c r="T700">
        <v>4003.38</v>
      </c>
      <c r="U700" t="s">
        <v>32</v>
      </c>
      <c r="V700" t="s">
        <v>103</v>
      </c>
      <c r="X700" s="8" t="str">
        <f>IF(C700&gt;=B700,"Valid", "Invalid-Date")</f>
        <v>Valid</v>
      </c>
      <c r="Y700" s="8" t="str">
        <f t="shared" si="91"/>
        <v>Valid</v>
      </c>
      <c r="Z700" s="8" t="str">
        <f t="shared" si="92"/>
        <v>Pass</v>
      </c>
      <c r="AA700" s="8" t="str">
        <f t="shared" si="93"/>
        <v>Pass</v>
      </c>
      <c r="AB700" s="8" t="str">
        <f>TEXT(B700,"mmmm")</f>
        <v>September</v>
      </c>
      <c r="AC700" s="8" t="str">
        <f>TEXT(B700,"yyyy")</f>
        <v>2024</v>
      </c>
      <c r="AE700">
        <f t="shared" si="94"/>
        <v>32653.279999999999</v>
      </c>
      <c r="AF700" s="11">
        <f t="shared" si="95"/>
        <v>27755.287999999997</v>
      </c>
      <c r="AG700">
        <f t="shared" si="96"/>
        <v>8901.369999999999</v>
      </c>
      <c r="AH700" s="11">
        <f t="shared" si="97"/>
        <v>0.27260262981238026</v>
      </c>
      <c r="AI700" s="44">
        <f t="shared" si="98"/>
        <v>0.27260262981238026</v>
      </c>
    </row>
    <row r="701" spans="1:35">
      <c r="A701" t="s">
        <v>2179</v>
      </c>
      <c r="B701" s="5">
        <v>45454</v>
      </c>
      <c r="C701" s="5">
        <v>45602</v>
      </c>
      <c r="D701" s="13">
        <f t="shared" si="90"/>
        <v>148</v>
      </c>
      <c r="E701" t="s">
        <v>2180</v>
      </c>
      <c r="F701" t="s">
        <v>53</v>
      </c>
      <c r="G701" t="s">
        <v>37</v>
      </c>
      <c r="H701" t="s">
        <v>54</v>
      </c>
      <c r="I701" t="s">
        <v>175</v>
      </c>
      <c r="J701" t="s">
        <v>176</v>
      </c>
      <c r="K701" t="s">
        <v>41</v>
      </c>
      <c r="L701" t="s">
        <v>158</v>
      </c>
      <c r="M701" t="s">
        <v>2181</v>
      </c>
      <c r="N701" t="s">
        <v>59</v>
      </c>
      <c r="O701">
        <v>9</v>
      </c>
      <c r="P701">
        <v>1400.11</v>
      </c>
      <c r="Q701" s="11">
        <v>0.25</v>
      </c>
      <c r="R701">
        <v>9450.74</v>
      </c>
      <c r="S701">
        <v>7798.56</v>
      </c>
      <c r="T701">
        <v>1652.18</v>
      </c>
      <c r="U701" t="s">
        <v>32</v>
      </c>
      <c r="V701" t="s">
        <v>33</v>
      </c>
      <c r="X701" s="8" t="str">
        <f>IF(C701&gt;=B701,"Valid", "Invalid-Date")</f>
        <v>Valid</v>
      </c>
      <c r="Y701" s="8" t="str">
        <f t="shared" si="91"/>
        <v>Valid</v>
      </c>
      <c r="Z701" s="8" t="str">
        <f t="shared" si="92"/>
        <v>Pass</v>
      </c>
      <c r="AA701" s="8" t="str">
        <f t="shared" si="93"/>
        <v>Pass</v>
      </c>
      <c r="AB701" s="8" t="str">
        <f>TEXT(B701,"mmmm")</f>
        <v>June</v>
      </c>
      <c r="AC701" s="8" t="str">
        <f>TEXT(B701,"yyyy")</f>
        <v>2024</v>
      </c>
      <c r="AE701">
        <f t="shared" si="94"/>
        <v>12600.99</v>
      </c>
      <c r="AF701" s="11">
        <f t="shared" si="95"/>
        <v>9450.7425000000003</v>
      </c>
      <c r="AG701">
        <f t="shared" si="96"/>
        <v>4802.4299999999994</v>
      </c>
      <c r="AH701" s="11">
        <f t="shared" si="97"/>
        <v>0.3811152933221913</v>
      </c>
      <c r="AI701" s="44">
        <f t="shared" si="98"/>
        <v>0.3811152933221913</v>
      </c>
    </row>
    <row r="702" spans="1:35">
      <c r="A702" t="s">
        <v>2182</v>
      </c>
      <c r="B702" s="5">
        <v>45553</v>
      </c>
      <c r="C702" s="5">
        <v>45556</v>
      </c>
      <c r="D702" s="13">
        <f t="shared" si="90"/>
        <v>3</v>
      </c>
      <c r="E702" t="s">
        <v>2183</v>
      </c>
      <c r="F702" t="s">
        <v>79</v>
      </c>
      <c r="G702" t="s">
        <v>90</v>
      </c>
      <c r="H702" t="s">
        <v>38</v>
      </c>
      <c r="I702" t="s">
        <v>99</v>
      </c>
      <c r="J702" t="s">
        <v>100</v>
      </c>
      <c r="K702" t="s">
        <v>74</v>
      </c>
      <c r="L702" t="s">
        <v>274</v>
      </c>
      <c r="M702" t="s">
        <v>2184</v>
      </c>
      <c r="N702" t="s">
        <v>59</v>
      </c>
      <c r="O702">
        <v>3</v>
      </c>
      <c r="P702">
        <v>3055.9</v>
      </c>
      <c r="Q702" s="11">
        <v>0.15</v>
      </c>
      <c r="R702">
        <v>7792.55</v>
      </c>
      <c r="S702">
        <v>4691.7299999999996</v>
      </c>
      <c r="T702">
        <v>3100.82</v>
      </c>
      <c r="U702" t="s">
        <v>32</v>
      </c>
      <c r="V702" t="s">
        <v>33</v>
      </c>
      <c r="X702" s="8" t="str">
        <f>IF(C702&gt;=B702,"Valid", "Invalid-Date")</f>
        <v>Valid</v>
      </c>
      <c r="Y702" s="8" t="str">
        <f t="shared" si="91"/>
        <v>Valid</v>
      </c>
      <c r="Z702" s="8" t="str">
        <f t="shared" si="92"/>
        <v>Pass</v>
      </c>
      <c r="AA702" s="8" t="str">
        <f t="shared" si="93"/>
        <v>Pass</v>
      </c>
      <c r="AB702" s="8" t="str">
        <f>TEXT(B702,"mmmm")</f>
        <v>September</v>
      </c>
      <c r="AC702" s="8" t="str">
        <f>TEXT(B702,"yyyy")</f>
        <v>2024</v>
      </c>
      <c r="AE702">
        <f t="shared" si="94"/>
        <v>9167.7000000000007</v>
      </c>
      <c r="AF702" s="11">
        <f t="shared" si="95"/>
        <v>7792.5450000000001</v>
      </c>
      <c r="AG702">
        <f t="shared" si="96"/>
        <v>4475.9700000000012</v>
      </c>
      <c r="AH702" s="11">
        <f t="shared" si="97"/>
        <v>0.48823259923426821</v>
      </c>
      <c r="AI702" s="44">
        <f t="shared" si="98"/>
        <v>0.48823259923426821</v>
      </c>
    </row>
    <row r="703" spans="1:35">
      <c r="A703" t="s">
        <v>2185</v>
      </c>
      <c r="B703" s="5">
        <v>45412</v>
      </c>
      <c r="C703" s="5">
        <v>45387</v>
      </c>
      <c r="D703" s="13">
        <f t="shared" si="90"/>
        <v>-25</v>
      </c>
      <c r="E703" t="s">
        <v>2186</v>
      </c>
      <c r="F703" t="s">
        <v>141</v>
      </c>
      <c r="G703" t="s">
        <v>37</v>
      </c>
      <c r="H703" t="s">
        <v>63</v>
      </c>
      <c r="I703" t="s">
        <v>180</v>
      </c>
      <c r="J703" t="s">
        <v>181</v>
      </c>
      <c r="K703" t="s">
        <v>28</v>
      </c>
      <c r="L703" t="s">
        <v>48</v>
      </c>
      <c r="M703" t="s">
        <v>2187</v>
      </c>
      <c r="N703" t="s">
        <v>44</v>
      </c>
      <c r="O703">
        <v>7</v>
      </c>
      <c r="P703">
        <v>1224.94</v>
      </c>
      <c r="Q703" s="11">
        <v>0</v>
      </c>
      <c r="R703">
        <v>8574.58</v>
      </c>
      <c r="S703">
        <v>6685.81</v>
      </c>
      <c r="T703">
        <v>1888.77</v>
      </c>
      <c r="U703" t="s">
        <v>32</v>
      </c>
      <c r="V703" t="s">
        <v>103</v>
      </c>
      <c r="X703" s="8" t="str">
        <f>IF(C703&gt;=B703,"Valid", "Invalid-Date")</f>
        <v>Invalid-Date</v>
      </c>
      <c r="Y703" s="8" t="str">
        <f t="shared" si="91"/>
        <v>Valid</v>
      </c>
      <c r="Z703" s="8" t="str">
        <f t="shared" si="92"/>
        <v>Pass</v>
      </c>
      <c r="AA703" s="8" t="str">
        <f t="shared" si="93"/>
        <v>Pass</v>
      </c>
      <c r="AB703" s="8" t="str">
        <f>TEXT(B703,"mmmm")</f>
        <v>April</v>
      </c>
      <c r="AC703" s="8" t="str">
        <f>TEXT(B703,"yyyy")</f>
        <v>2024</v>
      </c>
      <c r="AE703">
        <f t="shared" si="94"/>
        <v>8574.58</v>
      </c>
      <c r="AF703" s="11">
        <f t="shared" si="95"/>
        <v>8574.58</v>
      </c>
      <c r="AG703">
        <f t="shared" si="96"/>
        <v>1888.7699999999995</v>
      </c>
      <c r="AH703" s="11">
        <f t="shared" si="97"/>
        <v>0.22027551203674112</v>
      </c>
      <c r="AI703" s="44">
        <f t="shared" si="98"/>
        <v>0.22027551203674112</v>
      </c>
    </row>
    <row r="704" spans="1:35">
      <c r="A704" t="s">
        <v>2188</v>
      </c>
      <c r="B704" s="5">
        <v>45690</v>
      </c>
      <c r="C704" s="5">
        <v>45810</v>
      </c>
      <c r="D704" s="13">
        <f t="shared" si="90"/>
        <v>120</v>
      </c>
      <c r="E704" t="s">
        <v>2189</v>
      </c>
      <c r="F704" t="s">
        <v>23</v>
      </c>
      <c r="G704" t="s">
        <v>37</v>
      </c>
      <c r="H704" t="s">
        <v>63</v>
      </c>
      <c r="I704" t="s">
        <v>26</v>
      </c>
      <c r="J704" t="s">
        <v>109</v>
      </c>
      <c r="K704" t="s">
        <v>41</v>
      </c>
      <c r="L704" t="s">
        <v>42</v>
      </c>
      <c r="M704" t="s">
        <v>2190</v>
      </c>
      <c r="N704" t="s">
        <v>31</v>
      </c>
      <c r="O704">
        <v>3</v>
      </c>
      <c r="P704">
        <v>997.34</v>
      </c>
      <c r="Q704" s="11">
        <v>0.1</v>
      </c>
      <c r="R704">
        <v>2692.82</v>
      </c>
      <c r="S704">
        <v>1820.08</v>
      </c>
      <c r="T704">
        <v>872.74</v>
      </c>
      <c r="U704" t="s">
        <v>32</v>
      </c>
      <c r="V704" t="s">
        <v>33</v>
      </c>
      <c r="X704" s="8" t="str">
        <f>IF(C704&gt;=B704,"Valid", "Invalid-Date")</f>
        <v>Valid</v>
      </c>
      <c r="Y704" s="8" t="str">
        <f t="shared" si="91"/>
        <v>Valid</v>
      </c>
      <c r="Z704" s="8" t="str">
        <f t="shared" si="92"/>
        <v>Pass</v>
      </c>
      <c r="AA704" s="8" t="str">
        <f t="shared" si="93"/>
        <v>Pass</v>
      </c>
      <c r="AB704" s="8" t="str">
        <f>TEXT(B704,"mmmm")</f>
        <v>February</v>
      </c>
      <c r="AC704" s="8" t="str">
        <f>TEXT(B704,"yyyy")</f>
        <v>2025</v>
      </c>
      <c r="AE704">
        <f t="shared" si="94"/>
        <v>2992.02</v>
      </c>
      <c r="AF704" s="11">
        <f t="shared" si="95"/>
        <v>2692.8180000000002</v>
      </c>
      <c r="AG704">
        <f t="shared" si="96"/>
        <v>1171.94</v>
      </c>
      <c r="AH704" s="11">
        <f t="shared" si="97"/>
        <v>0.39168855823156262</v>
      </c>
      <c r="AI704" s="44">
        <f t="shared" si="98"/>
        <v>0.39168855823156262</v>
      </c>
    </row>
    <row r="705" spans="1:35">
      <c r="A705" t="s">
        <v>2191</v>
      </c>
      <c r="B705" s="5">
        <v>45584</v>
      </c>
      <c r="C705" s="5">
        <v>45585</v>
      </c>
      <c r="D705" s="13">
        <f t="shared" si="90"/>
        <v>1</v>
      </c>
      <c r="E705" t="s">
        <v>2192</v>
      </c>
      <c r="F705" t="s">
        <v>89</v>
      </c>
      <c r="G705" t="s">
        <v>90</v>
      </c>
      <c r="H705" t="s">
        <v>25</v>
      </c>
      <c r="I705" t="s">
        <v>26</v>
      </c>
      <c r="J705" t="s">
        <v>27</v>
      </c>
      <c r="K705" t="s">
        <v>41</v>
      </c>
      <c r="L705" t="s">
        <v>42</v>
      </c>
      <c r="M705" t="s">
        <v>2193</v>
      </c>
      <c r="N705" t="s">
        <v>50</v>
      </c>
      <c r="O705">
        <v>1</v>
      </c>
      <c r="P705">
        <v>1150.03</v>
      </c>
      <c r="Q705" s="11">
        <v>0.1</v>
      </c>
      <c r="R705">
        <v>1035.03</v>
      </c>
      <c r="S705">
        <v>854.35</v>
      </c>
      <c r="T705">
        <v>180.68</v>
      </c>
      <c r="U705" t="s">
        <v>32</v>
      </c>
      <c r="V705" t="s">
        <v>33</v>
      </c>
      <c r="X705" s="8" t="str">
        <f>IF(C705&gt;=B705,"Valid", "Invalid-Date")</f>
        <v>Valid</v>
      </c>
      <c r="Y705" s="8" t="str">
        <f t="shared" si="91"/>
        <v>Valid</v>
      </c>
      <c r="Z705" s="8" t="str">
        <f t="shared" si="92"/>
        <v>Pass</v>
      </c>
      <c r="AA705" s="8" t="str">
        <f t="shared" si="93"/>
        <v>Pass</v>
      </c>
      <c r="AB705" s="8" t="str">
        <f>TEXT(B705,"mmmm")</f>
        <v>October</v>
      </c>
      <c r="AC705" s="8" t="str">
        <f>TEXT(B705,"yyyy")</f>
        <v>2024</v>
      </c>
      <c r="AE705">
        <f t="shared" si="94"/>
        <v>1150.03</v>
      </c>
      <c r="AF705" s="11">
        <f t="shared" si="95"/>
        <v>1035.027</v>
      </c>
      <c r="AG705">
        <f t="shared" si="96"/>
        <v>295.67999999999995</v>
      </c>
      <c r="AH705" s="11">
        <f t="shared" si="97"/>
        <v>0.25710633635644281</v>
      </c>
      <c r="AI705" s="44">
        <f t="shared" si="98"/>
        <v>0.25710633635644281</v>
      </c>
    </row>
    <row r="706" spans="1:35" s="15" customFormat="1">
      <c r="A706" s="15" t="s">
        <v>2194</v>
      </c>
      <c r="B706" s="16">
        <v>45364</v>
      </c>
      <c r="C706" s="16">
        <v>45371</v>
      </c>
      <c r="D706" s="17">
        <f t="shared" si="90"/>
        <v>7</v>
      </c>
      <c r="E706" s="15" t="s">
        <v>2195</v>
      </c>
      <c r="F706" s="15" t="s">
        <v>114</v>
      </c>
      <c r="G706" s="15" t="s">
        <v>95</v>
      </c>
      <c r="H706" s="15" t="s">
        <v>54</v>
      </c>
      <c r="I706" s="15" t="s">
        <v>247</v>
      </c>
      <c r="J706" s="15" t="s">
        <v>248</v>
      </c>
      <c r="K706" s="15" t="s">
        <v>41</v>
      </c>
      <c r="L706" s="15" t="s">
        <v>158</v>
      </c>
      <c r="M706" s="15" t="s">
        <v>2196</v>
      </c>
      <c r="N706" s="15" t="s">
        <v>2785</v>
      </c>
      <c r="O706" s="15">
        <v>1</v>
      </c>
      <c r="P706" s="15">
        <v>2825.63</v>
      </c>
      <c r="Q706" s="18">
        <v>0.15</v>
      </c>
      <c r="R706" s="15">
        <v>2401.79</v>
      </c>
      <c r="S706" s="15">
        <v>1820.34</v>
      </c>
      <c r="T706" s="15">
        <v>581.45000000000005</v>
      </c>
      <c r="U706" s="15" t="s">
        <v>32</v>
      </c>
      <c r="V706" s="15" t="s">
        <v>33</v>
      </c>
      <c r="W706" s="25"/>
      <c r="X706" s="8" t="str">
        <f>IF(C706&gt;=B706,"Valid", "Invalid-Date")</f>
        <v>Valid</v>
      </c>
      <c r="Y706" s="8" t="str">
        <f t="shared" si="91"/>
        <v>Valid</v>
      </c>
      <c r="Z706" s="19" t="str">
        <f t="shared" si="92"/>
        <v>Flagged</v>
      </c>
      <c r="AA706" s="19" t="str">
        <f t="shared" si="93"/>
        <v>Pass</v>
      </c>
      <c r="AB706" s="19" t="str">
        <f>TEXT(B706,"mmmm")</f>
        <v>March</v>
      </c>
      <c r="AC706" s="19" t="str">
        <f>TEXT(B706,"yyyy")</f>
        <v>2024</v>
      </c>
      <c r="AD706" s="20"/>
      <c r="AE706" s="15">
        <f t="shared" si="94"/>
        <v>2825.63</v>
      </c>
      <c r="AF706" s="11">
        <f t="shared" si="95"/>
        <v>2401.7855</v>
      </c>
      <c r="AG706" s="15">
        <f t="shared" si="96"/>
        <v>1005.2900000000002</v>
      </c>
      <c r="AH706" s="18">
        <f t="shared" si="97"/>
        <v>0.35577552616584623</v>
      </c>
      <c r="AI706" s="45">
        <f t="shared" si="98"/>
        <v>0.35577552616584623</v>
      </c>
    </row>
    <row r="707" spans="1:35">
      <c r="A707" t="s">
        <v>2197</v>
      </c>
      <c r="B707" s="5">
        <v>45543</v>
      </c>
      <c r="C707" s="5">
        <v>45549</v>
      </c>
      <c r="D707" s="13">
        <f t="shared" ref="D707:D770" si="99">C707-B707</f>
        <v>6</v>
      </c>
      <c r="E707" t="s">
        <v>2198</v>
      </c>
      <c r="F707" t="s">
        <v>141</v>
      </c>
      <c r="G707" t="s">
        <v>24</v>
      </c>
      <c r="H707" t="s">
        <v>25</v>
      </c>
      <c r="I707" t="s">
        <v>26</v>
      </c>
      <c r="J707" t="s">
        <v>27</v>
      </c>
      <c r="K707" t="s">
        <v>28</v>
      </c>
      <c r="L707" t="s">
        <v>153</v>
      </c>
      <c r="M707" t="s">
        <v>2199</v>
      </c>
      <c r="N707" t="s">
        <v>59</v>
      </c>
      <c r="O707">
        <v>5</v>
      </c>
      <c r="P707">
        <v>3371.75</v>
      </c>
      <c r="Q707" s="11">
        <v>0.05</v>
      </c>
      <c r="R707">
        <v>16015.81</v>
      </c>
      <c r="S707">
        <v>11352.38</v>
      </c>
      <c r="T707">
        <v>4663.43</v>
      </c>
      <c r="U707" t="s">
        <v>32</v>
      </c>
      <c r="V707" t="s">
        <v>33</v>
      </c>
      <c r="X707" s="8" t="str">
        <f>IF(C707&gt;=B707,"Valid", "Invalid-Date")</f>
        <v>Valid</v>
      </c>
      <c r="Y707" s="8" t="str">
        <f t="shared" ref="Y707:Y770" si="100">IF(OR(Q707&lt;0, Q707&gt;0.5), "Invalid-Discount", "Valid")</f>
        <v>Valid</v>
      </c>
      <c r="Z707" s="8" t="str">
        <f t="shared" ref="Z707:Z770" si="101">IF(N707="Unknown","Flagged","Pass")</f>
        <v>Pass</v>
      </c>
      <c r="AA707" s="8" t="str">
        <f t="shared" ref="AA707:AA770" si="102">IF(H707="Unknown","Flagged","Pass")</f>
        <v>Pass</v>
      </c>
      <c r="AB707" s="8" t="str">
        <f>TEXT(B707,"mmmm")</f>
        <v>September</v>
      </c>
      <c r="AC707" s="8" t="str">
        <f>TEXT(B707,"yyyy")</f>
        <v>2024</v>
      </c>
      <c r="AE707">
        <f t="shared" ref="AE707:AE770" si="103">O707*P707</f>
        <v>16858.75</v>
      </c>
      <c r="AF707" s="11">
        <f t="shared" ref="AF707:AF770" si="104">AE707*(1-Q707)</f>
        <v>16015.8125</v>
      </c>
      <c r="AG707">
        <f t="shared" ref="AG707:AG770" si="105">AE707-S707</f>
        <v>5506.3700000000008</v>
      </c>
      <c r="AH707" s="11">
        <f t="shared" ref="AH707:AH770" si="106">AG707/AE707</f>
        <v>0.32661792837547271</v>
      </c>
      <c r="AI707" s="44">
        <f t="shared" ref="AI707:AI770" si="107">AG707/AE707</f>
        <v>0.32661792837547271</v>
      </c>
    </row>
    <row r="708" spans="1:35">
      <c r="A708" t="s">
        <v>2200</v>
      </c>
      <c r="B708" s="5">
        <v>45467</v>
      </c>
      <c r="C708" s="5">
        <v>45471</v>
      </c>
      <c r="D708" s="13">
        <f t="shared" si="99"/>
        <v>4</v>
      </c>
      <c r="E708" t="s">
        <v>2201</v>
      </c>
      <c r="F708" t="s">
        <v>47</v>
      </c>
      <c r="G708" t="s">
        <v>37</v>
      </c>
      <c r="H708" t="s">
        <v>38</v>
      </c>
      <c r="I708" t="s">
        <v>39</v>
      </c>
      <c r="J708" t="s">
        <v>40</v>
      </c>
      <c r="K708" t="s">
        <v>28</v>
      </c>
      <c r="L708" t="s">
        <v>29</v>
      </c>
      <c r="M708" t="s">
        <v>2202</v>
      </c>
      <c r="N708" t="s">
        <v>44</v>
      </c>
      <c r="O708">
        <v>1</v>
      </c>
      <c r="P708">
        <v>2112.75</v>
      </c>
      <c r="Q708" s="11">
        <v>0.1</v>
      </c>
      <c r="R708">
        <v>1901.48</v>
      </c>
      <c r="S708">
        <v>1354.28</v>
      </c>
      <c r="T708">
        <v>547.20000000000005</v>
      </c>
      <c r="U708" t="s">
        <v>32</v>
      </c>
      <c r="V708" t="s">
        <v>33</v>
      </c>
      <c r="X708" s="8" t="str">
        <f>IF(C708&gt;=B708,"Valid", "Invalid-Date")</f>
        <v>Valid</v>
      </c>
      <c r="Y708" s="8" t="str">
        <f t="shared" si="100"/>
        <v>Valid</v>
      </c>
      <c r="Z708" s="8" t="str">
        <f t="shared" si="101"/>
        <v>Pass</v>
      </c>
      <c r="AA708" s="8" t="str">
        <f t="shared" si="102"/>
        <v>Pass</v>
      </c>
      <c r="AB708" s="8" t="str">
        <f>TEXT(B708,"mmmm")</f>
        <v>June</v>
      </c>
      <c r="AC708" s="8" t="str">
        <f>TEXT(B708,"yyyy")</f>
        <v>2024</v>
      </c>
      <c r="AE708">
        <f t="shared" si="103"/>
        <v>2112.75</v>
      </c>
      <c r="AF708" s="11">
        <f t="shared" si="104"/>
        <v>1901.4750000000001</v>
      </c>
      <c r="AG708">
        <f t="shared" si="105"/>
        <v>758.47</v>
      </c>
      <c r="AH708" s="11">
        <f t="shared" si="106"/>
        <v>0.35899656845343747</v>
      </c>
      <c r="AI708" s="44">
        <f t="shared" si="107"/>
        <v>0.35899656845343747</v>
      </c>
    </row>
    <row r="709" spans="1:35">
      <c r="A709" t="s">
        <v>2203</v>
      </c>
      <c r="B709" s="5">
        <v>45832</v>
      </c>
      <c r="C709" s="5">
        <v>45834</v>
      </c>
      <c r="D709" s="13">
        <f t="shared" si="99"/>
        <v>2</v>
      </c>
      <c r="E709" t="s">
        <v>2204</v>
      </c>
      <c r="F709" t="s">
        <v>71</v>
      </c>
      <c r="G709" t="s">
        <v>24</v>
      </c>
      <c r="H709" t="s">
        <v>25</v>
      </c>
      <c r="I709" t="s">
        <v>26</v>
      </c>
      <c r="J709" t="s">
        <v>27</v>
      </c>
      <c r="K709" t="s">
        <v>74</v>
      </c>
      <c r="L709" t="s">
        <v>75</v>
      </c>
      <c r="M709" t="s">
        <v>2205</v>
      </c>
      <c r="N709" t="s">
        <v>44</v>
      </c>
      <c r="O709">
        <v>5</v>
      </c>
      <c r="P709">
        <v>3722.66</v>
      </c>
      <c r="Q709" s="11">
        <v>0.55000000000000004</v>
      </c>
      <c r="R709">
        <v>16751.97</v>
      </c>
      <c r="S709">
        <v>11678.32</v>
      </c>
      <c r="T709">
        <v>5073.6499999999996</v>
      </c>
      <c r="U709" t="s">
        <v>32</v>
      </c>
      <c r="V709" t="s">
        <v>33</v>
      </c>
      <c r="X709" s="8" t="str">
        <f>IF(C709&gt;=B709,"Valid", "Invalid-Date")</f>
        <v>Valid</v>
      </c>
      <c r="Y709" s="8" t="str">
        <f t="shared" si="100"/>
        <v>Invalid-Discount</v>
      </c>
      <c r="Z709" s="8" t="str">
        <f t="shared" si="101"/>
        <v>Pass</v>
      </c>
      <c r="AA709" s="8" t="str">
        <f t="shared" si="102"/>
        <v>Pass</v>
      </c>
      <c r="AB709" s="8" t="str">
        <f>TEXT(B709,"mmmm")</f>
        <v>June</v>
      </c>
      <c r="AC709" s="8" t="str">
        <f>TEXT(B709,"yyyy")</f>
        <v>2025</v>
      </c>
      <c r="AE709">
        <f t="shared" si="103"/>
        <v>18613.3</v>
      </c>
      <c r="AF709" s="11">
        <f t="shared" si="104"/>
        <v>8375.9849999999988</v>
      </c>
      <c r="AG709">
        <f t="shared" si="105"/>
        <v>6934.98</v>
      </c>
      <c r="AH709" s="11">
        <f t="shared" si="106"/>
        <v>0.37258197095625173</v>
      </c>
      <c r="AI709" s="44">
        <f t="shared" si="107"/>
        <v>0.37258197095625173</v>
      </c>
    </row>
    <row r="710" spans="1:35">
      <c r="A710" t="s">
        <v>2206</v>
      </c>
      <c r="B710" s="5">
        <v>45736</v>
      </c>
      <c r="C710" s="5">
        <v>45742</v>
      </c>
      <c r="D710" s="13">
        <f t="shared" si="99"/>
        <v>6</v>
      </c>
      <c r="E710" t="s">
        <v>2207</v>
      </c>
      <c r="F710" t="s">
        <v>132</v>
      </c>
      <c r="G710" t="s">
        <v>24</v>
      </c>
      <c r="H710" t="s">
        <v>38</v>
      </c>
      <c r="I710" t="s">
        <v>166</v>
      </c>
      <c r="J710" t="s">
        <v>167</v>
      </c>
      <c r="K710" t="s">
        <v>41</v>
      </c>
      <c r="L710" t="s">
        <v>158</v>
      </c>
      <c r="M710" t="s">
        <v>2208</v>
      </c>
      <c r="N710" t="s">
        <v>50</v>
      </c>
      <c r="O710">
        <v>4</v>
      </c>
      <c r="P710">
        <v>4357.66</v>
      </c>
      <c r="Q710" s="11">
        <v>0.05</v>
      </c>
      <c r="R710">
        <v>16559.11</v>
      </c>
      <c r="S710">
        <v>13233.79</v>
      </c>
      <c r="T710">
        <v>3325.32</v>
      </c>
      <c r="U710" t="s">
        <v>32</v>
      </c>
      <c r="V710" t="s">
        <v>33</v>
      </c>
      <c r="X710" s="8" t="str">
        <f>IF(C710&gt;=B710,"Valid", "Invalid-Date")</f>
        <v>Valid</v>
      </c>
      <c r="Y710" s="8" t="str">
        <f t="shared" si="100"/>
        <v>Valid</v>
      </c>
      <c r="Z710" s="8" t="str">
        <f t="shared" si="101"/>
        <v>Pass</v>
      </c>
      <c r="AA710" s="8" t="str">
        <f t="shared" si="102"/>
        <v>Pass</v>
      </c>
      <c r="AB710" s="8" t="str">
        <f>TEXT(B710,"mmmm")</f>
        <v>March</v>
      </c>
      <c r="AC710" s="8" t="str">
        <f>TEXT(B710,"yyyy")</f>
        <v>2025</v>
      </c>
      <c r="AE710">
        <f t="shared" si="103"/>
        <v>17430.64</v>
      </c>
      <c r="AF710" s="11">
        <f t="shared" si="104"/>
        <v>16559.108</v>
      </c>
      <c r="AG710">
        <f t="shared" si="105"/>
        <v>4196.8499999999985</v>
      </c>
      <c r="AH710" s="11">
        <f t="shared" si="106"/>
        <v>0.240774291707017</v>
      </c>
      <c r="AI710" s="44">
        <f t="shared" si="107"/>
        <v>0.240774291707017</v>
      </c>
    </row>
    <row r="711" spans="1:35">
      <c r="A711" t="s">
        <v>2209</v>
      </c>
      <c r="B711" s="5">
        <v>45676</v>
      </c>
      <c r="C711" s="5">
        <v>45680</v>
      </c>
      <c r="D711" s="13">
        <f t="shared" si="99"/>
        <v>4</v>
      </c>
      <c r="E711" t="s">
        <v>2210</v>
      </c>
      <c r="F711" t="s">
        <v>264</v>
      </c>
      <c r="G711" t="s">
        <v>95</v>
      </c>
      <c r="H711" t="s">
        <v>25</v>
      </c>
      <c r="I711" t="s">
        <v>122</v>
      </c>
      <c r="J711" t="s">
        <v>123</v>
      </c>
      <c r="K711" t="s">
        <v>74</v>
      </c>
      <c r="L711" t="s">
        <v>171</v>
      </c>
      <c r="M711" t="s">
        <v>2211</v>
      </c>
      <c r="N711" t="s">
        <v>44</v>
      </c>
      <c r="O711">
        <v>7</v>
      </c>
      <c r="P711">
        <v>1363.04</v>
      </c>
      <c r="Q711" s="11">
        <v>0.15</v>
      </c>
      <c r="R711">
        <v>8110.09</v>
      </c>
      <c r="S711">
        <v>6417.32</v>
      </c>
      <c r="T711">
        <v>1692.77</v>
      </c>
      <c r="U711" t="s">
        <v>32</v>
      </c>
      <c r="V711" t="s">
        <v>68</v>
      </c>
      <c r="X711" s="8" t="str">
        <f>IF(C711&gt;=B711,"Valid", "Invalid-Date")</f>
        <v>Valid</v>
      </c>
      <c r="Y711" s="8" t="str">
        <f t="shared" si="100"/>
        <v>Valid</v>
      </c>
      <c r="Z711" s="8" t="str">
        <f t="shared" si="101"/>
        <v>Pass</v>
      </c>
      <c r="AA711" s="8" t="str">
        <f t="shared" si="102"/>
        <v>Pass</v>
      </c>
      <c r="AB711" s="8" t="str">
        <f>TEXT(B711,"mmmm")</f>
        <v>January</v>
      </c>
      <c r="AC711" s="8" t="str">
        <f>TEXT(B711,"yyyy")</f>
        <v>2025</v>
      </c>
      <c r="AE711">
        <f t="shared" si="103"/>
        <v>9541.2799999999988</v>
      </c>
      <c r="AF711" s="11">
        <f t="shared" si="104"/>
        <v>8110.0879999999988</v>
      </c>
      <c r="AG711">
        <f t="shared" si="105"/>
        <v>3123.9599999999991</v>
      </c>
      <c r="AH711" s="11">
        <f t="shared" si="106"/>
        <v>0.32741518957624127</v>
      </c>
      <c r="AI711" s="44">
        <f t="shared" si="107"/>
        <v>0.32741518957624127</v>
      </c>
    </row>
    <row r="712" spans="1:35">
      <c r="A712" t="s">
        <v>2212</v>
      </c>
      <c r="B712" s="5">
        <v>45633</v>
      </c>
      <c r="C712" s="5">
        <v>45492</v>
      </c>
      <c r="D712" s="13">
        <f t="shared" si="99"/>
        <v>-141</v>
      </c>
      <c r="E712" t="s">
        <v>2213</v>
      </c>
      <c r="F712" t="s">
        <v>71</v>
      </c>
      <c r="G712" t="s">
        <v>90</v>
      </c>
      <c r="H712" t="s">
        <v>25</v>
      </c>
      <c r="I712" t="s">
        <v>122</v>
      </c>
      <c r="J712" t="s">
        <v>123</v>
      </c>
      <c r="K712" t="s">
        <v>28</v>
      </c>
      <c r="L712" t="s">
        <v>48</v>
      </c>
      <c r="M712" t="s">
        <v>2214</v>
      </c>
      <c r="N712" t="s">
        <v>31</v>
      </c>
      <c r="O712">
        <v>5</v>
      </c>
      <c r="P712">
        <v>1559.16</v>
      </c>
      <c r="Q712" s="11">
        <v>0.05</v>
      </c>
      <c r="R712">
        <v>7406.01</v>
      </c>
      <c r="S712">
        <v>5941.74</v>
      </c>
      <c r="T712">
        <v>1464.27</v>
      </c>
      <c r="U712" t="s">
        <v>32</v>
      </c>
      <c r="V712" t="s">
        <v>33</v>
      </c>
      <c r="X712" s="8" t="str">
        <f>IF(C712&gt;=B712,"Valid", "Invalid-Date")</f>
        <v>Invalid-Date</v>
      </c>
      <c r="Y712" s="8" t="str">
        <f t="shared" si="100"/>
        <v>Valid</v>
      </c>
      <c r="Z712" s="8" t="str">
        <f t="shared" si="101"/>
        <v>Pass</v>
      </c>
      <c r="AA712" s="8" t="str">
        <f t="shared" si="102"/>
        <v>Pass</v>
      </c>
      <c r="AB712" s="8" t="str">
        <f>TEXT(B712,"mmmm")</f>
        <v>December</v>
      </c>
      <c r="AC712" s="8" t="str">
        <f>TEXT(B712,"yyyy")</f>
        <v>2024</v>
      </c>
      <c r="AE712">
        <f t="shared" si="103"/>
        <v>7795.8</v>
      </c>
      <c r="AF712" s="11">
        <f t="shared" si="104"/>
        <v>7406.01</v>
      </c>
      <c r="AG712">
        <f t="shared" si="105"/>
        <v>1854.0600000000004</v>
      </c>
      <c r="AH712" s="11">
        <f t="shared" si="106"/>
        <v>0.23782806126375744</v>
      </c>
      <c r="AI712" s="44">
        <f t="shared" si="107"/>
        <v>0.23782806126375744</v>
      </c>
    </row>
    <row r="713" spans="1:35">
      <c r="A713" t="s">
        <v>2215</v>
      </c>
      <c r="B713" s="5">
        <v>45690</v>
      </c>
      <c r="C713" s="5">
        <v>45690</v>
      </c>
      <c r="D713" s="13">
        <f t="shared" si="99"/>
        <v>0</v>
      </c>
      <c r="E713" t="s">
        <v>2216</v>
      </c>
      <c r="F713" t="s">
        <v>264</v>
      </c>
      <c r="G713" t="s">
        <v>90</v>
      </c>
      <c r="H713" t="s">
        <v>38</v>
      </c>
      <c r="I713" t="s">
        <v>99</v>
      </c>
      <c r="J713" t="s">
        <v>100</v>
      </c>
      <c r="K713" t="s">
        <v>74</v>
      </c>
      <c r="L713" t="s">
        <v>274</v>
      </c>
      <c r="M713" t="s">
        <v>2217</v>
      </c>
      <c r="N713" t="s">
        <v>50</v>
      </c>
      <c r="O713">
        <v>1</v>
      </c>
      <c r="P713">
        <v>4326.75</v>
      </c>
      <c r="Q713" s="11">
        <v>0.05</v>
      </c>
      <c r="R713">
        <v>4110.41</v>
      </c>
      <c r="S713">
        <v>2394.14</v>
      </c>
      <c r="T713">
        <v>1716.27</v>
      </c>
      <c r="U713" t="s">
        <v>111</v>
      </c>
      <c r="V713" t="s">
        <v>103</v>
      </c>
      <c r="X713" s="8" t="str">
        <f>IF(C713&gt;=B713,"Valid", "Invalid-Date")</f>
        <v>Valid</v>
      </c>
      <c r="Y713" s="8" t="str">
        <f t="shared" si="100"/>
        <v>Valid</v>
      </c>
      <c r="Z713" s="8" t="str">
        <f t="shared" si="101"/>
        <v>Pass</v>
      </c>
      <c r="AA713" s="8" t="str">
        <f t="shared" si="102"/>
        <v>Pass</v>
      </c>
      <c r="AB713" s="8" t="str">
        <f>TEXT(B713,"mmmm")</f>
        <v>February</v>
      </c>
      <c r="AC713" s="8" t="str">
        <f>TEXT(B713,"yyyy")</f>
        <v>2025</v>
      </c>
      <c r="AE713">
        <f t="shared" si="103"/>
        <v>4326.75</v>
      </c>
      <c r="AF713" s="11">
        <f t="shared" si="104"/>
        <v>4110.4124999999995</v>
      </c>
      <c r="AG713">
        <f t="shared" si="105"/>
        <v>1932.6100000000001</v>
      </c>
      <c r="AH713" s="11">
        <f t="shared" si="106"/>
        <v>0.44666551106488706</v>
      </c>
      <c r="AI713" s="44">
        <f t="shared" si="107"/>
        <v>0.44666551106488706</v>
      </c>
    </row>
    <row r="714" spans="1:35" s="15" customFormat="1">
      <c r="A714" s="15" t="s">
        <v>2218</v>
      </c>
      <c r="B714" s="16">
        <v>45332</v>
      </c>
      <c r="C714" s="16">
        <v>45340</v>
      </c>
      <c r="D714" s="17">
        <f t="shared" si="99"/>
        <v>8</v>
      </c>
      <c r="E714" s="15" t="s">
        <v>2219</v>
      </c>
      <c r="F714" s="15" t="s">
        <v>47</v>
      </c>
      <c r="G714" s="15" t="s">
        <v>95</v>
      </c>
      <c r="H714" s="15" t="s">
        <v>63</v>
      </c>
      <c r="I714" s="15" t="s">
        <v>72</v>
      </c>
      <c r="J714" s="15" t="s">
        <v>73</v>
      </c>
      <c r="K714" s="15" t="s">
        <v>41</v>
      </c>
      <c r="L714" s="15" t="s">
        <v>66</v>
      </c>
      <c r="M714" s="15" t="s">
        <v>2220</v>
      </c>
      <c r="N714" s="15" t="s">
        <v>50</v>
      </c>
      <c r="O714" s="15">
        <v>7</v>
      </c>
      <c r="P714" s="15">
        <v>1382.86</v>
      </c>
      <c r="Q714" s="18">
        <v>0</v>
      </c>
      <c r="R714" s="15">
        <v>9680.02</v>
      </c>
      <c r="S714" s="15">
        <v>6876.66</v>
      </c>
      <c r="T714" s="15">
        <v>2803.36</v>
      </c>
      <c r="U714" s="15" t="s">
        <v>32</v>
      </c>
      <c r="V714" s="15" t="s">
        <v>33</v>
      </c>
      <c r="W714" s="25"/>
      <c r="X714" s="8" t="str">
        <f>IF(C714&gt;=B714,"Valid", "Invalid-Date")</f>
        <v>Valid</v>
      </c>
      <c r="Y714" s="8" t="str">
        <f t="shared" si="100"/>
        <v>Valid</v>
      </c>
      <c r="Z714" s="19" t="str">
        <f t="shared" si="101"/>
        <v>Pass</v>
      </c>
      <c r="AA714" s="19" t="str">
        <f t="shared" si="102"/>
        <v>Pass</v>
      </c>
      <c r="AB714" s="19" t="str">
        <f>TEXT(B714,"mmmm")</f>
        <v>February</v>
      </c>
      <c r="AC714" s="19" t="str">
        <f>TEXT(B714,"yyyy")</f>
        <v>2024</v>
      </c>
      <c r="AD714" s="20"/>
      <c r="AE714" s="15">
        <f t="shared" si="103"/>
        <v>9680.0199999999986</v>
      </c>
      <c r="AF714" s="11">
        <f t="shared" si="104"/>
        <v>9680.0199999999986</v>
      </c>
      <c r="AG714" s="15">
        <f t="shared" si="105"/>
        <v>2803.3599999999988</v>
      </c>
      <c r="AH714" s="18">
        <f t="shared" si="106"/>
        <v>0.28960270743242256</v>
      </c>
      <c r="AI714" s="45">
        <f t="shared" si="107"/>
        <v>0.28960270743242256</v>
      </c>
    </row>
    <row r="715" spans="1:35">
      <c r="A715" t="s">
        <v>2221</v>
      </c>
      <c r="B715" s="5">
        <v>45814</v>
      </c>
      <c r="C715" s="5">
        <v>45936</v>
      </c>
      <c r="D715" s="13">
        <f t="shared" si="99"/>
        <v>122</v>
      </c>
      <c r="E715" t="s">
        <v>598</v>
      </c>
      <c r="F715" t="s">
        <v>36</v>
      </c>
      <c r="G715" t="s">
        <v>24</v>
      </c>
      <c r="H715" t="s">
        <v>63</v>
      </c>
      <c r="I715" t="s">
        <v>26</v>
      </c>
      <c r="J715" t="s">
        <v>109</v>
      </c>
      <c r="K715" t="s">
        <v>74</v>
      </c>
      <c r="L715" t="s">
        <v>274</v>
      </c>
      <c r="M715" t="s">
        <v>2222</v>
      </c>
      <c r="N715" t="s">
        <v>31</v>
      </c>
      <c r="O715">
        <v>1</v>
      </c>
      <c r="P715">
        <v>289.97000000000003</v>
      </c>
      <c r="Q715" s="11">
        <v>0.25</v>
      </c>
      <c r="R715">
        <v>217.48</v>
      </c>
      <c r="S715">
        <v>132.13</v>
      </c>
      <c r="T715">
        <v>85.35</v>
      </c>
      <c r="U715" t="s">
        <v>32</v>
      </c>
      <c r="V715" t="s">
        <v>33</v>
      </c>
      <c r="X715" s="8" t="str">
        <f>IF(C715&gt;=B715,"Valid", "Invalid-Date")</f>
        <v>Valid</v>
      </c>
      <c r="Y715" s="8" t="str">
        <f t="shared" si="100"/>
        <v>Valid</v>
      </c>
      <c r="Z715" s="8" t="str">
        <f t="shared" si="101"/>
        <v>Pass</v>
      </c>
      <c r="AA715" s="8" t="str">
        <f t="shared" si="102"/>
        <v>Pass</v>
      </c>
      <c r="AB715" s="8" t="str">
        <f>TEXT(B715,"mmmm")</f>
        <v>June</v>
      </c>
      <c r="AC715" s="8" t="str">
        <f>TEXT(B715,"yyyy")</f>
        <v>2025</v>
      </c>
      <c r="AE715">
        <f t="shared" si="103"/>
        <v>289.97000000000003</v>
      </c>
      <c r="AF715" s="11">
        <f t="shared" si="104"/>
        <v>217.47750000000002</v>
      </c>
      <c r="AG715">
        <f t="shared" si="105"/>
        <v>157.84000000000003</v>
      </c>
      <c r="AH715" s="11">
        <f t="shared" si="106"/>
        <v>0.54433217229368558</v>
      </c>
      <c r="AI715" s="44">
        <f t="shared" si="107"/>
        <v>0.54433217229368558</v>
      </c>
    </row>
    <row r="716" spans="1:35">
      <c r="A716" t="s">
        <v>2223</v>
      </c>
      <c r="B716" s="5">
        <v>45738</v>
      </c>
      <c r="C716" s="5">
        <v>45739</v>
      </c>
      <c r="D716" s="13">
        <f t="shared" si="99"/>
        <v>1</v>
      </c>
      <c r="E716" t="s">
        <v>2224</v>
      </c>
      <c r="F716" t="s">
        <v>23</v>
      </c>
      <c r="G716" t="s">
        <v>95</v>
      </c>
      <c r="H716" t="s">
        <v>25</v>
      </c>
      <c r="I716" t="s">
        <v>350</v>
      </c>
      <c r="J716" t="s">
        <v>351</v>
      </c>
      <c r="K716" t="s">
        <v>74</v>
      </c>
      <c r="L716" t="s">
        <v>80</v>
      </c>
      <c r="M716" t="s">
        <v>2225</v>
      </c>
      <c r="N716" t="s">
        <v>59</v>
      </c>
      <c r="O716">
        <v>9</v>
      </c>
      <c r="P716">
        <v>2075.02</v>
      </c>
      <c r="Q716" s="11">
        <v>0</v>
      </c>
      <c r="R716">
        <v>18675.18</v>
      </c>
      <c r="S716">
        <v>13974.7</v>
      </c>
      <c r="T716">
        <v>4700.4799999999996</v>
      </c>
      <c r="U716" t="s">
        <v>32</v>
      </c>
      <c r="V716" t="s">
        <v>33</v>
      </c>
      <c r="X716" s="8" t="str">
        <f>IF(C716&gt;=B716,"Valid", "Invalid-Date")</f>
        <v>Valid</v>
      </c>
      <c r="Y716" s="8" t="str">
        <f t="shared" si="100"/>
        <v>Valid</v>
      </c>
      <c r="Z716" s="8" t="str">
        <f t="shared" si="101"/>
        <v>Pass</v>
      </c>
      <c r="AA716" s="8" t="str">
        <f t="shared" si="102"/>
        <v>Pass</v>
      </c>
      <c r="AB716" s="8" t="str">
        <f>TEXT(B716,"mmmm")</f>
        <v>March</v>
      </c>
      <c r="AC716" s="8" t="str">
        <f>TEXT(B716,"yyyy")</f>
        <v>2025</v>
      </c>
      <c r="AE716">
        <f t="shared" si="103"/>
        <v>18675.18</v>
      </c>
      <c r="AF716" s="11">
        <f t="shared" si="104"/>
        <v>18675.18</v>
      </c>
      <c r="AG716">
        <f t="shared" si="105"/>
        <v>4700.4799999999996</v>
      </c>
      <c r="AH716" s="11">
        <f t="shared" si="106"/>
        <v>0.25169663692665878</v>
      </c>
      <c r="AI716" s="44">
        <f t="shared" si="107"/>
        <v>0.25169663692665878</v>
      </c>
    </row>
    <row r="717" spans="1:35">
      <c r="A717" t="s">
        <v>2226</v>
      </c>
      <c r="B717" s="5">
        <v>45891</v>
      </c>
      <c r="C717" s="5">
        <v>45896</v>
      </c>
      <c r="D717" s="13">
        <f t="shared" si="99"/>
        <v>5</v>
      </c>
      <c r="E717" t="s">
        <v>2227</v>
      </c>
      <c r="F717" t="s">
        <v>114</v>
      </c>
      <c r="G717" t="s">
        <v>24</v>
      </c>
      <c r="H717" t="s">
        <v>25</v>
      </c>
      <c r="I717" t="s">
        <v>236</v>
      </c>
      <c r="J717" t="s">
        <v>237</v>
      </c>
      <c r="K717" t="s">
        <v>41</v>
      </c>
      <c r="L717" t="s">
        <v>66</v>
      </c>
      <c r="M717" t="s">
        <v>2228</v>
      </c>
      <c r="N717" t="s">
        <v>31</v>
      </c>
      <c r="O717">
        <v>7</v>
      </c>
      <c r="P717">
        <v>2843.09</v>
      </c>
      <c r="Q717" s="11">
        <v>0</v>
      </c>
      <c r="R717">
        <v>19901.63</v>
      </c>
      <c r="S717">
        <v>15492.03</v>
      </c>
      <c r="T717">
        <v>4409.6000000000004</v>
      </c>
      <c r="U717" t="s">
        <v>102</v>
      </c>
      <c r="V717" t="s">
        <v>68</v>
      </c>
      <c r="X717" s="8" t="str">
        <f>IF(C717&gt;=B717,"Valid", "Invalid-Date")</f>
        <v>Valid</v>
      </c>
      <c r="Y717" s="8" t="str">
        <f t="shared" si="100"/>
        <v>Valid</v>
      </c>
      <c r="Z717" s="8" t="str">
        <f t="shared" si="101"/>
        <v>Pass</v>
      </c>
      <c r="AA717" s="8" t="str">
        <f t="shared" si="102"/>
        <v>Pass</v>
      </c>
      <c r="AB717" s="8" t="str">
        <f>TEXT(B717,"mmmm")</f>
        <v>August</v>
      </c>
      <c r="AC717" s="8" t="str">
        <f>TEXT(B717,"yyyy")</f>
        <v>2025</v>
      </c>
      <c r="AE717">
        <f t="shared" si="103"/>
        <v>19901.63</v>
      </c>
      <c r="AF717" s="11">
        <f t="shared" si="104"/>
        <v>19901.63</v>
      </c>
      <c r="AG717">
        <f t="shared" si="105"/>
        <v>4409.6000000000004</v>
      </c>
      <c r="AH717" s="11">
        <f t="shared" si="106"/>
        <v>0.22156979101711771</v>
      </c>
      <c r="AI717" s="44">
        <f t="shared" si="107"/>
        <v>0.22156979101711771</v>
      </c>
    </row>
    <row r="718" spans="1:35">
      <c r="A718" t="s">
        <v>2229</v>
      </c>
      <c r="B718" s="5">
        <v>45895</v>
      </c>
      <c r="C718" s="5">
        <v>45900</v>
      </c>
      <c r="D718" s="13">
        <f t="shared" si="99"/>
        <v>5</v>
      </c>
      <c r="E718" t="s">
        <v>2230</v>
      </c>
      <c r="F718" t="s">
        <v>162</v>
      </c>
      <c r="G718" t="s">
        <v>37</v>
      </c>
      <c r="H718" t="s">
        <v>25</v>
      </c>
      <c r="I718" t="s">
        <v>236</v>
      </c>
      <c r="J718" t="s">
        <v>237</v>
      </c>
      <c r="K718" t="s">
        <v>74</v>
      </c>
      <c r="L718" t="s">
        <v>171</v>
      </c>
      <c r="M718" t="s">
        <v>2231</v>
      </c>
      <c r="N718" t="s">
        <v>50</v>
      </c>
      <c r="O718">
        <v>1</v>
      </c>
      <c r="P718">
        <v>3388.02</v>
      </c>
      <c r="Q718" s="11">
        <v>0.15</v>
      </c>
      <c r="R718">
        <v>2879.82</v>
      </c>
      <c r="S718">
        <v>1824.88</v>
      </c>
      <c r="T718">
        <v>1054.94</v>
      </c>
      <c r="U718" t="s">
        <v>32</v>
      </c>
      <c r="V718" t="s">
        <v>33</v>
      </c>
      <c r="X718" s="8" t="str">
        <f>IF(C718&gt;=B718,"Valid", "Invalid-Date")</f>
        <v>Valid</v>
      </c>
      <c r="Y718" s="8" t="str">
        <f t="shared" si="100"/>
        <v>Valid</v>
      </c>
      <c r="Z718" s="8" t="str">
        <f t="shared" si="101"/>
        <v>Pass</v>
      </c>
      <c r="AA718" s="8" t="str">
        <f t="shared" si="102"/>
        <v>Pass</v>
      </c>
      <c r="AB718" s="8" t="str">
        <f>TEXT(B718,"mmmm")</f>
        <v>August</v>
      </c>
      <c r="AC718" s="8" t="str">
        <f>TEXT(B718,"yyyy")</f>
        <v>2025</v>
      </c>
      <c r="AE718">
        <f t="shared" si="103"/>
        <v>3388.02</v>
      </c>
      <c r="AF718" s="11">
        <f t="shared" si="104"/>
        <v>2879.817</v>
      </c>
      <c r="AG718">
        <f t="shared" si="105"/>
        <v>1563.1399999999999</v>
      </c>
      <c r="AH718" s="11">
        <f t="shared" si="106"/>
        <v>0.46137271916930828</v>
      </c>
      <c r="AI718" s="44">
        <f t="shared" si="107"/>
        <v>0.46137271916930828</v>
      </c>
    </row>
    <row r="719" spans="1:35">
      <c r="A719" t="s">
        <v>2232</v>
      </c>
      <c r="B719" s="5">
        <v>45942</v>
      </c>
      <c r="C719" s="5">
        <v>45945</v>
      </c>
      <c r="D719" s="13">
        <f t="shared" si="99"/>
        <v>3</v>
      </c>
      <c r="E719" t="s">
        <v>2233</v>
      </c>
      <c r="F719" t="s">
        <v>264</v>
      </c>
      <c r="G719" t="s">
        <v>37</v>
      </c>
      <c r="H719" t="s">
        <v>25</v>
      </c>
      <c r="I719" t="s">
        <v>236</v>
      </c>
      <c r="J719" t="s">
        <v>237</v>
      </c>
      <c r="K719" t="s">
        <v>74</v>
      </c>
      <c r="L719" t="s">
        <v>274</v>
      </c>
      <c r="M719" t="s">
        <v>2234</v>
      </c>
      <c r="N719" t="s">
        <v>59</v>
      </c>
      <c r="O719">
        <v>9</v>
      </c>
      <c r="P719">
        <v>2598.92</v>
      </c>
      <c r="Q719" s="11">
        <v>0.2</v>
      </c>
      <c r="R719">
        <v>18712.22</v>
      </c>
      <c r="S719">
        <v>11852.22</v>
      </c>
      <c r="T719">
        <v>6860</v>
      </c>
      <c r="U719" t="s">
        <v>111</v>
      </c>
      <c r="V719" t="s">
        <v>68</v>
      </c>
      <c r="X719" s="8" t="str">
        <f>IF(C719&gt;=B719,"Valid", "Invalid-Date")</f>
        <v>Valid</v>
      </c>
      <c r="Y719" s="8" t="str">
        <f t="shared" si="100"/>
        <v>Valid</v>
      </c>
      <c r="Z719" s="8" t="str">
        <f t="shared" si="101"/>
        <v>Pass</v>
      </c>
      <c r="AA719" s="8" t="str">
        <f t="shared" si="102"/>
        <v>Pass</v>
      </c>
      <c r="AB719" s="8" t="str">
        <f>TEXT(B719,"mmmm")</f>
        <v>October</v>
      </c>
      <c r="AC719" s="8" t="str">
        <f>TEXT(B719,"yyyy")</f>
        <v>2025</v>
      </c>
      <c r="AE719">
        <f t="shared" si="103"/>
        <v>23390.28</v>
      </c>
      <c r="AF719" s="11">
        <f t="shared" si="104"/>
        <v>18712.223999999998</v>
      </c>
      <c r="AG719">
        <f t="shared" si="105"/>
        <v>11538.06</v>
      </c>
      <c r="AH719" s="11">
        <f t="shared" si="106"/>
        <v>0.49328438992607188</v>
      </c>
      <c r="AI719" s="44">
        <f t="shared" si="107"/>
        <v>0.49328438992607188</v>
      </c>
    </row>
    <row r="720" spans="1:35">
      <c r="A720" t="s">
        <v>2235</v>
      </c>
      <c r="B720" s="5">
        <v>45541</v>
      </c>
      <c r="C720" s="5">
        <v>45544</v>
      </c>
      <c r="D720" s="13">
        <f t="shared" si="99"/>
        <v>3</v>
      </c>
      <c r="E720" t="s">
        <v>2236</v>
      </c>
      <c r="F720" t="s">
        <v>36</v>
      </c>
      <c r="G720" t="s">
        <v>24</v>
      </c>
      <c r="H720" t="s">
        <v>63</v>
      </c>
      <c r="I720" t="s">
        <v>64</v>
      </c>
      <c r="J720" t="s">
        <v>65</v>
      </c>
      <c r="K720" t="s">
        <v>28</v>
      </c>
      <c r="L720" t="s">
        <v>48</v>
      </c>
      <c r="M720" t="s">
        <v>2237</v>
      </c>
      <c r="N720" t="s">
        <v>44</v>
      </c>
      <c r="O720">
        <v>3</v>
      </c>
      <c r="P720">
        <v>1972.27</v>
      </c>
      <c r="Q720" s="11">
        <v>0.2</v>
      </c>
      <c r="R720">
        <v>4733.45</v>
      </c>
      <c r="S720">
        <v>3672.32</v>
      </c>
      <c r="T720">
        <v>1061.1300000000001</v>
      </c>
      <c r="U720" t="s">
        <v>32</v>
      </c>
      <c r="V720" t="s">
        <v>33</v>
      </c>
      <c r="X720" s="8" t="str">
        <f>IF(C720&gt;=B720,"Valid", "Invalid-Date")</f>
        <v>Valid</v>
      </c>
      <c r="Y720" s="8" t="str">
        <f t="shared" si="100"/>
        <v>Valid</v>
      </c>
      <c r="Z720" s="8" t="str">
        <f t="shared" si="101"/>
        <v>Pass</v>
      </c>
      <c r="AA720" s="8" t="str">
        <f t="shared" si="102"/>
        <v>Pass</v>
      </c>
      <c r="AB720" s="8" t="str">
        <f>TEXT(B720,"mmmm")</f>
        <v>September</v>
      </c>
      <c r="AC720" s="8" t="str">
        <f>TEXT(B720,"yyyy")</f>
        <v>2024</v>
      </c>
      <c r="AE720">
        <f t="shared" si="103"/>
        <v>5916.8099999999995</v>
      </c>
      <c r="AF720" s="11">
        <f t="shared" si="104"/>
        <v>4733.4479999999994</v>
      </c>
      <c r="AG720">
        <f t="shared" si="105"/>
        <v>2244.4899999999993</v>
      </c>
      <c r="AH720" s="11">
        <f t="shared" si="106"/>
        <v>0.37934123286027427</v>
      </c>
      <c r="AI720" s="44">
        <f t="shared" si="107"/>
        <v>0.37934123286027427</v>
      </c>
    </row>
    <row r="721" spans="1:35">
      <c r="A721" t="s">
        <v>2238</v>
      </c>
      <c r="B721" s="5">
        <v>45908</v>
      </c>
      <c r="C721" s="5">
        <v>45909</v>
      </c>
      <c r="D721" s="13">
        <f t="shared" si="99"/>
        <v>1</v>
      </c>
      <c r="E721" t="s">
        <v>144</v>
      </c>
      <c r="F721" t="s">
        <v>264</v>
      </c>
      <c r="G721" t="s">
        <v>90</v>
      </c>
      <c r="H721" t="s">
        <v>63</v>
      </c>
      <c r="I721" t="s">
        <v>180</v>
      </c>
      <c r="J721" t="s">
        <v>181</v>
      </c>
      <c r="K721" t="s">
        <v>28</v>
      </c>
      <c r="L721" t="s">
        <v>48</v>
      </c>
      <c r="M721" t="s">
        <v>2239</v>
      </c>
      <c r="N721" t="s">
        <v>44</v>
      </c>
      <c r="O721">
        <v>2</v>
      </c>
      <c r="P721">
        <v>2372.41</v>
      </c>
      <c r="Q721" s="11">
        <v>0.2</v>
      </c>
      <c r="R721">
        <v>3795.86</v>
      </c>
      <c r="S721">
        <v>2264.92</v>
      </c>
      <c r="T721">
        <v>1530.94</v>
      </c>
      <c r="U721" t="s">
        <v>32</v>
      </c>
      <c r="V721" t="s">
        <v>33</v>
      </c>
      <c r="X721" s="8" t="str">
        <f>IF(C721&gt;=B721,"Valid", "Invalid-Date")</f>
        <v>Valid</v>
      </c>
      <c r="Y721" s="8" t="str">
        <f t="shared" si="100"/>
        <v>Valid</v>
      </c>
      <c r="Z721" s="8" t="str">
        <f t="shared" si="101"/>
        <v>Pass</v>
      </c>
      <c r="AA721" s="8" t="str">
        <f t="shared" si="102"/>
        <v>Pass</v>
      </c>
      <c r="AB721" s="8" t="str">
        <f>TEXT(B721,"mmmm")</f>
        <v>September</v>
      </c>
      <c r="AC721" s="8" t="str">
        <f>TEXT(B721,"yyyy")</f>
        <v>2025</v>
      </c>
      <c r="AE721">
        <f t="shared" si="103"/>
        <v>4744.82</v>
      </c>
      <c r="AF721" s="11">
        <f t="shared" si="104"/>
        <v>3795.8559999999998</v>
      </c>
      <c r="AG721">
        <f t="shared" si="105"/>
        <v>2479.8999999999996</v>
      </c>
      <c r="AH721" s="11">
        <f t="shared" si="106"/>
        <v>0.52265417866220421</v>
      </c>
      <c r="AI721" s="44">
        <f t="shared" si="107"/>
        <v>0.52265417866220421</v>
      </c>
    </row>
    <row r="722" spans="1:35">
      <c r="A722" t="s">
        <v>2240</v>
      </c>
      <c r="B722" s="5">
        <v>45489</v>
      </c>
      <c r="C722" s="5">
        <v>45489</v>
      </c>
      <c r="D722" s="13">
        <f t="shared" si="99"/>
        <v>0</v>
      </c>
      <c r="E722" t="s">
        <v>2241</v>
      </c>
      <c r="F722" t="s">
        <v>89</v>
      </c>
      <c r="G722" t="s">
        <v>95</v>
      </c>
      <c r="H722" t="s">
        <v>63</v>
      </c>
      <c r="I722" t="s">
        <v>72</v>
      </c>
      <c r="J722" t="s">
        <v>73</v>
      </c>
      <c r="K722" t="s">
        <v>74</v>
      </c>
      <c r="L722" t="s">
        <v>80</v>
      </c>
      <c r="M722" t="s">
        <v>2242</v>
      </c>
      <c r="N722" t="s">
        <v>44</v>
      </c>
      <c r="O722">
        <v>4</v>
      </c>
      <c r="P722">
        <v>4479.92</v>
      </c>
      <c r="Q722" s="11">
        <v>0.15</v>
      </c>
      <c r="R722">
        <v>15231.73</v>
      </c>
      <c r="S722">
        <v>12451.46</v>
      </c>
      <c r="T722">
        <v>2780.27</v>
      </c>
      <c r="U722" t="s">
        <v>32</v>
      </c>
      <c r="V722" t="s">
        <v>33</v>
      </c>
      <c r="X722" s="8" t="str">
        <f>IF(C722&gt;=B722,"Valid", "Invalid-Date")</f>
        <v>Valid</v>
      </c>
      <c r="Y722" s="8" t="str">
        <f t="shared" si="100"/>
        <v>Valid</v>
      </c>
      <c r="Z722" s="8" t="str">
        <f t="shared" si="101"/>
        <v>Pass</v>
      </c>
      <c r="AA722" s="8" t="str">
        <f t="shared" si="102"/>
        <v>Pass</v>
      </c>
      <c r="AB722" s="8" t="str">
        <f>TEXT(B722,"mmmm")</f>
        <v>July</v>
      </c>
      <c r="AC722" s="8" t="str">
        <f>TEXT(B722,"yyyy")</f>
        <v>2024</v>
      </c>
      <c r="AE722">
        <f t="shared" si="103"/>
        <v>17919.68</v>
      </c>
      <c r="AF722" s="11">
        <f t="shared" si="104"/>
        <v>15231.727999999999</v>
      </c>
      <c r="AG722">
        <f t="shared" si="105"/>
        <v>5468.2200000000012</v>
      </c>
      <c r="AH722" s="11">
        <f t="shared" si="106"/>
        <v>0.3051516544938303</v>
      </c>
      <c r="AI722" s="44">
        <f t="shared" si="107"/>
        <v>0.3051516544938303</v>
      </c>
    </row>
    <row r="723" spans="1:35">
      <c r="A723" t="s">
        <v>2243</v>
      </c>
      <c r="B723" s="5">
        <v>45827</v>
      </c>
      <c r="C723" s="5">
        <v>45831</v>
      </c>
      <c r="D723" s="13">
        <f t="shared" si="99"/>
        <v>4</v>
      </c>
      <c r="E723" t="s">
        <v>2244</v>
      </c>
      <c r="F723" t="s">
        <v>132</v>
      </c>
      <c r="G723" t="s">
        <v>24</v>
      </c>
      <c r="H723" t="s">
        <v>54</v>
      </c>
      <c r="I723" t="s">
        <v>175</v>
      </c>
      <c r="J723" t="s">
        <v>176</v>
      </c>
      <c r="K723" t="s">
        <v>74</v>
      </c>
      <c r="L723" t="s">
        <v>80</v>
      </c>
      <c r="M723" t="s">
        <v>2245</v>
      </c>
      <c r="N723" t="s">
        <v>50</v>
      </c>
      <c r="O723">
        <v>5</v>
      </c>
      <c r="P723">
        <v>2729.95</v>
      </c>
      <c r="Q723" s="11">
        <v>0</v>
      </c>
      <c r="R723">
        <v>13649.75</v>
      </c>
      <c r="S723">
        <v>10288.030000000001</v>
      </c>
      <c r="T723">
        <v>3361.72</v>
      </c>
      <c r="U723" t="s">
        <v>32</v>
      </c>
      <c r="V723" t="s">
        <v>33</v>
      </c>
      <c r="X723" s="8" t="str">
        <f>IF(C723&gt;=B723,"Valid", "Invalid-Date")</f>
        <v>Valid</v>
      </c>
      <c r="Y723" s="8" t="str">
        <f t="shared" si="100"/>
        <v>Valid</v>
      </c>
      <c r="Z723" s="8" t="str">
        <f t="shared" si="101"/>
        <v>Pass</v>
      </c>
      <c r="AA723" s="8" t="str">
        <f t="shared" si="102"/>
        <v>Pass</v>
      </c>
      <c r="AB723" s="8" t="str">
        <f>TEXT(B723,"mmmm")</f>
        <v>June</v>
      </c>
      <c r="AC723" s="8" t="str">
        <f>TEXT(B723,"yyyy")</f>
        <v>2025</v>
      </c>
      <c r="AE723">
        <f t="shared" si="103"/>
        <v>13649.75</v>
      </c>
      <c r="AF723" s="11">
        <f t="shared" si="104"/>
        <v>13649.75</v>
      </c>
      <c r="AG723">
        <f t="shared" si="105"/>
        <v>3361.7199999999993</v>
      </c>
      <c r="AH723" s="11">
        <f t="shared" si="106"/>
        <v>0.24628436418249414</v>
      </c>
      <c r="AI723" s="44">
        <f t="shared" si="107"/>
        <v>0.24628436418249414</v>
      </c>
    </row>
    <row r="724" spans="1:35">
      <c r="A724" t="s">
        <v>2246</v>
      </c>
      <c r="B724" s="5">
        <v>45572</v>
      </c>
      <c r="C724" s="5">
        <v>45575</v>
      </c>
      <c r="D724" s="13">
        <f t="shared" si="99"/>
        <v>3</v>
      </c>
      <c r="E724" t="s">
        <v>2247</v>
      </c>
      <c r="F724" t="s">
        <v>71</v>
      </c>
      <c r="G724" t="s">
        <v>24</v>
      </c>
      <c r="H724" t="s">
        <v>38</v>
      </c>
      <c r="I724" t="s">
        <v>99</v>
      </c>
      <c r="J724" t="s">
        <v>100</v>
      </c>
      <c r="K724" t="s">
        <v>41</v>
      </c>
      <c r="L724" t="s">
        <v>66</v>
      </c>
      <c r="M724" t="s">
        <v>2248</v>
      </c>
      <c r="N724" t="s">
        <v>31</v>
      </c>
      <c r="O724">
        <v>9</v>
      </c>
      <c r="P724">
        <v>481.51</v>
      </c>
      <c r="Q724" s="11">
        <v>0</v>
      </c>
      <c r="R724">
        <v>4333.59</v>
      </c>
      <c r="S724">
        <v>2533.59</v>
      </c>
      <c r="T724">
        <v>1800</v>
      </c>
      <c r="U724" t="s">
        <v>102</v>
      </c>
      <c r="V724" t="s">
        <v>68</v>
      </c>
      <c r="X724" s="8" t="str">
        <f>IF(C724&gt;=B724,"Valid", "Invalid-Date")</f>
        <v>Valid</v>
      </c>
      <c r="Y724" s="8" t="str">
        <f t="shared" si="100"/>
        <v>Valid</v>
      </c>
      <c r="Z724" s="8" t="str">
        <f t="shared" si="101"/>
        <v>Pass</v>
      </c>
      <c r="AA724" s="8" t="str">
        <f t="shared" si="102"/>
        <v>Pass</v>
      </c>
      <c r="AB724" s="8" t="str">
        <f>TEXT(B724,"mmmm")</f>
        <v>October</v>
      </c>
      <c r="AC724" s="8" t="str">
        <f>TEXT(B724,"yyyy")</f>
        <v>2024</v>
      </c>
      <c r="AE724">
        <f t="shared" si="103"/>
        <v>4333.59</v>
      </c>
      <c r="AF724" s="11">
        <f t="shared" si="104"/>
        <v>4333.59</v>
      </c>
      <c r="AG724">
        <f t="shared" si="105"/>
        <v>1800</v>
      </c>
      <c r="AH724" s="11">
        <f t="shared" si="106"/>
        <v>0.41536001329152039</v>
      </c>
      <c r="AI724" s="44">
        <f t="shared" si="107"/>
        <v>0.41536001329152039</v>
      </c>
    </row>
    <row r="725" spans="1:35">
      <c r="A725" t="s">
        <v>2249</v>
      </c>
      <c r="B725" s="5">
        <v>45818</v>
      </c>
      <c r="C725" s="5">
        <v>45943</v>
      </c>
      <c r="D725" s="13">
        <f t="shared" si="99"/>
        <v>125</v>
      </c>
      <c r="E725" t="s">
        <v>2250</v>
      </c>
      <c r="F725" t="s">
        <v>264</v>
      </c>
      <c r="G725" t="s">
        <v>95</v>
      </c>
      <c r="H725" t="s">
        <v>38</v>
      </c>
      <c r="I725" t="s">
        <v>228</v>
      </c>
      <c r="J725" t="s">
        <v>229</v>
      </c>
      <c r="K725" t="s">
        <v>74</v>
      </c>
      <c r="L725" t="s">
        <v>75</v>
      </c>
      <c r="M725" t="s">
        <v>2251</v>
      </c>
      <c r="N725" t="s">
        <v>59</v>
      </c>
      <c r="O725">
        <v>6</v>
      </c>
      <c r="P725">
        <v>2391.9299999999998</v>
      </c>
      <c r="Q725" s="11">
        <v>0.05</v>
      </c>
      <c r="R725">
        <v>13634</v>
      </c>
      <c r="S725">
        <v>9589.81</v>
      </c>
      <c r="T725">
        <v>4044.19</v>
      </c>
      <c r="U725" t="s">
        <v>155</v>
      </c>
      <c r="V725" t="s">
        <v>103</v>
      </c>
      <c r="X725" s="8" t="str">
        <f>IF(C725&gt;=B725,"Valid", "Invalid-Date")</f>
        <v>Valid</v>
      </c>
      <c r="Y725" s="8" t="str">
        <f t="shared" si="100"/>
        <v>Valid</v>
      </c>
      <c r="Z725" s="8" t="str">
        <f t="shared" si="101"/>
        <v>Pass</v>
      </c>
      <c r="AA725" s="8" t="str">
        <f t="shared" si="102"/>
        <v>Pass</v>
      </c>
      <c r="AB725" s="8" t="str">
        <f>TEXT(B725,"mmmm")</f>
        <v>June</v>
      </c>
      <c r="AC725" s="8" t="str">
        <f>TEXT(B725,"yyyy")</f>
        <v>2025</v>
      </c>
      <c r="AE725">
        <f t="shared" si="103"/>
        <v>14351.579999999998</v>
      </c>
      <c r="AF725" s="11">
        <f t="shared" si="104"/>
        <v>13634.000999999998</v>
      </c>
      <c r="AG725">
        <f t="shared" si="105"/>
        <v>4761.7699999999986</v>
      </c>
      <c r="AH725" s="11">
        <f t="shared" si="106"/>
        <v>0.33179412998429436</v>
      </c>
      <c r="AI725" s="44">
        <f t="shared" si="107"/>
        <v>0.33179412998429436</v>
      </c>
    </row>
    <row r="726" spans="1:35">
      <c r="A726" t="s">
        <v>2252</v>
      </c>
      <c r="B726" s="5">
        <v>45567</v>
      </c>
      <c r="C726" s="5">
        <v>45338</v>
      </c>
      <c r="D726" s="13">
        <f t="shared" si="99"/>
        <v>-229</v>
      </c>
      <c r="E726" t="s">
        <v>2253</v>
      </c>
      <c r="F726" t="s">
        <v>23</v>
      </c>
      <c r="G726" t="s">
        <v>24</v>
      </c>
      <c r="H726" t="s">
        <v>63</v>
      </c>
      <c r="I726" t="s">
        <v>190</v>
      </c>
      <c r="J726" t="s">
        <v>191</v>
      </c>
      <c r="K726" t="s">
        <v>41</v>
      </c>
      <c r="L726" t="s">
        <v>57</v>
      </c>
      <c r="M726" t="s">
        <v>2254</v>
      </c>
      <c r="N726" t="s">
        <v>31</v>
      </c>
      <c r="O726">
        <v>3</v>
      </c>
      <c r="P726">
        <v>253.43</v>
      </c>
      <c r="Q726" s="11">
        <v>0</v>
      </c>
      <c r="R726">
        <v>760.29</v>
      </c>
      <c r="S726">
        <v>497.77</v>
      </c>
      <c r="T726">
        <v>262.52</v>
      </c>
      <c r="U726" t="s">
        <v>32</v>
      </c>
      <c r="V726" t="s">
        <v>33</v>
      </c>
      <c r="X726" s="8" t="str">
        <f>IF(C726&gt;=B726,"Valid", "Invalid-Date")</f>
        <v>Invalid-Date</v>
      </c>
      <c r="Y726" s="8" t="str">
        <f t="shared" si="100"/>
        <v>Valid</v>
      </c>
      <c r="Z726" s="8" t="str">
        <f t="shared" si="101"/>
        <v>Pass</v>
      </c>
      <c r="AA726" s="8" t="str">
        <f t="shared" si="102"/>
        <v>Pass</v>
      </c>
      <c r="AB726" s="8" t="str">
        <f>TEXT(B726,"mmmm")</f>
        <v>October</v>
      </c>
      <c r="AC726" s="8" t="str">
        <f>TEXT(B726,"yyyy")</f>
        <v>2024</v>
      </c>
      <c r="AE726">
        <f t="shared" si="103"/>
        <v>760.29</v>
      </c>
      <c r="AF726" s="11">
        <f t="shared" si="104"/>
        <v>760.29</v>
      </c>
      <c r="AG726">
        <f t="shared" si="105"/>
        <v>262.52</v>
      </c>
      <c r="AH726" s="11">
        <f t="shared" si="106"/>
        <v>0.34528929750489945</v>
      </c>
      <c r="AI726" s="44">
        <f t="shared" si="107"/>
        <v>0.34528929750489945</v>
      </c>
    </row>
    <row r="727" spans="1:35">
      <c r="A727" t="s">
        <v>2255</v>
      </c>
      <c r="B727" s="5">
        <v>45787</v>
      </c>
      <c r="C727" s="5">
        <v>46001</v>
      </c>
      <c r="D727" s="13">
        <f t="shared" si="99"/>
        <v>214</v>
      </c>
      <c r="E727" t="s">
        <v>2256</v>
      </c>
      <c r="F727" t="s">
        <v>114</v>
      </c>
      <c r="G727" t="s">
        <v>90</v>
      </c>
      <c r="H727" t="s">
        <v>54</v>
      </c>
      <c r="I727" t="s">
        <v>175</v>
      </c>
      <c r="J727" t="s">
        <v>176</v>
      </c>
      <c r="K727" t="s">
        <v>41</v>
      </c>
      <c r="L727" t="s">
        <v>42</v>
      </c>
      <c r="M727" t="s">
        <v>2257</v>
      </c>
      <c r="N727" t="s">
        <v>31</v>
      </c>
      <c r="O727">
        <v>7</v>
      </c>
      <c r="P727">
        <v>2134.73</v>
      </c>
      <c r="Q727" s="11">
        <v>0</v>
      </c>
      <c r="R727">
        <v>14943.11</v>
      </c>
      <c r="S727">
        <v>8521.5</v>
      </c>
      <c r="T727">
        <v>6421.61</v>
      </c>
      <c r="U727" t="s">
        <v>32</v>
      </c>
      <c r="V727" t="s">
        <v>33</v>
      </c>
      <c r="X727" s="8" t="str">
        <f>IF(C727&gt;=B727,"Valid", "Invalid-Date")</f>
        <v>Valid</v>
      </c>
      <c r="Y727" s="8" t="str">
        <f t="shared" si="100"/>
        <v>Valid</v>
      </c>
      <c r="Z727" s="8" t="str">
        <f t="shared" si="101"/>
        <v>Pass</v>
      </c>
      <c r="AA727" s="8" t="str">
        <f t="shared" si="102"/>
        <v>Pass</v>
      </c>
      <c r="AB727" s="8" t="str">
        <f>TEXT(B727,"mmmm")</f>
        <v>May</v>
      </c>
      <c r="AC727" s="8" t="str">
        <f>TEXT(B727,"yyyy")</f>
        <v>2025</v>
      </c>
      <c r="AE727">
        <f t="shared" si="103"/>
        <v>14943.11</v>
      </c>
      <c r="AF727" s="11">
        <f t="shared" si="104"/>
        <v>14943.11</v>
      </c>
      <c r="AG727">
        <f t="shared" si="105"/>
        <v>6421.6100000000006</v>
      </c>
      <c r="AH727" s="11">
        <f t="shared" si="106"/>
        <v>0.42973718322357263</v>
      </c>
      <c r="AI727" s="44">
        <f t="shared" si="107"/>
        <v>0.42973718322357263</v>
      </c>
    </row>
    <row r="728" spans="1:35">
      <c r="A728" t="s">
        <v>2258</v>
      </c>
      <c r="B728" s="5">
        <v>45308</v>
      </c>
      <c r="C728" s="5">
        <v>45314</v>
      </c>
      <c r="D728" s="13">
        <f t="shared" si="99"/>
        <v>6</v>
      </c>
      <c r="E728" t="s">
        <v>2259</v>
      </c>
      <c r="F728" t="s">
        <v>264</v>
      </c>
      <c r="G728" t="s">
        <v>95</v>
      </c>
      <c r="H728" t="s">
        <v>63</v>
      </c>
      <c r="I728" t="s">
        <v>180</v>
      </c>
      <c r="J728" t="s">
        <v>181</v>
      </c>
      <c r="K728" t="s">
        <v>74</v>
      </c>
      <c r="L728" t="s">
        <v>171</v>
      </c>
      <c r="M728" t="s">
        <v>2260</v>
      </c>
      <c r="N728" t="s">
        <v>59</v>
      </c>
      <c r="O728">
        <v>5</v>
      </c>
      <c r="P728">
        <v>2018</v>
      </c>
      <c r="Q728" s="11">
        <v>0.2</v>
      </c>
      <c r="R728">
        <v>8072</v>
      </c>
      <c r="S728">
        <v>5379.22</v>
      </c>
      <c r="T728">
        <v>2692.78</v>
      </c>
      <c r="U728" t="s">
        <v>111</v>
      </c>
      <c r="V728" t="s">
        <v>103</v>
      </c>
      <c r="X728" s="8" t="str">
        <f>IF(C728&gt;=B728,"Valid", "Invalid-Date")</f>
        <v>Valid</v>
      </c>
      <c r="Y728" s="8" t="str">
        <f t="shared" si="100"/>
        <v>Valid</v>
      </c>
      <c r="Z728" s="8" t="str">
        <f t="shared" si="101"/>
        <v>Pass</v>
      </c>
      <c r="AA728" s="8" t="str">
        <f t="shared" si="102"/>
        <v>Pass</v>
      </c>
      <c r="AB728" s="8" t="str">
        <f>TEXT(B728,"mmmm")</f>
        <v>January</v>
      </c>
      <c r="AC728" s="8" t="str">
        <f>TEXT(B728,"yyyy")</f>
        <v>2024</v>
      </c>
      <c r="AE728">
        <f t="shared" si="103"/>
        <v>10090</v>
      </c>
      <c r="AF728" s="11">
        <f t="shared" si="104"/>
        <v>8072</v>
      </c>
      <c r="AG728">
        <f t="shared" si="105"/>
        <v>4710.78</v>
      </c>
      <c r="AH728" s="11">
        <f t="shared" si="106"/>
        <v>0.46687611496531217</v>
      </c>
      <c r="AI728" s="44">
        <f t="shared" si="107"/>
        <v>0.46687611496531217</v>
      </c>
    </row>
    <row r="729" spans="1:35">
      <c r="A729" t="s">
        <v>2261</v>
      </c>
      <c r="B729" s="5">
        <v>45578</v>
      </c>
      <c r="C729" s="5">
        <v>45578</v>
      </c>
      <c r="D729" s="13">
        <f t="shared" si="99"/>
        <v>0</v>
      </c>
      <c r="E729" t="s">
        <v>2262</v>
      </c>
      <c r="F729" t="s">
        <v>128</v>
      </c>
      <c r="G729" t="s">
        <v>37</v>
      </c>
      <c r="H729" t="s">
        <v>38</v>
      </c>
      <c r="I729" t="s">
        <v>166</v>
      </c>
      <c r="J729" t="s">
        <v>167</v>
      </c>
      <c r="K729" t="s">
        <v>74</v>
      </c>
      <c r="L729" t="s">
        <v>75</v>
      </c>
      <c r="M729" t="s">
        <v>2263</v>
      </c>
      <c r="N729" t="s">
        <v>31</v>
      </c>
      <c r="O729">
        <v>8</v>
      </c>
      <c r="P729">
        <v>3730.66</v>
      </c>
      <c r="Q729" s="11">
        <v>0.05</v>
      </c>
      <c r="R729">
        <v>28353.02</v>
      </c>
      <c r="S729">
        <v>19257.849999999999</v>
      </c>
      <c r="T729">
        <v>9095.17</v>
      </c>
      <c r="U729" t="s">
        <v>32</v>
      </c>
      <c r="V729" t="s">
        <v>33</v>
      </c>
      <c r="X729" s="8" t="str">
        <f>IF(C729&gt;=B729,"Valid", "Invalid-Date")</f>
        <v>Valid</v>
      </c>
      <c r="Y729" s="8" t="str">
        <f t="shared" si="100"/>
        <v>Valid</v>
      </c>
      <c r="Z729" s="8" t="str">
        <f t="shared" si="101"/>
        <v>Pass</v>
      </c>
      <c r="AA729" s="8" t="str">
        <f t="shared" si="102"/>
        <v>Pass</v>
      </c>
      <c r="AB729" s="8" t="str">
        <f>TEXT(B729,"mmmm")</f>
        <v>October</v>
      </c>
      <c r="AC729" s="8" t="str">
        <f>TEXT(B729,"yyyy")</f>
        <v>2024</v>
      </c>
      <c r="AE729">
        <f t="shared" si="103"/>
        <v>29845.279999999999</v>
      </c>
      <c r="AF729" s="11">
        <f t="shared" si="104"/>
        <v>28353.015999999996</v>
      </c>
      <c r="AG729">
        <f t="shared" si="105"/>
        <v>10587.43</v>
      </c>
      <c r="AH729" s="11">
        <f t="shared" si="106"/>
        <v>0.35474386569668642</v>
      </c>
      <c r="AI729" s="44">
        <f t="shared" si="107"/>
        <v>0.35474386569668642</v>
      </c>
    </row>
    <row r="730" spans="1:35">
      <c r="A730" t="s">
        <v>2264</v>
      </c>
      <c r="B730" s="5">
        <v>45295</v>
      </c>
      <c r="C730" s="5">
        <v>45298</v>
      </c>
      <c r="D730" s="13">
        <f t="shared" si="99"/>
        <v>3</v>
      </c>
      <c r="E730" t="s">
        <v>2265</v>
      </c>
      <c r="F730" t="s">
        <v>132</v>
      </c>
      <c r="G730" t="s">
        <v>37</v>
      </c>
      <c r="H730" t="s">
        <v>54</v>
      </c>
      <c r="I730" t="s">
        <v>175</v>
      </c>
      <c r="J730" t="s">
        <v>176</v>
      </c>
      <c r="K730" t="s">
        <v>74</v>
      </c>
      <c r="L730" t="s">
        <v>274</v>
      </c>
      <c r="M730" t="s">
        <v>2266</v>
      </c>
      <c r="N730" t="s">
        <v>50</v>
      </c>
      <c r="O730">
        <v>1</v>
      </c>
      <c r="P730">
        <v>2363.02</v>
      </c>
      <c r="Q730" s="11">
        <v>0.15</v>
      </c>
      <c r="R730">
        <v>2008.57</v>
      </c>
      <c r="S730">
        <v>1194.83</v>
      </c>
      <c r="T730">
        <v>813.74</v>
      </c>
      <c r="U730" t="s">
        <v>32</v>
      </c>
      <c r="V730" t="s">
        <v>33</v>
      </c>
      <c r="X730" s="8" t="str">
        <f>IF(C730&gt;=B730,"Valid", "Invalid-Date")</f>
        <v>Valid</v>
      </c>
      <c r="Y730" s="8" t="str">
        <f t="shared" si="100"/>
        <v>Valid</v>
      </c>
      <c r="Z730" s="8" t="str">
        <f t="shared" si="101"/>
        <v>Pass</v>
      </c>
      <c r="AA730" s="8" t="str">
        <f t="shared" si="102"/>
        <v>Pass</v>
      </c>
      <c r="AB730" s="8" t="str">
        <f>TEXT(B730,"mmmm")</f>
        <v>January</v>
      </c>
      <c r="AC730" s="8" t="str">
        <f>TEXT(B730,"yyyy")</f>
        <v>2024</v>
      </c>
      <c r="AE730">
        <f t="shared" si="103"/>
        <v>2363.02</v>
      </c>
      <c r="AF730" s="11">
        <f t="shared" si="104"/>
        <v>2008.567</v>
      </c>
      <c r="AG730">
        <f t="shared" si="105"/>
        <v>1168.19</v>
      </c>
      <c r="AH730" s="11">
        <f t="shared" si="106"/>
        <v>0.4943631454663947</v>
      </c>
      <c r="AI730" s="44">
        <f t="shared" si="107"/>
        <v>0.4943631454663947</v>
      </c>
    </row>
    <row r="731" spans="1:35" s="15" customFormat="1">
      <c r="A731" s="15" t="s">
        <v>2267</v>
      </c>
      <c r="B731" s="16">
        <v>45794</v>
      </c>
      <c r="C731" s="16">
        <v>45802</v>
      </c>
      <c r="D731" s="17">
        <f t="shared" si="99"/>
        <v>8</v>
      </c>
      <c r="E731" s="15" t="s">
        <v>2268</v>
      </c>
      <c r="F731" s="15" t="s">
        <v>62</v>
      </c>
      <c r="G731" s="15" t="s">
        <v>90</v>
      </c>
      <c r="H731" s="15" t="s">
        <v>54</v>
      </c>
      <c r="I731" s="15" t="s">
        <v>247</v>
      </c>
      <c r="J731" s="15" t="s">
        <v>248</v>
      </c>
      <c r="K731" s="15" t="s">
        <v>74</v>
      </c>
      <c r="L731" s="15" t="s">
        <v>274</v>
      </c>
      <c r="M731" s="15" t="s">
        <v>2269</v>
      </c>
      <c r="N731" s="15" t="s">
        <v>44</v>
      </c>
      <c r="O731" s="15">
        <v>6</v>
      </c>
      <c r="P731" s="15">
        <v>1810.63</v>
      </c>
      <c r="Q731" s="18">
        <v>0.15</v>
      </c>
      <c r="R731" s="15">
        <v>9234.2099999999991</v>
      </c>
      <c r="S731" s="15">
        <v>5516.52</v>
      </c>
      <c r="T731" s="15">
        <v>3717.69</v>
      </c>
      <c r="U731" s="15" t="s">
        <v>32</v>
      </c>
      <c r="V731" s="15" t="s">
        <v>33</v>
      </c>
      <c r="W731" s="25"/>
      <c r="X731" s="8" t="str">
        <f>IF(C731&gt;=B731,"Valid", "Invalid-Date")</f>
        <v>Valid</v>
      </c>
      <c r="Y731" s="8" t="str">
        <f t="shared" si="100"/>
        <v>Valid</v>
      </c>
      <c r="Z731" s="19" t="str">
        <f t="shared" si="101"/>
        <v>Pass</v>
      </c>
      <c r="AA731" s="19" t="str">
        <f t="shared" si="102"/>
        <v>Pass</v>
      </c>
      <c r="AB731" s="19" t="str">
        <f>TEXT(B731,"mmmm")</f>
        <v>May</v>
      </c>
      <c r="AC731" s="19" t="str">
        <f>TEXT(B731,"yyyy")</f>
        <v>2025</v>
      </c>
      <c r="AD731" s="20"/>
      <c r="AE731" s="15">
        <f t="shared" si="103"/>
        <v>10863.78</v>
      </c>
      <c r="AF731" s="11">
        <f t="shared" si="104"/>
        <v>9234.2129999999997</v>
      </c>
      <c r="AG731" s="15">
        <f t="shared" si="105"/>
        <v>5347.26</v>
      </c>
      <c r="AH731" s="18">
        <f t="shared" si="106"/>
        <v>0.49220989379387287</v>
      </c>
      <c r="AI731" s="45">
        <f t="shared" si="107"/>
        <v>0.49220989379387287</v>
      </c>
    </row>
    <row r="732" spans="1:35">
      <c r="A732" t="s">
        <v>2270</v>
      </c>
      <c r="B732" s="5">
        <v>45827</v>
      </c>
      <c r="C732" s="5">
        <v>45832</v>
      </c>
      <c r="D732" s="13">
        <f t="shared" si="99"/>
        <v>5</v>
      </c>
      <c r="E732" t="s">
        <v>2271</v>
      </c>
      <c r="F732" t="s">
        <v>53</v>
      </c>
      <c r="G732" t="s">
        <v>24</v>
      </c>
      <c r="H732" t="s">
        <v>38</v>
      </c>
      <c r="I732" t="s">
        <v>99</v>
      </c>
      <c r="J732" t="s">
        <v>100</v>
      </c>
      <c r="K732" t="s">
        <v>28</v>
      </c>
      <c r="L732" t="s">
        <v>48</v>
      </c>
      <c r="M732" t="s">
        <v>2272</v>
      </c>
      <c r="N732" t="s">
        <v>31</v>
      </c>
      <c r="O732">
        <v>4</v>
      </c>
      <c r="P732">
        <v>782.01</v>
      </c>
      <c r="Q732" s="11">
        <v>0.15</v>
      </c>
      <c r="R732">
        <v>2658.83</v>
      </c>
      <c r="S732">
        <v>2226.9699999999998</v>
      </c>
      <c r="T732">
        <v>431.86</v>
      </c>
      <c r="U732" t="s">
        <v>102</v>
      </c>
      <c r="V732" t="s">
        <v>103</v>
      </c>
      <c r="X732" s="8" t="str">
        <f>IF(C732&gt;=B732,"Valid", "Invalid-Date")</f>
        <v>Valid</v>
      </c>
      <c r="Y732" s="8" t="str">
        <f t="shared" si="100"/>
        <v>Valid</v>
      </c>
      <c r="Z732" s="8" t="str">
        <f t="shared" si="101"/>
        <v>Pass</v>
      </c>
      <c r="AA732" s="8" t="str">
        <f t="shared" si="102"/>
        <v>Pass</v>
      </c>
      <c r="AB732" s="8" t="str">
        <f>TEXT(B732,"mmmm")</f>
        <v>June</v>
      </c>
      <c r="AC732" s="8" t="str">
        <f>TEXT(B732,"yyyy")</f>
        <v>2025</v>
      </c>
      <c r="AE732">
        <f t="shared" si="103"/>
        <v>3128.04</v>
      </c>
      <c r="AF732" s="11">
        <f t="shared" si="104"/>
        <v>2658.8339999999998</v>
      </c>
      <c r="AG732">
        <f t="shared" si="105"/>
        <v>901.07000000000016</v>
      </c>
      <c r="AH732" s="11">
        <f t="shared" si="106"/>
        <v>0.28806217311799087</v>
      </c>
      <c r="AI732" s="44">
        <f t="shared" si="107"/>
        <v>0.28806217311799087</v>
      </c>
    </row>
    <row r="733" spans="1:35">
      <c r="A733" t="s">
        <v>2273</v>
      </c>
      <c r="B733" s="5">
        <v>45368</v>
      </c>
      <c r="C733" s="5">
        <v>45370</v>
      </c>
      <c r="D733" s="13">
        <f t="shared" si="99"/>
        <v>2</v>
      </c>
      <c r="E733" t="s">
        <v>2274</v>
      </c>
      <c r="F733" t="s">
        <v>62</v>
      </c>
      <c r="G733" t="s">
        <v>90</v>
      </c>
      <c r="H733" t="s">
        <v>38</v>
      </c>
      <c r="I733" t="s">
        <v>39</v>
      </c>
      <c r="J733" t="s">
        <v>40</v>
      </c>
      <c r="K733" t="s">
        <v>28</v>
      </c>
      <c r="L733" t="s">
        <v>153</v>
      </c>
      <c r="M733" t="s">
        <v>2275</v>
      </c>
      <c r="N733" t="s">
        <v>50</v>
      </c>
      <c r="O733">
        <v>4</v>
      </c>
      <c r="P733">
        <v>4376.68</v>
      </c>
      <c r="Q733" s="11">
        <v>0.1</v>
      </c>
      <c r="R733">
        <v>15756.05</v>
      </c>
      <c r="S733">
        <v>10245.44</v>
      </c>
      <c r="T733">
        <v>5510.61</v>
      </c>
      <c r="U733" t="s">
        <v>32</v>
      </c>
      <c r="V733" t="s">
        <v>33</v>
      </c>
      <c r="X733" s="8" t="str">
        <f>IF(C733&gt;=B733,"Valid", "Invalid-Date")</f>
        <v>Valid</v>
      </c>
      <c r="Y733" s="8" t="str">
        <f t="shared" si="100"/>
        <v>Valid</v>
      </c>
      <c r="Z733" s="8" t="str">
        <f t="shared" si="101"/>
        <v>Pass</v>
      </c>
      <c r="AA733" s="8" t="str">
        <f t="shared" si="102"/>
        <v>Pass</v>
      </c>
      <c r="AB733" s="8" t="str">
        <f>TEXT(B733,"mmmm")</f>
        <v>March</v>
      </c>
      <c r="AC733" s="8" t="str">
        <f>TEXT(B733,"yyyy")</f>
        <v>2024</v>
      </c>
      <c r="AE733">
        <f t="shared" si="103"/>
        <v>17506.72</v>
      </c>
      <c r="AF733" s="11">
        <f t="shared" si="104"/>
        <v>15756.048000000001</v>
      </c>
      <c r="AG733">
        <f t="shared" si="105"/>
        <v>7261.2800000000007</v>
      </c>
      <c r="AH733" s="11">
        <f t="shared" si="106"/>
        <v>0.41477101364504604</v>
      </c>
      <c r="AI733" s="44">
        <f t="shared" si="107"/>
        <v>0.41477101364504604</v>
      </c>
    </row>
    <row r="734" spans="1:35">
      <c r="A734" t="s">
        <v>2276</v>
      </c>
      <c r="B734" s="5">
        <v>45624</v>
      </c>
      <c r="C734" s="5">
        <v>45455</v>
      </c>
      <c r="D734" s="13">
        <f t="shared" si="99"/>
        <v>-169</v>
      </c>
      <c r="E734" t="s">
        <v>2277</v>
      </c>
      <c r="F734" t="s">
        <v>53</v>
      </c>
      <c r="G734" t="s">
        <v>37</v>
      </c>
      <c r="H734" t="s">
        <v>25</v>
      </c>
      <c r="I734" t="s">
        <v>122</v>
      </c>
      <c r="J734" t="s">
        <v>123</v>
      </c>
      <c r="K734" t="s">
        <v>74</v>
      </c>
      <c r="L734" t="s">
        <v>171</v>
      </c>
      <c r="M734" t="s">
        <v>2278</v>
      </c>
      <c r="N734" t="s">
        <v>59</v>
      </c>
      <c r="O734">
        <v>6</v>
      </c>
      <c r="P734">
        <v>2464.63</v>
      </c>
      <c r="Q734" s="11">
        <v>0</v>
      </c>
      <c r="R734">
        <v>14787.78</v>
      </c>
      <c r="S734">
        <v>8596.65</v>
      </c>
      <c r="T734">
        <v>6191.13</v>
      </c>
      <c r="U734" t="s">
        <v>32</v>
      </c>
      <c r="V734" t="s">
        <v>33</v>
      </c>
      <c r="X734" s="8" t="str">
        <f>IF(C734&gt;=B734,"Valid", "Invalid-Date")</f>
        <v>Invalid-Date</v>
      </c>
      <c r="Y734" s="8" t="str">
        <f t="shared" si="100"/>
        <v>Valid</v>
      </c>
      <c r="Z734" s="8" t="str">
        <f t="shared" si="101"/>
        <v>Pass</v>
      </c>
      <c r="AA734" s="8" t="str">
        <f t="shared" si="102"/>
        <v>Pass</v>
      </c>
      <c r="AB734" s="8" t="str">
        <f>TEXT(B734,"mmmm")</f>
        <v>November</v>
      </c>
      <c r="AC734" s="8" t="str">
        <f>TEXT(B734,"yyyy")</f>
        <v>2024</v>
      </c>
      <c r="AE734">
        <f t="shared" si="103"/>
        <v>14787.78</v>
      </c>
      <c r="AF734" s="11">
        <f t="shared" si="104"/>
        <v>14787.78</v>
      </c>
      <c r="AG734">
        <f t="shared" si="105"/>
        <v>6191.130000000001</v>
      </c>
      <c r="AH734" s="11">
        <f t="shared" si="106"/>
        <v>0.41866527632950995</v>
      </c>
      <c r="AI734" s="44">
        <f t="shared" si="107"/>
        <v>0.41866527632950995</v>
      </c>
    </row>
    <row r="735" spans="1:35">
      <c r="A735" t="s">
        <v>2279</v>
      </c>
      <c r="B735" s="5">
        <v>45464</v>
      </c>
      <c r="C735" s="5">
        <v>45471</v>
      </c>
      <c r="D735" s="13">
        <f t="shared" si="99"/>
        <v>7</v>
      </c>
      <c r="E735" t="s">
        <v>2280</v>
      </c>
      <c r="F735" t="s">
        <v>128</v>
      </c>
      <c r="G735" t="s">
        <v>95</v>
      </c>
      <c r="H735" t="s">
        <v>25</v>
      </c>
      <c r="I735" t="s">
        <v>26</v>
      </c>
      <c r="J735" t="s">
        <v>27</v>
      </c>
      <c r="K735" t="s">
        <v>41</v>
      </c>
      <c r="L735" t="s">
        <v>57</v>
      </c>
      <c r="M735" t="s">
        <v>2281</v>
      </c>
      <c r="N735" t="s">
        <v>50</v>
      </c>
      <c r="O735">
        <v>9</v>
      </c>
      <c r="P735">
        <v>2797.96</v>
      </c>
      <c r="Q735" s="11">
        <v>0</v>
      </c>
      <c r="R735">
        <v>25181.64</v>
      </c>
      <c r="S735">
        <v>15337.9</v>
      </c>
      <c r="T735">
        <v>9843.74</v>
      </c>
      <c r="U735" t="s">
        <v>32</v>
      </c>
      <c r="V735" t="s">
        <v>33</v>
      </c>
      <c r="X735" s="8" t="str">
        <f>IF(C735&gt;=B735,"Valid", "Invalid-Date")</f>
        <v>Valid</v>
      </c>
      <c r="Y735" s="8" t="str">
        <f t="shared" si="100"/>
        <v>Valid</v>
      </c>
      <c r="Z735" s="8" t="str">
        <f t="shared" si="101"/>
        <v>Pass</v>
      </c>
      <c r="AA735" s="8" t="str">
        <f t="shared" si="102"/>
        <v>Pass</v>
      </c>
      <c r="AB735" s="8" t="str">
        <f>TEXT(B735,"mmmm")</f>
        <v>June</v>
      </c>
      <c r="AC735" s="8" t="str">
        <f>TEXT(B735,"yyyy")</f>
        <v>2024</v>
      </c>
      <c r="AE735">
        <f t="shared" si="103"/>
        <v>25181.64</v>
      </c>
      <c r="AF735" s="11">
        <f t="shared" si="104"/>
        <v>25181.64</v>
      </c>
      <c r="AG735">
        <f t="shared" si="105"/>
        <v>9843.74</v>
      </c>
      <c r="AH735" s="11">
        <f t="shared" si="106"/>
        <v>0.39090940860086953</v>
      </c>
      <c r="AI735" s="44">
        <f t="shared" si="107"/>
        <v>0.39090940860086953</v>
      </c>
    </row>
    <row r="736" spans="1:35">
      <c r="A736" t="s">
        <v>2282</v>
      </c>
      <c r="B736" s="5">
        <v>45528</v>
      </c>
      <c r="C736" s="5">
        <v>45528</v>
      </c>
      <c r="D736" s="13">
        <f t="shared" si="99"/>
        <v>0</v>
      </c>
      <c r="E736" t="s">
        <v>2283</v>
      </c>
      <c r="F736" t="s">
        <v>62</v>
      </c>
      <c r="G736" t="s">
        <v>37</v>
      </c>
      <c r="H736" t="s">
        <v>25</v>
      </c>
      <c r="I736" t="s">
        <v>26</v>
      </c>
      <c r="J736" t="s">
        <v>27</v>
      </c>
      <c r="K736" t="s">
        <v>74</v>
      </c>
      <c r="L736" t="s">
        <v>75</v>
      </c>
      <c r="M736" t="s">
        <v>2284</v>
      </c>
      <c r="N736" t="s">
        <v>50</v>
      </c>
      <c r="O736">
        <v>4</v>
      </c>
      <c r="P736">
        <v>2761.86</v>
      </c>
      <c r="Q736" s="11">
        <v>0.2</v>
      </c>
      <c r="R736">
        <v>8837.9500000000007</v>
      </c>
      <c r="S736">
        <v>6157.27</v>
      </c>
      <c r="T736">
        <v>2680.68</v>
      </c>
      <c r="U736" t="s">
        <v>32</v>
      </c>
      <c r="V736" t="s">
        <v>33</v>
      </c>
      <c r="X736" s="8" t="str">
        <f>IF(C736&gt;=B736,"Valid", "Invalid-Date")</f>
        <v>Valid</v>
      </c>
      <c r="Y736" s="8" t="str">
        <f t="shared" si="100"/>
        <v>Valid</v>
      </c>
      <c r="Z736" s="8" t="str">
        <f t="shared" si="101"/>
        <v>Pass</v>
      </c>
      <c r="AA736" s="8" t="str">
        <f t="shared" si="102"/>
        <v>Pass</v>
      </c>
      <c r="AB736" s="8" t="str">
        <f>TEXT(B736,"mmmm")</f>
        <v>August</v>
      </c>
      <c r="AC736" s="8" t="str">
        <f>TEXT(B736,"yyyy")</f>
        <v>2024</v>
      </c>
      <c r="AE736">
        <f t="shared" si="103"/>
        <v>11047.44</v>
      </c>
      <c r="AF736" s="11">
        <f t="shared" si="104"/>
        <v>8837.9520000000011</v>
      </c>
      <c r="AG736">
        <f t="shared" si="105"/>
        <v>4890.17</v>
      </c>
      <c r="AH736" s="11">
        <f t="shared" si="106"/>
        <v>0.44265187228896469</v>
      </c>
      <c r="AI736" s="44">
        <f t="shared" si="107"/>
        <v>0.44265187228896469</v>
      </c>
    </row>
    <row r="737" spans="1:35">
      <c r="A737" t="s">
        <v>2285</v>
      </c>
      <c r="B737" s="5">
        <v>45515</v>
      </c>
      <c r="C737" s="5">
        <v>45523</v>
      </c>
      <c r="D737" s="13">
        <f t="shared" si="99"/>
        <v>8</v>
      </c>
      <c r="E737" t="s">
        <v>2286</v>
      </c>
      <c r="F737" t="s">
        <v>36</v>
      </c>
      <c r="G737" t="s">
        <v>24</v>
      </c>
      <c r="H737" t="s">
        <v>63</v>
      </c>
      <c r="I737" t="s">
        <v>64</v>
      </c>
      <c r="J737" t="s">
        <v>65</v>
      </c>
      <c r="K737" t="s">
        <v>41</v>
      </c>
      <c r="L737" t="s">
        <v>42</v>
      </c>
      <c r="M737" t="s">
        <v>2287</v>
      </c>
      <c r="N737" t="s">
        <v>59</v>
      </c>
      <c r="O737">
        <v>6</v>
      </c>
      <c r="P737">
        <v>1515.79</v>
      </c>
      <c r="Q737" s="11">
        <v>0.2</v>
      </c>
      <c r="R737">
        <v>7275.79</v>
      </c>
      <c r="S737">
        <v>6152.87</v>
      </c>
      <c r="T737">
        <v>1122.92</v>
      </c>
      <c r="U737" t="s">
        <v>32</v>
      </c>
      <c r="V737" t="s">
        <v>33</v>
      </c>
      <c r="X737" s="8" t="str">
        <f>IF(C737&gt;=B737,"Valid", "Invalid-Date")</f>
        <v>Valid</v>
      </c>
      <c r="Y737" s="8" t="str">
        <f t="shared" si="100"/>
        <v>Valid</v>
      </c>
      <c r="Z737" s="8" t="str">
        <f t="shared" si="101"/>
        <v>Pass</v>
      </c>
      <c r="AA737" s="8" t="str">
        <f t="shared" si="102"/>
        <v>Pass</v>
      </c>
      <c r="AB737" s="8" t="str">
        <f>TEXT(B737,"mmmm")</f>
        <v>August</v>
      </c>
      <c r="AC737" s="8" t="str">
        <f>TEXT(B737,"yyyy")</f>
        <v>2024</v>
      </c>
      <c r="AE737">
        <f t="shared" si="103"/>
        <v>9094.74</v>
      </c>
      <c r="AF737" s="11">
        <f t="shared" si="104"/>
        <v>7275.7920000000004</v>
      </c>
      <c r="AG737">
        <f t="shared" si="105"/>
        <v>2941.87</v>
      </c>
      <c r="AH737" s="11">
        <f t="shared" si="106"/>
        <v>0.32346938999905439</v>
      </c>
      <c r="AI737" s="44">
        <f t="shared" si="107"/>
        <v>0.32346938999905439</v>
      </c>
    </row>
    <row r="738" spans="1:35">
      <c r="A738" t="s">
        <v>2288</v>
      </c>
      <c r="B738" s="5">
        <v>45632</v>
      </c>
      <c r="C738" s="5">
        <v>45635</v>
      </c>
      <c r="D738" s="13">
        <f t="shared" si="99"/>
        <v>3</v>
      </c>
      <c r="E738" t="s">
        <v>2289</v>
      </c>
      <c r="F738" t="s">
        <v>89</v>
      </c>
      <c r="G738" t="s">
        <v>24</v>
      </c>
      <c r="H738" t="s">
        <v>63</v>
      </c>
      <c r="I738" t="s">
        <v>64</v>
      </c>
      <c r="J738" t="s">
        <v>65</v>
      </c>
      <c r="K738" t="s">
        <v>41</v>
      </c>
      <c r="L738" t="s">
        <v>66</v>
      </c>
      <c r="M738" t="s">
        <v>2290</v>
      </c>
      <c r="N738" t="s">
        <v>31</v>
      </c>
      <c r="O738">
        <v>9</v>
      </c>
      <c r="P738">
        <v>290.75</v>
      </c>
      <c r="Q738" s="11">
        <v>0.1</v>
      </c>
      <c r="R738">
        <v>2355.08</v>
      </c>
      <c r="S738">
        <v>1350.03</v>
      </c>
      <c r="T738">
        <v>1005.05</v>
      </c>
      <c r="U738" t="s">
        <v>32</v>
      </c>
      <c r="V738" t="s">
        <v>33</v>
      </c>
      <c r="X738" s="8" t="str">
        <f>IF(C738&gt;=B738,"Valid", "Invalid-Date")</f>
        <v>Valid</v>
      </c>
      <c r="Y738" s="8" t="str">
        <f t="shared" si="100"/>
        <v>Valid</v>
      </c>
      <c r="Z738" s="8" t="str">
        <f t="shared" si="101"/>
        <v>Pass</v>
      </c>
      <c r="AA738" s="8" t="str">
        <f t="shared" si="102"/>
        <v>Pass</v>
      </c>
      <c r="AB738" s="8" t="str">
        <f>TEXT(B738,"mmmm")</f>
        <v>December</v>
      </c>
      <c r="AC738" s="8" t="str">
        <f>TEXT(B738,"yyyy")</f>
        <v>2024</v>
      </c>
      <c r="AE738">
        <f t="shared" si="103"/>
        <v>2616.75</v>
      </c>
      <c r="AF738" s="11">
        <f t="shared" si="104"/>
        <v>2355.0750000000003</v>
      </c>
      <c r="AG738">
        <f t="shared" si="105"/>
        <v>1266.72</v>
      </c>
      <c r="AH738" s="11">
        <f t="shared" si="106"/>
        <v>0.48408139868157068</v>
      </c>
      <c r="AI738" s="44">
        <f t="shared" si="107"/>
        <v>0.48408139868157068</v>
      </c>
    </row>
    <row r="739" spans="1:35">
      <c r="A739" t="s">
        <v>2291</v>
      </c>
      <c r="B739" s="5">
        <v>45332</v>
      </c>
      <c r="C739" s="5">
        <v>45567</v>
      </c>
      <c r="D739" s="13">
        <f t="shared" si="99"/>
        <v>235</v>
      </c>
      <c r="E739" t="s">
        <v>2292</v>
      </c>
      <c r="F739" t="s">
        <v>47</v>
      </c>
      <c r="G739" t="s">
        <v>95</v>
      </c>
      <c r="H739" t="s">
        <v>63</v>
      </c>
      <c r="I739" t="s">
        <v>64</v>
      </c>
      <c r="J739" t="s">
        <v>65</v>
      </c>
      <c r="K739" t="s">
        <v>41</v>
      </c>
      <c r="L739" t="s">
        <v>66</v>
      </c>
      <c r="M739" t="s">
        <v>2293</v>
      </c>
      <c r="N739" t="s">
        <v>44</v>
      </c>
      <c r="O739">
        <v>6</v>
      </c>
      <c r="P739">
        <v>601.52</v>
      </c>
      <c r="Q739" s="11">
        <v>0</v>
      </c>
      <c r="R739">
        <v>3609.12</v>
      </c>
      <c r="S739">
        <v>2645.5</v>
      </c>
      <c r="T739">
        <v>963.62</v>
      </c>
      <c r="U739" t="s">
        <v>32</v>
      </c>
      <c r="V739" t="s">
        <v>33</v>
      </c>
      <c r="X739" s="8" t="str">
        <f>IF(C739&gt;=B739,"Valid", "Invalid-Date")</f>
        <v>Valid</v>
      </c>
      <c r="Y739" s="8" t="str">
        <f t="shared" si="100"/>
        <v>Valid</v>
      </c>
      <c r="Z739" s="8" t="str">
        <f t="shared" si="101"/>
        <v>Pass</v>
      </c>
      <c r="AA739" s="8" t="str">
        <f t="shared" si="102"/>
        <v>Pass</v>
      </c>
      <c r="AB739" s="8" t="str">
        <f>TEXT(B739,"mmmm")</f>
        <v>February</v>
      </c>
      <c r="AC739" s="8" t="str">
        <f>TEXT(B739,"yyyy")</f>
        <v>2024</v>
      </c>
      <c r="AE739">
        <f t="shared" si="103"/>
        <v>3609.12</v>
      </c>
      <c r="AF739" s="11">
        <f t="shared" si="104"/>
        <v>3609.12</v>
      </c>
      <c r="AG739">
        <f t="shared" si="105"/>
        <v>963.61999999999989</v>
      </c>
      <c r="AH739" s="11">
        <f t="shared" si="106"/>
        <v>0.2669958327791816</v>
      </c>
      <c r="AI739" s="44">
        <f t="shared" si="107"/>
        <v>0.2669958327791816</v>
      </c>
    </row>
    <row r="740" spans="1:35">
      <c r="A740" t="s">
        <v>2294</v>
      </c>
      <c r="B740" s="5">
        <v>45708</v>
      </c>
      <c r="C740" s="5">
        <v>45710</v>
      </c>
      <c r="D740" s="13">
        <f t="shared" si="99"/>
        <v>2</v>
      </c>
      <c r="E740" t="s">
        <v>2295</v>
      </c>
      <c r="F740" t="s">
        <v>114</v>
      </c>
      <c r="G740" t="s">
        <v>90</v>
      </c>
      <c r="H740" t="s">
        <v>54</v>
      </c>
      <c r="I740" t="s">
        <v>185</v>
      </c>
      <c r="J740" t="s">
        <v>186</v>
      </c>
      <c r="K740" t="s">
        <v>28</v>
      </c>
      <c r="L740" t="s">
        <v>29</v>
      </c>
      <c r="M740" t="s">
        <v>2296</v>
      </c>
      <c r="N740" t="s">
        <v>50</v>
      </c>
      <c r="O740">
        <v>1</v>
      </c>
      <c r="P740">
        <v>2188.19</v>
      </c>
      <c r="Q740" s="11">
        <v>0</v>
      </c>
      <c r="R740">
        <v>2188.19</v>
      </c>
      <c r="S740">
        <v>1298.8399999999999</v>
      </c>
      <c r="T740">
        <v>889.35</v>
      </c>
      <c r="U740" t="s">
        <v>32</v>
      </c>
      <c r="V740" t="s">
        <v>33</v>
      </c>
      <c r="X740" s="8" t="str">
        <f>IF(C740&gt;=B740,"Valid", "Invalid-Date")</f>
        <v>Valid</v>
      </c>
      <c r="Y740" s="8" t="str">
        <f t="shared" si="100"/>
        <v>Valid</v>
      </c>
      <c r="Z740" s="8" t="str">
        <f t="shared" si="101"/>
        <v>Pass</v>
      </c>
      <c r="AA740" s="8" t="str">
        <f t="shared" si="102"/>
        <v>Pass</v>
      </c>
      <c r="AB740" s="8" t="str">
        <f>TEXT(B740,"mmmm")</f>
        <v>February</v>
      </c>
      <c r="AC740" s="8" t="str">
        <f>TEXT(B740,"yyyy")</f>
        <v>2025</v>
      </c>
      <c r="AE740">
        <f t="shared" si="103"/>
        <v>2188.19</v>
      </c>
      <c r="AF740" s="11">
        <f t="shared" si="104"/>
        <v>2188.19</v>
      </c>
      <c r="AG740">
        <f t="shared" si="105"/>
        <v>889.35000000000014</v>
      </c>
      <c r="AH740" s="11">
        <f t="shared" si="106"/>
        <v>0.40643179979800664</v>
      </c>
      <c r="AI740" s="44">
        <f t="shared" si="107"/>
        <v>0.40643179979800664</v>
      </c>
    </row>
    <row r="741" spans="1:35">
      <c r="A741" t="s">
        <v>2297</v>
      </c>
      <c r="B741" s="5">
        <v>45629</v>
      </c>
      <c r="C741" s="5">
        <v>45577</v>
      </c>
      <c r="D741" s="13">
        <f t="shared" si="99"/>
        <v>-52</v>
      </c>
      <c r="E741" t="s">
        <v>2298</v>
      </c>
      <c r="F741" t="s">
        <v>79</v>
      </c>
      <c r="G741" t="s">
        <v>90</v>
      </c>
      <c r="H741" t="s">
        <v>25</v>
      </c>
      <c r="I741" t="s">
        <v>26</v>
      </c>
      <c r="J741" t="s">
        <v>27</v>
      </c>
      <c r="K741" t="s">
        <v>74</v>
      </c>
      <c r="L741" t="s">
        <v>171</v>
      </c>
      <c r="M741" t="s">
        <v>2299</v>
      </c>
      <c r="N741" t="s">
        <v>59</v>
      </c>
      <c r="O741">
        <v>5</v>
      </c>
      <c r="P741">
        <v>2393.86</v>
      </c>
      <c r="Q741" s="11">
        <v>0.05</v>
      </c>
      <c r="R741">
        <v>11370.84</v>
      </c>
      <c r="S741">
        <v>7469.58</v>
      </c>
      <c r="T741">
        <v>3901.26</v>
      </c>
      <c r="U741" t="s">
        <v>32</v>
      </c>
      <c r="V741" t="s">
        <v>33</v>
      </c>
      <c r="X741" s="8" t="str">
        <f>IF(C741&gt;=B741,"Valid", "Invalid-Date")</f>
        <v>Invalid-Date</v>
      </c>
      <c r="Y741" s="8" t="str">
        <f t="shared" si="100"/>
        <v>Valid</v>
      </c>
      <c r="Z741" s="8" t="str">
        <f t="shared" si="101"/>
        <v>Pass</v>
      </c>
      <c r="AA741" s="8" t="str">
        <f t="shared" si="102"/>
        <v>Pass</v>
      </c>
      <c r="AB741" s="8" t="str">
        <f>TEXT(B741,"mmmm")</f>
        <v>December</v>
      </c>
      <c r="AC741" s="8" t="str">
        <f>TEXT(B741,"yyyy")</f>
        <v>2024</v>
      </c>
      <c r="AE741">
        <f t="shared" si="103"/>
        <v>11969.300000000001</v>
      </c>
      <c r="AF741" s="11">
        <f t="shared" si="104"/>
        <v>11370.835000000001</v>
      </c>
      <c r="AG741">
        <f t="shared" si="105"/>
        <v>4499.7200000000012</v>
      </c>
      <c r="AH741" s="11">
        <f t="shared" si="106"/>
        <v>0.3759384425154354</v>
      </c>
      <c r="AI741" s="44">
        <f t="shared" si="107"/>
        <v>0.3759384425154354</v>
      </c>
    </row>
    <row r="742" spans="1:35">
      <c r="A742" t="s">
        <v>2300</v>
      </c>
      <c r="B742" s="5">
        <v>45384</v>
      </c>
      <c r="C742" s="5">
        <v>45326</v>
      </c>
      <c r="D742" s="13">
        <f t="shared" si="99"/>
        <v>-58</v>
      </c>
      <c r="E742" t="s">
        <v>521</v>
      </c>
      <c r="F742" t="s">
        <v>132</v>
      </c>
      <c r="G742" t="s">
        <v>37</v>
      </c>
      <c r="H742" t="s">
        <v>63</v>
      </c>
      <c r="I742" t="s">
        <v>64</v>
      </c>
      <c r="J742" t="s">
        <v>65</v>
      </c>
      <c r="K742" t="s">
        <v>41</v>
      </c>
      <c r="L742" t="s">
        <v>66</v>
      </c>
      <c r="M742" t="s">
        <v>2301</v>
      </c>
      <c r="N742" t="s">
        <v>50</v>
      </c>
      <c r="O742">
        <v>4</v>
      </c>
      <c r="P742">
        <v>2583</v>
      </c>
      <c r="Q742" s="11">
        <v>0.1</v>
      </c>
      <c r="R742">
        <v>9298.7999999999993</v>
      </c>
      <c r="S742">
        <v>6548.5</v>
      </c>
      <c r="T742">
        <v>2750.3</v>
      </c>
      <c r="U742" t="s">
        <v>32</v>
      </c>
      <c r="V742" t="s">
        <v>33</v>
      </c>
      <c r="X742" s="8" t="str">
        <f>IF(C742&gt;=B742,"Valid", "Invalid-Date")</f>
        <v>Invalid-Date</v>
      </c>
      <c r="Y742" s="8" t="str">
        <f t="shared" si="100"/>
        <v>Valid</v>
      </c>
      <c r="Z742" s="8" t="str">
        <f t="shared" si="101"/>
        <v>Pass</v>
      </c>
      <c r="AA742" s="8" t="str">
        <f t="shared" si="102"/>
        <v>Pass</v>
      </c>
      <c r="AB742" s="8" t="str">
        <f>TEXT(B742,"mmmm")</f>
        <v>April</v>
      </c>
      <c r="AC742" s="8" t="str">
        <f>TEXT(B742,"yyyy")</f>
        <v>2024</v>
      </c>
      <c r="AE742">
        <f t="shared" si="103"/>
        <v>10332</v>
      </c>
      <c r="AF742" s="11">
        <f t="shared" si="104"/>
        <v>9298.8000000000011</v>
      </c>
      <c r="AG742">
        <f t="shared" si="105"/>
        <v>3783.5</v>
      </c>
      <c r="AH742" s="11">
        <f t="shared" si="106"/>
        <v>0.36619241192411922</v>
      </c>
      <c r="AI742" s="44">
        <f t="shared" si="107"/>
        <v>0.36619241192411922</v>
      </c>
    </row>
    <row r="743" spans="1:35">
      <c r="A743" t="s">
        <v>2302</v>
      </c>
      <c r="B743" s="5">
        <v>45770</v>
      </c>
      <c r="C743" s="5">
        <v>45772</v>
      </c>
      <c r="D743" s="13">
        <f t="shared" si="99"/>
        <v>2</v>
      </c>
      <c r="E743" t="s">
        <v>2303</v>
      </c>
      <c r="F743" t="s">
        <v>47</v>
      </c>
      <c r="G743" t="s">
        <v>95</v>
      </c>
      <c r="H743" t="s">
        <v>54</v>
      </c>
      <c r="I743" t="s">
        <v>247</v>
      </c>
      <c r="J743" t="s">
        <v>248</v>
      </c>
      <c r="K743" t="s">
        <v>41</v>
      </c>
      <c r="L743" t="s">
        <v>66</v>
      </c>
      <c r="M743" t="s">
        <v>2304</v>
      </c>
      <c r="N743" t="s">
        <v>31</v>
      </c>
      <c r="O743">
        <v>3</v>
      </c>
      <c r="P743">
        <v>2951.12</v>
      </c>
      <c r="Q743" s="11">
        <v>0</v>
      </c>
      <c r="R743">
        <v>7082.69</v>
      </c>
      <c r="S743">
        <v>5596.34</v>
      </c>
      <c r="T743">
        <v>1486.35</v>
      </c>
      <c r="U743" t="s">
        <v>32</v>
      </c>
      <c r="V743" t="s">
        <v>68</v>
      </c>
      <c r="X743" s="8" t="str">
        <f>IF(C743&gt;=B743,"Valid", "Invalid-Date")</f>
        <v>Valid</v>
      </c>
      <c r="Y743" s="8" t="str">
        <f t="shared" si="100"/>
        <v>Valid</v>
      </c>
      <c r="Z743" s="8" t="str">
        <f t="shared" si="101"/>
        <v>Pass</v>
      </c>
      <c r="AA743" s="8" t="str">
        <f t="shared" si="102"/>
        <v>Pass</v>
      </c>
      <c r="AB743" s="8" t="str">
        <f>TEXT(B743,"mmmm")</f>
        <v>April</v>
      </c>
      <c r="AC743" s="8" t="str">
        <f>TEXT(B743,"yyyy")</f>
        <v>2025</v>
      </c>
      <c r="AE743">
        <f t="shared" si="103"/>
        <v>8853.36</v>
      </c>
      <c r="AF743" s="11">
        <f t="shared" si="104"/>
        <v>8853.36</v>
      </c>
      <c r="AG743">
        <f t="shared" si="105"/>
        <v>3257.0200000000004</v>
      </c>
      <c r="AH743" s="11">
        <f t="shared" si="106"/>
        <v>0.36788518709280998</v>
      </c>
      <c r="AI743" s="44">
        <f t="shared" si="107"/>
        <v>0.36788518709280998</v>
      </c>
    </row>
    <row r="744" spans="1:35">
      <c r="A744" t="s">
        <v>2305</v>
      </c>
      <c r="B744" s="5">
        <v>45580</v>
      </c>
      <c r="C744" s="5">
        <v>45587</v>
      </c>
      <c r="D744" s="13">
        <f t="shared" si="99"/>
        <v>7</v>
      </c>
      <c r="E744" t="s">
        <v>2306</v>
      </c>
      <c r="F744" t="s">
        <v>23</v>
      </c>
      <c r="G744" t="s">
        <v>90</v>
      </c>
      <c r="H744" t="s">
        <v>38</v>
      </c>
      <c r="I744" t="s">
        <v>39</v>
      </c>
      <c r="J744" t="s">
        <v>40</v>
      </c>
      <c r="K744" t="s">
        <v>28</v>
      </c>
      <c r="L744" t="s">
        <v>29</v>
      </c>
      <c r="M744" t="s">
        <v>2307</v>
      </c>
      <c r="N744" t="s">
        <v>59</v>
      </c>
      <c r="O744">
        <v>4</v>
      </c>
      <c r="P744">
        <v>2260.9499999999998</v>
      </c>
      <c r="Q744" s="11">
        <v>0</v>
      </c>
      <c r="R744">
        <v>9043.7999999999993</v>
      </c>
      <c r="S744">
        <v>5913.38</v>
      </c>
      <c r="T744">
        <v>3130.42</v>
      </c>
      <c r="U744" t="s">
        <v>32</v>
      </c>
      <c r="V744" t="s">
        <v>33</v>
      </c>
      <c r="X744" s="8" t="str">
        <f>IF(C744&gt;=B744,"Valid", "Invalid-Date")</f>
        <v>Valid</v>
      </c>
      <c r="Y744" s="8" t="str">
        <f t="shared" si="100"/>
        <v>Valid</v>
      </c>
      <c r="Z744" s="8" t="str">
        <f t="shared" si="101"/>
        <v>Pass</v>
      </c>
      <c r="AA744" s="8" t="str">
        <f t="shared" si="102"/>
        <v>Pass</v>
      </c>
      <c r="AB744" s="8" t="str">
        <f>TEXT(B744,"mmmm")</f>
        <v>October</v>
      </c>
      <c r="AC744" s="8" t="str">
        <f>TEXT(B744,"yyyy")</f>
        <v>2024</v>
      </c>
      <c r="AE744">
        <f t="shared" si="103"/>
        <v>9043.7999999999993</v>
      </c>
      <c r="AF744" s="11">
        <f t="shared" si="104"/>
        <v>9043.7999999999993</v>
      </c>
      <c r="AG744">
        <f t="shared" si="105"/>
        <v>3130.4199999999992</v>
      </c>
      <c r="AH744" s="11">
        <f t="shared" si="106"/>
        <v>0.34613989694597397</v>
      </c>
      <c r="AI744" s="44">
        <f t="shared" si="107"/>
        <v>0.34613989694597397</v>
      </c>
    </row>
    <row r="745" spans="1:35">
      <c r="A745" t="s">
        <v>2308</v>
      </c>
      <c r="B745" s="5">
        <v>45993</v>
      </c>
      <c r="C745" s="5">
        <v>45702</v>
      </c>
      <c r="D745" s="13">
        <f t="shared" si="99"/>
        <v>-291</v>
      </c>
      <c r="E745" t="s">
        <v>2309</v>
      </c>
      <c r="F745" t="s">
        <v>132</v>
      </c>
      <c r="G745" t="s">
        <v>24</v>
      </c>
      <c r="H745" t="s">
        <v>25</v>
      </c>
      <c r="I745" t="s">
        <v>136</v>
      </c>
      <c r="J745" t="s">
        <v>137</v>
      </c>
      <c r="K745" t="s">
        <v>28</v>
      </c>
      <c r="L745" t="s">
        <v>48</v>
      </c>
      <c r="M745" t="s">
        <v>2310</v>
      </c>
      <c r="N745" t="s">
        <v>59</v>
      </c>
      <c r="O745">
        <v>6</v>
      </c>
      <c r="P745">
        <v>491.4</v>
      </c>
      <c r="Q745" s="11">
        <v>0.25</v>
      </c>
      <c r="R745">
        <v>2211.3000000000002</v>
      </c>
      <c r="S745">
        <v>1735.64</v>
      </c>
      <c r="T745">
        <v>475.66</v>
      </c>
      <c r="U745" t="s">
        <v>32</v>
      </c>
      <c r="V745" t="s">
        <v>33</v>
      </c>
      <c r="X745" s="8" t="str">
        <f>IF(C745&gt;=B745,"Valid", "Invalid-Date")</f>
        <v>Invalid-Date</v>
      </c>
      <c r="Y745" s="8" t="str">
        <f t="shared" si="100"/>
        <v>Valid</v>
      </c>
      <c r="Z745" s="8" t="str">
        <f t="shared" si="101"/>
        <v>Pass</v>
      </c>
      <c r="AA745" s="8" t="str">
        <f t="shared" si="102"/>
        <v>Pass</v>
      </c>
      <c r="AB745" s="8" t="str">
        <f>TEXT(B745,"mmmm")</f>
        <v>December</v>
      </c>
      <c r="AC745" s="8" t="str">
        <f>TEXT(B745,"yyyy")</f>
        <v>2025</v>
      </c>
      <c r="AE745">
        <f t="shared" si="103"/>
        <v>2948.3999999999996</v>
      </c>
      <c r="AF745" s="11">
        <f t="shared" si="104"/>
        <v>2211.2999999999997</v>
      </c>
      <c r="AG745">
        <f t="shared" si="105"/>
        <v>1212.7599999999995</v>
      </c>
      <c r="AH745" s="11">
        <f t="shared" si="106"/>
        <v>0.41132817799484456</v>
      </c>
      <c r="AI745" s="44">
        <f t="shared" si="107"/>
        <v>0.41132817799484456</v>
      </c>
    </row>
    <row r="746" spans="1:35">
      <c r="A746" t="s">
        <v>2311</v>
      </c>
      <c r="B746" s="5">
        <v>45886</v>
      </c>
      <c r="C746" s="5">
        <v>45889</v>
      </c>
      <c r="D746" s="13">
        <f t="shared" si="99"/>
        <v>3</v>
      </c>
      <c r="E746" t="s">
        <v>2312</v>
      </c>
      <c r="F746" t="s">
        <v>36</v>
      </c>
      <c r="G746" t="s">
        <v>95</v>
      </c>
      <c r="H746" t="s">
        <v>25</v>
      </c>
      <c r="I746" t="s">
        <v>122</v>
      </c>
      <c r="J746" t="s">
        <v>123</v>
      </c>
      <c r="K746" t="s">
        <v>28</v>
      </c>
      <c r="L746" t="s">
        <v>153</v>
      </c>
      <c r="M746" t="s">
        <v>2313</v>
      </c>
      <c r="N746" t="s">
        <v>50</v>
      </c>
      <c r="O746">
        <v>5</v>
      </c>
      <c r="P746">
        <v>2701.89</v>
      </c>
      <c r="Q746" s="11">
        <v>0.1</v>
      </c>
      <c r="R746">
        <v>12158.5</v>
      </c>
      <c r="S746">
        <v>10260.07</v>
      </c>
      <c r="T746">
        <v>1898.43</v>
      </c>
      <c r="U746" t="s">
        <v>32</v>
      </c>
      <c r="V746" t="s">
        <v>68</v>
      </c>
      <c r="X746" s="8" t="str">
        <f>IF(C746&gt;=B746,"Valid", "Invalid-Date")</f>
        <v>Valid</v>
      </c>
      <c r="Y746" s="8" t="str">
        <f t="shared" si="100"/>
        <v>Valid</v>
      </c>
      <c r="Z746" s="8" t="str">
        <f t="shared" si="101"/>
        <v>Pass</v>
      </c>
      <c r="AA746" s="8" t="str">
        <f t="shared" si="102"/>
        <v>Pass</v>
      </c>
      <c r="AB746" s="8" t="str">
        <f>TEXT(B746,"mmmm")</f>
        <v>August</v>
      </c>
      <c r="AC746" s="8" t="str">
        <f>TEXT(B746,"yyyy")</f>
        <v>2025</v>
      </c>
      <c r="AE746">
        <f t="shared" si="103"/>
        <v>13509.449999999999</v>
      </c>
      <c r="AF746" s="11">
        <f t="shared" si="104"/>
        <v>12158.504999999999</v>
      </c>
      <c r="AG746">
        <f t="shared" si="105"/>
        <v>3249.3799999999992</v>
      </c>
      <c r="AH746" s="11">
        <f t="shared" si="106"/>
        <v>0.24052644630240308</v>
      </c>
      <c r="AI746" s="44">
        <f t="shared" si="107"/>
        <v>0.24052644630240308</v>
      </c>
    </row>
    <row r="747" spans="1:35">
      <c r="A747" t="s">
        <v>2314</v>
      </c>
      <c r="B747" s="5">
        <v>45589</v>
      </c>
      <c r="C747" s="5">
        <v>45593</v>
      </c>
      <c r="D747" s="13">
        <f t="shared" si="99"/>
        <v>4</v>
      </c>
      <c r="E747" t="s">
        <v>2315</v>
      </c>
      <c r="F747" t="s">
        <v>36</v>
      </c>
      <c r="G747" t="s">
        <v>37</v>
      </c>
      <c r="H747" t="s">
        <v>38</v>
      </c>
      <c r="I747" t="s">
        <v>166</v>
      </c>
      <c r="J747" t="s">
        <v>167</v>
      </c>
      <c r="K747" t="s">
        <v>74</v>
      </c>
      <c r="L747" t="s">
        <v>80</v>
      </c>
      <c r="M747" t="s">
        <v>2316</v>
      </c>
      <c r="N747" t="s">
        <v>59</v>
      </c>
      <c r="O747">
        <v>3</v>
      </c>
      <c r="P747">
        <v>723.59</v>
      </c>
      <c r="Q747" s="11">
        <v>0.2</v>
      </c>
      <c r="R747">
        <v>1736.62</v>
      </c>
      <c r="S747">
        <v>1059.52</v>
      </c>
      <c r="T747">
        <v>677.1</v>
      </c>
      <c r="U747" t="s">
        <v>32</v>
      </c>
      <c r="V747" t="s">
        <v>33</v>
      </c>
      <c r="X747" s="8" t="str">
        <f>IF(C747&gt;=B747,"Valid", "Invalid-Date")</f>
        <v>Valid</v>
      </c>
      <c r="Y747" s="8" t="str">
        <f t="shared" si="100"/>
        <v>Valid</v>
      </c>
      <c r="Z747" s="8" t="str">
        <f t="shared" si="101"/>
        <v>Pass</v>
      </c>
      <c r="AA747" s="8" t="str">
        <f t="shared" si="102"/>
        <v>Pass</v>
      </c>
      <c r="AB747" s="8" t="str">
        <f>TEXT(B747,"mmmm")</f>
        <v>October</v>
      </c>
      <c r="AC747" s="8" t="str">
        <f>TEXT(B747,"yyyy")</f>
        <v>2024</v>
      </c>
      <c r="AE747">
        <f t="shared" si="103"/>
        <v>2170.77</v>
      </c>
      <c r="AF747" s="11">
        <f t="shared" si="104"/>
        <v>1736.616</v>
      </c>
      <c r="AG747">
        <f t="shared" si="105"/>
        <v>1111.25</v>
      </c>
      <c r="AH747" s="11">
        <f t="shared" si="106"/>
        <v>0.51191512689045826</v>
      </c>
      <c r="AI747" s="44">
        <f t="shared" si="107"/>
        <v>0.51191512689045826</v>
      </c>
    </row>
    <row r="748" spans="1:35">
      <c r="A748" t="s">
        <v>2317</v>
      </c>
      <c r="B748" s="5">
        <v>45661</v>
      </c>
      <c r="C748" s="5">
        <v>45667</v>
      </c>
      <c r="D748" s="13">
        <f t="shared" si="99"/>
        <v>6</v>
      </c>
      <c r="E748" t="s">
        <v>2025</v>
      </c>
      <c r="F748" t="s">
        <v>128</v>
      </c>
      <c r="G748" t="s">
        <v>95</v>
      </c>
      <c r="H748" t="s">
        <v>38</v>
      </c>
      <c r="I748" t="s">
        <v>99</v>
      </c>
      <c r="J748" t="s">
        <v>100</v>
      </c>
      <c r="K748" t="s">
        <v>28</v>
      </c>
      <c r="L748" t="s">
        <v>29</v>
      </c>
      <c r="M748" t="s">
        <v>2318</v>
      </c>
      <c r="N748" t="s">
        <v>59</v>
      </c>
      <c r="O748">
        <v>4</v>
      </c>
      <c r="P748">
        <v>2583.19</v>
      </c>
      <c r="Q748" s="11">
        <v>0.2</v>
      </c>
      <c r="R748">
        <v>8266.2099999999991</v>
      </c>
      <c r="S748">
        <v>6236.32</v>
      </c>
      <c r="T748">
        <v>2029.89</v>
      </c>
      <c r="U748" t="s">
        <v>32</v>
      </c>
      <c r="V748" t="s">
        <v>33</v>
      </c>
      <c r="X748" s="8" t="str">
        <f>IF(C748&gt;=B748,"Valid", "Invalid-Date")</f>
        <v>Valid</v>
      </c>
      <c r="Y748" s="8" t="str">
        <f t="shared" si="100"/>
        <v>Valid</v>
      </c>
      <c r="Z748" s="8" t="str">
        <f t="shared" si="101"/>
        <v>Pass</v>
      </c>
      <c r="AA748" s="8" t="str">
        <f t="shared" si="102"/>
        <v>Pass</v>
      </c>
      <c r="AB748" s="8" t="str">
        <f>TEXT(B748,"mmmm")</f>
        <v>January</v>
      </c>
      <c r="AC748" s="8" t="str">
        <f>TEXT(B748,"yyyy")</f>
        <v>2025</v>
      </c>
      <c r="AE748">
        <f t="shared" si="103"/>
        <v>10332.76</v>
      </c>
      <c r="AF748" s="11">
        <f t="shared" si="104"/>
        <v>8266.2080000000005</v>
      </c>
      <c r="AG748">
        <f t="shared" si="105"/>
        <v>4096.4400000000005</v>
      </c>
      <c r="AH748" s="11">
        <f t="shared" si="106"/>
        <v>0.39645167409288518</v>
      </c>
      <c r="AI748" s="44">
        <f t="shared" si="107"/>
        <v>0.39645167409288518</v>
      </c>
    </row>
    <row r="749" spans="1:35">
      <c r="A749" t="s">
        <v>2319</v>
      </c>
      <c r="B749" s="5">
        <v>45413</v>
      </c>
      <c r="C749" s="5">
        <v>45478</v>
      </c>
      <c r="D749" s="13">
        <f t="shared" si="99"/>
        <v>65</v>
      </c>
      <c r="E749" t="s">
        <v>2320</v>
      </c>
      <c r="F749" t="s">
        <v>47</v>
      </c>
      <c r="G749" t="s">
        <v>95</v>
      </c>
      <c r="H749" t="s">
        <v>38</v>
      </c>
      <c r="I749" t="s">
        <v>39</v>
      </c>
      <c r="J749" t="s">
        <v>40</v>
      </c>
      <c r="K749" t="s">
        <v>28</v>
      </c>
      <c r="L749" t="s">
        <v>29</v>
      </c>
      <c r="M749" t="s">
        <v>2321</v>
      </c>
      <c r="N749" t="s">
        <v>44</v>
      </c>
      <c r="O749">
        <v>8</v>
      </c>
      <c r="P749">
        <v>1473.83</v>
      </c>
      <c r="Q749" s="11">
        <v>0.15</v>
      </c>
      <c r="R749">
        <v>10022.040000000001</v>
      </c>
      <c r="S749">
        <v>5576.98</v>
      </c>
      <c r="T749">
        <v>4445.0600000000004</v>
      </c>
      <c r="U749" t="s">
        <v>32</v>
      </c>
      <c r="V749" t="s">
        <v>33</v>
      </c>
      <c r="X749" s="8" t="str">
        <f>IF(C749&gt;=B749,"Valid", "Invalid-Date")</f>
        <v>Valid</v>
      </c>
      <c r="Y749" s="8" t="str">
        <f t="shared" si="100"/>
        <v>Valid</v>
      </c>
      <c r="Z749" s="8" t="str">
        <f t="shared" si="101"/>
        <v>Pass</v>
      </c>
      <c r="AA749" s="8" t="str">
        <f t="shared" si="102"/>
        <v>Pass</v>
      </c>
      <c r="AB749" s="8" t="str">
        <f>TEXT(B749,"mmmm")</f>
        <v>May</v>
      </c>
      <c r="AC749" s="8" t="str">
        <f>TEXT(B749,"yyyy")</f>
        <v>2024</v>
      </c>
      <c r="AE749">
        <f t="shared" si="103"/>
        <v>11790.64</v>
      </c>
      <c r="AF749" s="11">
        <f t="shared" si="104"/>
        <v>10022.044</v>
      </c>
      <c r="AG749">
        <f t="shared" si="105"/>
        <v>6213.66</v>
      </c>
      <c r="AH749" s="11">
        <f t="shared" si="106"/>
        <v>0.52699938256108236</v>
      </c>
      <c r="AI749" s="44">
        <f t="shared" si="107"/>
        <v>0.52699938256108236</v>
      </c>
    </row>
    <row r="750" spans="1:35">
      <c r="A750" t="s">
        <v>2322</v>
      </c>
      <c r="B750" s="5">
        <v>45442</v>
      </c>
      <c r="C750" s="5">
        <v>45442</v>
      </c>
      <c r="D750" s="13">
        <f t="shared" si="99"/>
        <v>0</v>
      </c>
      <c r="E750" t="s">
        <v>2323</v>
      </c>
      <c r="F750" t="s">
        <v>162</v>
      </c>
      <c r="G750" t="s">
        <v>95</v>
      </c>
      <c r="H750" t="s">
        <v>25</v>
      </c>
      <c r="I750" t="s">
        <v>236</v>
      </c>
      <c r="J750" t="s">
        <v>237</v>
      </c>
      <c r="K750" t="s">
        <v>74</v>
      </c>
      <c r="L750" t="s">
        <v>171</v>
      </c>
      <c r="M750" t="s">
        <v>2324</v>
      </c>
      <c r="N750" t="s">
        <v>31</v>
      </c>
      <c r="O750">
        <v>1</v>
      </c>
      <c r="P750">
        <v>3848.04</v>
      </c>
      <c r="Q750" s="11">
        <v>0.25</v>
      </c>
      <c r="R750">
        <v>2886.03</v>
      </c>
      <c r="S750">
        <v>2064.83</v>
      </c>
      <c r="T750">
        <v>821.2</v>
      </c>
      <c r="U750" t="s">
        <v>32</v>
      </c>
      <c r="V750" t="s">
        <v>33</v>
      </c>
      <c r="X750" s="8" t="str">
        <f>IF(C750&gt;=B750,"Valid", "Invalid-Date")</f>
        <v>Valid</v>
      </c>
      <c r="Y750" s="8" t="str">
        <f t="shared" si="100"/>
        <v>Valid</v>
      </c>
      <c r="Z750" s="8" t="str">
        <f t="shared" si="101"/>
        <v>Pass</v>
      </c>
      <c r="AA750" s="8" t="str">
        <f t="shared" si="102"/>
        <v>Pass</v>
      </c>
      <c r="AB750" s="8" t="str">
        <f>TEXT(B750,"mmmm")</f>
        <v>May</v>
      </c>
      <c r="AC750" s="8" t="str">
        <f>TEXT(B750,"yyyy")</f>
        <v>2024</v>
      </c>
      <c r="AE750">
        <f t="shared" si="103"/>
        <v>3848.04</v>
      </c>
      <c r="AF750" s="11">
        <f t="shared" si="104"/>
        <v>2886.0299999999997</v>
      </c>
      <c r="AG750">
        <f t="shared" si="105"/>
        <v>1783.21</v>
      </c>
      <c r="AH750" s="11">
        <f t="shared" si="106"/>
        <v>0.46340734503799336</v>
      </c>
      <c r="AI750" s="44">
        <f t="shared" si="107"/>
        <v>0.46340734503799336</v>
      </c>
    </row>
    <row r="751" spans="1:35">
      <c r="A751" t="s">
        <v>2325</v>
      </c>
      <c r="B751" s="5">
        <v>45372</v>
      </c>
      <c r="C751" s="5">
        <v>45376</v>
      </c>
      <c r="D751" s="13">
        <f t="shared" si="99"/>
        <v>4</v>
      </c>
      <c r="E751" t="s">
        <v>2326</v>
      </c>
      <c r="F751" t="s">
        <v>89</v>
      </c>
      <c r="G751" t="s">
        <v>95</v>
      </c>
      <c r="H751" t="s">
        <v>38</v>
      </c>
      <c r="I751" t="s">
        <v>166</v>
      </c>
      <c r="J751" t="s">
        <v>167</v>
      </c>
      <c r="K751" t="s">
        <v>74</v>
      </c>
      <c r="L751" t="s">
        <v>274</v>
      </c>
      <c r="M751" t="s">
        <v>2327</v>
      </c>
      <c r="N751" t="s">
        <v>59</v>
      </c>
      <c r="O751">
        <v>1</v>
      </c>
      <c r="P751">
        <v>1716.7</v>
      </c>
      <c r="Q751" s="11">
        <v>0.15</v>
      </c>
      <c r="R751">
        <v>1459.19</v>
      </c>
      <c r="S751">
        <v>1055.79</v>
      </c>
      <c r="T751">
        <v>403.4</v>
      </c>
      <c r="U751" t="s">
        <v>32</v>
      </c>
      <c r="V751" t="s">
        <v>33</v>
      </c>
      <c r="X751" s="8" t="str">
        <f>IF(C751&gt;=B751,"Valid", "Invalid-Date")</f>
        <v>Valid</v>
      </c>
      <c r="Y751" s="8" t="str">
        <f t="shared" si="100"/>
        <v>Valid</v>
      </c>
      <c r="Z751" s="8" t="str">
        <f t="shared" si="101"/>
        <v>Pass</v>
      </c>
      <c r="AA751" s="8" t="str">
        <f t="shared" si="102"/>
        <v>Pass</v>
      </c>
      <c r="AB751" s="8" t="str">
        <f>TEXT(B751,"mmmm")</f>
        <v>March</v>
      </c>
      <c r="AC751" s="8" t="str">
        <f>TEXT(B751,"yyyy")</f>
        <v>2024</v>
      </c>
      <c r="AE751">
        <f t="shared" si="103"/>
        <v>1716.7</v>
      </c>
      <c r="AF751" s="11">
        <f t="shared" si="104"/>
        <v>1459.1949999999999</v>
      </c>
      <c r="AG751">
        <f t="shared" si="105"/>
        <v>660.91000000000008</v>
      </c>
      <c r="AH751" s="11">
        <f t="shared" si="106"/>
        <v>0.38498864099726221</v>
      </c>
      <c r="AI751" s="44">
        <f t="shared" si="107"/>
        <v>0.38498864099726221</v>
      </c>
    </row>
    <row r="752" spans="1:35">
      <c r="A752" t="s">
        <v>2328</v>
      </c>
      <c r="B752" s="5">
        <v>45694</v>
      </c>
      <c r="C752" s="5">
        <v>45694</v>
      </c>
      <c r="D752" s="13">
        <f t="shared" si="99"/>
        <v>0</v>
      </c>
      <c r="E752" t="s">
        <v>2329</v>
      </c>
      <c r="F752" t="s">
        <v>128</v>
      </c>
      <c r="G752" t="s">
        <v>95</v>
      </c>
      <c r="H752" t="s">
        <v>54</v>
      </c>
      <c r="I752" t="s">
        <v>55</v>
      </c>
      <c r="J752" t="s">
        <v>56</v>
      </c>
      <c r="K752" t="s">
        <v>74</v>
      </c>
      <c r="L752" t="s">
        <v>75</v>
      </c>
      <c r="M752" t="s">
        <v>2330</v>
      </c>
      <c r="N752" t="s">
        <v>50</v>
      </c>
      <c r="O752">
        <v>8</v>
      </c>
      <c r="P752">
        <v>3925.93</v>
      </c>
      <c r="Q752" s="11">
        <v>0.15</v>
      </c>
      <c r="R752">
        <v>26696.32</v>
      </c>
      <c r="S752">
        <v>22724.52</v>
      </c>
      <c r="T752">
        <v>3971.8</v>
      </c>
      <c r="U752" t="s">
        <v>32</v>
      </c>
      <c r="V752" t="s">
        <v>33</v>
      </c>
      <c r="X752" s="8" t="str">
        <f>IF(C752&gt;=B752,"Valid", "Invalid-Date")</f>
        <v>Valid</v>
      </c>
      <c r="Y752" s="8" t="str">
        <f t="shared" si="100"/>
        <v>Valid</v>
      </c>
      <c r="Z752" s="8" t="str">
        <f t="shared" si="101"/>
        <v>Pass</v>
      </c>
      <c r="AA752" s="8" t="str">
        <f t="shared" si="102"/>
        <v>Pass</v>
      </c>
      <c r="AB752" s="8" t="str">
        <f>TEXT(B752,"mmmm")</f>
        <v>February</v>
      </c>
      <c r="AC752" s="8" t="str">
        <f>TEXT(B752,"yyyy")</f>
        <v>2025</v>
      </c>
      <c r="AE752">
        <f t="shared" si="103"/>
        <v>31407.439999999999</v>
      </c>
      <c r="AF752" s="11">
        <f t="shared" si="104"/>
        <v>26696.323999999997</v>
      </c>
      <c r="AG752">
        <f t="shared" si="105"/>
        <v>8682.9199999999983</v>
      </c>
      <c r="AH752" s="11">
        <f t="shared" si="106"/>
        <v>0.27646060933332989</v>
      </c>
      <c r="AI752" s="44">
        <f t="shared" si="107"/>
        <v>0.27646060933332989</v>
      </c>
    </row>
    <row r="753" spans="1:35">
      <c r="A753" t="s">
        <v>2331</v>
      </c>
      <c r="B753" s="5">
        <v>45856</v>
      </c>
      <c r="C753" s="5">
        <v>45857</v>
      </c>
      <c r="D753" s="13">
        <f t="shared" si="99"/>
        <v>1</v>
      </c>
      <c r="E753" t="s">
        <v>2332</v>
      </c>
      <c r="F753" t="s">
        <v>114</v>
      </c>
      <c r="G753" t="s">
        <v>95</v>
      </c>
      <c r="H753" t="s">
        <v>2785</v>
      </c>
      <c r="I753" t="s">
        <v>136</v>
      </c>
      <c r="J753" t="s">
        <v>137</v>
      </c>
      <c r="K753" t="s">
        <v>74</v>
      </c>
      <c r="L753" t="s">
        <v>274</v>
      </c>
      <c r="M753" t="s">
        <v>2333</v>
      </c>
      <c r="N753" t="s">
        <v>2785</v>
      </c>
      <c r="O753">
        <v>3</v>
      </c>
      <c r="P753">
        <v>2963.25</v>
      </c>
      <c r="Q753" s="11">
        <v>0.05</v>
      </c>
      <c r="R753">
        <v>8445.26</v>
      </c>
      <c r="S753">
        <v>6937.6</v>
      </c>
      <c r="T753">
        <v>1507.66</v>
      </c>
      <c r="U753" t="s">
        <v>32</v>
      </c>
      <c r="V753" t="s">
        <v>33</v>
      </c>
      <c r="X753" s="8" t="str">
        <f>IF(C753&gt;=B753,"Valid", "Invalid-Date")</f>
        <v>Valid</v>
      </c>
      <c r="Y753" s="8" t="str">
        <f t="shared" si="100"/>
        <v>Valid</v>
      </c>
      <c r="Z753" s="8" t="str">
        <f t="shared" si="101"/>
        <v>Flagged</v>
      </c>
      <c r="AA753" s="8" t="str">
        <f t="shared" si="102"/>
        <v>Flagged</v>
      </c>
      <c r="AB753" s="8" t="str">
        <f>TEXT(B753,"mmmm")</f>
        <v>July</v>
      </c>
      <c r="AC753" s="8" t="str">
        <f>TEXT(B753,"yyyy")</f>
        <v>2025</v>
      </c>
      <c r="AE753">
        <f t="shared" si="103"/>
        <v>8889.75</v>
      </c>
      <c r="AF753" s="11">
        <f t="shared" si="104"/>
        <v>8445.2624999999989</v>
      </c>
      <c r="AG753">
        <f t="shared" si="105"/>
        <v>1952.1499999999996</v>
      </c>
      <c r="AH753" s="11">
        <f t="shared" si="106"/>
        <v>0.21959560167608758</v>
      </c>
      <c r="AI753" s="44">
        <f t="shared" si="107"/>
        <v>0.21959560167608758</v>
      </c>
    </row>
    <row r="754" spans="1:35">
      <c r="A754" t="s">
        <v>2334</v>
      </c>
      <c r="B754" s="5">
        <v>45375</v>
      </c>
      <c r="C754" s="5">
        <v>45378</v>
      </c>
      <c r="D754" s="13">
        <f t="shared" si="99"/>
        <v>3</v>
      </c>
      <c r="E754" t="s">
        <v>2335</v>
      </c>
      <c r="F754" t="s">
        <v>89</v>
      </c>
      <c r="G754" t="s">
        <v>90</v>
      </c>
      <c r="H754" t="s">
        <v>63</v>
      </c>
      <c r="I754" t="s">
        <v>180</v>
      </c>
      <c r="J754" t="s">
        <v>181</v>
      </c>
      <c r="K754" t="s">
        <v>28</v>
      </c>
      <c r="L754" t="s">
        <v>124</v>
      </c>
      <c r="M754" t="s">
        <v>2336</v>
      </c>
      <c r="N754" t="s">
        <v>50</v>
      </c>
      <c r="O754">
        <v>5</v>
      </c>
      <c r="P754">
        <v>2465.2199999999998</v>
      </c>
      <c r="Q754" s="11">
        <v>0.05</v>
      </c>
      <c r="R754">
        <v>11709.79</v>
      </c>
      <c r="S754">
        <v>8372.2900000000009</v>
      </c>
      <c r="T754">
        <v>3337.5</v>
      </c>
      <c r="U754" t="s">
        <v>32</v>
      </c>
      <c r="V754" t="s">
        <v>33</v>
      </c>
      <c r="X754" s="8" t="str">
        <f>IF(C754&gt;=B754,"Valid", "Invalid-Date")</f>
        <v>Valid</v>
      </c>
      <c r="Y754" s="8" t="str">
        <f t="shared" si="100"/>
        <v>Valid</v>
      </c>
      <c r="Z754" s="8" t="str">
        <f t="shared" si="101"/>
        <v>Pass</v>
      </c>
      <c r="AA754" s="8" t="str">
        <f t="shared" si="102"/>
        <v>Pass</v>
      </c>
      <c r="AB754" s="8" t="str">
        <f>TEXT(B754,"mmmm")</f>
        <v>March</v>
      </c>
      <c r="AC754" s="8" t="str">
        <f>TEXT(B754,"yyyy")</f>
        <v>2024</v>
      </c>
      <c r="AE754">
        <f t="shared" si="103"/>
        <v>12326.099999999999</v>
      </c>
      <c r="AF754" s="11">
        <f t="shared" si="104"/>
        <v>11709.794999999998</v>
      </c>
      <c r="AG754">
        <f t="shared" si="105"/>
        <v>3953.8099999999977</v>
      </c>
      <c r="AH754" s="11">
        <f t="shared" si="106"/>
        <v>0.32076731488467547</v>
      </c>
      <c r="AI754" s="44">
        <f t="shared" si="107"/>
        <v>0.32076731488467547</v>
      </c>
    </row>
    <row r="755" spans="1:35">
      <c r="A755" t="s">
        <v>2337</v>
      </c>
      <c r="B755" s="5">
        <v>45515</v>
      </c>
      <c r="C755" s="5">
        <v>45514</v>
      </c>
      <c r="D755" s="13">
        <f t="shared" si="99"/>
        <v>-1</v>
      </c>
      <c r="E755" t="s">
        <v>2338</v>
      </c>
      <c r="F755" t="s">
        <v>89</v>
      </c>
      <c r="G755" t="s">
        <v>90</v>
      </c>
      <c r="H755" t="s">
        <v>25</v>
      </c>
      <c r="I755" t="s">
        <v>350</v>
      </c>
      <c r="J755" t="s">
        <v>351</v>
      </c>
      <c r="K755" t="s">
        <v>41</v>
      </c>
      <c r="L755" t="s">
        <v>57</v>
      </c>
      <c r="M755" t="s">
        <v>2339</v>
      </c>
      <c r="N755" t="s">
        <v>31</v>
      </c>
      <c r="O755">
        <v>3</v>
      </c>
      <c r="P755">
        <v>1017.22</v>
      </c>
      <c r="Q755" s="11">
        <v>0.15</v>
      </c>
      <c r="R755">
        <v>2593.91</v>
      </c>
      <c r="S755">
        <v>1848.48</v>
      </c>
      <c r="T755">
        <v>745.43</v>
      </c>
      <c r="U755" t="s">
        <v>155</v>
      </c>
      <c r="V755" t="s">
        <v>103</v>
      </c>
      <c r="X755" s="8" t="str">
        <f>IF(C755&gt;=B755,"Valid", "Invalid-Date")</f>
        <v>Invalid-Date</v>
      </c>
      <c r="Y755" s="8" t="str">
        <f t="shared" si="100"/>
        <v>Valid</v>
      </c>
      <c r="Z755" s="8" t="str">
        <f t="shared" si="101"/>
        <v>Pass</v>
      </c>
      <c r="AA755" s="8" t="str">
        <f t="shared" si="102"/>
        <v>Pass</v>
      </c>
      <c r="AB755" s="8" t="str">
        <f>TEXT(B755,"mmmm")</f>
        <v>August</v>
      </c>
      <c r="AC755" s="8" t="str">
        <f>TEXT(B755,"yyyy")</f>
        <v>2024</v>
      </c>
      <c r="AE755">
        <f t="shared" si="103"/>
        <v>3051.66</v>
      </c>
      <c r="AF755" s="11">
        <f t="shared" si="104"/>
        <v>2593.9109999999996</v>
      </c>
      <c r="AG755">
        <f t="shared" si="105"/>
        <v>1203.1799999999998</v>
      </c>
      <c r="AH755" s="11">
        <f t="shared" si="106"/>
        <v>0.39427065924775367</v>
      </c>
      <c r="AI755" s="44">
        <f t="shared" si="107"/>
        <v>0.39427065924775367</v>
      </c>
    </row>
    <row r="756" spans="1:35">
      <c r="A756" t="s">
        <v>2340</v>
      </c>
      <c r="B756" s="5">
        <v>45753</v>
      </c>
      <c r="C756" s="5">
        <v>45753</v>
      </c>
      <c r="D756" s="13">
        <f t="shared" si="99"/>
        <v>0</v>
      </c>
      <c r="E756" t="s">
        <v>2341</v>
      </c>
      <c r="F756" t="s">
        <v>79</v>
      </c>
      <c r="G756" t="s">
        <v>90</v>
      </c>
      <c r="H756" t="s">
        <v>54</v>
      </c>
      <c r="I756" t="s">
        <v>185</v>
      </c>
      <c r="J756" t="s">
        <v>186</v>
      </c>
      <c r="K756" t="s">
        <v>28</v>
      </c>
      <c r="L756" t="s">
        <v>124</v>
      </c>
      <c r="M756" t="s">
        <v>2342</v>
      </c>
      <c r="N756" t="s">
        <v>59</v>
      </c>
      <c r="O756">
        <v>4</v>
      </c>
      <c r="P756">
        <v>891.34</v>
      </c>
      <c r="Q756" s="11">
        <v>0.25</v>
      </c>
      <c r="R756">
        <v>2674.02</v>
      </c>
      <c r="S756">
        <v>2207.5700000000002</v>
      </c>
      <c r="T756">
        <v>466.45</v>
      </c>
      <c r="U756" t="s">
        <v>32</v>
      </c>
      <c r="V756" t="s">
        <v>33</v>
      </c>
      <c r="X756" s="8" t="str">
        <f>IF(C756&gt;=B756,"Valid", "Invalid-Date")</f>
        <v>Valid</v>
      </c>
      <c r="Y756" s="8" t="str">
        <f t="shared" si="100"/>
        <v>Valid</v>
      </c>
      <c r="Z756" s="8" t="str">
        <f t="shared" si="101"/>
        <v>Pass</v>
      </c>
      <c r="AA756" s="8" t="str">
        <f t="shared" si="102"/>
        <v>Pass</v>
      </c>
      <c r="AB756" s="8" t="str">
        <f>TEXT(B756,"mmmm")</f>
        <v>April</v>
      </c>
      <c r="AC756" s="8" t="str">
        <f>TEXT(B756,"yyyy")</f>
        <v>2025</v>
      </c>
      <c r="AE756">
        <f t="shared" si="103"/>
        <v>3565.36</v>
      </c>
      <c r="AF756" s="11">
        <f t="shared" si="104"/>
        <v>2674.02</v>
      </c>
      <c r="AG756">
        <f t="shared" si="105"/>
        <v>1357.79</v>
      </c>
      <c r="AH756" s="11">
        <f t="shared" si="106"/>
        <v>0.38082830345322771</v>
      </c>
      <c r="AI756" s="44">
        <f t="shared" si="107"/>
        <v>0.38082830345322771</v>
      </c>
    </row>
    <row r="757" spans="1:35">
      <c r="A757" t="s">
        <v>2343</v>
      </c>
      <c r="B757" s="5">
        <v>45858</v>
      </c>
      <c r="C757" s="5">
        <v>45862</v>
      </c>
      <c r="D757" s="13">
        <f t="shared" si="99"/>
        <v>4</v>
      </c>
      <c r="E757" t="s">
        <v>2344</v>
      </c>
      <c r="F757" t="s">
        <v>114</v>
      </c>
      <c r="G757" t="s">
        <v>95</v>
      </c>
      <c r="H757" t="s">
        <v>63</v>
      </c>
      <c r="I757" t="s">
        <v>72</v>
      </c>
      <c r="J757" t="s">
        <v>73</v>
      </c>
      <c r="K757" t="s">
        <v>28</v>
      </c>
      <c r="L757" t="s">
        <v>124</v>
      </c>
      <c r="M757" t="s">
        <v>2345</v>
      </c>
      <c r="N757" t="s">
        <v>31</v>
      </c>
      <c r="O757">
        <v>5</v>
      </c>
      <c r="P757">
        <v>2481.7399999999998</v>
      </c>
      <c r="Q757" s="11">
        <v>0.2</v>
      </c>
      <c r="R757">
        <v>9926.9599999999991</v>
      </c>
      <c r="S757">
        <v>7994.98</v>
      </c>
      <c r="T757">
        <v>1931.98</v>
      </c>
      <c r="U757" t="s">
        <v>32</v>
      </c>
      <c r="V757" t="s">
        <v>33</v>
      </c>
      <c r="X757" s="8" t="str">
        <f>IF(C757&gt;=B757,"Valid", "Invalid-Date")</f>
        <v>Valid</v>
      </c>
      <c r="Y757" s="8" t="str">
        <f t="shared" si="100"/>
        <v>Valid</v>
      </c>
      <c r="Z757" s="8" t="str">
        <f t="shared" si="101"/>
        <v>Pass</v>
      </c>
      <c r="AA757" s="8" t="str">
        <f t="shared" si="102"/>
        <v>Pass</v>
      </c>
      <c r="AB757" s="8" t="str">
        <f>TEXT(B757,"mmmm")</f>
        <v>July</v>
      </c>
      <c r="AC757" s="8" t="str">
        <f>TEXT(B757,"yyyy")</f>
        <v>2025</v>
      </c>
      <c r="AE757">
        <f t="shared" si="103"/>
        <v>12408.699999999999</v>
      </c>
      <c r="AF757" s="11">
        <f t="shared" si="104"/>
        <v>9926.9599999999991</v>
      </c>
      <c r="AG757">
        <f t="shared" si="105"/>
        <v>4413.7199999999993</v>
      </c>
      <c r="AH757" s="11">
        <f t="shared" si="106"/>
        <v>0.35569560066727374</v>
      </c>
      <c r="AI757" s="44">
        <f t="shared" si="107"/>
        <v>0.35569560066727374</v>
      </c>
    </row>
    <row r="758" spans="1:35">
      <c r="A758" t="s">
        <v>2346</v>
      </c>
      <c r="B758" s="5">
        <v>45592</v>
      </c>
      <c r="C758" s="5">
        <v>45302</v>
      </c>
      <c r="D758" s="13">
        <f t="shared" si="99"/>
        <v>-290</v>
      </c>
      <c r="E758" t="s">
        <v>2347</v>
      </c>
      <c r="F758" t="s">
        <v>141</v>
      </c>
      <c r="G758" t="s">
        <v>24</v>
      </c>
      <c r="H758" t="s">
        <v>25</v>
      </c>
      <c r="I758" t="s">
        <v>26</v>
      </c>
      <c r="J758" t="s">
        <v>27</v>
      </c>
      <c r="K758" t="s">
        <v>74</v>
      </c>
      <c r="L758" t="s">
        <v>75</v>
      </c>
      <c r="M758" t="s">
        <v>2348</v>
      </c>
      <c r="N758" t="s">
        <v>44</v>
      </c>
      <c r="O758">
        <v>7</v>
      </c>
      <c r="P758">
        <v>2177.1</v>
      </c>
      <c r="Q758" s="11">
        <v>0.2</v>
      </c>
      <c r="R758">
        <v>12191.76</v>
      </c>
      <c r="S758">
        <v>10457.49</v>
      </c>
      <c r="T758">
        <v>1734.27</v>
      </c>
      <c r="U758" t="s">
        <v>32</v>
      </c>
      <c r="V758" t="s">
        <v>103</v>
      </c>
      <c r="X758" s="8" t="str">
        <f>IF(C758&gt;=B758,"Valid", "Invalid-Date")</f>
        <v>Invalid-Date</v>
      </c>
      <c r="Y758" s="8" t="str">
        <f t="shared" si="100"/>
        <v>Valid</v>
      </c>
      <c r="Z758" s="8" t="str">
        <f t="shared" si="101"/>
        <v>Pass</v>
      </c>
      <c r="AA758" s="8" t="str">
        <f t="shared" si="102"/>
        <v>Pass</v>
      </c>
      <c r="AB758" s="8" t="str">
        <f>TEXT(B758,"mmmm")</f>
        <v>October</v>
      </c>
      <c r="AC758" s="8" t="str">
        <f>TEXT(B758,"yyyy")</f>
        <v>2024</v>
      </c>
      <c r="AE758">
        <f t="shared" si="103"/>
        <v>15239.699999999999</v>
      </c>
      <c r="AF758" s="11">
        <f t="shared" si="104"/>
        <v>12191.76</v>
      </c>
      <c r="AG758">
        <f t="shared" si="105"/>
        <v>4782.2099999999991</v>
      </c>
      <c r="AH758" s="11">
        <f t="shared" si="106"/>
        <v>0.31379948424181575</v>
      </c>
      <c r="AI758" s="44">
        <f t="shared" si="107"/>
        <v>0.31379948424181575</v>
      </c>
    </row>
    <row r="759" spans="1:35">
      <c r="A759" t="s">
        <v>2349</v>
      </c>
      <c r="B759" s="5">
        <v>45870</v>
      </c>
      <c r="C759" s="5">
        <v>45724</v>
      </c>
      <c r="D759" s="13">
        <f t="shared" si="99"/>
        <v>-146</v>
      </c>
      <c r="E759" t="s">
        <v>2350</v>
      </c>
      <c r="F759" t="s">
        <v>89</v>
      </c>
      <c r="G759" t="s">
        <v>37</v>
      </c>
      <c r="H759" t="s">
        <v>54</v>
      </c>
      <c r="I759" t="s">
        <v>185</v>
      </c>
      <c r="J759" t="s">
        <v>186</v>
      </c>
      <c r="K759" t="s">
        <v>41</v>
      </c>
      <c r="L759" t="s">
        <v>158</v>
      </c>
      <c r="M759" t="s">
        <v>2351</v>
      </c>
      <c r="N759" t="s">
        <v>59</v>
      </c>
      <c r="O759">
        <v>3</v>
      </c>
      <c r="P759">
        <v>1904.78</v>
      </c>
      <c r="Q759" s="11">
        <v>0.25</v>
      </c>
      <c r="R759">
        <v>4285.76</v>
      </c>
      <c r="S759">
        <v>2386.33</v>
      </c>
      <c r="T759">
        <v>1899.43</v>
      </c>
      <c r="U759" t="s">
        <v>155</v>
      </c>
      <c r="V759" t="s">
        <v>68</v>
      </c>
      <c r="X759" s="8" t="str">
        <f>IF(C759&gt;=B759,"Valid", "Invalid-Date")</f>
        <v>Invalid-Date</v>
      </c>
      <c r="Y759" s="8" t="str">
        <f t="shared" si="100"/>
        <v>Valid</v>
      </c>
      <c r="Z759" s="8" t="str">
        <f t="shared" si="101"/>
        <v>Pass</v>
      </c>
      <c r="AA759" s="8" t="str">
        <f t="shared" si="102"/>
        <v>Pass</v>
      </c>
      <c r="AB759" s="8" t="str">
        <f>TEXT(B759,"mmmm")</f>
        <v>August</v>
      </c>
      <c r="AC759" s="8" t="str">
        <f>TEXT(B759,"yyyy")</f>
        <v>2025</v>
      </c>
      <c r="AE759">
        <f t="shared" si="103"/>
        <v>5714.34</v>
      </c>
      <c r="AF759" s="11">
        <f t="shared" si="104"/>
        <v>4285.7550000000001</v>
      </c>
      <c r="AG759">
        <f t="shared" si="105"/>
        <v>3328.01</v>
      </c>
      <c r="AH759" s="11">
        <f t="shared" si="106"/>
        <v>0.58239621723593626</v>
      </c>
      <c r="AI759" s="44">
        <f t="shared" si="107"/>
        <v>0.58239621723593626</v>
      </c>
    </row>
    <row r="760" spans="1:35">
      <c r="A760" t="s">
        <v>2352</v>
      </c>
      <c r="B760" s="5">
        <v>45414</v>
      </c>
      <c r="C760" s="5">
        <v>45570</v>
      </c>
      <c r="D760" s="13">
        <f t="shared" si="99"/>
        <v>156</v>
      </c>
      <c r="E760" t="s">
        <v>2353</v>
      </c>
      <c r="F760" t="s">
        <v>128</v>
      </c>
      <c r="G760" t="s">
        <v>37</v>
      </c>
      <c r="H760" t="s">
        <v>54</v>
      </c>
      <c r="I760" t="s">
        <v>175</v>
      </c>
      <c r="J760" t="s">
        <v>176</v>
      </c>
      <c r="K760" t="s">
        <v>41</v>
      </c>
      <c r="L760" t="s">
        <v>66</v>
      </c>
      <c r="M760" t="s">
        <v>2354</v>
      </c>
      <c r="N760" t="s">
        <v>59</v>
      </c>
      <c r="O760">
        <v>1</v>
      </c>
      <c r="P760">
        <v>4166.91</v>
      </c>
      <c r="Q760" s="11">
        <v>0</v>
      </c>
      <c r="R760">
        <v>4166.91</v>
      </c>
      <c r="S760">
        <v>3412.63</v>
      </c>
      <c r="T760">
        <v>754.28</v>
      </c>
      <c r="U760" t="s">
        <v>32</v>
      </c>
      <c r="V760" t="s">
        <v>33</v>
      </c>
      <c r="X760" s="8" t="str">
        <f>IF(C760&gt;=B760,"Valid", "Invalid-Date")</f>
        <v>Valid</v>
      </c>
      <c r="Y760" s="8" t="str">
        <f t="shared" si="100"/>
        <v>Valid</v>
      </c>
      <c r="Z760" s="8" t="str">
        <f t="shared" si="101"/>
        <v>Pass</v>
      </c>
      <c r="AA760" s="8" t="str">
        <f t="shared" si="102"/>
        <v>Pass</v>
      </c>
      <c r="AB760" s="8" t="str">
        <f>TEXT(B760,"mmmm")</f>
        <v>May</v>
      </c>
      <c r="AC760" s="8" t="str">
        <f>TEXT(B760,"yyyy")</f>
        <v>2024</v>
      </c>
      <c r="AE760">
        <f t="shared" si="103"/>
        <v>4166.91</v>
      </c>
      <c r="AF760" s="11">
        <f t="shared" si="104"/>
        <v>4166.91</v>
      </c>
      <c r="AG760">
        <f t="shared" si="105"/>
        <v>754.27999999999975</v>
      </c>
      <c r="AH760" s="11">
        <f t="shared" si="106"/>
        <v>0.18101662862888801</v>
      </c>
      <c r="AI760" s="44">
        <f t="shared" si="107"/>
        <v>0.18101662862888801</v>
      </c>
    </row>
    <row r="761" spans="1:35">
      <c r="A761" t="s">
        <v>2355</v>
      </c>
      <c r="B761" s="5">
        <v>45492</v>
      </c>
      <c r="C761" s="5">
        <v>45499</v>
      </c>
      <c r="D761" s="13">
        <f t="shared" si="99"/>
        <v>7</v>
      </c>
      <c r="E761" t="s">
        <v>2356</v>
      </c>
      <c r="F761" t="s">
        <v>53</v>
      </c>
      <c r="G761" t="s">
        <v>95</v>
      </c>
      <c r="H761" t="s">
        <v>54</v>
      </c>
      <c r="I761" t="s">
        <v>175</v>
      </c>
      <c r="J761" t="s">
        <v>176</v>
      </c>
      <c r="K761" t="s">
        <v>41</v>
      </c>
      <c r="L761" t="s">
        <v>42</v>
      </c>
      <c r="M761" t="s">
        <v>2357</v>
      </c>
      <c r="N761" t="s">
        <v>31</v>
      </c>
      <c r="O761">
        <v>5</v>
      </c>
      <c r="P761">
        <v>3986.01</v>
      </c>
      <c r="Q761" s="11">
        <v>0.25</v>
      </c>
      <c r="R761">
        <v>14947.54</v>
      </c>
      <c r="S761">
        <v>9438.4599999999991</v>
      </c>
      <c r="T761">
        <v>5509.08</v>
      </c>
      <c r="U761" t="s">
        <v>32</v>
      </c>
      <c r="V761" t="s">
        <v>33</v>
      </c>
      <c r="X761" s="8" t="str">
        <f>IF(C761&gt;=B761,"Valid", "Invalid-Date")</f>
        <v>Valid</v>
      </c>
      <c r="Y761" s="8" t="str">
        <f t="shared" si="100"/>
        <v>Valid</v>
      </c>
      <c r="Z761" s="8" t="str">
        <f t="shared" si="101"/>
        <v>Pass</v>
      </c>
      <c r="AA761" s="8" t="str">
        <f t="shared" si="102"/>
        <v>Pass</v>
      </c>
      <c r="AB761" s="8" t="str">
        <f>TEXT(B761,"mmmm")</f>
        <v>July</v>
      </c>
      <c r="AC761" s="8" t="str">
        <f>TEXT(B761,"yyyy")</f>
        <v>2024</v>
      </c>
      <c r="AE761">
        <f t="shared" si="103"/>
        <v>19930.050000000003</v>
      </c>
      <c r="AF761" s="11">
        <f t="shared" si="104"/>
        <v>14947.537500000002</v>
      </c>
      <c r="AG761">
        <f t="shared" si="105"/>
        <v>10491.590000000004</v>
      </c>
      <c r="AH761" s="11">
        <f t="shared" si="106"/>
        <v>0.52642065624521772</v>
      </c>
      <c r="AI761" s="44">
        <f t="shared" si="107"/>
        <v>0.52642065624521772</v>
      </c>
    </row>
    <row r="762" spans="1:35">
      <c r="A762" t="s">
        <v>2358</v>
      </c>
      <c r="B762" s="5">
        <v>45532</v>
      </c>
      <c r="C762" s="5">
        <v>45331</v>
      </c>
      <c r="D762" s="13">
        <f t="shared" si="99"/>
        <v>-201</v>
      </c>
      <c r="E762" t="s">
        <v>2359</v>
      </c>
      <c r="F762" t="s">
        <v>89</v>
      </c>
      <c r="G762" t="s">
        <v>95</v>
      </c>
      <c r="H762" t="s">
        <v>38</v>
      </c>
      <c r="I762" t="s">
        <v>166</v>
      </c>
      <c r="J762" t="s">
        <v>167</v>
      </c>
      <c r="K762" t="s">
        <v>28</v>
      </c>
      <c r="L762" t="s">
        <v>48</v>
      </c>
      <c r="M762" t="s">
        <v>2360</v>
      </c>
      <c r="N762" t="s">
        <v>31</v>
      </c>
      <c r="O762">
        <v>4</v>
      </c>
      <c r="P762">
        <v>3365.53</v>
      </c>
      <c r="Q762" s="11">
        <v>0</v>
      </c>
      <c r="R762">
        <v>13462.12</v>
      </c>
      <c r="S762">
        <v>7600.63</v>
      </c>
      <c r="T762">
        <v>5861.49</v>
      </c>
      <c r="U762" t="s">
        <v>111</v>
      </c>
      <c r="V762" t="s">
        <v>103</v>
      </c>
      <c r="X762" s="8" t="str">
        <f>IF(C762&gt;=B762,"Valid", "Invalid-Date")</f>
        <v>Invalid-Date</v>
      </c>
      <c r="Y762" s="8" t="str">
        <f t="shared" si="100"/>
        <v>Valid</v>
      </c>
      <c r="Z762" s="8" t="str">
        <f t="shared" si="101"/>
        <v>Pass</v>
      </c>
      <c r="AA762" s="8" t="str">
        <f t="shared" si="102"/>
        <v>Pass</v>
      </c>
      <c r="AB762" s="8" t="str">
        <f>TEXT(B762,"mmmm")</f>
        <v>August</v>
      </c>
      <c r="AC762" s="8" t="str">
        <f>TEXT(B762,"yyyy")</f>
        <v>2024</v>
      </c>
      <c r="AE762">
        <f t="shared" si="103"/>
        <v>13462.12</v>
      </c>
      <c r="AF762" s="11">
        <f t="shared" si="104"/>
        <v>13462.12</v>
      </c>
      <c r="AG762">
        <f t="shared" si="105"/>
        <v>5861.4900000000007</v>
      </c>
      <c r="AH762" s="11">
        <f t="shared" si="106"/>
        <v>0.43540616188237813</v>
      </c>
      <c r="AI762" s="44">
        <f t="shared" si="107"/>
        <v>0.43540616188237813</v>
      </c>
    </row>
    <row r="763" spans="1:35">
      <c r="A763" t="s">
        <v>2361</v>
      </c>
      <c r="B763" s="5">
        <v>45896</v>
      </c>
      <c r="C763" s="5">
        <v>45900</v>
      </c>
      <c r="D763" s="13">
        <f t="shared" si="99"/>
        <v>4</v>
      </c>
      <c r="E763" t="s">
        <v>2362</v>
      </c>
      <c r="F763" t="s">
        <v>47</v>
      </c>
      <c r="G763" t="s">
        <v>24</v>
      </c>
      <c r="H763" t="s">
        <v>54</v>
      </c>
      <c r="I763" t="s">
        <v>175</v>
      </c>
      <c r="J763" t="s">
        <v>176</v>
      </c>
      <c r="K763" t="s">
        <v>74</v>
      </c>
      <c r="L763" t="s">
        <v>274</v>
      </c>
      <c r="M763" t="s">
        <v>2363</v>
      </c>
      <c r="N763" t="s">
        <v>50</v>
      </c>
      <c r="O763">
        <v>3</v>
      </c>
      <c r="P763">
        <v>2489.12</v>
      </c>
      <c r="Q763" s="11">
        <v>0</v>
      </c>
      <c r="R763">
        <v>7467.36</v>
      </c>
      <c r="S763">
        <v>5010.6099999999997</v>
      </c>
      <c r="T763">
        <v>2456.75</v>
      </c>
      <c r="U763" t="s">
        <v>32</v>
      </c>
      <c r="V763" t="s">
        <v>33</v>
      </c>
      <c r="X763" s="8" t="str">
        <f>IF(C763&gt;=B763,"Valid", "Invalid-Date")</f>
        <v>Valid</v>
      </c>
      <c r="Y763" s="8" t="str">
        <f t="shared" si="100"/>
        <v>Valid</v>
      </c>
      <c r="Z763" s="8" t="str">
        <f t="shared" si="101"/>
        <v>Pass</v>
      </c>
      <c r="AA763" s="8" t="str">
        <f t="shared" si="102"/>
        <v>Pass</v>
      </c>
      <c r="AB763" s="8" t="str">
        <f>TEXT(B763,"mmmm")</f>
        <v>August</v>
      </c>
      <c r="AC763" s="8" t="str">
        <f>TEXT(B763,"yyyy")</f>
        <v>2025</v>
      </c>
      <c r="AE763">
        <f t="shared" si="103"/>
        <v>7467.36</v>
      </c>
      <c r="AF763" s="11">
        <f t="shared" si="104"/>
        <v>7467.36</v>
      </c>
      <c r="AG763">
        <f t="shared" si="105"/>
        <v>2456.75</v>
      </c>
      <c r="AH763" s="11">
        <f t="shared" si="106"/>
        <v>0.32899846799940008</v>
      </c>
      <c r="AI763" s="44">
        <f t="shared" si="107"/>
        <v>0.32899846799940008</v>
      </c>
    </row>
    <row r="764" spans="1:35">
      <c r="A764" t="s">
        <v>2364</v>
      </c>
      <c r="B764" s="5">
        <v>45292</v>
      </c>
      <c r="C764" s="5">
        <v>45413</v>
      </c>
      <c r="D764" s="13">
        <f t="shared" si="99"/>
        <v>121</v>
      </c>
      <c r="E764" t="s">
        <v>2365</v>
      </c>
      <c r="F764" t="s">
        <v>162</v>
      </c>
      <c r="G764" t="s">
        <v>90</v>
      </c>
      <c r="H764" t="s">
        <v>63</v>
      </c>
      <c r="I764" t="s">
        <v>72</v>
      </c>
      <c r="J764" t="s">
        <v>73</v>
      </c>
      <c r="K764" t="s">
        <v>74</v>
      </c>
      <c r="L764" t="s">
        <v>274</v>
      </c>
      <c r="M764" t="s">
        <v>2366</v>
      </c>
      <c r="N764" t="s">
        <v>31</v>
      </c>
      <c r="O764">
        <v>2</v>
      </c>
      <c r="P764">
        <v>3694.12</v>
      </c>
      <c r="Q764" s="11">
        <v>0.2</v>
      </c>
      <c r="R764">
        <v>5910.59</v>
      </c>
      <c r="S764">
        <v>4775.4399999999996</v>
      </c>
      <c r="T764">
        <v>1135.1500000000001</v>
      </c>
      <c r="U764" t="s">
        <v>102</v>
      </c>
      <c r="V764" t="s">
        <v>103</v>
      </c>
      <c r="X764" s="8" t="str">
        <f>IF(C764&gt;=B764,"Valid", "Invalid-Date")</f>
        <v>Valid</v>
      </c>
      <c r="Y764" s="8" t="str">
        <f t="shared" si="100"/>
        <v>Valid</v>
      </c>
      <c r="Z764" s="8" t="str">
        <f t="shared" si="101"/>
        <v>Pass</v>
      </c>
      <c r="AA764" s="8" t="str">
        <f t="shared" si="102"/>
        <v>Pass</v>
      </c>
      <c r="AB764" s="8" t="str">
        <f>TEXT(B764,"mmmm")</f>
        <v>January</v>
      </c>
      <c r="AC764" s="8" t="str">
        <f>TEXT(B764,"yyyy")</f>
        <v>2024</v>
      </c>
      <c r="AE764">
        <f t="shared" si="103"/>
        <v>7388.24</v>
      </c>
      <c r="AF764" s="11">
        <f t="shared" si="104"/>
        <v>5910.5920000000006</v>
      </c>
      <c r="AG764">
        <f t="shared" si="105"/>
        <v>2612.8000000000002</v>
      </c>
      <c r="AH764" s="11">
        <f t="shared" si="106"/>
        <v>0.35364308685153706</v>
      </c>
      <c r="AI764" s="44">
        <f t="shared" si="107"/>
        <v>0.35364308685153706</v>
      </c>
    </row>
    <row r="765" spans="1:35">
      <c r="A765" t="s">
        <v>2367</v>
      </c>
      <c r="B765" s="5">
        <v>45892</v>
      </c>
      <c r="C765" s="5">
        <v>45894</v>
      </c>
      <c r="D765" s="13">
        <f t="shared" si="99"/>
        <v>2</v>
      </c>
      <c r="E765" t="s">
        <v>2368</v>
      </c>
      <c r="F765" t="s">
        <v>162</v>
      </c>
      <c r="G765" t="s">
        <v>24</v>
      </c>
      <c r="H765" t="s">
        <v>25</v>
      </c>
      <c r="I765" t="s">
        <v>26</v>
      </c>
      <c r="J765" t="s">
        <v>27</v>
      </c>
      <c r="K765" t="s">
        <v>41</v>
      </c>
      <c r="L765" t="s">
        <v>57</v>
      </c>
      <c r="M765" t="s">
        <v>2369</v>
      </c>
      <c r="N765" t="s">
        <v>44</v>
      </c>
      <c r="O765">
        <v>6</v>
      </c>
      <c r="P765">
        <v>2742.48</v>
      </c>
      <c r="Q765" s="11">
        <v>0</v>
      </c>
      <c r="R765">
        <v>16454.88</v>
      </c>
      <c r="S765">
        <v>12081.54</v>
      </c>
      <c r="T765">
        <v>4373.34</v>
      </c>
      <c r="U765" t="s">
        <v>32</v>
      </c>
      <c r="V765" t="s">
        <v>33</v>
      </c>
      <c r="X765" s="8" t="str">
        <f>IF(C765&gt;=B765,"Valid", "Invalid-Date")</f>
        <v>Valid</v>
      </c>
      <c r="Y765" s="8" t="str">
        <f t="shared" si="100"/>
        <v>Valid</v>
      </c>
      <c r="Z765" s="8" t="str">
        <f t="shared" si="101"/>
        <v>Pass</v>
      </c>
      <c r="AA765" s="8" t="str">
        <f t="shared" si="102"/>
        <v>Pass</v>
      </c>
      <c r="AB765" s="8" t="str">
        <f>TEXT(B765,"mmmm")</f>
        <v>August</v>
      </c>
      <c r="AC765" s="8" t="str">
        <f>TEXT(B765,"yyyy")</f>
        <v>2025</v>
      </c>
      <c r="AE765">
        <f t="shared" si="103"/>
        <v>16454.88</v>
      </c>
      <c r="AF765" s="11">
        <f t="shared" si="104"/>
        <v>16454.88</v>
      </c>
      <c r="AG765">
        <f t="shared" si="105"/>
        <v>4373.34</v>
      </c>
      <c r="AH765" s="11">
        <f t="shared" si="106"/>
        <v>0.26577769026574488</v>
      </c>
      <c r="AI765" s="44">
        <f t="shared" si="107"/>
        <v>0.26577769026574488</v>
      </c>
    </row>
    <row r="766" spans="1:35">
      <c r="A766" t="s">
        <v>2370</v>
      </c>
      <c r="B766" s="5">
        <v>45760</v>
      </c>
      <c r="C766" s="5">
        <v>45760</v>
      </c>
      <c r="D766" s="13">
        <f t="shared" si="99"/>
        <v>0</v>
      </c>
      <c r="E766" t="s">
        <v>885</v>
      </c>
      <c r="F766" t="s">
        <v>114</v>
      </c>
      <c r="G766" t="s">
        <v>90</v>
      </c>
      <c r="H766" t="s">
        <v>54</v>
      </c>
      <c r="I766" t="s">
        <v>185</v>
      </c>
      <c r="J766" t="s">
        <v>186</v>
      </c>
      <c r="K766" t="s">
        <v>41</v>
      </c>
      <c r="L766" t="s">
        <v>158</v>
      </c>
      <c r="M766" t="s">
        <v>2371</v>
      </c>
      <c r="N766" t="s">
        <v>50</v>
      </c>
      <c r="O766">
        <v>6</v>
      </c>
      <c r="P766">
        <v>4414</v>
      </c>
      <c r="Q766" s="11">
        <v>0.05</v>
      </c>
      <c r="R766">
        <v>25159.8</v>
      </c>
      <c r="S766">
        <v>21606.83</v>
      </c>
      <c r="T766">
        <v>3552.97</v>
      </c>
      <c r="U766" t="s">
        <v>32</v>
      </c>
      <c r="V766" t="s">
        <v>33</v>
      </c>
      <c r="X766" s="8" t="str">
        <f>IF(C766&gt;=B766,"Valid", "Invalid-Date")</f>
        <v>Valid</v>
      </c>
      <c r="Y766" s="8" t="str">
        <f t="shared" si="100"/>
        <v>Valid</v>
      </c>
      <c r="Z766" s="8" t="str">
        <f t="shared" si="101"/>
        <v>Pass</v>
      </c>
      <c r="AA766" s="8" t="str">
        <f t="shared" si="102"/>
        <v>Pass</v>
      </c>
      <c r="AB766" s="8" t="str">
        <f>TEXT(B766,"mmmm")</f>
        <v>April</v>
      </c>
      <c r="AC766" s="8" t="str">
        <f>TEXT(B766,"yyyy")</f>
        <v>2025</v>
      </c>
      <c r="AE766">
        <f t="shared" si="103"/>
        <v>26484</v>
      </c>
      <c r="AF766" s="11">
        <f t="shared" si="104"/>
        <v>25159.8</v>
      </c>
      <c r="AG766">
        <f t="shared" si="105"/>
        <v>4877.1699999999983</v>
      </c>
      <c r="AH766" s="11">
        <f t="shared" si="106"/>
        <v>0.18415533907264758</v>
      </c>
      <c r="AI766" s="44">
        <f t="shared" si="107"/>
        <v>0.18415533907264758</v>
      </c>
    </row>
    <row r="767" spans="1:35">
      <c r="A767" t="s">
        <v>2372</v>
      </c>
      <c r="B767" s="5">
        <v>45837</v>
      </c>
      <c r="C767" s="5">
        <v>45723</v>
      </c>
      <c r="D767" s="13">
        <f t="shared" si="99"/>
        <v>-114</v>
      </c>
      <c r="E767" t="s">
        <v>2373</v>
      </c>
      <c r="F767" t="s">
        <v>71</v>
      </c>
      <c r="G767" t="s">
        <v>90</v>
      </c>
      <c r="H767" t="s">
        <v>38</v>
      </c>
      <c r="I767" t="s">
        <v>228</v>
      </c>
      <c r="J767" t="s">
        <v>229</v>
      </c>
      <c r="K767" t="s">
        <v>28</v>
      </c>
      <c r="L767" t="s">
        <v>91</v>
      </c>
      <c r="M767" t="s">
        <v>2374</v>
      </c>
      <c r="N767" t="s">
        <v>50</v>
      </c>
      <c r="O767">
        <v>3</v>
      </c>
      <c r="P767">
        <v>608.14</v>
      </c>
      <c r="Q767" s="11">
        <v>0</v>
      </c>
      <c r="R767">
        <v>1824.42</v>
      </c>
      <c r="S767">
        <v>1214.8699999999999</v>
      </c>
      <c r="T767">
        <v>609.54999999999995</v>
      </c>
      <c r="U767" t="s">
        <v>32</v>
      </c>
      <c r="V767" t="s">
        <v>33</v>
      </c>
      <c r="X767" s="8" t="str">
        <f>IF(C767&gt;=B767,"Valid", "Invalid-Date")</f>
        <v>Invalid-Date</v>
      </c>
      <c r="Y767" s="8" t="str">
        <f t="shared" si="100"/>
        <v>Valid</v>
      </c>
      <c r="Z767" s="8" t="str">
        <f t="shared" si="101"/>
        <v>Pass</v>
      </c>
      <c r="AA767" s="8" t="str">
        <f t="shared" si="102"/>
        <v>Pass</v>
      </c>
      <c r="AB767" s="8" t="str">
        <f>TEXT(B767,"mmmm")</f>
        <v>June</v>
      </c>
      <c r="AC767" s="8" t="str">
        <f>TEXT(B767,"yyyy")</f>
        <v>2025</v>
      </c>
      <c r="AE767">
        <f t="shared" si="103"/>
        <v>1824.42</v>
      </c>
      <c r="AF767" s="11">
        <f t="shared" si="104"/>
        <v>1824.42</v>
      </c>
      <c r="AG767">
        <f t="shared" si="105"/>
        <v>609.55000000000018</v>
      </c>
      <c r="AH767" s="11">
        <f t="shared" si="106"/>
        <v>0.33410618169061956</v>
      </c>
      <c r="AI767" s="44">
        <f t="shared" si="107"/>
        <v>0.33410618169061956</v>
      </c>
    </row>
    <row r="768" spans="1:35">
      <c r="A768" t="s">
        <v>2375</v>
      </c>
      <c r="B768" s="5">
        <v>45552</v>
      </c>
      <c r="C768" s="5">
        <v>45559</v>
      </c>
      <c r="D768" s="13">
        <f t="shared" si="99"/>
        <v>7</v>
      </c>
      <c r="E768" t="s">
        <v>2376</v>
      </c>
      <c r="F768" t="s">
        <v>36</v>
      </c>
      <c r="G768" t="s">
        <v>90</v>
      </c>
      <c r="H768" t="s">
        <v>63</v>
      </c>
      <c r="I768" t="s">
        <v>180</v>
      </c>
      <c r="J768" t="s">
        <v>181</v>
      </c>
      <c r="K768" t="s">
        <v>28</v>
      </c>
      <c r="L768" t="s">
        <v>48</v>
      </c>
      <c r="M768" t="s">
        <v>2377</v>
      </c>
      <c r="N768" t="s">
        <v>31</v>
      </c>
      <c r="O768">
        <v>9</v>
      </c>
      <c r="P768">
        <v>2307.96</v>
      </c>
      <c r="Q768" s="11">
        <v>0.2</v>
      </c>
      <c r="R768">
        <v>16617.310000000001</v>
      </c>
      <c r="S768">
        <v>9195.73</v>
      </c>
      <c r="T768">
        <v>7421.58</v>
      </c>
      <c r="U768" t="s">
        <v>32</v>
      </c>
      <c r="V768" t="s">
        <v>68</v>
      </c>
      <c r="X768" s="8" t="str">
        <f>IF(C768&gt;=B768,"Valid", "Invalid-Date")</f>
        <v>Valid</v>
      </c>
      <c r="Y768" s="8" t="str">
        <f t="shared" si="100"/>
        <v>Valid</v>
      </c>
      <c r="Z768" s="8" t="str">
        <f t="shared" si="101"/>
        <v>Pass</v>
      </c>
      <c r="AA768" s="8" t="str">
        <f t="shared" si="102"/>
        <v>Pass</v>
      </c>
      <c r="AB768" s="8" t="str">
        <f>TEXT(B768,"mmmm")</f>
        <v>September</v>
      </c>
      <c r="AC768" s="8" t="str">
        <f>TEXT(B768,"yyyy")</f>
        <v>2024</v>
      </c>
      <c r="AE768">
        <f t="shared" si="103"/>
        <v>20771.64</v>
      </c>
      <c r="AF768" s="11">
        <f t="shared" si="104"/>
        <v>16617.312000000002</v>
      </c>
      <c r="AG768">
        <f t="shared" si="105"/>
        <v>11575.91</v>
      </c>
      <c r="AH768" s="11">
        <f t="shared" si="106"/>
        <v>0.55729398352754045</v>
      </c>
      <c r="AI768" s="44">
        <f t="shared" si="107"/>
        <v>0.55729398352754045</v>
      </c>
    </row>
    <row r="769" spans="1:35">
      <c r="A769" t="s">
        <v>2378</v>
      </c>
      <c r="B769" s="5">
        <v>45415</v>
      </c>
      <c r="C769" s="5">
        <v>45448</v>
      </c>
      <c r="D769" s="13">
        <f t="shared" si="99"/>
        <v>33</v>
      </c>
      <c r="E769" t="s">
        <v>2379</v>
      </c>
      <c r="F769" t="s">
        <v>62</v>
      </c>
      <c r="G769" t="s">
        <v>95</v>
      </c>
      <c r="H769" t="s">
        <v>25</v>
      </c>
      <c r="I769" t="s">
        <v>136</v>
      </c>
      <c r="J769" t="s">
        <v>137</v>
      </c>
      <c r="K769" t="s">
        <v>28</v>
      </c>
      <c r="L769" t="s">
        <v>153</v>
      </c>
      <c r="M769" t="s">
        <v>2380</v>
      </c>
      <c r="N769" t="s">
        <v>59</v>
      </c>
      <c r="O769">
        <v>1</v>
      </c>
      <c r="P769">
        <v>1244.58</v>
      </c>
      <c r="Q769" s="11">
        <v>0.25</v>
      </c>
      <c r="R769">
        <v>933.43</v>
      </c>
      <c r="S769">
        <v>583.09</v>
      </c>
      <c r="T769">
        <v>350.34</v>
      </c>
      <c r="U769" t="s">
        <v>32</v>
      </c>
      <c r="V769" t="s">
        <v>33</v>
      </c>
      <c r="X769" s="8" t="str">
        <f>IF(C769&gt;=B769,"Valid", "Invalid-Date")</f>
        <v>Valid</v>
      </c>
      <c r="Y769" s="8" t="str">
        <f t="shared" si="100"/>
        <v>Valid</v>
      </c>
      <c r="Z769" s="8" t="str">
        <f t="shared" si="101"/>
        <v>Pass</v>
      </c>
      <c r="AA769" s="8" t="str">
        <f t="shared" si="102"/>
        <v>Pass</v>
      </c>
      <c r="AB769" s="8" t="str">
        <f>TEXT(B769,"mmmm")</f>
        <v>May</v>
      </c>
      <c r="AC769" s="8" t="str">
        <f>TEXT(B769,"yyyy")</f>
        <v>2024</v>
      </c>
      <c r="AE769">
        <f t="shared" si="103"/>
        <v>1244.58</v>
      </c>
      <c r="AF769" s="11">
        <f t="shared" si="104"/>
        <v>933.43499999999995</v>
      </c>
      <c r="AG769">
        <f t="shared" si="105"/>
        <v>661.4899999999999</v>
      </c>
      <c r="AH769" s="11">
        <f t="shared" si="106"/>
        <v>0.53149656912372045</v>
      </c>
      <c r="AI769" s="44">
        <f t="shared" si="107"/>
        <v>0.53149656912372045</v>
      </c>
    </row>
    <row r="770" spans="1:35">
      <c r="A770" t="s">
        <v>2381</v>
      </c>
      <c r="B770" s="5">
        <v>45749</v>
      </c>
      <c r="C770" s="5">
        <v>45751</v>
      </c>
      <c r="D770" s="13">
        <f t="shared" si="99"/>
        <v>2</v>
      </c>
      <c r="E770" t="s">
        <v>2382</v>
      </c>
      <c r="F770" t="s">
        <v>132</v>
      </c>
      <c r="G770" t="s">
        <v>95</v>
      </c>
      <c r="H770" t="s">
        <v>38</v>
      </c>
      <c r="I770" t="s">
        <v>228</v>
      </c>
      <c r="J770" t="s">
        <v>229</v>
      </c>
      <c r="K770" t="s">
        <v>28</v>
      </c>
      <c r="L770" t="s">
        <v>29</v>
      </c>
      <c r="M770" t="s">
        <v>2383</v>
      </c>
      <c r="N770" t="s">
        <v>44</v>
      </c>
      <c r="O770">
        <v>5</v>
      </c>
      <c r="P770">
        <v>3234.24</v>
      </c>
      <c r="Q770" s="11">
        <v>0.1</v>
      </c>
      <c r="R770">
        <v>14554.08</v>
      </c>
      <c r="S770">
        <v>11166.84</v>
      </c>
      <c r="T770">
        <v>3387.24</v>
      </c>
      <c r="U770" t="s">
        <v>32</v>
      </c>
      <c r="V770" t="s">
        <v>33</v>
      </c>
      <c r="X770" s="8" t="str">
        <f>IF(C770&gt;=B770,"Valid", "Invalid-Date")</f>
        <v>Valid</v>
      </c>
      <c r="Y770" s="8" t="str">
        <f t="shared" si="100"/>
        <v>Valid</v>
      </c>
      <c r="Z770" s="8" t="str">
        <f t="shared" si="101"/>
        <v>Pass</v>
      </c>
      <c r="AA770" s="8" t="str">
        <f t="shared" si="102"/>
        <v>Pass</v>
      </c>
      <c r="AB770" s="8" t="str">
        <f>TEXT(B770,"mmmm")</f>
        <v>April</v>
      </c>
      <c r="AC770" s="8" t="str">
        <f>TEXT(B770,"yyyy")</f>
        <v>2025</v>
      </c>
      <c r="AE770">
        <f t="shared" si="103"/>
        <v>16171.199999999999</v>
      </c>
      <c r="AF770" s="11">
        <f t="shared" si="104"/>
        <v>14554.08</v>
      </c>
      <c r="AG770">
        <f t="shared" si="105"/>
        <v>5004.3599999999988</v>
      </c>
      <c r="AH770" s="11">
        <f t="shared" si="106"/>
        <v>0.30946126447016914</v>
      </c>
      <c r="AI770" s="44">
        <f t="shared" si="107"/>
        <v>0.30946126447016914</v>
      </c>
    </row>
    <row r="771" spans="1:35">
      <c r="A771" t="s">
        <v>2384</v>
      </c>
      <c r="B771" s="5">
        <v>45601</v>
      </c>
      <c r="C771" s="5">
        <v>45425</v>
      </c>
      <c r="D771" s="13">
        <f t="shared" ref="D771:D834" si="108">C771-B771</f>
        <v>-176</v>
      </c>
      <c r="E771" t="s">
        <v>2385</v>
      </c>
      <c r="F771" t="s">
        <v>114</v>
      </c>
      <c r="G771" t="s">
        <v>95</v>
      </c>
      <c r="H771" t="s">
        <v>63</v>
      </c>
      <c r="I771" t="s">
        <v>190</v>
      </c>
      <c r="J771" t="s">
        <v>191</v>
      </c>
      <c r="K771" t="s">
        <v>41</v>
      </c>
      <c r="L771" t="s">
        <v>158</v>
      </c>
      <c r="M771" t="s">
        <v>2386</v>
      </c>
      <c r="N771" t="s">
        <v>44</v>
      </c>
      <c r="O771">
        <v>3</v>
      </c>
      <c r="P771">
        <v>3612.75</v>
      </c>
      <c r="Q771" s="11">
        <v>0.25</v>
      </c>
      <c r="R771">
        <v>8128.69</v>
      </c>
      <c r="S771">
        <v>5071.66</v>
      </c>
      <c r="T771">
        <v>3057.03</v>
      </c>
      <c r="U771" t="s">
        <v>32</v>
      </c>
      <c r="V771" t="s">
        <v>33</v>
      </c>
      <c r="X771" s="8" t="str">
        <f>IF(C771&gt;=B771,"Valid", "Invalid-Date")</f>
        <v>Invalid-Date</v>
      </c>
      <c r="Y771" s="8" t="str">
        <f t="shared" ref="Y771:Y834" si="109">IF(OR(Q771&lt;0, Q771&gt;0.5), "Invalid-Discount", "Valid")</f>
        <v>Valid</v>
      </c>
      <c r="Z771" s="8" t="str">
        <f t="shared" ref="Z771:Z834" si="110">IF(N771="Unknown","Flagged","Pass")</f>
        <v>Pass</v>
      </c>
      <c r="AA771" s="8" t="str">
        <f t="shared" ref="AA771:AA834" si="111">IF(H771="Unknown","Flagged","Pass")</f>
        <v>Pass</v>
      </c>
      <c r="AB771" s="8" t="str">
        <f>TEXT(B771,"mmmm")</f>
        <v>November</v>
      </c>
      <c r="AC771" s="8" t="str">
        <f>TEXT(B771,"yyyy")</f>
        <v>2024</v>
      </c>
      <c r="AE771">
        <f t="shared" ref="AE771:AE834" si="112">O771*P771</f>
        <v>10838.25</v>
      </c>
      <c r="AF771" s="11">
        <f t="shared" ref="AF771:AF834" si="113">AE771*(1-Q771)</f>
        <v>8128.6875</v>
      </c>
      <c r="AG771">
        <f t="shared" ref="AG771:AG834" si="114">AE771-S771</f>
        <v>5766.59</v>
      </c>
      <c r="AH771" s="11">
        <f t="shared" ref="AH771:AH834" si="115">AG771/AE771</f>
        <v>0.53205914238922336</v>
      </c>
      <c r="AI771" s="44">
        <f t="shared" ref="AI771:AI834" si="116">AG771/AE771</f>
        <v>0.53205914238922336</v>
      </c>
    </row>
    <row r="772" spans="1:35">
      <c r="A772" t="s">
        <v>2387</v>
      </c>
      <c r="B772" s="5">
        <v>45337</v>
      </c>
      <c r="C772" s="5">
        <v>45339</v>
      </c>
      <c r="D772" s="13">
        <f t="shared" si="108"/>
        <v>2</v>
      </c>
      <c r="E772" t="s">
        <v>2388</v>
      </c>
      <c r="F772" t="s">
        <v>79</v>
      </c>
      <c r="G772" t="s">
        <v>24</v>
      </c>
      <c r="H772" t="s">
        <v>25</v>
      </c>
      <c r="I772" t="s">
        <v>136</v>
      </c>
      <c r="J772" t="s">
        <v>137</v>
      </c>
      <c r="K772" t="s">
        <v>74</v>
      </c>
      <c r="L772" t="s">
        <v>80</v>
      </c>
      <c r="M772" t="s">
        <v>2389</v>
      </c>
      <c r="N772" t="s">
        <v>50</v>
      </c>
      <c r="O772">
        <v>4</v>
      </c>
      <c r="P772">
        <v>863</v>
      </c>
      <c r="Q772" s="11">
        <v>0</v>
      </c>
      <c r="R772">
        <v>3106.8</v>
      </c>
      <c r="S772">
        <v>2376.62</v>
      </c>
      <c r="T772">
        <v>730.18</v>
      </c>
      <c r="U772" t="s">
        <v>32</v>
      </c>
      <c r="V772" t="s">
        <v>33</v>
      </c>
      <c r="X772" s="8" t="str">
        <f>IF(C772&gt;=B772,"Valid", "Invalid-Date")</f>
        <v>Valid</v>
      </c>
      <c r="Y772" s="8" t="str">
        <f t="shared" si="109"/>
        <v>Valid</v>
      </c>
      <c r="Z772" s="8" t="str">
        <f t="shared" si="110"/>
        <v>Pass</v>
      </c>
      <c r="AA772" s="8" t="str">
        <f t="shared" si="111"/>
        <v>Pass</v>
      </c>
      <c r="AB772" s="8" t="str">
        <f>TEXT(B772,"mmmm")</f>
        <v>February</v>
      </c>
      <c r="AC772" s="8" t="str">
        <f>TEXT(B772,"yyyy")</f>
        <v>2024</v>
      </c>
      <c r="AE772">
        <f t="shared" si="112"/>
        <v>3452</v>
      </c>
      <c r="AF772" s="11">
        <f t="shared" si="113"/>
        <v>3452</v>
      </c>
      <c r="AG772">
        <f t="shared" si="114"/>
        <v>1075.3800000000001</v>
      </c>
      <c r="AH772" s="11">
        <f t="shared" si="115"/>
        <v>0.3115237543453071</v>
      </c>
      <c r="AI772" s="44">
        <f t="shared" si="116"/>
        <v>0.3115237543453071</v>
      </c>
    </row>
    <row r="773" spans="1:35">
      <c r="A773" t="s">
        <v>2390</v>
      </c>
      <c r="B773" s="5">
        <v>45485</v>
      </c>
      <c r="C773" s="5">
        <v>45487</v>
      </c>
      <c r="D773" s="13">
        <f t="shared" si="108"/>
        <v>2</v>
      </c>
      <c r="E773" t="s">
        <v>467</v>
      </c>
      <c r="F773" t="s">
        <v>62</v>
      </c>
      <c r="G773" t="s">
        <v>24</v>
      </c>
      <c r="H773" t="s">
        <v>25</v>
      </c>
      <c r="I773" t="s">
        <v>236</v>
      </c>
      <c r="J773" t="s">
        <v>237</v>
      </c>
      <c r="K773" t="s">
        <v>74</v>
      </c>
      <c r="L773" t="s">
        <v>274</v>
      </c>
      <c r="M773" t="s">
        <v>2391</v>
      </c>
      <c r="N773" t="s">
        <v>31</v>
      </c>
      <c r="O773">
        <v>4</v>
      </c>
      <c r="P773">
        <v>2131.41</v>
      </c>
      <c r="Q773" s="11">
        <v>0</v>
      </c>
      <c r="R773">
        <v>6394.23</v>
      </c>
      <c r="S773">
        <v>3520.69</v>
      </c>
      <c r="T773">
        <v>2873.54</v>
      </c>
      <c r="U773" t="s">
        <v>32</v>
      </c>
      <c r="V773" t="s">
        <v>33</v>
      </c>
      <c r="X773" s="8" t="str">
        <f>IF(C773&gt;=B773,"Valid", "Invalid-Date")</f>
        <v>Valid</v>
      </c>
      <c r="Y773" s="8" t="str">
        <f t="shared" si="109"/>
        <v>Valid</v>
      </c>
      <c r="Z773" s="8" t="str">
        <f t="shared" si="110"/>
        <v>Pass</v>
      </c>
      <c r="AA773" s="8" t="str">
        <f t="shared" si="111"/>
        <v>Pass</v>
      </c>
      <c r="AB773" s="8" t="str">
        <f>TEXT(B773,"mmmm")</f>
        <v>July</v>
      </c>
      <c r="AC773" s="8" t="str">
        <f>TEXT(B773,"yyyy")</f>
        <v>2024</v>
      </c>
      <c r="AE773">
        <f t="shared" si="112"/>
        <v>8525.64</v>
      </c>
      <c r="AF773" s="11">
        <f t="shared" si="113"/>
        <v>8525.64</v>
      </c>
      <c r="AG773">
        <f t="shared" si="114"/>
        <v>5004.9499999999989</v>
      </c>
      <c r="AH773" s="11">
        <f t="shared" si="115"/>
        <v>0.58704683753946907</v>
      </c>
      <c r="AI773" s="44">
        <f t="shared" si="116"/>
        <v>0.58704683753946907</v>
      </c>
    </row>
    <row r="774" spans="1:35">
      <c r="A774" t="s">
        <v>2392</v>
      </c>
      <c r="B774" s="5">
        <v>45853</v>
      </c>
      <c r="C774" s="5">
        <v>45857</v>
      </c>
      <c r="D774" s="13">
        <f t="shared" si="108"/>
        <v>4</v>
      </c>
      <c r="E774" t="s">
        <v>2393</v>
      </c>
      <c r="F774" t="s">
        <v>162</v>
      </c>
      <c r="G774" t="s">
        <v>24</v>
      </c>
      <c r="H774" t="s">
        <v>54</v>
      </c>
      <c r="I774" t="s">
        <v>247</v>
      </c>
      <c r="J774" t="s">
        <v>248</v>
      </c>
      <c r="K774" t="s">
        <v>41</v>
      </c>
      <c r="L774" t="s">
        <v>66</v>
      </c>
      <c r="M774" t="s">
        <v>2394</v>
      </c>
      <c r="N774" t="s">
        <v>44</v>
      </c>
      <c r="O774">
        <v>1</v>
      </c>
      <c r="P774">
        <v>3903.22</v>
      </c>
      <c r="Q774" s="11">
        <v>0.05</v>
      </c>
      <c r="R774">
        <v>3708.06</v>
      </c>
      <c r="S774">
        <v>2760.29</v>
      </c>
      <c r="T774">
        <v>947.77</v>
      </c>
      <c r="U774" t="s">
        <v>111</v>
      </c>
      <c r="V774" t="s">
        <v>68</v>
      </c>
      <c r="X774" s="8" t="str">
        <f>IF(C774&gt;=B774,"Valid", "Invalid-Date")</f>
        <v>Valid</v>
      </c>
      <c r="Y774" s="8" t="str">
        <f t="shared" si="109"/>
        <v>Valid</v>
      </c>
      <c r="Z774" s="8" t="str">
        <f t="shared" si="110"/>
        <v>Pass</v>
      </c>
      <c r="AA774" s="8" t="str">
        <f t="shared" si="111"/>
        <v>Pass</v>
      </c>
      <c r="AB774" s="8" t="str">
        <f>TEXT(B774,"mmmm")</f>
        <v>July</v>
      </c>
      <c r="AC774" s="8" t="str">
        <f>TEXT(B774,"yyyy")</f>
        <v>2025</v>
      </c>
      <c r="AE774">
        <f t="shared" si="112"/>
        <v>3903.22</v>
      </c>
      <c r="AF774" s="11">
        <f t="shared" si="113"/>
        <v>3708.0589999999997</v>
      </c>
      <c r="AG774">
        <f t="shared" si="114"/>
        <v>1142.9299999999998</v>
      </c>
      <c r="AH774" s="11">
        <f t="shared" si="115"/>
        <v>0.29281721245535736</v>
      </c>
      <c r="AI774" s="44">
        <f t="shared" si="116"/>
        <v>0.29281721245535736</v>
      </c>
    </row>
    <row r="775" spans="1:35">
      <c r="A775" t="s">
        <v>2395</v>
      </c>
      <c r="B775" s="5">
        <v>45709</v>
      </c>
      <c r="C775" s="5">
        <v>45709</v>
      </c>
      <c r="D775" s="13">
        <f t="shared" si="108"/>
        <v>0</v>
      </c>
      <c r="E775" t="s">
        <v>2396</v>
      </c>
      <c r="F775" t="s">
        <v>23</v>
      </c>
      <c r="G775" t="s">
        <v>95</v>
      </c>
      <c r="H775" t="s">
        <v>63</v>
      </c>
      <c r="I775" t="s">
        <v>180</v>
      </c>
      <c r="J775" t="s">
        <v>181</v>
      </c>
      <c r="K775" t="s">
        <v>74</v>
      </c>
      <c r="L775" t="s">
        <v>171</v>
      </c>
      <c r="M775" t="s">
        <v>2397</v>
      </c>
      <c r="N775" t="s">
        <v>2785</v>
      </c>
      <c r="O775">
        <v>4</v>
      </c>
      <c r="P775">
        <v>2945.07</v>
      </c>
      <c r="Q775" s="11">
        <v>0.2</v>
      </c>
      <c r="R775">
        <v>9424.2199999999993</v>
      </c>
      <c r="S775">
        <v>6178.92</v>
      </c>
      <c r="T775">
        <v>3245.3</v>
      </c>
      <c r="U775" t="s">
        <v>32</v>
      </c>
      <c r="V775" t="s">
        <v>33</v>
      </c>
      <c r="X775" s="8" t="str">
        <f>IF(C775&gt;=B775,"Valid", "Invalid-Date")</f>
        <v>Valid</v>
      </c>
      <c r="Y775" s="8" t="str">
        <f t="shared" si="109"/>
        <v>Valid</v>
      </c>
      <c r="Z775" s="8" t="str">
        <f t="shared" si="110"/>
        <v>Flagged</v>
      </c>
      <c r="AA775" s="8" t="str">
        <f t="shared" si="111"/>
        <v>Pass</v>
      </c>
      <c r="AB775" s="8" t="str">
        <f>TEXT(B775,"mmmm")</f>
        <v>February</v>
      </c>
      <c r="AC775" s="8" t="str">
        <f>TEXT(B775,"yyyy")</f>
        <v>2025</v>
      </c>
      <c r="AE775">
        <f t="shared" si="112"/>
        <v>11780.28</v>
      </c>
      <c r="AF775" s="11">
        <f t="shared" si="113"/>
        <v>9424.2240000000002</v>
      </c>
      <c r="AG775">
        <f t="shared" si="114"/>
        <v>5601.3600000000006</v>
      </c>
      <c r="AH775" s="11">
        <f t="shared" si="115"/>
        <v>0.47548615143273337</v>
      </c>
      <c r="AI775" s="44">
        <f t="shared" si="116"/>
        <v>0.47548615143273337</v>
      </c>
    </row>
    <row r="776" spans="1:35">
      <c r="A776" t="s">
        <v>2398</v>
      </c>
      <c r="B776" s="5">
        <v>45876</v>
      </c>
      <c r="C776" s="5">
        <v>45846</v>
      </c>
      <c r="D776" s="13">
        <f t="shared" si="108"/>
        <v>-30</v>
      </c>
      <c r="E776" t="s">
        <v>2399</v>
      </c>
      <c r="F776" t="s">
        <v>264</v>
      </c>
      <c r="G776" t="s">
        <v>24</v>
      </c>
      <c r="H776" t="s">
        <v>63</v>
      </c>
      <c r="I776" t="s">
        <v>26</v>
      </c>
      <c r="J776" t="s">
        <v>109</v>
      </c>
      <c r="K776" t="s">
        <v>74</v>
      </c>
      <c r="L776" t="s">
        <v>274</v>
      </c>
      <c r="M776" t="s">
        <v>2400</v>
      </c>
      <c r="N776" t="s">
        <v>2785</v>
      </c>
      <c r="O776">
        <v>9</v>
      </c>
      <c r="P776">
        <v>1076.75</v>
      </c>
      <c r="Q776" s="11">
        <v>0.2</v>
      </c>
      <c r="R776">
        <v>7752.6</v>
      </c>
      <c r="S776">
        <v>4689.3</v>
      </c>
      <c r="T776">
        <v>3063.3</v>
      </c>
      <c r="U776" t="s">
        <v>32</v>
      </c>
      <c r="V776" t="s">
        <v>33</v>
      </c>
      <c r="X776" s="8" t="str">
        <f>IF(C776&gt;=B776,"Valid", "Invalid-Date")</f>
        <v>Invalid-Date</v>
      </c>
      <c r="Y776" s="8" t="str">
        <f t="shared" si="109"/>
        <v>Valid</v>
      </c>
      <c r="Z776" s="8" t="str">
        <f t="shared" si="110"/>
        <v>Flagged</v>
      </c>
      <c r="AA776" s="8" t="str">
        <f t="shared" si="111"/>
        <v>Pass</v>
      </c>
      <c r="AB776" s="8" t="str">
        <f>TEXT(B776,"mmmm")</f>
        <v>August</v>
      </c>
      <c r="AC776" s="8" t="str">
        <f>TEXT(B776,"yyyy")</f>
        <v>2025</v>
      </c>
      <c r="AE776">
        <f t="shared" si="112"/>
        <v>9690.75</v>
      </c>
      <c r="AF776" s="11">
        <f t="shared" si="113"/>
        <v>7752.6</v>
      </c>
      <c r="AG776">
        <f t="shared" si="114"/>
        <v>5001.45</v>
      </c>
      <c r="AH776" s="11">
        <f t="shared" si="115"/>
        <v>0.5161055645847844</v>
      </c>
      <c r="AI776" s="44">
        <f t="shared" si="116"/>
        <v>0.5161055645847844</v>
      </c>
    </row>
    <row r="777" spans="1:35">
      <c r="A777" t="s">
        <v>2401</v>
      </c>
      <c r="B777" s="5">
        <v>45396</v>
      </c>
      <c r="C777" s="5">
        <v>45404</v>
      </c>
      <c r="D777" s="13">
        <f t="shared" si="108"/>
        <v>8</v>
      </c>
      <c r="E777" t="s">
        <v>2402</v>
      </c>
      <c r="F777" t="s">
        <v>53</v>
      </c>
      <c r="G777" t="s">
        <v>24</v>
      </c>
      <c r="H777" t="s">
        <v>25</v>
      </c>
      <c r="I777" t="s">
        <v>236</v>
      </c>
      <c r="J777" t="s">
        <v>237</v>
      </c>
      <c r="K777" t="s">
        <v>74</v>
      </c>
      <c r="L777" t="s">
        <v>75</v>
      </c>
      <c r="M777" t="s">
        <v>2403</v>
      </c>
      <c r="N777" t="s">
        <v>59</v>
      </c>
      <c r="O777">
        <v>8</v>
      </c>
      <c r="P777">
        <v>3956.12</v>
      </c>
      <c r="Q777" s="11">
        <v>0.25</v>
      </c>
      <c r="R777">
        <v>23736.720000000001</v>
      </c>
      <c r="S777">
        <v>13890.9</v>
      </c>
      <c r="T777">
        <v>9845.82</v>
      </c>
      <c r="U777" t="s">
        <v>32</v>
      </c>
      <c r="V777" t="s">
        <v>33</v>
      </c>
      <c r="X777" s="8" t="str">
        <f>IF(C777&gt;=B777,"Valid", "Invalid-Date")</f>
        <v>Valid</v>
      </c>
      <c r="Y777" s="8" t="str">
        <f t="shared" si="109"/>
        <v>Valid</v>
      </c>
      <c r="Z777" s="8" t="str">
        <f t="shared" si="110"/>
        <v>Pass</v>
      </c>
      <c r="AA777" s="8" t="str">
        <f t="shared" si="111"/>
        <v>Pass</v>
      </c>
      <c r="AB777" s="8" t="str">
        <f>TEXT(B777,"mmmm")</f>
        <v>April</v>
      </c>
      <c r="AC777" s="8" t="str">
        <f>TEXT(B777,"yyyy")</f>
        <v>2024</v>
      </c>
      <c r="AE777">
        <f t="shared" si="112"/>
        <v>31648.959999999999</v>
      </c>
      <c r="AF777" s="11">
        <f t="shared" si="113"/>
        <v>23736.720000000001</v>
      </c>
      <c r="AG777">
        <f t="shared" si="114"/>
        <v>17758.059999999998</v>
      </c>
      <c r="AH777" s="11">
        <f t="shared" si="115"/>
        <v>0.56109458257080158</v>
      </c>
      <c r="AI777" s="44">
        <f t="shared" si="116"/>
        <v>0.56109458257080158</v>
      </c>
    </row>
    <row r="778" spans="1:35">
      <c r="A778" t="s">
        <v>2404</v>
      </c>
      <c r="B778" s="5">
        <v>45816</v>
      </c>
      <c r="C778" s="5">
        <v>45821</v>
      </c>
      <c r="D778" s="13">
        <f t="shared" si="108"/>
        <v>5</v>
      </c>
      <c r="E778" t="s">
        <v>2405</v>
      </c>
      <c r="F778" t="s">
        <v>89</v>
      </c>
      <c r="G778" t="s">
        <v>37</v>
      </c>
      <c r="H778" t="s">
        <v>25</v>
      </c>
      <c r="I778" t="s">
        <v>26</v>
      </c>
      <c r="J778" t="s">
        <v>27</v>
      </c>
      <c r="K778" t="s">
        <v>74</v>
      </c>
      <c r="L778" t="s">
        <v>80</v>
      </c>
      <c r="M778" t="s">
        <v>2406</v>
      </c>
      <c r="N778" t="s">
        <v>31</v>
      </c>
      <c r="O778">
        <v>7</v>
      </c>
      <c r="P778">
        <v>3857.13</v>
      </c>
      <c r="Q778" s="11">
        <v>0</v>
      </c>
      <c r="R778">
        <v>26999.91</v>
      </c>
      <c r="S778">
        <v>17815.98</v>
      </c>
      <c r="T778">
        <v>9183.93</v>
      </c>
      <c r="U778" t="s">
        <v>32</v>
      </c>
      <c r="V778" t="s">
        <v>33</v>
      </c>
      <c r="X778" s="8" t="str">
        <f>IF(C778&gt;=B778,"Valid", "Invalid-Date")</f>
        <v>Valid</v>
      </c>
      <c r="Y778" s="8" t="str">
        <f t="shared" si="109"/>
        <v>Valid</v>
      </c>
      <c r="Z778" s="8" t="str">
        <f t="shared" si="110"/>
        <v>Pass</v>
      </c>
      <c r="AA778" s="8" t="str">
        <f t="shared" si="111"/>
        <v>Pass</v>
      </c>
      <c r="AB778" s="8" t="str">
        <f>TEXT(B778,"mmmm")</f>
        <v>June</v>
      </c>
      <c r="AC778" s="8" t="str">
        <f>TEXT(B778,"yyyy")</f>
        <v>2025</v>
      </c>
      <c r="AE778">
        <f t="shared" si="112"/>
        <v>26999.91</v>
      </c>
      <c r="AF778" s="11">
        <f t="shared" si="113"/>
        <v>26999.91</v>
      </c>
      <c r="AG778">
        <f t="shared" si="114"/>
        <v>9183.93</v>
      </c>
      <c r="AH778" s="11">
        <f t="shared" si="115"/>
        <v>0.34014668937785347</v>
      </c>
      <c r="AI778" s="44">
        <f t="shared" si="116"/>
        <v>0.34014668937785347</v>
      </c>
    </row>
    <row r="779" spans="1:35">
      <c r="A779" t="s">
        <v>2407</v>
      </c>
      <c r="B779" s="5">
        <v>45326</v>
      </c>
      <c r="C779" s="5">
        <v>45445</v>
      </c>
      <c r="D779" s="13">
        <f t="shared" si="108"/>
        <v>119</v>
      </c>
      <c r="E779" t="s">
        <v>2408</v>
      </c>
      <c r="F779" t="s">
        <v>264</v>
      </c>
      <c r="G779" t="s">
        <v>37</v>
      </c>
      <c r="H779" t="s">
        <v>63</v>
      </c>
      <c r="I779" t="s">
        <v>72</v>
      </c>
      <c r="J779" t="s">
        <v>73</v>
      </c>
      <c r="K779" t="s">
        <v>74</v>
      </c>
      <c r="L779" t="s">
        <v>75</v>
      </c>
      <c r="M779" t="s">
        <v>2409</v>
      </c>
      <c r="N779" t="s">
        <v>31</v>
      </c>
      <c r="O779">
        <v>4</v>
      </c>
      <c r="P779">
        <v>1489.74</v>
      </c>
      <c r="Q779" s="11">
        <v>0.15</v>
      </c>
      <c r="R779">
        <v>5065.12</v>
      </c>
      <c r="S779">
        <v>3530.12</v>
      </c>
      <c r="T779">
        <v>1535</v>
      </c>
      <c r="U779" t="s">
        <v>155</v>
      </c>
      <c r="V779" t="s">
        <v>68</v>
      </c>
      <c r="X779" s="8" t="str">
        <f>IF(C779&gt;=B779,"Valid", "Invalid-Date")</f>
        <v>Valid</v>
      </c>
      <c r="Y779" s="8" t="str">
        <f t="shared" si="109"/>
        <v>Valid</v>
      </c>
      <c r="Z779" s="8" t="str">
        <f t="shared" si="110"/>
        <v>Pass</v>
      </c>
      <c r="AA779" s="8" t="str">
        <f t="shared" si="111"/>
        <v>Pass</v>
      </c>
      <c r="AB779" s="8" t="str">
        <f>TEXT(B779,"mmmm")</f>
        <v>February</v>
      </c>
      <c r="AC779" s="8" t="str">
        <f>TEXT(B779,"yyyy")</f>
        <v>2024</v>
      </c>
      <c r="AE779">
        <f t="shared" si="112"/>
        <v>5958.96</v>
      </c>
      <c r="AF779" s="11">
        <f t="shared" si="113"/>
        <v>5065.116</v>
      </c>
      <c r="AG779">
        <f t="shared" si="114"/>
        <v>2428.84</v>
      </c>
      <c r="AH779" s="11">
        <f t="shared" si="115"/>
        <v>0.40759461382523127</v>
      </c>
      <c r="AI779" s="44">
        <f t="shared" si="116"/>
        <v>0.40759461382523127</v>
      </c>
    </row>
    <row r="780" spans="1:35">
      <c r="A780" t="s">
        <v>2410</v>
      </c>
      <c r="B780" s="5">
        <v>45497</v>
      </c>
      <c r="C780" s="5">
        <v>45497</v>
      </c>
      <c r="D780" s="13">
        <f t="shared" si="108"/>
        <v>0</v>
      </c>
      <c r="E780" t="s">
        <v>2411</v>
      </c>
      <c r="F780" t="s">
        <v>23</v>
      </c>
      <c r="G780" t="s">
        <v>37</v>
      </c>
      <c r="H780" t="s">
        <v>25</v>
      </c>
      <c r="I780" t="s">
        <v>236</v>
      </c>
      <c r="J780" t="s">
        <v>237</v>
      </c>
      <c r="K780" t="s">
        <v>74</v>
      </c>
      <c r="L780" t="s">
        <v>80</v>
      </c>
      <c r="M780" t="s">
        <v>2412</v>
      </c>
      <c r="N780" t="s">
        <v>31</v>
      </c>
      <c r="O780">
        <v>4</v>
      </c>
      <c r="P780">
        <v>1676.88</v>
      </c>
      <c r="Q780" s="11">
        <v>0</v>
      </c>
      <c r="R780">
        <v>6707.52</v>
      </c>
      <c r="S780">
        <v>5672.57</v>
      </c>
      <c r="T780">
        <v>1034.95</v>
      </c>
      <c r="U780" t="s">
        <v>32</v>
      </c>
      <c r="V780" t="s">
        <v>33</v>
      </c>
      <c r="X780" s="8" t="str">
        <f>IF(C780&gt;=B780,"Valid", "Invalid-Date")</f>
        <v>Valid</v>
      </c>
      <c r="Y780" s="8" t="str">
        <f t="shared" si="109"/>
        <v>Valid</v>
      </c>
      <c r="Z780" s="8" t="str">
        <f t="shared" si="110"/>
        <v>Pass</v>
      </c>
      <c r="AA780" s="8" t="str">
        <f t="shared" si="111"/>
        <v>Pass</v>
      </c>
      <c r="AB780" s="8" t="str">
        <f>TEXT(B780,"mmmm")</f>
        <v>July</v>
      </c>
      <c r="AC780" s="8" t="str">
        <f>TEXT(B780,"yyyy")</f>
        <v>2024</v>
      </c>
      <c r="AE780">
        <f t="shared" si="112"/>
        <v>6707.52</v>
      </c>
      <c r="AF780" s="11">
        <f t="shared" si="113"/>
        <v>6707.52</v>
      </c>
      <c r="AG780">
        <f t="shared" si="114"/>
        <v>1034.9500000000007</v>
      </c>
      <c r="AH780" s="11">
        <f t="shared" si="115"/>
        <v>0.15429696817899918</v>
      </c>
      <c r="AI780" s="44">
        <f t="shared" si="116"/>
        <v>0.15429696817899918</v>
      </c>
    </row>
    <row r="781" spans="1:35">
      <c r="A781" t="s">
        <v>2413</v>
      </c>
      <c r="B781" s="5">
        <v>45306</v>
      </c>
      <c r="C781" s="5">
        <v>45311</v>
      </c>
      <c r="D781" s="13">
        <f t="shared" si="108"/>
        <v>5</v>
      </c>
      <c r="E781" t="s">
        <v>2414</v>
      </c>
      <c r="F781" t="s">
        <v>114</v>
      </c>
      <c r="G781" t="s">
        <v>37</v>
      </c>
      <c r="H781" t="s">
        <v>54</v>
      </c>
      <c r="I781" t="s">
        <v>84</v>
      </c>
      <c r="J781" t="s">
        <v>85</v>
      </c>
      <c r="K781" t="s">
        <v>41</v>
      </c>
      <c r="L781" t="s">
        <v>66</v>
      </c>
      <c r="M781" t="s">
        <v>2415</v>
      </c>
      <c r="N781" t="s">
        <v>59</v>
      </c>
      <c r="O781">
        <v>4</v>
      </c>
      <c r="P781">
        <v>3153.54</v>
      </c>
      <c r="Q781" s="11">
        <v>0.05</v>
      </c>
      <c r="R781">
        <v>11983.45</v>
      </c>
      <c r="S781">
        <v>8572.9</v>
      </c>
      <c r="T781">
        <v>3410.55</v>
      </c>
      <c r="U781" t="s">
        <v>32</v>
      </c>
      <c r="V781" t="s">
        <v>33</v>
      </c>
      <c r="X781" s="8" t="str">
        <f>IF(C781&gt;=B781,"Valid", "Invalid-Date")</f>
        <v>Valid</v>
      </c>
      <c r="Y781" s="8" t="str">
        <f t="shared" si="109"/>
        <v>Valid</v>
      </c>
      <c r="Z781" s="8" t="str">
        <f t="shared" si="110"/>
        <v>Pass</v>
      </c>
      <c r="AA781" s="8" t="str">
        <f t="shared" si="111"/>
        <v>Pass</v>
      </c>
      <c r="AB781" s="8" t="str">
        <f>TEXT(B781,"mmmm")</f>
        <v>January</v>
      </c>
      <c r="AC781" s="8" t="str">
        <f>TEXT(B781,"yyyy")</f>
        <v>2024</v>
      </c>
      <c r="AE781">
        <f t="shared" si="112"/>
        <v>12614.16</v>
      </c>
      <c r="AF781" s="11">
        <f t="shared" si="113"/>
        <v>11983.451999999999</v>
      </c>
      <c r="AG781">
        <f t="shared" si="114"/>
        <v>4041.26</v>
      </c>
      <c r="AH781" s="11">
        <f t="shared" si="115"/>
        <v>0.32037488029325778</v>
      </c>
      <c r="AI781" s="44">
        <f t="shared" si="116"/>
        <v>0.32037488029325778</v>
      </c>
    </row>
    <row r="782" spans="1:35">
      <c r="A782" t="s">
        <v>2416</v>
      </c>
      <c r="B782" s="5">
        <v>45508</v>
      </c>
      <c r="C782" s="5">
        <v>45573</v>
      </c>
      <c r="D782" s="13">
        <f t="shared" si="108"/>
        <v>65</v>
      </c>
      <c r="E782" t="s">
        <v>2417</v>
      </c>
      <c r="F782" t="s">
        <v>162</v>
      </c>
      <c r="G782" t="s">
        <v>37</v>
      </c>
      <c r="H782" t="s">
        <v>63</v>
      </c>
      <c r="I782" t="s">
        <v>26</v>
      </c>
      <c r="J782" t="s">
        <v>109</v>
      </c>
      <c r="K782" t="s">
        <v>41</v>
      </c>
      <c r="L782" t="s">
        <v>66</v>
      </c>
      <c r="M782" t="s">
        <v>2418</v>
      </c>
      <c r="N782" t="s">
        <v>44</v>
      </c>
      <c r="O782">
        <v>4</v>
      </c>
      <c r="P782">
        <v>426.43</v>
      </c>
      <c r="Q782" s="11">
        <v>0.2</v>
      </c>
      <c r="R782">
        <v>1364.58</v>
      </c>
      <c r="S782">
        <v>978.16</v>
      </c>
      <c r="T782">
        <v>386.42</v>
      </c>
      <c r="U782" t="s">
        <v>32</v>
      </c>
      <c r="V782" t="s">
        <v>33</v>
      </c>
      <c r="X782" s="8" t="str">
        <f>IF(C782&gt;=B782,"Valid", "Invalid-Date")</f>
        <v>Valid</v>
      </c>
      <c r="Y782" s="8" t="str">
        <f t="shared" si="109"/>
        <v>Valid</v>
      </c>
      <c r="Z782" s="8" t="str">
        <f t="shared" si="110"/>
        <v>Pass</v>
      </c>
      <c r="AA782" s="8" t="str">
        <f t="shared" si="111"/>
        <v>Pass</v>
      </c>
      <c r="AB782" s="8" t="str">
        <f>TEXT(B782,"mmmm")</f>
        <v>August</v>
      </c>
      <c r="AC782" s="8" t="str">
        <f>TEXT(B782,"yyyy")</f>
        <v>2024</v>
      </c>
      <c r="AE782">
        <f t="shared" si="112"/>
        <v>1705.72</v>
      </c>
      <c r="AF782" s="11">
        <f t="shared" si="113"/>
        <v>1364.576</v>
      </c>
      <c r="AG782">
        <f t="shared" si="114"/>
        <v>727.56000000000006</v>
      </c>
      <c r="AH782" s="11">
        <f t="shared" si="115"/>
        <v>0.42654128461881202</v>
      </c>
      <c r="AI782" s="44">
        <f t="shared" si="116"/>
        <v>0.42654128461881202</v>
      </c>
    </row>
    <row r="783" spans="1:35">
      <c r="A783" t="s">
        <v>2419</v>
      </c>
      <c r="B783" s="5">
        <v>45324</v>
      </c>
      <c r="C783" s="5">
        <v>45567</v>
      </c>
      <c r="D783" s="13">
        <f t="shared" si="108"/>
        <v>243</v>
      </c>
      <c r="E783" t="s">
        <v>2420</v>
      </c>
      <c r="F783" t="s">
        <v>23</v>
      </c>
      <c r="G783" t="s">
        <v>95</v>
      </c>
      <c r="H783" t="s">
        <v>63</v>
      </c>
      <c r="I783" t="s">
        <v>26</v>
      </c>
      <c r="J783" t="s">
        <v>109</v>
      </c>
      <c r="K783" t="s">
        <v>28</v>
      </c>
      <c r="L783" t="s">
        <v>91</v>
      </c>
      <c r="M783" t="s">
        <v>2421</v>
      </c>
      <c r="N783" t="s">
        <v>50</v>
      </c>
      <c r="O783">
        <v>3</v>
      </c>
      <c r="P783">
        <v>383.4</v>
      </c>
      <c r="Q783" s="11">
        <v>0.25</v>
      </c>
      <c r="R783">
        <v>862.65</v>
      </c>
      <c r="S783">
        <v>603.73</v>
      </c>
      <c r="T783">
        <v>258.92</v>
      </c>
      <c r="U783" t="s">
        <v>111</v>
      </c>
      <c r="V783" t="s">
        <v>103</v>
      </c>
      <c r="X783" s="8" t="str">
        <f>IF(C783&gt;=B783,"Valid", "Invalid-Date")</f>
        <v>Valid</v>
      </c>
      <c r="Y783" s="8" t="str">
        <f t="shared" si="109"/>
        <v>Valid</v>
      </c>
      <c r="Z783" s="8" t="str">
        <f t="shared" si="110"/>
        <v>Pass</v>
      </c>
      <c r="AA783" s="8" t="str">
        <f t="shared" si="111"/>
        <v>Pass</v>
      </c>
      <c r="AB783" s="8" t="str">
        <f>TEXT(B783,"mmmm")</f>
        <v>February</v>
      </c>
      <c r="AC783" s="8" t="str">
        <f>TEXT(B783,"yyyy")</f>
        <v>2024</v>
      </c>
      <c r="AE783">
        <f t="shared" si="112"/>
        <v>1150.1999999999998</v>
      </c>
      <c r="AF783" s="11">
        <f t="shared" si="113"/>
        <v>862.64999999999986</v>
      </c>
      <c r="AG783">
        <f t="shared" si="114"/>
        <v>546.4699999999998</v>
      </c>
      <c r="AH783" s="11">
        <f t="shared" si="115"/>
        <v>0.47510867675186913</v>
      </c>
      <c r="AI783" s="44">
        <f t="shared" si="116"/>
        <v>0.47510867675186913</v>
      </c>
    </row>
    <row r="784" spans="1:35">
      <c r="A784" t="s">
        <v>2422</v>
      </c>
      <c r="B784" s="5">
        <v>45730</v>
      </c>
      <c r="C784" s="5">
        <v>45738</v>
      </c>
      <c r="D784" s="13">
        <f t="shared" si="108"/>
        <v>8</v>
      </c>
      <c r="E784" t="s">
        <v>2423</v>
      </c>
      <c r="F784" t="s">
        <v>36</v>
      </c>
      <c r="G784" t="s">
        <v>90</v>
      </c>
      <c r="H784" t="s">
        <v>38</v>
      </c>
      <c r="I784" t="s">
        <v>99</v>
      </c>
      <c r="J784" t="s">
        <v>100</v>
      </c>
      <c r="K784" t="s">
        <v>74</v>
      </c>
      <c r="L784" t="s">
        <v>80</v>
      </c>
      <c r="M784" t="s">
        <v>2424</v>
      </c>
      <c r="N784" t="s">
        <v>59</v>
      </c>
      <c r="O784">
        <v>2</v>
      </c>
      <c r="P784">
        <v>669.63</v>
      </c>
      <c r="Q784" s="11">
        <v>0.15</v>
      </c>
      <c r="R784">
        <v>1138.3699999999999</v>
      </c>
      <c r="S784">
        <v>797.34</v>
      </c>
      <c r="T784">
        <v>341.03</v>
      </c>
      <c r="U784" t="s">
        <v>32</v>
      </c>
      <c r="V784" t="s">
        <v>33</v>
      </c>
      <c r="X784" s="8" t="str">
        <f>IF(C784&gt;=B784,"Valid", "Invalid-Date")</f>
        <v>Valid</v>
      </c>
      <c r="Y784" s="8" t="str">
        <f t="shared" si="109"/>
        <v>Valid</v>
      </c>
      <c r="Z784" s="8" t="str">
        <f t="shared" si="110"/>
        <v>Pass</v>
      </c>
      <c r="AA784" s="8" t="str">
        <f t="shared" si="111"/>
        <v>Pass</v>
      </c>
      <c r="AB784" s="8" t="str">
        <f>TEXT(B784,"mmmm")</f>
        <v>March</v>
      </c>
      <c r="AC784" s="8" t="str">
        <f>TEXT(B784,"yyyy")</f>
        <v>2025</v>
      </c>
      <c r="AE784">
        <f t="shared" si="112"/>
        <v>1339.26</v>
      </c>
      <c r="AF784" s="11">
        <f t="shared" si="113"/>
        <v>1138.3709999999999</v>
      </c>
      <c r="AG784">
        <f t="shared" si="114"/>
        <v>541.91999999999996</v>
      </c>
      <c r="AH784" s="11">
        <f t="shared" si="115"/>
        <v>0.40464136911428694</v>
      </c>
      <c r="AI784" s="44">
        <f t="shared" si="116"/>
        <v>0.40464136911428694</v>
      </c>
    </row>
    <row r="785" spans="1:35">
      <c r="A785" t="s">
        <v>2425</v>
      </c>
      <c r="B785" s="5">
        <v>45450</v>
      </c>
      <c r="C785" s="5">
        <v>45479</v>
      </c>
      <c r="D785" s="13">
        <f t="shared" si="108"/>
        <v>29</v>
      </c>
      <c r="E785" t="s">
        <v>2426</v>
      </c>
      <c r="F785" t="s">
        <v>128</v>
      </c>
      <c r="G785" t="s">
        <v>37</v>
      </c>
      <c r="H785" t="s">
        <v>38</v>
      </c>
      <c r="I785" t="s">
        <v>145</v>
      </c>
      <c r="J785" t="s">
        <v>146</v>
      </c>
      <c r="K785" t="s">
        <v>28</v>
      </c>
      <c r="L785" t="s">
        <v>48</v>
      </c>
      <c r="M785" t="s">
        <v>2427</v>
      </c>
      <c r="N785" t="s">
        <v>31</v>
      </c>
      <c r="O785">
        <v>1</v>
      </c>
      <c r="P785">
        <v>2581.9299999999998</v>
      </c>
      <c r="Q785" s="11">
        <v>0.05</v>
      </c>
      <c r="R785">
        <v>2452.83</v>
      </c>
      <c r="S785">
        <v>1906.7</v>
      </c>
      <c r="T785">
        <v>546.13</v>
      </c>
      <c r="U785" t="s">
        <v>32</v>
      </c>
      <c r="V785" t="s">
        <v>33</v>
      </c>
      <c r="X785" s="8" t="str">
        <f>IF(C785&gt;=B785,"Valid", "Invalid-Date")</f>
        <v>Valid</v>
      </c>
      <c r="Y785" s="8" t="str">
        <f t="shared" si="109"/>
        <v>Valid</v>
      </c>
      <c r="Z785" s="8" t="str">
        <f t="shared" si="110"/>
        <v>Pass</v>
      </c>
      <c r="AA785" s="8" t="str">
        <f t="shared" si="111"/>
        <v>Pass</v>
      </c>
      <c r="AB785" s="8" t="str">
        <f>TEXT(B785,"mmmm")</f>
        <v>June</v>
      </c>
      <c r="AC785" s="8" t="str">
        <f>TEXT(B785,"yyyy")</f>
        <v>2024</v>
      </c>
      <c r="AE785">
        <f t="shared" si="112"/>
        <v>2581.9299999999998</v>
      </c>
      <c r="AF785" s="11">
        <f t="shared" si="113"/>
        <v>2452.8334999999997</v>
      </c>
      <c r="AG785">
        <f t="shared" si="114"/>
        <v>675.22999999999979</v>
      </c>
      <c r="AH785" s="11">
        <f t="shared" si="115"/>
        <v>0.26152142002300599</v>
      </c>
      <c r="AI785" s="44">
        <f t="shared" si="116"/>
        <v>0.26152142002300599</v>
      </c>
    </row>
    <row r="786" spans="1:35">
      <c r="A786" t="s">
        <v>2428</v>
      </c>
      <c r="B786" s="5">
        <v>45757</v>
      </c>
      <c r="C786" s="5">
        <v>45787</v>
      </c>
      <c r="D786" s="13">
        <f t="shared" si="108"/>
        <v>30</v>
      </c>
      <c r="E786" t="s">
        <v>2429</v>
      </c>
      <c r="F786" t="s">
        <v>114</v>
      </c>
      <c r="G786" t="s">
        <v>90</v>
      </c>
      <c r="H786" t="s">
        <v>25</v>
      </c>
      <c r="I786" t="s">
        <v>122</v>
      </c>
      <c r="J786" t="s">
        <v>123</v>
      </c>
      <c r="K786" t="s">
        <v>74</v>
      </c>
      <c r="L786" t="s">
        <v>80</v>
      </c>
      <c r="M786" t="s">
        <v>2430</v>
      </c>
      <c r="N786" t="s">
        <v>50</v>
      </c>
      <c r="O786">
        <v>4</v>
      </c>
      <c r="P786">
        <v>418.18</v>
      </c>
      <c r="Q786" s="11">
        <v>0.05</v>
      </c>
      <c r="R786">
        <v>1589.08</v>
      </c>
      <c r="S786">
        <v>1084.6600000000001</v>
      </c>
      <c r="T786">
        <v>504.42</v>
      </c>
      <c r="U786" t="s">
        <v>32</v>
      </c>
      <c r="V786" t="s">
        <v>33</v>
      </c>
      <c r="X786" s="8" t="str">
        <f>IF(C786&gt;=B786,"Valid", "Invalid-Date")</f>
        <v>Valid</v>
      </c>
      <c r="Y786" s="8" t="str">
        <f t="shared" si="109"/>
        <v>Valid</v>
      </c>
      <c r="Z786" s="8" t="str">
        <f t="shared" si="110"/>
        <v>Pass</v>
      </c>
      <c r="AA786" s="8" t="str">
        <f t="shared" si="111"/>
        <v>Pass</v>
      </c>
      <c r="AB786" s="8" t="str">
        <f>TEXT(B786,"mmmm")</f>
        <v>April</v>
      </c>
      <c r="AC786" s="8" t="str">
        <f>TEXT(B786,"yyyy")</f>
        <v>2025</v>
      </c>
      <c r="AE786">
        <f t="shared" si="112"/>
        <v>1672.72</v>
      </c>
      <c r="AF786" s="11">
        <f t="shared" si="113"/>
        <v>1589.0840000000001</v>
      </c>
      <c r="AG786">
        <f t="shared" si="114"/>
        <v>588.05999999999995</v>
      </c>
      <c r="AH786" s="11">
        <f t="shared" si="115"/>
        <v>0.35155913721364002</v>
      </c>
      <c r="AI786" s="44">
        <f t="shared" si="116"/>
        <v>0.35155913721364002</v>
      </c>
    </row>
    <row r="787" spans="1:35">
      <c r="A787" t="s">
        <v>2431</v>
      </c>
      <c r="B787" s="5">
        <v>45435</v>
      </c>
      <c r="C787" s="5">
        <v>45441</v>
      </c>
      <c r="D787" s="13">
        <f t="shared" si="108"/>
        <v>6</v>
      </c>
      <c r="E787" t="s">
        <v>2432</v>
      </c>
      <c r="F787" t="s">
        <v>162</v>
      </c>
      <c r="G787" t="s">
        <v>37</v>
      </c>
      <c r="H787" t="s">
        <v>25</v>
      </c>
      <c r="I787" t="s">
        <v>236</v>
      </c>
      <c r="J787" t="s">
        <v>237</v>
      </c>
      <c r="K787" t="s">
        <v>28</v>
      </c>
      <c r="L787" t="s">
        <v>124</v>
      </c>
      <c r="M787" t="s">
        <v>2433</v>
      </c>
      <c r="N787" t="s">
        <v>44</v>
      </c>
      <c r="O787">
        <v>2</v>
      </c>
      <c r="P787">
        <v>3012.94</v>
      </c>
      <c r="Q787" s="11">
        <v>0.25</v>
      </c>
      <c r="R787">
        <v>4519.41</v>
      </c>
      <c r="S787">
        <v>3504.16</v>
      </c>
      <c r="T787">
        <v>1275.55</v>
      </c>
      <c r="U787" t="s">
        <v>155</v>
      </c>
      <c r="V787" t="s">
        <v>68</v>
      </c>
      <c r="X787" s="8" t="str">
        <f>IF(C787&gt;=B787,"Valid", "Invalid-Date")</f>
        <v>Valid</v>
      </c>
      <c r="Y787" s="8" t="str">
        <f t="shared" si="109"/>
        <v>Valid</v>
      </c>
      <c r="Z787" s="8" t="str">
        <f t="shared" si="110"/>
        <v>Pass</v>
      </c>
      <c r="AA787" s="8" t="str">
        <f t="shared" si="111"/>
        <v>Pass</v>
      </c>
      <c r="AB787" s="8" t="str">
        <f>TEXT(B787,"mmmm")</f>
        <v>May</v>
      </c>
      <c r="AC787" s="8" t="str">
        <f>TEXT(B787,"yyyy")</f>
        <v>2024</v>
      </c>
      <c r="AE787">
        <f t="shared" si="112"/>
        <v>6025.88</v>
      </c>
      <c r="AF787" s="11">
        <f t="shared" si="113"/>
        <v>4519.41</v>
      </c>
      <c r="AG787">
        <f t="shared" si="114"/>
        <v>2521.7200000000003</v>
      </c>
      <c r="AH787" s="11">
        <f t="shared" si="115"/>
        <v>0.41848161596314565</v>
      </c>
      <c r="AI787" s="44">
        <f t="shared" si="116"/>
        <v>0.41848161596314565</v>
      </c>
    </row>
    <row r="788" spans="1:35">
      <c r="A788" t="s">
        <v>2434</v>
      </c>
      <c r="B788" s="5">
        <v>45815</v>
      </c>
      <c r="C788" s="5">
        <v>45876</v>
      </c>
      <c r="D788" s="13">
        <f t="shared" si="108"/>
        <v>61</v>
      </c>
      <c r="E788" t="s">
        <v>2435</v>
      </c>
      <c r="F788" t="s">
        <v>62</v>
      </c>
      <c r="G788" t="s">
        <v>90</v>
      </c>
      <c r="H788" t="s">
        <v>25</v>
      </c>
      <c r="I788" t="s">
        <v>26</v>
      </c>
      <c r="J788" t="s">
        <v>27</v>
      </c>
      <c r="K788" t="s">
        <v>41</v>
      </c>
      <c r="L788" t="s">
        <v>57</v>
      </c>
      <c r="M788" t="s">
        <v>2436</v>
      </c>
      <c r="N788" t="s">
        <v>2785</v>
      </c>
      <c r="O788">
        <v>4</v>
      </c>
      <c r="P788">
        <v>715.45</v>
      </c>
      <c r="Q788" s="11">
        <v>0.05</v>
      </c>
      <c r="R788">
        <v>2718.71</v>
      </c>
      <c r="S788">
        <v>2065.0500000000002</v>
      </c>
      <c r="T788">
        <v>653.66</v>
      </c>
      <c r="U788" t="s">
        <v>102</v>
      </c>
      <c r="V788" t="s">
        <v>103</v>
      </c>
      <c r="X788" s="8" t="str">
        <f>IF(C788&gt;=B788,"Valid", "Invalid-Date")</f>
        <v>Valid</v>
      </c>
      <c r="Y788" s="8" t="str">
        <f t="shared" si="109"/>
        <v>Valid</v>
      </c>
      <c r="Z788" s="8" t="str">
        <f t="shared" si="110"/>
        <v>Flagged</v>
      </c>
      <c r="AA788" s="8" t="str">
        <f t="shared" si="111"/>
        <v>Pass</v>
      </c>
      <c r="AB788" s="8" t="str">
        <f>TEXT(B788,"mmmm")</f>
        <v>June</v>
      </c>
      <c r="AC788" s="8" t="str">
        <f>TEXT(B788,"yyyy")</f>
        <v>2025</v>
      </c>
      <c r="AE788">
        <f t="shared" si="112"/>
        <v>2861.8</v>
      </c>
      <c r="AF788" s="11">
        <f t="shared" si="113"/>
        <v>2718.71</v>
      </c>
      <c r="AG788">
        <f t="shared" si="114"/>
        <v>796.75</v>
      </c>
      <c r="AH788" s="11">
        <f t="shared" si="115"/>
        <v>0.27840869382905864</v>
      </c>
      <c r="AI788" s="44">
        <f t="shared" si="116"/>
        <v>0.27840869382905864</v>
      </c>
    </row>
    <row r="789" spans="1:35">
      <c r="A789" t="s">
        <v>2437</v>
      </c>
      <c r="B789" s="5">
        <v>45547</v>
      </c>
      <c r="C789" s="5">
        <v>45553</v>
      </c>
      <c r="D789" s="13">
        <f t="shared" si="108"/>
        <v>6</v>
      </c>
      <c r="E789" t="s">
        <v>2438</v>
      </c>
      <c r="F789" t="s">
        <v>62</v>
      </c>
      <c r="G789" t="s">
        <v>95</v>
      </c>
      <c r="H789" t="s">
        <v>38</v>
      </c>
      <c r="I789" t="s">
        <v>145</v>
      </c>
      <c r="J789" t="s">
        <v>146</v>
      </c>
      <c r="K789" t="s">
        <v>28</v>
      </c>
      <c r="L789" t="s">
        <v>29</v>
      </c>
      <c r="M789" t="s">
        <v>2439</v>
      </c>
      <c r="N789" t="s">
        <v>31</v>
      </c>
      <c r="O789">
        <v>2</v>
      </c>
      <c r="P789">
        <v>3718.77</v>
      </c>
      <c r="Q789" s="11">
        <v>0.05</v>
      </c>
      <c r="R789">
        <v>7065.66</v>
      </c>
      <c r="S789">
        <v>4915.2700000000004</v>
      </c>
      <c r="T789">
        <v>2150.39</v>
      </c>
      <c r="U789" t="s">
        <v>32</v>
      </c>
      <c r="V789" t="s">
        <v>33</v>
      </c>
      <c r="X789" s="8" t="str">
        <f>IF(C789&gt;=B789,"Valid", "Invalid-Date")</f>
        <v>Valid</v>
      </c>
      <c r="Y789" s="8" t="str">
        <f t="shared" si="109"/>
        <v>Valid</v>
      </c>
      <c r="Z789" s="8" t="str">
        <f t="shared" si="110"/>
        <v>Pass</v>
      </c>
      <c r="AA789" s="8" t="str">
        <f t="shared" si="111"/>
        <v>Pass</v>
      </c>
      <c r="AB789" s="8" t="str">
        <f>TEXT(B789,"mmmm")</f>
        <v>September</v>
      </c>
      <c r="AC789" s="8" t="str">
        <f>TEXT(B789,"yyyy")</f>
        <v>2024</v>
      </c>
      <c r="AE789">
        <f t="shared" si="112"/>
        <v>7437.54</v>
      </c>
      <c r="AF789" s="11">
        <f t="shared" si="113"/>
        <v>7065.6629999999996</v>
      </c>
      <c r="AG789">
        <f t="shared" si="114"/>
        <v>2522.2699999999995</v>
      </c>
      <c r="AH789" s="11">
        <f t="shared" si="115"/>
        <v>0.33912691561994956</v>
      </c>
      <c r="AI789" s="44">
        <f t="shared" si="116"/>
        <v>0.33912691561994956</v>
      </c>
    </row>
    <row r="790" spans="1:35">
      <c r="A790" t="s">
        <v>2440</v>
      </c>
      <c r="B790" s="5">
        <v>45505</v>
      </c>
      <c r="C790" s="5">
        <v>45506</v>
      </c>
      <c r="D790" s="13">
        <f t="shared" si="108"/>
        <v>1</v>
      </c>
      <c r="E790" t="s">
        <v>2441</v>
      </c>
      <c r="F790" t="s">
        <v>47</v>
      </c>
      <c r="G790" t="s">
        <v>90</v>
      </c>
      <c r="H790" t="s">
        <v>25</v>
      </c>
      <c r="I790" t="s">
        <v>136</v>
      </c>
      <c r="J790" t="s">
        <v>137</v>
      </c>
      <c r="K790" t="s">
        <v>41</v>
      </c>
      <c r="L790" t="s">
        <v>66</v>
      </c>
      <c r="M790" t="s">
        <v>2442</v>
      </c>
      <c r="N790" t="s">
        <v>59</v>
      </c>
      <c r="O790">
        <v>8</v>
      </c>
      <c r="P790">
        <v>2487.64</v>
      </c>
      <c r="Q790" s="11">
        <v>0.1</v>
      </c>
      <c r="R790">
        <v>17911.009999999998</v>
      </c>
      <c r="S790">
        <v>11546.05</v>
      </c>
      <c r="T790">
        <v>6364.96</v>
      </c>
      <c r="U790" t="s">
        <v>155</v>
      </c>
      <c r="V790" t="s">
        <v>103</v>
      </c>
      <c r="X790" s="8" t="str">
        <f>IF(C790&gt;=B790,"Valid", "Invalid-Date")</f>
        <v>Valid</v>
      </c>
      <c r="Y790" s="8" t="str">
        <f t="shared" si="109"/>
        <v>Valid</v>
      </c>
      <c r="Z790" s="8" t="str">
        <f t="shared" si="110"/>
        <v>Pass</v>
      </c>
      <c r="AA790" s="8" t="str">
        <f t="shared" si="111"/>
        <v>Pass</v>
      </c>
      <c r="AB790" s="8" t="str">
        <f>TEXT(B790,"mmmm")</f>
        <v>August</v>
      </c>
      <c r="AC790" s="8" t="str">
        <f>TEXT(B790,"yyyy")</f>
        <v>2024</v>
      </c>
      <c r="AE790">
        <f t="shared" si="112"/>
        <v>19901.12</v>
      </c>
      <c r="AF790" s="11">
        <f t="shared" si="113"/>
        <v>17911.007999999998</v>
      </c>
      <c r="AG790">
        <f t="shared" si="114"/>
        <v>8355.07</v>
      </c>
      <c r="AH790" s="11">
        <f t="shared" si="115"/>
        <v>0.41982913524464954</v>
      </c>
      <c r="AI790" s="44">
        <f t="shared" si="116"/>
        <v>0.41982913524464954</v>
      </c>
    </row>
    <row r="791" spans="1:35">
      <c r="A791" t="s">
        <v>2443</v>
      </c>
      <c r="B791" s="5">
        <v>45723</v>
      </c>
      <c r="C791" s="5">
        <v>45872</v>
      </c>
      <c r="D791" s="13">
        <f t="shared" si="108"/>
        <v>149</v>
      </c>
      <c r="E791" t="s">
        <v>2444</v>
      </c>
      <c r="F791" t="s">
        <v>114</v>
      </c>
      <c r="G791" t="s">
        <v>95</v>
      </c>
      <c r="H791" t="s">
        <v>2785</v>
      </c>
      <c r="I791" t="s">
        <v>26</v>
      </c>
      <c r="J791" t="s">
        <v>109</v>
      </c>
      <c r="K791" t="s">
        <v>74</v>
      </c>
      <c r="L791" t="s">
        <v>80</v>
      </c>
      <c r="M791" t="s">
        <v>2445</v>
      </c>
      <c r="N791" t="s">
        <v>44</v>
      </c>
      <c r="O791">
        <v>4</v>
      </c>
      <c r="P791">
        <v>3537.48</v>
      </c>
      <c r="Q791" s="11">
        <v>0</v>
      </c>
      <c r="R791">
        <v>14149.92</v>
      </c>
      <c r="S791">
        <v>9466.51</v>
      </c>
      <c r="T791">
        <v>4683.41</v>
      </c>
      <c r="U791" t="s">
        <v>32</v>
      </c>
      <c r="V791" t="s">
        <v>33</v>
      </c>
      <c r="X791" s="8" t="str">
        <f>IF(C791&gt;=B791,"Valid", "Invalid-Date")</f>
        <v>Valid</v>
      </c>
      <c r="Y791" s="8" t="str">
        <f t="shared" si="109"/>
        <v>Valid</v>
      </c>
      <c r="Z791" s="8" t="str">
        <f t="shared" si="110"/>
        <v>Pass</v>
      </c>
      <c r="AA791" s="8" t="str">
        <f t="shared" si="111"/>
        <v>Flagged</v>
      </c>
      <c r="AB791" s="8" t="str">
        <f>TEXT(B791,"mmmm")</f>
        <v>March</v>
      </c>
      <c r="AC791" s="8" t="str">
        <f>TEXT(B791,"yyyy")</f>
        <v>2025</v>
      </c>
      <c r="AE791">
        <f t="shared" si="112"/>
        <v>14149.92</v>
      </c>
      <c r="AF791" s="11">
        <f t="shared" si="113"/>
        <v>14149.92</v>
      </c>
      <c r="AG791">
        <f t="shared" si="114"/>
        <v>4683.41</v>
      </c>
      <c r="AH791" s="11">
        <f t="shared" si="115"/>
        <v>0.33098491016203624</v>
      </c>
      <c r="AI791" s="44">
        <f t="shared" si="116"/>
        <v>0.33098491016203624</v>
      </c>
    </row>
    <row r="792" spans="1:35">
      <c r="A792" t="s">
        <v>2446</v>
      </c>
      <c r="B792" s="5">
        <v>45443</v>
      </c>
      <c r="C792" s="5">
        <v>45328</v>
      </c>
      <c r="D792" s="13">
        <f t="shared" si="108"/>
        <v>-115</v>
      </c>
      <c r="E792" t="s">
        <v>2447</v>
      </c>
      <c r="F792" t="s">
        <v>118</v>
      </c>
      <c r="G792" t="s">
        <v>90</v>
      </c>
      <c r="H792" t="s">
        <v>54</v>
      </c>
      <c r="I792" t="s">
        <v>84</v>
      </c>
      <c r="J792" t="s">
        <v>85</v>
      </c>
      <c r="K792" t="s">
        <v>28</v>
      </c>
      <c r="L792" t="s">
        <v>48</v>
      </c>
      <c r="M792" t="s">
        <v>2448</v>
      </c>
      <c r="N792" t="s">
        <v>59</v>
      </c>
      <c r="O792">
        <v>8</v>
      </c>
      <c r="P792">
        <v>667.59</v>
      </c>
      <c r="Q792" s="11">
        <v>0.2</v>
      </c>
      <c r="R792">
        <v>4272.58</v>
      </c>
      <c r="S792">
        <v>3328.92</v>
      </c>
      <c r="T792">
        <v>943.66</v>
      </c>
      <c r="U792" t="s">
        <v>32</v>
      </c>
      <c r="V792" t="s">
        <v>33</v>
      </c>
      <c r="X792" s="8" t="str">
        <f>IF(C792&gt;=B792,"Valid", "Invalid-Date")</f>
        <v>Invalid-Date</v>
      </c>
      <c r="Y792" s="8" t="str">
        <f t="shared" si="109"/>
        <v>Valid</v>
      </c>
      <c r="Z792" s="8" t="str">
        <f t="shared" si="110"/>
        <v>Pass</v>
      </c>
      <c r="AA792" s="8" t="str">
        <f t="shared" si="111"/>
        <v>Pass</v>
      </c>
      <c r="AB792" s="8" t="str">
        <f>TEXT(B792,"mmmm")</f>
        <v>May</v>
      </c>
      <c r="AC792" s="8" t="str">
        <f>TEXT(B792,"yyyy")</f>
        <v>2024</v>
      </c>
      <c r="AE792">
        <f t="shared" si="112"/>
        <v>5340.72</v>
      </c>
      <c r="AF792" s="11">
        <f t="shared" si="113"/>
        <v>4272.576</v>
      </c>
      <c r="AG792">
        <f t="shared" si="114"/>
        <v>2011.8000000000002</v>
      </c>
      <c r="AH792" s="11">
        <f t="shared" si="115"/>
        <v>0.37669078326517774</v>
      </c>
      <c r="AI792" s="44">
        <f t="shared" si="116"/>
        <v>0.37669078326517774</v>
      </c>
    </row>
    <row r="793" spans="1:35">
      <c r="A793" t="s">
        <v>2449</v>
      </c>
      <c r="B793" s="5">
        <v>45567</v>
      </c>
      <c r="C793" s="5">
        <v>45453</v>
      </c>
      <c r="D793" s="13">
        <f t="shared" si="108"/>
        <v>-114</v>
      </c>
      <c r="E793" t="s">
        <v>2450</v>
      </c>
      <c r="F793" t="s">
        <v>118</v>
      </c>
      <c r="G793" t="s">
        <v>95</v>
      </c>
      <c r="H793" t="s">
        <v>54</v>
      </c>
      <c r="I793" t="s">
        <v>175</v>
      </c>
      <c r="J793" t="s">
        <v>176</v>
      </c>
      <c r="K793" t="s">
        <v>41</v>
      </c>
      <c r="L793" t="s">
        <v>158</v>
      </c>
      <c r="M793" t="s">
        <v>2451</v>
      </c>
      <c r="N793" t="s">
        <v>44</v>
      </c>
      <c r="O793">
        <v>8</v>
      </c>
      <c r="P793">
        <v>1558.77</v>
      </c>
      <c r="Q793" s="11">
        <v>0.25</v>
      </c>
      <c r="R793">
        <v>9352.6200000000008</v>
      </c>
      <c r="S793">
        <v>5269.41</v>
      </c>
      <c r="T793">
        <v>4083.21</v>
      </c>
      <c r="U793" t="s">
        <v>32</v>
      </c>
      <c r="V793" t="s">
        <v>33</v>
      </c>
      <c r="X793" s="8" t="str">
        <f>IF(C793&gt;=B793,"Valid", "Invalid-Date")</f>
        <v>Invalid-Date</v>
      </c>
      <c r="Y793" s="8" t="str">
        <f t="shared" si="109"/>
        <v>Valid</v>
      </c>
      <c r="Z793" s="8" t="str">
        <f t="shared" si="110"/>
        <v>Pass</v>
      </c>
      <c r="AA793" s="8" t="str">
        <f t="shared" si="111"/>
        <v>Pass</v>
      </c>
      <c r="AB793" s="8" t="str">
        <f>TEXT(B793,"mmmm")</f>
        <v>October</v>
      </c>
      <c r="AC793" s="8" t="str">
        <f>TEXT(B793,"yyyy")</f>
        <v>2024</v>
      </c>
      <c r="AE793">
        <f t="shared" si="112"/>
        <v>12470.16</v>
      </c>
      <c r="AF793" s="11">
        <f t="shared" si="113"/>
        <v>9352.619999999999</v>
      </c>
      <c r="AG793">
        <f t="shared" si="114"/>
        <v>7200.75</v>
      </c>
      <c r="AH793" s="11">
        <f t="shared" si="115"/>
        <v>0.5774384610943244</v>
      </c>
      <c r="AI793" s="44">
        <f t="shared" si="116"/>
        <v>0.5774384610943244</v>
      </c>
    </row>
    <row r="794" spans="1:35">
      <c r="A794" t="s">
        <v>2452</v>
      </c>
      <c r="B794" s="5">
        <v>45812</v>
      </c>
      <c r="C794" s="5">
        <v>45875</v>
      </c>
      <c r="D794" s="13">
        <f t="shared" si="108"/>
        <v>63</v>
      </c>
      <c r="E794" t="s">
        <v>2453</v>
      </c>
      <c r="F794" t="s">
        <v>53</v>
      </c>
      <c r="G794" t="s">
        <v>37</v>
      </c>
      <c r="H794" t="s">
        <v>38</v>
      </c>
      <c r="I794" t="s">
        <v>166</v>
      </c>
      <c r="J794" t="s">
        <v>167</v>
      </c>
      <c r="K794" t="s">
        <v>41</v>
      </c>
      <c r="L794" t="s">
        <v>57</v>
      </c>
      <c r="M794" t="s">
        <v>2454</v>
      </c>
      <c r="N794" t="s">
        <v>31</v>
      </c>
      <c r="O794">
        <v>1</v>
      </c>
      <c r="P794">
        <v>3501.12</v>
      </c>
      <c r="Q794" s="11">
        <v>0.2</v>
      </c>
      <c r="R794">
        <v>2800.9</v>
      </c>
      <c r="S794">
        <v>1735.98</v>
      </c>
      <c r="T794">
        <v>1064.92</v>
      </c>
      <c r="U794" t="s">
        <v>32</v>
      </c>
      <c r="V794" t="s">
        <v>103</v>
      </c>
      <c r="X794" s="8" t="str">
        <f>IF(C794&gt;=B794,"Valid", "Invalid-Date")</f>
        <v>Valid</v>
      </c>
      <c r="Y794" s="8" t="str">
        <f t="shared" si="109"/>
        <v>Valid</v>
      </c>
      <c r="Z794" s="8" t="str">
        <f t="shared" si="110"/>
        <v>Pass</v>
      </c>
      <c r="AA794" s="8" t="str">
        <f t="shared" si="111"/>
        <v>Pass</v>
      </c>
      <c r="AB794" s="8" t="str">
        <f>TEXT(B794,"mmmm")</f>
        <v>June</v>
      </c>
      <c r="AC794" s="8" t="str">
        <f>TEXT(B794,"yyyy")</f>
        <v>2025</v>
      </c>
      <c r="AE794">
        <f t="shared" si="112"/>
        <v>3501.12</v>
      </c>
      <c r="AF794" s="11">
        <f t="shared" si="113"/>
        <v>2800.8960000000002</v>
      </c>
      <c r="AG794">
        <f t="shared" si="114"/>
        <v>1765.1399999999999</v>
      </c>
      <c r="AH794" s="11">
        <f t="shared" si="115"/>
        <v>0.50416438168357547</v>
      </c>
      <c r="AI794" s="44">
        <f t="shared" si="116"/>
        <v>0.50416438168357547</v>
      </c>
    </row>
    <row r="795" spans="1:35">
      <c r="A795" t="s">
        <v>2455</v>
      </c>
      <c r="B795" s="5">
        <v>45440</v>
      </c>
      <c r="C795" s="5">
        <v>45357</v>
      </c>
      <c r="D795" s="13">
        <f t="shared" si="108"/>
        <v>-83</v>
      </c>
      <c r="E795" t="s">
        <v>2456</v>
      </c>
      <c r="F795" t="s">
        <v>71</v>
      </c>
      <c r="G795" t="s">
        <v>90</v>
      </c>
      <c r="H795" t="s">
        <v>25</v>
      </c>
      <c r="I795" t="s">
        <v>26</v>
      </c>
      <c r="J795" t="s">
        <v>27</v>
      </c>
      <c r="K795" t="s">
        <v>74</v>
      </c>
      <c r="L795" t="s">
        <v>80</v>
      </c>
      <c r="M795" t="s">
        <v>2457</v>
      </c>
      <c r="N795" t="s">
        <v>31</v>
      </c>
      <c r="O795">
        <v>5</v>
      </c>
      <c r="P795">
        <v>4302.32</v>
      </c>
      <c r="Q795" s="11">
        <v>0</v>
      </c>
      <c r="R795">
        <v>21511.599999999999</v>
      </c>
      <c r="S795">
        <v>15408.47</v>
      </c>
      <c r="T795">
        <v>6103.13</v>
      </c>
      <c r="U795" t="s">
        <v>32</v>
      </c>
      <c r="V795" t="s">
        <v>33</v>
      </c>
      <c r="X795" s="8" t="str">
        <f>IF(C795&gt;=B795,"Valid", "Invalid-Date")</f>
        <v>Invalid-Date</v>
      </c>
      <c r="Y795" s="8" t="str">
        <f t="shared" si="109"/>
        <v>Valid</v>
      </c>
      <c r="Z795" s="8" t="str">
        <f t="shared" si="110"/>
        <v>Pass</v>
      </c>
      <c r="AA795" s="8" t="str">
        <f t="shared" si="111"/>
        <v>Pass</v>
      </c>
      <c r="AB795" s="8" t="str">
        <f>TEXT(B795,"mmmm")</f>
        <v>May</v>
      </c>
      <c r="AC795" s="8" t="str">
        <f>TEXT(B795,"yyyy")</f>
        <v>2024</v>
      </c>
      <c r="AE795">
        <f t="shared" si="112"/>
        <v>21511.599999999999</v>
      </c>
      <c r="AF795" s="11">
        <f t="shared" si="113"/>
        <v>21511.599999999999</v>
      </c>
      <c r="AG795">
        <f t="shared" si="114"/>
        <v>6103.1299999999992</v>
      </c>
      <c r="AH795" s="11">
        <f t="shared" si="115"/>
        <v>0.28371343833094703</v>
      </c>
      <c r="AI795" s="44">
        <f t="shared" si="116"/>
        <v>0.28371343833094703</v>
      </c>
    </row>
    <row r="796" spans="1:35">
      <c r="A796" t="s">
        <v>2458</v>
      </c>
      <c r="B796" s="5">
        <v>45830</v>
      </c>
      <c r="C796" s="5">
        <v>45832</v>
      </c>
      <c r="D796" s="13">
        <f t="shared" si="108"/>
        <v>2</v>
      </c>
      <c r="E796" t="s">
        <v>2459</v>
      </c>
      <c r="F796" t="s">
        <v>132</v>
      </c>
      <c r="G796" t="s">
        <v>90</v>
      </c>
      <c r="H796" t="s">
        <v>38</v>
      </c>
      <c r="I796" t="s">
        <v>166</v>
      </c>
      <c r="J796" t="s">
        <v>167</v>
      </c>
      <c r="K796" t="s">
        <v>28</v>
      </c>
      <c r="L796" t="s">
        <v>29</v>
      </c>
      <c r="M796" t="s">
        <v>2460</v>
      </c>
      <c r="N796" t="s">
        <v>59</v>
      </c>
      <c r="O796">
        <v>9</v>
      </c>
      <c r="P796">
        <v>951.55</v>
      </c>
      <c r="Q796" s="11">
        <v>0.15</v>
      </c>
      <c r="R796">
        <v>7279.36</v>
      </c>
      <c r="S796">
        <v>4870.3900000000003</v>
      </c>
      <c r="T796">
        <v>2408.9699999999998</v>
      </c>
      <c r="U796" t="s">
        <v>32</v>
      </c>
      <c r="V796" t="s">
        <v>33</v>
      </c>
      <c r="X796" s="8" t="str">
        <f>IF(C796&gt;=B796,"Valid", "Invalid-Date")</f>
        <v>Valid</v>
      </c>
      <c r="Y796" s="8" t="str">
        <f t="shared" si="109"/>
        <v>Valid</v>
      </c>
      <c r="Z796" s="8" t="str">
        <f t="shared" si="110"/>
        <v>Pass</v>
      </c>
      <c r="AA796" s="8" t="str">
        <f t="shared" si="111"/>
        <v>Pass</v>
      </c>
      <c r="AB796" s="8" t="str">
        <f>TEXT(B796,"mmmm")</f>
        <v>June</v>
      </c>
      <c r="AC796" s="8" t="str">
        <f>TEXT(B796,"yyyy")</f>
        <v>2025</v>
      </c>
      <c r="AE796">
        <f t="shared" si="112"/>
        <v>8563.9499999999989</v>
      </c>
      <c r="AF796" s="11">
        <f t="shared" si="113"/>
        <v>7279.3574999999992</v>
      </c>
      <c r="AG796">
        <f t="shared" si="114"/>
        <v>3693.5599999999986</v>
      </c>
      <c r="AH796" s="11">
        <f t="shared" si="115"/>
        <v>0.43129163528511949</v>
      </c>
      <c r="AI796" s="44">
        <f t="shared" si="116"/>
        <v>0.43129163528511949</v>
      </c>
    </row>
    <row r="797" spans="1:35">
      <c r="A797" t="s">
        <v>2461</v>
      </c>
      <c r="B797" s="5">
        <v>45503</v>
      </c>
      <c r="C797" s="5">
        <v>45503</v>
      </c>
      <c r="D797" s="13">
        <f t="shared" si="108"/>
        <v>0</v>
      </c>
      <c r="E797" t="s">
        <v>2462</v>
      </c>
      <c r="F797" t="s">
        <v>162</v>
      </c>
      <c r="G797" t="s">
        <v>95</v>
      </c>
      <c r="H797" t="s">
        <v>38</v>
      </c>
      <c r="I797" t="s">
        <v>39</v>
      </c>
      <c r="J797" t="s">
        <v>40</v>
      </c>
      <c r="K797" t="s">
        <v>74</v>
      </c>
      <c r="L797" t="s">
        <v>80</v>
      </c>
      <c r="M797" t="s">
        <v>2463</v>
      </c>
      <c r="N797" t="s">
        <v>44</v>
      </c>
      <c r="O797">
        <v>9</v>
      </c>
      <c r="P797">
        <v>2894.66</v>
      </c>
      <c r="Q797" s="11">
        <v>0</v>
      </c>
      <c r="R797">
        <v>26051.94</v>
      </c>
      <c r="S797">
        <v>16883.59</v>
      </c>
      <c r="T797">
        <v>9168.35</v>
      </c>
      <c r="U797" t="s">
        <v>102</v>
      </c>
      <c r="V797" t="s">
        <v>68</v>
      </c>
      <c r="X797" s="8" t="str">
        <f>IF(C797&gt;=B797,"Valid", "Invalid-Date")</f>
        <v>Valid</v>
      </c>
      <c r="Y797" s="8" t="str">
        <f t="shared" si="109"/>
        <v>Valid</v>
      </c>
      <c r="Z797" s="8" t="str">
        <f t="shared" si="110"/>
        <v>Pass</v>
      </c>
      <c r="AA797" s="8" t="str">
        <f t="shared" si="111"/>
        <v>Pass</v>
      </c>
      <c r="AB797" s="8" t="str">
        <f>TEXT(B797,"mmmm")</f>
        <v>July</v>
      </c>
      <c r="AC797" s="8" t="str">
        <f>TEXT(B797,"yyyy")</f>
        <v>2024</v>
      </c>
      <c r="AE797">
        <f t="shared" si="112"/>
        <v>26051.94</v>
      </c>
      <c r="AF797" s="11">
        <f t="shared" si="113"/>
        <v>26051.94</v>
      </c>
      <c r="AG797">
        <f t="shared" si="114"/>
        <v>9168.3499999999985</v>
      </c>
      <c r="AH797" s="11">
        <f t="shared" si="115"/>
        <v>0.3519258066769691</v>
      </c>
      <c r="AI797" s="44">
        <f t="shared" si="116"/>
        <v>0.3519258066769691</v>
      </c>
    </row>
    <row r="798" spans="1:35">
      <c r="A798" t="s">
        <v>2464</v>
      </c>
      <c r="B798" s="5">
        <v>45374</v>
      </c>
      <c r="C798" s="5">
        <v>45381</v>
      </c>
      <c r="D798" s="13">
        <f t="shared" si="108"/>
        <v>7</v>
      </c>
      <c r="E798" t="s">
        <v>2465</v>
      </c>
      <c r="F798" t="s">
        <v>141</v>
      </c>
      <c r="G798" t="s">
        <v>37</v>
      </c>
      <c r="H798" t="s">
        <v>54</v>
      </c>
      <c r="I798" t="s">
        <v>84</v>
      </c>
      <c r="J798" t="s">
        <v>85</v>
      </c>
      <c r="K798" t="s">
        <v>74</v>
      </c>
      <c r="L798" t="s">
        <v>274</v>
      </c>
      <c r="M798" t="s">
        <v>2466</v>
      </c>
      <c r="N798" t="s">
        <v>50</v>
      </c>
      <c r="O798">
        <v>6</v>
      </c>
      <c r="P798">
        <v>1894.44</v>
      </c>
      <c r="Q798" s="11">
        <v>0.15</v>
      </c>
      <c r="R798">
        <v>9661.64</v>
      </c>
      <c r="S798">
        <v>6303.77</v>
      </c>
      <c r="T798">
        <v>3357.87</v>
      </c>
      <c r="U798" t="s">
        <v>32</v>
      </c>
      <c r="V798" t="s">
        <v>33</v>
      </c>
      <c r="X798" s="8" t="str">
        <f>IF(C798&gt;=B798,"Valid", "Invalid-Date")</f>
        <v>Valid</v>
      </c>
      <c r="Y798" s="8" t="str">
        <f t="shared" si="109"/>
        <v>Valid</v>
      </c>
      <c r="Z798" s="8" t="str">
        <f t="shared" si="110"/>
        <v>Pass</v>
      </c>
      <c r="AA798" s="8" t="str">
        <f t="shared" si="111"/>
        <v>Pass</v>
      </c>
      <c r="AB798" s="8" t="str">
        <f>TEXT(B798,"mmmm")</f>
        <v>March</v>
      </c>
      <c r="AC798" s="8" t="str">
        <f>TEXT(B798,"yyyy")</f>
        <v>2024</v>
      </c>
      <c r="AE798">
        <f t="shared" si="112"/>
        <v>11366.64</v>
      </c>
      <c r="AF798" s="11">
        <f t="shared" si="113"/>
        <v>9661.6439999999984</v>
      </c>
      <c r="AG798">
        <f t="shared" si="114"/>
        <v>5062.869999999999</v>
      </c>
      <c r="AH798" s="11">
        <f t="shared" si="115"/>
        <v>0.44541482795267551</v>
      </c>
      <c r="AI798" s="44">
        <f t="shared" si="116"/>
        <v>0.44541482795267551</v>
      </c>
    </row>
    <row r="799" spans="1:35">
      <c r="A799" t="s">
        <v>2467</v>
      </c>
      <c r="B799" s="5">
        <v>45400</v>
      </c>
      <c r="C799" s="5">
        <v>45404</v>
      </c>
      <c r="D799" s="13">
        <f t="shared" si="108"/>
        <v>4</v>
      </c>
      <c r="E799" t="s">
        <v>2468</v>
      </c>
      <c r="F799" t="s">
        <v>128</v>
      </c>
      <c r="G799" t="s">
        <v>24</v>
      </c>
      <c r="H799" t="s">
        <v>38</v>
      </c>
      <c r="I799" t="s">
        <v>39</v>
      </c>
      <c r="J799" t="s">
        <v>40</v>
      </c>
      <c r="K799" t="s">
        <v>28</v>
      </c>
      <c r="L799" t="s">
        <v>153</v>
      </c>
      <c r="M799" t="s">
        <v>2469</v>
      </c>
      <c r="N799" t="s">
        <v>50</v>
      </c>
      <c r="O799">
        <v>8</v>
      </c>
      <c r="P799">
        <v>1714.37</v>
      </c>
      <c r="Q799" s="11">
        <v>0</v>
      </c>
      <c r="R799">
        <v>13714.96</v>
      </c>
      <c r="S799">
        <v>10550.47</v>
      </c>
      <c r="T799">
        <v>3164.49</v>
      </c>
      <c r="U799" t="s">
        <v>155</v>
      </c>
      <c r="V799" t="s">
        <v>68</v>
      </c>
      <c r="X799" s="8" t="str">
        <f>IF(C799&gt;=B799,"Valid", "Invalid-Date")</f>
        <v>Valid</v>
      </c>
      <c r="Y799" s="8" t="str">
        <f t="shared" si="109"/>
        <v>Valid</v>
      </c>
      <c r="Z799" s="8" t="str">
        <f t="shared" si="110"/>
        <v>Pass</v>
      </c>
      <c r="AA799" s="8" t="str">
        <f t="shared" si="111"/>
        <v>Pass</v>
      </c>
      <c r="AB799" s="8" t="str">
        <f>TEXT(B799,"mmmm")</f>
        <v>April</v>
      </c>
      <c r="AC799" s="8" t="str">
        <f>TEXT(B799,"yyyy")</f>
        <v>2024</v>
      </c>
      <c r="AE799">
        <f t="shared" si="112"/>
        <v>13714.96</v>
      </c>
      <c r="AF799" s="11">
        <f t="shared" si="113"/>
        <v>13714.96</v>
      </c>
      <c r="AG799">
        <f t="shared" si="114"/>
        <v>3164.49</v>
      </c>
      <c r="AH799" s="11">
        <f t="shared" si="115"/>
        <v>0.23073271814135804</v>
      </c>
      <c r="AI799" s="44">
        <f t="shared" si="116"/>
        <v>0.23073271814135804</v>
      </c>
    </row>
    <row r="800" spans="1:35">
      <c r="A800" t="s">
        <v>2470</v>
      </c>
      <c r="B800" s="5">
        <v>45849</v>
      </c>
      <c r="C800" s="5">
        <v>45847</v>
      </c>
      <c r="D800" s="13">
        <f t="shared" si="108"/>
        <v>-2</v>
      </c>
      <c r="E800" t="s">
        <v>2471</v>
      </c>
      <c r="F800" t="s">
        <v>89</v>
      </c>
      <c r="G800" t="s">
        <v>90</v>
      </c>
      <c r="H800" t="s">
        <v>25</v>
      </c>
      <c r="I800" t="s">
        <v>350</v>
      </c>
      <c r="J800" t="s">
        <v>351</v>
      </c>
      <c r="K800" t="s">
        <v>41</v>
      </c>
      <c r="L800" t="s">
        <v>57</v>
      </c>
      <c r="M800" t="s">
        <v>2472</v>
      </c>
      <c r="N800" t="s">
        <v>59</v>
      </c>
      <c r="O800">
        <v>9</v>
      </c>
      <c r="P800">
        <v>1706.05</v>
      </c>
      <c r="Q800" s="11">
        <v>0</v>
      </c>
      <c r="R800">
        <v>15354.45</v>
      </c>
      <c r="S800">
        <v>9656.5</v>
      </c>
      <c r="T800">
        <v>5697.95</v>
      </c>
      <c r="U800" t="s">
        <v>32</v>
      </c>
      <c r="V800" t="s">
        <v>33</v>
      </c>
      <c r="X800" s="8" t="str">
        <f>IF(C800&gt;=B800,"Valid", "Invalid-Date")</f>
        <v>Invalid-Date</v>
      </c>
      <c r="Y800" s="8" t="str">
        <f t="shared" si="109"/>
        <v>Valid</v>
      </c>
      <c r="Z800" s="8" t="str">
        <f t="shared" si="110"/>
        <v>Pass</v>
      </c>
      <c r="AA800" s="8" t="str">
        <f t="shared" si="111"/>
        <v>Pass</v>
      </c>
      <c r="AB800" s="8" t="str">
        <f>TEXT(B800,"mmmm")</f>
        <v>July</v>
      </c>
      <c r="AC800" s="8" t="str">
        <f>TEXT(B800,"yyyy")</f>
        <v>2025</v>
      </c>
      <c r="AE800">
        <f t="shared" si="112"/>
        <v>15354.449999999999</v>
      </c>
      <c r="AF800" s="11">
        <f t="shared" si="113"/>
        <v>15354.449999999999</v>
      </c>
      <c r="AG800">
        <f t="shared" si="114"/>
        <v>5697.9499999999989</v>
      </c>
      <c r="AH800" s="11">
        <f t="shared" si="115"/>
        <v>0.37109437329243311</v>
      </c>
      <c r="AI800" s="44">
        <f t="shared" si="116"/>
        <v>0.37109437329243311</v>
      </c>
    </row>
    <row r="801" spans="1:35">
      <c r="A801" t="s">
        <v>2473</v>
      </c>
      <c r="B801" s="5">
        <v>45575</v>
      </c>
      <c r="C801" s="5">
        <v>45582</v>
      </c>
      <c r="D801" s="13">
        <f t="shared" si="108"/>
        <v>7</v>
      </c>
      <c r="E801" t="s">
        <v>2474</v>
      </c>
      <c r="F801" t="s">
        <v>47</v>
      </c>
      <c r="G801" t="s">
        <v>95</v>
      </c>
      <c r="H801" t="s">
        <v>25</v>
      </c>
      <c r="I801" t="s">
        <v>236</v>
      </c>
      <c r="J801" t="s">
        <v>237</v>
      </c>
      <c r="K801" t="s">
        <v>74</v>
      </c>
      <c r="L801" t="s">
        <v>75</v>
      </c>
      <c r="M801" t="s">
        <v>2475</v>
      </c>
      <c r="N801" t="s">
        <v>2785</v>
      </c>
      <c r="O801">
        <v>5</v>
      </c>
      <c r="P801">
        <v>967.41</v>
      </c>
      <c r="Q801" s="11">
        <v>0.05</v>
      </c>
      <c r="R801">
        <v>4595.2</v>
      </c>
      <c r="S801">
        <v>3887.41</v>
      </c>
      <c r="T801">
        <v>707.79</v>
      </c>
      <c r="U801" t="s">
        <v>32</v>
      </c>
      <c r="V801" t="s">
        <v>103</v>
      </c>
      <c r="X801" s="8" t="str">
        <f>IF(C801&gt;=B801,"Valid", "Invalid-Date")</f>
        <v>Valid</v>
      </c>
      <c r="Y801" s="8" t="str">
        <f t="shared" si="109"/>
        <v>Valid</v>
      </c>
      <c r="Z801" s="8" t="str">
        <f t="shared" si="110"/>
        <v>Flagged</v>
      </c>
      <c r="AA801" s="8" t="str">
        <f t="shared" si="111"/>
        <v>Pass</v>
      </c>
      <c r="AB801" s="8" t="str">
        <f>TEXT(B801,"mmmm")</f>
        <v>October</v>
      </c>
      <c r="AC801" s="8" t="str">
        <f>TEXT(B801,"yyyy")</f>
        <v>2024</v>
      </c>
      <c r="AE801">
        <f t="shared" si="112"/>
        <v>4837.05</v>
      </c>
      <c r="AF801" s="11">
        <f t="shared" si="113"/>
        <v>4595.1975000000002</v>
      </c>
      <c r="AG801">
        <f t="shared" si="114"/>
        <v>949.64000000000033</v>
      </c>
      <c r="AH801" s="11">
        <f t="shared" si="115"/>
        <v>0.19632627324505644</v>
      </c>
      <c r="AI801" s="44">
        <f t="shared" si="116"/>
        <v>0.19632627324505644</v>
      </c>
    </row>
    <row r="802" spans="1:35">
      <c r="A802" t="s">
        <v>2476</v>
      </c>
      <c r="B802" s="5">
        <v>45352</v>
      </c>
      <c r="C802" s="5">
        <v>45476</v>
      </c>
      <c r="D802" s="13">
        <f t="shared" si="108"/>
        <v>124</v>
      </c>
      <c r="E802" t="s">
        <v>2477</v>
      </c>
      <c r="F802" t="s">
        <v>71</v>
      </c>
      <c r="G802" t="s">
        <v>37</v>
      </c>
      <c r="H802" t="s">
        <v>63</v>
      </c>
      <c r="I802" t="s">
        <v>64</v>
      </c>
      <c r="J802" t="s">
        <v>65</v>
      </c>
      <c r="K802" t="s">
        <v>28</v>
      </c>
      <c r="L802" t="s">
        <v>124</v>
      </c>
      <c r="M802" t="s">
        <v>2478</v>
      </c>
      <c r="N802" t="s">
        <v>31</v>
      </c>
      <c r="O802">
        <v>6</v>
      </c>
      <c r="P802">
        <v>4163.72</v>
      </c>
      <c r="Q802" s="11">
        <v>0.15</v>
      </c>
      <c r="R802">
        <v>21234.97</v>
      </c>
      <c r="S802">
        <v>16736.09</v>
      </c>
      <c r="T802">
        <v>4498.88</v>
      </c>
      <c r="U802" t="s">
        <v>32</v>
      </c>
      <c r="V802" t="s">
        <v>33</v>
      </c>
      <c r="X802" s="8" t="str">
        <f>IF(C802&gt;=B802,"Valid", "Invalid-Date")</f>
        <v>Valid</v>
      </c>
      <c r="Y802" s="8" t="str">
        <f t="shared" si="109"/>
        <v>Valid</v>
      </c>
      <c r="Z802" s="8" t="str">
        <f t="shared" si="110"/>
        <v>Pass</v>
      </c>
      <c r="AA802" s="8" t="str">
        <f t="shared" si="111"/>
        <v>Pass</v>
      </c>
      <c r="AB802" s="8" t="str">
        <f>TEXT(B802,"mmmm")</f>
        <v>March</v>
      </c>
      <c r="AC802" s="8" t="str">
        <f>TEXT(B802,"yyyy")</f>
        <v>2024</v>
      </c>
      <c r="AE802">
        <f t="shared" si="112"/>
        <v>24982.32</v>
      </c>
      <c r="AF802" s="11">
        <f t="shared" si="113"/>
        <v>21234.971999999998</v>
      </c>
      <c r="AG802">
        <f t="shared" si="114"/>
        <v>8246.23</v>
      </c>
      <c r="AH802" s="11">
        <f t="shared" si="115"/>
        <v>0.33008263443907532</v>
      </c>
      <c r="AI802" s="44">
        <f t="shared" si="116"/>
        <v>0.33008263443907532</v>
      </c>
    </row>
    <row r="803" spans="1:35">
      <c r="A803" t="s">
        <v>2479</v>
      </c>
      <c r="B803" s="5">
        <v>45938</v>
      </c>
      <c r="C803" s="5">
        <v>45945</v>
      </c>
      <c r="D803" s="13">
        <f t="shared" si="108"/>
        <v>7</v>
      </c>
      <c r="E803" t="s">
        <v>2480</v>
      </c>
      <c r="F803" t="s">
        <v>128</v>
      </c>
      <c r="G803" t="s">
        <v>95</v>
      </c>
      <c r="H803" t="s">
        <v>38</v>
      </c>
      <c r="I803" t="s">
        <v>39</v>
      </c>
      <c r="J803" t="s">
        <v>40</v>
      </c>
      <c r="K803" t="s">
        <v>74</v>
      </c>
      <c r="L803" t="s">
        <v>75</v>
      </c>
      <c r="M803" t="s">
        <v>2481</v>
      </c>
      <c r="N803" t="s">
        <v>31</v>
      </c>
      <c r="O803">
        <v>3</v>
      </c>
      <c r="P803">
        <v>3372.21</v>
      </c>
      <c r="Q803" s="11">
        <v>0.2</v>
      </c>
      <c r="R803">
        <v>8093.3</v>
      </c>
      <c r="S803">
        <v>6052.43</v>
      </c>
      <c r="T803">
        <v>2040.87</v>
      </c>
      <c r="U803" t="s">
        <v>111</v>
      </c>
      <c r="V803" t="s">
        <v>68</v>
      </c>
      <c r="X803" s="8" t="str">
        <f>IF(C803&gt;=B803,"Valid", "Invalid-Date")</f>
        <v>Valid</v>
      </c>
      <c r="Y803" s="8" t="str">
        <f t="shared" si="109"/>
        <v>Valid</v>
      </c>
      <c r="Z803" s="8" t="str">
        <f t="shared" si="110"/>
        <v>Pass</v>
      </c>
      <c r="AA803" s="8" t="str">
        <f t="shared" si="111"/>
        <v>Pass</v>
      </c>
      <c r="AB803" s="8" t="str">
        <f>TEXT(B803,"mmmm")</f>
        <v>October</v>
      </c>
      <c r="AC803" s="8" t="str">
        <f>TEXT(B803,"yyyy")</f>
        <v>2025</v>
      </c>
      <c r="AE803">
        <f t="shared" si="112"/>
        <v>10116.630000000001</v>
      </c>
      <c r="AF803" s="11">
        <f t="shared" si="113"/>
        <v>8093.304000000001</v>
      </c>
      <c r="AG803">
        <f t="shared" si="114"/>
        <v>4064.2000000000007</v>
      </c>
      <c r="AH803" s="11">
        <f t="shared" si="115"/>
        <v>0.40173456971343224</v>
      </c>
      <c r="AI803" s="44">
        <f t="shared" si="116"/>
        <v>0.40173456971343224</v>
      </c>
    </row>
    <row r="804" spans="1:35">
      <c r="A804" t="s">
        <v>2482</v>
      </c>
      <c r="B804" s="5">
        <v>45704</v>
      </c>
      <c r="C804" s="5">
        <v>45704</v>
      </c>
      <c r="D804" s="13">
        <f t="shared" si="108"/>
        <v>0</v>
      </c>
      <c r="E804" t="s">
        <v>2483</v>
      </c>
      <c r="F804" t="s">
        <v>141</v>
      </c>
      <c r="G804" t="s">
        <v>37</v>
      </c>
      <c r="H804" t="s">
        <v>38</v>
      </c>
      <c r="I804" t="s">
        <v>166</v>
      </c>
      <c r="J804" t="s">
        <v>167</v>
      </c>
      <c r="K804" t="s">
        <v>41</v>
      </c>
      <c r="L804" t="s">
        <v>57</v>
      </c>
      <c r="M804" t="s">
        <v>2484</v>
      </c>
      <c r="N804" t="s">
        <v>31</v>
      </c>
      <c r="O804">
        <v>6</v>
      </c>
      <c r="P804">
        <v>1441.91</v>
      </c>
      <c r="Q804" s="11">
        <v>0</v>
      </c>
      <c r="R804">
        <v>8651.4599999999991</v>
      </c>
      <c r="S804">
        <v>5254.62</v>
      </c>
      <c r="T804">
        <v>3396.84</v>
      </c>
      <c r="U804" t="s">
        <v>155</v>
      </c>
      <c r="V804" t="s">
        <v>103</v>
      </c>
      <c r="X804" s="8" t="str">
        <f>IF(C804&gt;=B804,"Valid", "Invalid-Date")</f>
        <v>Valid</v>
      </c>
      <c r="Y804" s="8" t="str">
        <f t="shared" si="109"/>
        <v>Valid</v>
      </c>
      <c r="Z804" s="8" t="str">
        <f t="shared" si="110"/>
        <v>Pass</v>
      </c>
      <c r="AA804" s="8" t="str">
        <f t="shared" si="111"/>
        <v>Pass</v>
      </c>
      <c r="AB804" s="8" t="str">
        <f>TEXT(B804,"mmmm")</f>
        <v>February</v>
      </c>
      <c r="AC804" s="8" t="str">
        <f>TEXT(B804,"yyyy")</f>
        <v>2025</v>
      </c>
      <c r="AE804">
        <f t="shared" si="112"/>
        <v>8651.4600000000009</v>
      </c>
      <c r="AF804" s="11">
        <f t="shared" si="113"/>
        <v>8651.4600000000009</v>
      </c>
      <c r="AG804">
        <f t="shared" si="114"/>
        <v>3396.8400000000011</v>
      </c>
      <c r="AH804" s="11">
        <f t="shared" si="115"/>
        <v>0.39263199506210522</v>
      </c>
      <c r="AI804" s="44">
        <f t="shared" si="116"/>
        <v>0.39263199506210522</v>
      </c>
    </row>
    <row r="805" spans="1:35">
      <c r="A805" t="s">
        <v>2485</v>
      </c>
      <c r="B805" s="5">
        <v>45635</v>
      </c>
      <c r="C805" s="5">
        <v>45639</v>
      </c>
      <c r="D805" s="13">
        <f t="shared" si="108"/>
        <v>4</v>
      </c>
      <c r="E805" t="s">
        <v>2486</v>
      </c>
      <c r="F805" t="s">
        <v>141</v>
      </c>
      <c r="G805" t="s">
        <v>24</v>
      </c>
      <c r="H805" t="s">
        <v>2785</v>
      </c>
      <c r="I805" t="s">
        <v>228</v>
      </c>
      <c r="J805" t="s">
        <v>229</v>
      </c>
      <c r="K805" t="s">
        <v>28</v>
      </c>
      <c r="L805" t="s">
        <v>91</v>
      </c>
      <c r="M805" t="s">
        <v>2487</v>
      </c>
      <c r="N805" t="s">
        <v>50</v>
      </c>
      <c r="O805">
        <v>1</v>
      </c>
      <c r="P805">
        <v>4306.6499999999996</v>
      </c>
      <c r="Q805" s="11">
        <v>0</v>
      </c>
      <c r="R805">
        <v>4306.6499999999996</v>
      </c>
      <c r="S805">
        <v>2568.8200000000002</v>
      </c>
      <c r="T805">
        <v>1737.83</v>
      </c>
      <c r="U805" t="s">
        <v>32</v>
      </c>
      <c r="V805" t="s">
        <v>33</v>
      </c>
      <c r="X805" s="8" t="str">
        <f>IF(C805&gt;=B805,"Valid", "Invalid-Date")</f>
        <v>Valid</v>
      </c>
      <c r="Y805" s="8" t="str">
        <f t="shared" si="109"/>
        <v>Valid</v>
      </c>
      <c r="Z805" s="8" t="str">
        <f t="shared" si="110"/>
        <v>Pass</v>
      </c>
      <c r="AA805" s="8" t="str">
        <f t="shared" si="111"/>
        <v>Flagged</v>
      </c>
      <c r="AB805" s="8" t="str">
        <f>TEXT(B805,"mmmm")</f>
        <v>December</v>
      </c>
      <c r="AC805" s="8" t="str">
        <f>TEXT(B805,"yyyy")</f>
        <v>2024</v>
      </c>
      <c r="AE805">
        <f t="shared" si="112"/>
        <v>4306.6499999999996</v>
      </c>
      <c r="AF805" s="11">
        <f t="shared" si="113"/>
        <v>4306.6499999999996</v>
      </c>
      <c r="AG805">
        <f t="shared" si="114"/>
        <v>1737.8299999999995</v>
      </c>
      <c r="AH805" s="11">
        <f t="shared" si="115"/>
        <v>0.40352245945224235</v>
      </c>
      <c r="AI805" s="44">
        <f t="shared" si="116"/>
        <v>0.40352245945224235</v>
      </c>
    </row>
    <row r="806" spans="1:35">
      <c r="A806" t="s">
        <v>2488</v>
      </c>
      <c r="B806" s="5">
        <v>45910</v>
      </c>
      <c r="C806" s="5">
        <v>45918</v>
      </c>
      <c r="D806" s="13">
        <f t="shared" si="108"/>
        <v>8</v>
      </c>
      <c r="E806" t="s">
        <v>2489</v>
      </c>
      <c r="F806" t="s">
        <v>118</v>
      </c>
      <c r="G806" t="s">
        <v>95</v>
      </c>
      <c r="H806" t="s">
        <v>54</v>
      </c>
      <c r="I806" t="s">
        <v>55</v>
      </c>
      <c r="J806" t="s">
        <v>56</v>
      </c>
      <c r="K806" t="s">
        <v>41</v>
      </c>
      <c r="L806" t="s">
        <v>57</v>
      </c>
      <c r="M806" t="s">
        <v>2490</v>
      </c>
      <c r="N806" t="s">
        <v>59</v>
      </c>
      <c r="O806">
        <v>1</v>
      </c>
      <c r="P806">
        <v>2050.62</v>
      </c>
      <c r="Q806" s="11">
        <v>0.05</v>
      </c>
      <c r="R806">
        <v>1948.09</v>
      </c>
      <c r="S806">
        <v>1507.08</v>
      </c>
      <c r="T806">
        <v>441.01</v>
      </c>
      <c r="U806" t="s">
        <v>32</v>
      </c>
      <c r="V806" t="s">
        <v>33</v>
      </c>
      <c r="X806" s="8" t="str">
        <f>IF(C806&gt;=B806,"Valid", "Invalid-Date")</f>
        <v>Valid</v>
      </c>
      <c r="Y806" s="8" t="str">
        <f t="shared" si="109"/>
        <v>Valid</v>
      </c>
      <c r="Z806" s="8" t="str">
        <f t="shared" si="110"/>
        <v>Pass</v>
      </c>
      <c r="AA806" s="8" t="str">
        <f t="shared" si="111"/>
        <v>Pass</v>
      </c>
      <c r="AB806" s="8" t="str">
        <f>TEXT(B806,"mmmm")</f>
        <v>September</v>
      </c>
      <c r="AC806" s="8" t="str">
        <f>TEXT(B806,"yyyy")</f>
        <v>2025</v>
      </c>
      <c r="AE806">
        <f t="shared" si="112"/>
        <v>2050.62</v>
      </c>
      <c r="AF806" s="11">
        <f t="shared" si="113"/>
        <v>1948.0889999999997</v>
      </c>
      <c r="AG806">
        <f t="shared" si="114"/>
        <v>543.54</v>
      </c>
      <c r="AH806" s="11">
        <f t="shared" si="115"/>
        <v>0.26506129853410187</v>
      </c>
      <c r="AI806" s="44">
        <f t="shared" si="116"/>
        <v>0.26506129853410187</v>
      </c>
    </row>
    <row r="807" spans="1:35">
      <c r="A807" t="s">
        <v>2491</v>
      </c>
      <c r="B807" s="5">
        <v>45753</v>
      </c>
      <c r="C807" s="5">
        <v>45754</v>
      </c>
      <c r="D807" s="13">
        <f t="shared" si="108"/>
        <v>1</v>
      </c>
      <c r="E807" t="s">
        <v>2356</v>
      </c>
      <c r="F807" t="s">
        <v>114</v>
      </c>
      <c r="G807" t="s">
        <v>95</v>
      </c>
      <c r="H807" t="s">
        <v>38</v>
      </c>
      <c r="I807" t="s">
        <v>166</v>
      </c>
      <c r="J807" t="s">
        <v>167</v>
      </c>
      <c r="K807" t="s">
        <v>28</v>
      </c>
      <c r="L807" t="s">
        <v>153</v>
      </c>
      <c r="M807" t="s">
        <v>2492</v>
      </c>
      <c r="N807" t="s">
        <v>31</v>
      </c>
      <c r="O807">
        <v>2</v>
      </c>
      <c r="P807">
        <v>2030.06</v>
      </c>
      <c r="Q807" s="11">
        <v>0.25</v>
      </c>
      <c r="R807">
        <v>3045.09</v>
      </c>
      <c r="S807">
        <v>2601.09</v>
      </c>
      <c r="T807">
        <v>444</v>
      </c>
      <c r="U807" t="s">
        <v>32</v>
      </c>
      <c r="V807" t="s">
        <v>33</v>
      </c>
      <c r="X807" s="8" t="str">
        <f>IF(C807&gt;=B807,"Valid", "Invalid-Date")</f>
        <v>Valid</v>
      </c>
      <c r="Y807" s="8" t="str">
        <f t="shared" si="109"/>
        <v>Valid</v>
      </c>
      <c r="Z807" s="8" t="str">
        <f t="shared" si="110"/>
        <v>Pass</v>
      </c>
      <c r="AA807" s="8" t="str">
        <f t="shared" si="111"/>
        <v>Pass</v>
      </c>
      <c r="AB807" s="8" t="str">
        <f>TEXT(B807,"mmmm")</f>
        <v>April</v>
      </c>
      <c r="AC807" s="8" t="str">
        <f>TEXT(B807,"yyyy")</f>
        <v>2025</v>
      </c>
      <c r="AE807">
        <f t="shared" si="112"/>
        <v>4060.12</v>
      </c>
      <c r="AF807" s="11">
        <f t="shared" si="113"/>
        <v>3045.09</v>
      </c>
      <c r="AG807">
        <f t="shared" si="114"/>
        <v>1459.0299999999997</v>
      </c>
      <c r="AH807" s="11">
        <f t="shared" si="115"/>
        <v>0.35935637370324025</v>
      </c>
      <c r="AI807" s="44">
        <f t="shared" si="116"/>
        <v>0.35935637370324025</v>
      </c>
    </row>
    <row r="808" spans="1:35">
      <c r="A808" t="s">
        <v>2493</v>
      </c>
      <c r="B808" s="5">
        <v>45605</v>
      </c>
      <c r="C808" s="5">
        <v>45611</v>
      </c>
      <c r="D808" s="13">
        <f t="shared" si="108"/>
        <v>6</v>
      </c>
      <c r="E808" t="s">
        <v>2494</v>
      </c>
      <c r="F808" t="s">
        <v>47</v>
      </c>
      <c r="G808" t="s">
        <v>95</v>
      </c>
      <c r="H808" t="s">
        <v>25</v>
      </c>
      <c r="I808" t="s">
        <v>26</v>
      </c>
      <c r="J808" t="s">
        <v>27</v>
      </c>
      <c r="K808" t="s">
        <v>74</v>
      </c>
      <c r="L808" t="s">
        <v>80</v>
      </c>
      <c r="M808" t="s">
        <v>2495</v>
      </c>
      <c r="N808" t="s">
        <v>59</v>
      </c>
      <c r="O808">
        <v>1</v>
      </c>
      <c r="P808">
        <v>3665.97</v>
      </c>
      <c r="Q808" s="11">
        <v>0.2</v>
      </c>
      <c r="R808">
        <v>2932.78</v>
      </c>
      <c r="S808">
        <v>1900.35</v>
      </c>
      <c r="T808">
        <v>1032.43</v>
      </c>
      <c r="U808" t="s">
        <v>155</v>
      </c>
      <c r="V808" t="s">
        <v>68</v>
      </c>
      <c r="X808" s="8" t="str">
        <f>IF(C808&gt;=B808,"Valid", "Invalid-Date")</f>
        <v>Valid</v>
      </c>
      <c r="Y808" s="8" t="str">
        <f t="shared" si="109"/>
        <v>Valid</v>
      </c>
      <c r="Z808" s="8" t="str">
        <f t="shared" si="110"/>
        <v>Pass</v>
      </c>
      <c r="AA808" s="8" t="str">
        <f t="shared" si="111"/>
        <v>Pass</v>
      </c>
      <c r="AB808" s="8" t="str">
        <f>TEXT(B808,"mmmm")</f>
        <v>November</v>
      </c>
      <c r="AC808" s="8" t="str">
        <f>TEXT(B808,"yyyy")</f>
        <v>2024</v>
      </c>
      <c r="AE808">
        <f t="shared" si="112"/>
        <v>3665.97</v>
      </c>
      <c r="AF808" s="11">
        <f t="shared" si="113"/>
        <v>2932.7759999999998</v>
      </c>
      <c r="AG808">
        <f t="shared" si="114"/>
        <v>1765.62</v>
      </c>
      <c r="AH808" s="11">
        <f t="shared" si="115"/>
        <v>0.48162423587754399</v>
      </c>
      <c r="AI808" s="44">
        <f t="shared" si="116"/>
        <v>0.48162423587754399</v>
      </c>
    </row>
    <row r="809" spans="1:35">
      <c r="A809" t="s">
        <v>2496</v>
      </c>
      <c r="B809" s="5">
        <v>45695</v>
      </c>
      <c r="C809" s="5">
        <v>45871</v>
      </c>
      <c r="D809" s="13">
        <f t="shared" si="108"/>
        <v>176</v>
      </c>
      <c r="E809" t="s">
        <v>2497</v>
      </c>
      <c r="F809" t="s">
        <v>23</v>
      </c>
      <c r="G809" t="s">
        <v>37</v>
      </c>
      <c r="H809" t="s">
        <v>54</v>
      </c>
      <c r="I809" t="s">
        <v>55</v>
      </c>
      <c r="J809" t="s">
        <v>56</v>
      </c>
      <c r="K809" t="s">
        <v>28</v>
      </c>
      <c r="L809" t="s">
        <v>91</v>
      </c>
      <c r="M809" t="s">
        <v>2498</v>
      </c>
      <c r="N809" t="s">
        <v>59</v>
      </c>
      <c r="O809">
        <v>2</v>
      </c>
      <c r="P809">
        <v>2432.98</v>
      </c>
      <c r="Q809" s="11">
        <v>0.1</v>
      </c>
      <c r="R809">
        <v>4379.3599999999997</v>
      </c>
      <c r="S809">
        <v>3723.93</v>
      </c>
      <c r="T809">
        <v>655.43</v>
      </c>
      <c r="U809" t="s">
        <v>32</v>
      </c>
      <c r="V809" t="s">
        <v>33</v>
      </c>
      <c r="X809" s="8" t="str">
        <f>IF(C809&gt;=B809,"Valid", "Invalid-Date")</f>
        <v>Valid</v>
      </c>
      <c r="Y809" s="8" t="str">
        <f t="shared" si="109"/>
        <v>Valid</v>
      </c>
      <c r="Z809" s="8" t="str">
        <f t="shared" si="110"/>
        <v>Pass</v>
      </c>
      <c r="AA809" s="8" t="str">
        <f t="shared" si="111"/>
        <v>Pass</v>
      </c>
      <c r="AB809" s="8" t="str">
        <f>TEXT(B809,"mmmm")</f>
        <v>February</v>
      </c>
      <c r="AC809" s="8" t="str">
        <f>TEXT(B809,"yyyy")</f>
        <v>2025</v>
      </c>
      <c r="AE809">
        <f t="shared" si="112"/>
        <v>4865.96</v>
      </c>
      <c r="AF809" s="11">
        <f t="shared" si="113"/>
        <v>4379.3640000000005</v>
      </c>
      <c r="AG809">
        <f t="shared" si="114"/>
        <v>1142.0300000000002</v>
      </c>
      <c r="AH809" s="11">
        <f t="shared" si="115"/>
        <v>0.23469777803352271</v>
      </c>
      <c r="AI809" s="44">
        <f t="shared" si="116"/>
        <v>0.23469777803352271</v>
      </c>
    </row>
    <row r="810" spans="1:35">
      <c r="A810" t="s">
        <v>2499</v>
      </c>
      <c r="B810" s="5">
        <v>45900</v>
      </c>
      <c r="C810" s="5">
        <v>45897</v>
      </c>
      <c r="D810" s="13">
        <f t="shared" si="108"/>
        <v>-3</v>
      </c>
      <c r="E810" t="s">
        <v>2500</v>
      </c>
      <c r="F810" t="s">
        <v>128</v>
      </c>
      <c r="G810" t="s">
        <v>37</v>
      </c>
      <c r="H810" t="s">
        <v>54</v>
      </c>
      <c r="I810" t="s">
        <v>247</v>
      </c>
      <c r="J810" t="s">
        <v>248</v>
      </c>
      <c r="K810" t="s">
        <v>41</v>
      </c>
      <c r="L810" t="s">
        <v>57</v>
      </c>
      <c r="M810" t="s">
        <v>2501</v>
      </c>
      <c r="N810" t="s">
        <v>50</v>
      </c>
      <c r="O810">
        <v>7</v>
      </c>
      <c r="P810">
        <v>977.28</v>
      </c>
      <c r="Q810" s="11">
        <v>0.2</v>
      </c>
      <c r="R810">
        <v>5472.77</v>
      </c>
      <c r="S810">
        <v>4477.33</v>
      </c>
      <c r="T810">
        <v>995.44</v>
      </c>
      <c r="U810" t="s">
        <v>32</v>
      </c>
      <c r="V810" t="s">
        <v>33</v>
      </c>
      <c r="X810" s="8" t="str">
        <f>IF(C810&gt;=B810,"Valid", "Invalid-Date")</f>
        <v>Invalid-Date</v>
      </c>
      <c r="Y810" s="8" t="str">
        <f t="shared" si="109"/>
        <v>Valid</v>
      </c>
      <c r="Z810" s="8" t="str">
        <f t="shared" si="110"/>
        <v>Pass</v>
      </c>
      <c r="AA810" s="8" t="str">
        <f t="shared" si="111"/>
        <v>Pass</v>
      </c>
      <c r="AB810" s="8" t="str">
        <f>TEXT(B810,"mmmm")</f>
        <v>August</v>
      </c>
      <c r="AC810" s="8" t="str">
        <f>TEXT(B810,"yyyy")</f>
        <v>2025</v>
      </c>
      <c r="AE810">
        <f t="shared" si="112"/>
        <v>6840.96</v>
      </c>
      <c r="AF810" s="11">
        <f t="shared" si="113"/>
        <v>5472.768</v>
      </c>
      <c r="AG810">
        <f t="shared" si="114"/>
        <v>2363.63</v>
      </c>
      <c r="AH810" s="11">
        <f t="shared" si="115"/>
        <v>0.3455114486855646</v>
      </c>
      <c r="AI810" s="44">
        <f t="shared" si="116"/>
        <v>0.3455114486855646</v>
      </c>
    </row>
    <row r="811" spans="1:35">
      <c r="A811" t="s">
        <v>2502</v>
      </c>
      <c r="B811" s="5">
        <v>45833</v>
      </c>
      <c r="C811" s="5">
        <v>45833</v>
      </c>
      <c r="D811" s="13">
        <f t="shared" si="108"/>
        <v>0</v>
      </c>
      <c r="E811" t="s">
        <v>2503</v>
      </c>
      <c r="F811" t="s">
        <v>53</v>
      </c>
      <c r="G811" t="s">
        <v>37</v>
      </c>
      <c r="H811" t="s">
        <v>2785</v>
      </c>
      <c r="I811" t="s">
        <v>122</v>
      </c>
      <c r="J811" t="s">
        <v>123</v>
      </c>
      <c r="K811" t="s">
        <v>28</v>
      </c>
      <c r="L811" t="s">
        <v>153</v>
      </c>
      <c r="M811" t="s">
        <v>2504</v>
      </c>
      <c r="N811" t="s">
        <v>31</v>
      </c>
      <c r="O811">
        <v>6</v>
      </c>
      <c r="P811">
        <v>1366.13</v>
      </c>
      <c r="Q811" s="11">
        <v>0.1</v>
      </c>
      <c r="R811">
        <v>7377.1</v>
      </c>
      <c r="S811">
        <v>5085.21</v>
      </c>
      <c r="T811">
        <v>2291.89</v>
      </c>
      <c r="U811" t="s">
        <v>32</v>
      </c>
      <c r="V811" t="s">
        <v>33</v>
      </c>
      <c r="X811" s="8" t="str">
        <f>IF(C811&gt;=B811,"Valid", "Invalid-Date")</f>
        <v>Valid</v>
      </c>
      <c r="Y811" s="8" t="str">
        <f t="shared" si="109"/>
        <v>Valid</v>
      </c>
      <c r="Z811" s="8" t="str">
        <f t="shared" si="110"/>
        <v>Pass</v>
      </c>
      <c r="AA811" s="8" t="str">
        <f t="shared" si="111"/>
        <v>Flagged</v>
      </c>
      <c r="AB811" s="8" t="str">
        <f>TEXT(B811,"mmmm")</f>
        <v>June</v>
      </c>
      <c r="AC811" s="8" t="str">
        <f>TEXT(B811,"yyyy")</f>
        <v>2025</v>
      </c>
      <c r="AE811">
        <f t="shared" si="112"/>
        <v>8196.7800000000007</v>
      </c>
      <c r="AF811" s="11">
        <f t="shared" si="113"/>
        <v>7377.1020000000008</v>
      </c>
      <c r="AG811">
        <f t="shared" si="114"/>
        <v>3111.5700000000006</v>
      </c>
      <c r="AH811" s="11">
        <f t="shared" si="115"/>
        <v>0.37960882200083451</v>
      </c>
      <c r="AI811" s="44">
        <f t="shared" si="116"/>
        <v>0.37960882200083451</v>
      </c>
    </row>
    <row r="812" spans="1:35">
      <c r="A812" t="s">
        <v>2505</v>
      </c>
      <c r="B812" s="5">
        <v>45355</v>
      </c>
      <c r="C812" s="5">
        <v>45390</v>
      </c>
      <c r="D812" s="13">
        <f t="shared" si="108"/>
        <v>35</v>
      </c>
      <c r="E812" t="s">
        <v>1667</v>
      </c>
      <c r="F812" t="s">
        <v>264</v>
      </c>
      <c r="G812" t="s">
        <v>95</v>
      </c>
      <c r="H812" t="s">
        <v>63</v>
      </c>
      <c r="I812" t="s">
        <v>180</v>
      </c>
      <c r="J812" t="s">
        <v>181</v>
      </c>
      <c r="K812" t="s">
        <v>74</v>
      </c>
      <c r="L812" t="s">
        <v>80</v>
      </c>
      <c r="M812" t="s">
        <v>2506</v>
      </c>
      <c r="N812" t="s">
        <v>50</v>
      </c>
      <c r="O812">
        <v>1</v>
      </c>
      <c r="P812">
        <v>3151.85</v>
      </c>
      <c r="Q812" s="11">
        <v>0.25</v>
      </c>
      <c r="R812">
        <v>2363.89</v>
      </c>
      <c r="S812">
        <v>1471.51</v>
      </c>
      <c r="T812">
        <v>892.38</v>
      </c>
      <c r="U812" t="s">
        <v>32</v>
      </c>
      <c r="V812" t="s">
        <v>33</v>
      </c>
      <c r="X812" s="8" t="str">
        <f>IF(C812&gt;=B812,"Valid", "Invalid-Date")</f>
        <v>Valid</v>
      </c>
      <c r="Y812" s="8" t="str">
        <f t="shared" si="109"/>
        <v>Valid</v>
      </c>
      <c r="Z812" s="8" t="str">
        <f t="shared" si="110"/>
        <v>Pass</v>
      </c>
      <c r="AA812" s="8" t="str">
        <f t="shared" si="111"/>
        <v>Pass</v>
      </c>
      <c r="AB812" s="8" t="str">
        <f>TEXT(B812,"mmmm")</f>
        <v>March</v>
      </c>
      <c r="AC812" s="8" t="str">
        <f>TEXT(B812,"yyyy")</f>
        <v>2024</v>
      </c>
      <c r="AE812">
        <f t="shared" si="112"/>
        <v>3151.85</v>
      </c>
      <c r="AF812" s="11">
        <f t="shared" si="113"/>
        <v>2363.8874999999998</v>
      </c>
      <c r="AG812">
        <f t="shared" si="114"/>
        <v>1680.34</v>
      </c>
      <c r="AH812" s="11">
        <f t="shared" si="115"/>
        <v>0.53312816282500752</v>
      </c>
      <c r="AI812" s="44">
        <f t="shared" si="116"/>
        <v>0.53312816282500752</v>
      </c>
    </row>
    <row r="813" spans="1:35">
      <c r="A813" t="s">
        <v>2507</v>
      </c>
      <c r="B813" s="5">
        <v>45638</v>
      </c>
      <c r="C813" s="5">
        <v>45645</v>
      </c>
      <c r="D813" s="13">
        <f t="shared" si="108"/>
        <v>7</v>
      </c>
      <c r="E813" t="s">
        <v>2508</v>
      </c>
      <c r="F813" t="s">
        <v>141</v>
      </c>
      <c r="G813" t="s">
        <v>95</v>
      </c>
      <c r="H813" t="s">
        <v>25</v>
      </c>
      <c r="I813" t="s">
        <v>236</v>
      </c>
      <c r="J813" t="s">
        <v>237</v>
      </c>
      <c r="K813" t="s">
        <v>74</v>
      </c>
      <c r="L813" t="s">
        <v>75</v>
      </c>
      <c r="M813" t="s">
        <v>2509</v>
      </c>
      <c r="N813" t="s">
        <v>50</v>
      </c>
      <c r="O813">
        <v>2</v>
      </c>
      <c r="P813">
        <v>1610.75</v>
      </c>
      <c r="Q813" s="11">
        <v>0.2</v>
      </c>
      <c r="R813">
        <v>2577.1999999999998</v>
      </c>
      <c r="S813">
        <v>1475.87</v>
      </c>
      <c r="T813">
        <v>1101.33</v>
      </c>
      <c r="U813" t="s">
        <v>32</v>
      </c>
      <c r="V813" t="s">
        <v>33</v>
      </c>
      <c r="X813" s="8" t="str">
        <f>IF(C813&gt;=B813,"Valid", "Invalid-Date")</f>
        <v>Valid</v>
      </c>
      <c r="Y813" s="8" t="str">
        <f t="shared" si="109"/>
        <v>Valid</v>
      </c>
      <c r="Z813" s="8" t="str">
        <f t="shared" si="110"/>
        <v>Pass</v>
      </c>
      <c r="AA813" s="8" t="str">
        <f t="shared" si="111"/>
        <v>Pass</v>
      </c>
      <c r="AB813" s="8" t="str">
        <f>TEXT(B813,"mmmm")</f>
        <v>December</v>
      </c>
      <c r="AC813" s="8" t="str">
        <f>TEXT(B813,"yyyy")</f>
        <v>2024</v>
      </c>
      <c r="AE813">
        <f t="shared" si="112"/>
        <v>3221.5</v>
      </c>
      <c r="AF813" s="11">
        <f t="shared" si="113"/>
        <v>2577.2000000000003</v>
      </c>
      <c r="AG813">
        <f t="shared" si="114"/>
        <v>1745.63</v>
      </c>
      <c r="AH813" s="11">
        <f t="shared" si="115"/>
        <v>0.54186869470743448</v>
      </c>
      <c r="AI813" s="44">
        <f t="shared" si="116"/>
        <v>0.54186869470743448</v>
      </c>
    </row>
    <row r="814" spans="1:35">
      <c r="A814" t="s">
        <v>2510</v>
      </c>
      <c r="B814" s="5">
        <v>45458</v>
      </c>
      <c r="C814" s="5">
        <v>45463</v>
      </c>
      <c r="D814" s="13">
        <f t="shared" si="108"/>
        <v>5</v>
      </c>
      <c r="E814" t="s">
        <v>2511</v>
      </c>
      <c r="F814" t="s">
        <v>132</v>
      </c>
      <c r="G814" t="s">
        <v>37</v>
      </c>
      <c r="H814" t="s">
        <v>38</v>
      </c>
      <c r="I814" t="s">
        <v>228</v>
      </c>
      <c r="J814" t="s">
        <v>229</v>
      </c>
      <c r="K814" t="s">
        <v>41</v>
      </c>
      <c r="L814" t="s">
        <v>42</v>
      </c>
      <c r="M814" t="s">
        <v>2512</v>
      </c>
      <c r="N814" t="s">
        <v>50</v>
      </c>
      <c r="O814">
        <v>8</v>
      </c>
      <c r="P814">
        <v>2228.4699999999998</v>
      </c>
      <c r="Q814" s="11">
        <v>0</v>
      </c>
      <c r="R814">
        <v>17827.759999999998</v>
      </c>
      <c r="S814">
        <v>14122.13</v>
      </c>
      <c r="T814">
        <v>3705.63</v>
      </c>
      <c r="U814" t="s">
        <v>32</v>
      </c>
      <c r="V814" t="s">
        <v>33</v>
      </c>
      <c r="X814" s="8" t="str">
        <f>IF(C814&gt;=B814,"Valid", "Invalid-Date")</f>
        <v>Valid</v>
      </c>
      <c r="Y814" s="8" t="str">
        <f t="shared" si="109"/>
        <v>Valid</v>
      </c>
      <c r="Z814" s="8" t="str">
        <f t="shared" si="110"/>
        <v>Pass</v>
      </c>
      <c r="AA814" s="8" t="str">
        <f t="shared" si="111"/>
        <v>Pass</v>
      </c>
      <c r="AB814" s="8" t="str">
        <f>TEXT(B814,"mmmm")</f>
        <v>June</v>
      </c>
      <c r="AC814" s="8" t="str">
        <f>TEXT(B814,"yyyy")</f>
        <v>2024</v>
      </c>
      <c r="AE814">
        <f t="shared" si="112"/>
        <v>17827.759999999998</v>
      </c>
      <c r="AF814" s="11">
        <f t="shared" si="113"/>
        <v>17827.759999999998</v>
      </c>
      <c r="AG814">
        <f t="shared" si="114"/>
        <v>3705.6299999999992</v>
      </c>
      <c r="AH814" s="11">
        <f t="shared" si="115"/>
        <v>0.20785729671029896</v>
      </c>
      <c r="AI814" s="44">
        <f t="shared" si="116"/>
        <v>0.20785729671029896</v>
      </c>
    </row>
    <row r="815" spans="1:35">
      <c r="A815" t="s">
        <v>2513</v>
      </c>
      <c r="B815" s="5">
        <v>45812</v>
      </c>
      <c r="C815" s="5">
        <v>45934</v>
      </c>
      <c r="D815" s="13">
        <f t="shared" si="108"/>
        <v>122</v>
      </c>
      <c r="E815" t="s">
        <v>2514</v>
      </c>
      <c r="F815" t="s">
        <v>141</v>
      </c>
      <c r="G815" t="s">
        <v>24</v>
      </c>
      <c r="H815" t="s">
        <v>38</v>
      </c>
      <c r="I815" t="s">
        <v>39</v>
      </c>
      <c r="J815" t="s">
        <v>40</v>
      </c>
      <c r="K815" t="s">
        <v>41</v>
      </c>
      <c r="L815" t="s">
        <v>158</v>
      </c>
      <c r="M815" t="s">
        <v>1122</v>
      </c>
      <c r="N815" t="s">
        <v>59</v>
      </c>
      <c r="O815">
        <v>2</v>
      </c>
      <c r="P815">
        <v>1337.67</v>
      </c>
      <c r="Q815" s="11">
        <v>0</v>
      </c>
      <c r="R815">
        <v>2675.34</v>
      </c>
      <c r="S815">
        <v>1595.87</v>
      </c>
      <c r="T815">
        <v>1079.47</v>
      </c>
      <c r="U815" t="s">
        <v>32</v>
      </c>
      <c r="V815" t="s">
        <v>33</v>
      </c>
      <c r="X815" s="8" t="str">
        <f>IF(C815&gt;=B815,"Valid", "Invalid-Date")</f>
        <v>Valid</v>
      </c>
      <c r="Y815" s="8" t="str">
        <f t="shared" si="109"/>
        <v>Valid</v>
      </c>
      <c r="Z815" s="8" t="str">
        <f t="shared" si="110"/>
        <v>Pass</v>
      </c>
      <c r="AA815" s="8" t="str">
        <f t="shared" si="111"/>
        <v>Pass</v>
      </c>
      <c r="AB815" s="8" t="str">
        <f>TEXT(B815,"mmmm")</f>
        <v>June</v>
      </c>
      <c r="AC815" s="8" t="str">
        <f>TEXT(B815,"yyyy")</f>
        <v>2025</v>
      </c>
      <c r="AE815">
        <f t="shared" si="112"/>
        <v>2675.34</v>
      </c>
      <c r="AF815" s="11">
        <f t="shared" si="113"/>
        <v>2675.34</v>
      </c>
      <c r="AG815">
        <f t="shared" si="114"/>
        <v>1079.4700000000003</v>
      </c>
      <c r="AH815" s="11">
        <f t="shared" si="115"/>
        <v>0.40348890234512258</v>
      </c>
      <c r="AI815" s="44">
        <f t="shared" si="116"/>
        <v>0.40348890234512258</v>
      </c>
    </row>
    <row r="816" spans="1:35">
      <c r="A816" t="s">
        <v>2515</v>
      </c>
      <c r="B816" s="5">
        <v>45875</v>
      </c>
      <c r="C816" s="5">
        <v>45969</v>
      </c>
      <c r="D816" s="13">
        <f t="shared" si="108"/>
        <v>94</v>
      </c>
      <c r="E816" t="s">
        <v>2516</v>
      </c>
      <c r="F816" t="s">
        <v>53</v>
      </c>
      <c r="G816" t="s">
        <v>24</v>
      </c>
      <c r="H816" t="s">
        <v>63</v>
      </c>
      <c r="I816" t="s">
        <v>72</v>
      </c>
      <c r="J816" t="s">
        <v>73</v>
      </c>
      <c r="K816" t="s">
        <v>28</v>
      </c>
      <c r="L816" t="s">
        <v>91</v>
      </c>
      <c r="M816" t="s">
        <v>2517</v>
      </c>
      <c r="N816" t="s">
        <v>50</v>
      </c>
      <c r="O816">
        <v>2</v>
      </c>
      <c r="P816">
        <v>2375.94</v>
      </c>
      <c r="Q816" s="11">
        <v>0.25</v>
      </c>
      <c r="R816">
        <v>3563.91</v>
      </c>
      <c r="S816">
        <v>2639.7</v>
      </c>
      <c r="T816">
        <v>924.21</v>
      </c>
      <c r="U816" t="s">
        <v>32</v>
      </c>
      <c r="V816" t="s">
        <v>33</v>
      </c>
      <c r="X816" s="8" t="str">
        <f>IF(C816&gt;=B816,"Valid", "Invalid-Date")</f>
        <v>Valid</v>
      </c>
      <c r="Y816" s="8" t="str">
        <f t="shared" si="109"/>
        <v>Valid</v>
      </c>
      <c r="Z816" s="8" t="str">
        <f t="shared" si="110"/>
        <v>Pass</v>
      </c>
      <c r="AA816" s="8" t="str">
        <f t="shared" si="111"/>
        <v>Pass</v>
      </c>
      <c r="AB816" s="8" t="str">
        <f>TEXT(B816,"mmmm")</f>
        <v>August</v>
      </c>
      <c r="AC816" s="8" t="str">
        <f>TEXT(B816,"yyyy")</f>
        <v>2025</v>
      </c>
      <c r="AE816">
        <f t="shared" si="112"/>
        <v>4751.88</v>
      </c>
      <c r="AF816" s="11">
        <f t="shared" si="113"/>
        <v>3563.91</v>
      </c>
      <c r="AG816">
        <f t="shared" si="114"/>
        <v>2112.1800000000003</v>
      </c>
      <c r="AH816" s="11">
        <f t="shared" si="115"/>
        <v>0.44449354781686412</v>
      </c>
      <c r="AI816" s="44">
        <f t="shared" si="116"/>
        <v>0.44449354781686412</v>
      </c>
    </row>
    <row r="817" spans="1:35">
      <c r="A817" t="s">
        <v>2518</v>
      </c>
      <c r="B817" s="5">
        <v>45295</v>
      </c>
      <c r="C817" s="5">
        <v>45508</v>
      </c>
      <c r="D817" s="13">
        <f t="shared" si="108"/>
        <v>213</v>
      </c>
      <c r="E817" t="s">
        <v>2519</v>
      </c>
      <c r="F817" t="s">
        <v>162</v>
      </c>
      <c r="G817" t="s">
        <v>24</v>
      </c>
      <c r="H817" t="s">
        <v>38</v>
      </c>
      <c r="I817" t="s">
        <v>39</v>
      </c>
      <c r="J817" t="s">
        <v>40</v>
      </c>
      <c r="K817" t="s">
        <v>74</v>
      </c>
      <c r="L817" t="s">
        <v>274</v>
      </c>
      <c r="M817" t="s">
        <v>2520</v>
      </c>
      <c r="N817" t="s">
        <v>59</v>
      </c>
      <c r="O817">
        <v>7</v>
      </c>
      <c r="P817">
        <v>715.81</v>
      </c>
      <c r="Q817" s="11">
        <v>0.15</v>
      </c>
      <c r="R817">
        <v>4259.07</v>
      </c>
      <c r="S817">
        <v>3130.32</v>
      </c>
      <c r="T817">
        <v>1128.75</v>
      </c>
      <c r="U817" t="s">
        <v>111</v>
      </c>
      <c r="V817" t="s">
        <v>68</v>
      </c>
      <c r="X817" s="8" t="str">
        <f>IF(C817&gt;=B817,"Valid", "Invalid-Date")</f>
        <v>Valid</v>
      </c>
      <c r="Y817" s="8" t="str">
        <f t="shared" si="109"/>
        <v>Valid</v>
      </c>
      <c r="Z817" s="8" t="str">
        <f t="shared" si="110"/>
        <v>Pass</v>
      </c>
      <c r="AA817" s="8" t="str">
        <f t="shared" si="111"/>
        <v>Pass</v>
      </c>
      <c r="AB817" s="8" t="str">
        <f>TEXT(B817,"mmmm")</f>
        <v>January</v>
      </c>
      <c r="AC817" s="8" t="str">
        <f>TEXT(B817,"yyyy")</f>
        <v>2024</v>
      </c>
      <c r="AE817">
        <f t="shared" si="112"/>
        <v>5010.67</v>
      </c>
      <c r="AF817" s="11">
        <f t="shared" si="113"/>
        <v>4259.0694999999996</v>
      </c>
      <c r="AG817">
        <f t="shared" si="114"/>
        <v>1880.35</v>
      </c>
      <c r="AH817" s="11">
        <f t="shared" si="115"/>
        <v>0.37526917557931372</v>
      </c>
      <c r="AI817" s="44">
        <f t="shared" si="116"/>
        <v>0.37526917557931372</v>
      </c>
    </row>
    <row r="818" spans="1:35">
      <c r="A818" t="s">
        <v>2521</v>
      </c>
      <c r="B818" s="5">
        <v>45623</v>
      </c>
      <c r="C818" s="5">
        <v>45626</v>
      </c>
      <c r="D818" s="13">
        <f t="shared" si="108"/>
        <v>3</v>
      </c>
      <c r="E818" t="s">
        <v>2522</v>
      </c>
      <c r="F818" t="s">
        <v>118</v>
      </c>
      <c r="G818" t="s">
        <v>37</v>
      </c>
      <c r="H818" t="s">
        <v>38</v>
      </c>
      <c r="I818" t="s">
        <v>228</v>
      </c>
      <c r="J818" t="s">
        <v>229</v>
      </c>
      <c r="K818" t="s">
        <v>41</v>
      </c>
      <c r="L818" t="s">
        <v>57</v>
      </c>
      <c r="M818" t="s">
        <v>2523</v>
      </c>
      <c r="N818" t="s">
        <v>50</v>
      </c>
      <c r="O818">
        <v>1</v>
      </c>
      <c r="P818">
        <v>874.3</v>
      </c>
      <c r="Q818" s="11">
        <v>0.1</v>
      </c>
      <c r="R818">
        <v>786.87</v>
      </c>
      <c r="S818">
        <v>498.5</v>
      </c>
      <c r="T818">
        <v>288.37</v>
      </c>
      <c r="U818" t="s">
        <v>32</v>
      </c>
      <c r="V818" t="s">
        <v>33</v>
      </c>
      <c r="X818" s="8" t="str">
        <f>IF(C818&gt;=B818,"Valid", "Invalid-Date")</f>
        <v>Valid</v>
      </c>
      <c r="Y818" s="8" t="str">
        <f t="shared" si="109"/>
        <v>Valid</v>
      </c>
      <c r="Z818" s="8" t="str">
        <f t="shared" si="110"/>
        <v>Pass</v>
      </c>
      <c r="AA818" s="8" t="str">
        <f t="shared" si="111"/>
        <v>Pass</v>
      </c>
      <c r="AB818" s="8" t="str">
        <f>TEXT(B818,"mmmm")</f>
        <v>November</v>
      </c>
      <c r="AC818" s="8" t="str">
        <f>TEXT(B818,"yyyy")</f>
        <v>2024</v>
      </c>
      <c r="AE818">
        <f t="shared" si="112"/>
        <v>874.3</v>
      </c>
      <c r="AF818" s="11">
        <f t="shared" si="113"/>
        <v>786.87</v>
      </c>
      <c r="AG818">
        <f t="shared" si="114"/>
        <v>375.79999999999995</v>
      </c>
      <c r="AH818" s="11">
        <f t="shared" si="115"/>
        <v>0.42982957794807269</v>
      </c>
      <c r="AI818" s="44">
        <f t="shared" si="116"/>
        <v>0.42982957794807269</v>
      </c>
    </row>
    <row r="819" spans="1:35">
      <c r="A819" t="s">
        <v>2524</v>
      </c>
      <c r="B819" s="5">
        <v>45752</v>
      </c>
      <c r="C819" s="5">
        <v>45781</v>
      </c>
      <c r="D819" s="13">
        <f t="shared" si="108"/>
        <v>29</v>
      </c>
      <c r="E819" t="s">
        <v>2525</v>
      </c>
      <c r="F819" t="s">
        <v>132</v>
      </c>
      <c r="G819" t="s">
        <v>24</v>
      </c>
      <c r="H819" t="s">
        <v>38</v>
      </c>
      <c r="I819" t="s">
        <v>145</v>
      </c>
      <c r="J819" t="s">
        <v>146</v>
      </c>
      <c r="K819" t="s">
        <v>28</v>
      </c>
      <c r="L819" t="s">
        <v>153</v>
      </c>
      <c r="M819" t="s">
        <v>2526</v>
      </c>
      <c r="N819" t="s">
        <v>59</v>
      </c>
      <c r="O819">
        <v>6</v>
      </c>
      <c r="P819">
        <v>1829.69</v>
      </c>
      <c r="Q819" s="11">
        <v>0.25</v>
      </c>
      <c r="R819">
        <v>8233.6</v>
      </c>
      <c r="S819">
        <v>4713.79</v>
      </c>
      <c r="T819">
        <v>3519.81</v>
      </c>
      <c r="U819" t="s">
        <v>32</v>
      </c>
      <c r="V819" t="s">
        <v>33</v>
      </c>
      <c r="X819" s="8" t="str">
        <f>IF(C819&gt;=B819,"Valid", "Invalid-Date")</f>
        <v>Valid</v>
      </c>
      <c r="Y819" s="8" t="str">
        <f t="shared" si="109"/>
        <v>Valid</v>
      </c>
      <c r="Z819" s="8" t="str">
        <f t="shared" si="110"/>
        <v>Pass</v>
      </c>
      <c r="AA819" s="8" t="str">
        <f t="shared" si="111"/>
        <v>Pass</v>
      </c>
      <c r="AB819" s="8" t="str">
        <f>TEXT(B819,"mmmm")</f>
        <v>April</v>
      </c>
      <c r="AC819" s="8" t="str">
        <f>TEXT(B819,"yyyy")</f>
        <v>2025</v>
      </c>
      <c r="AE819">
        <f t="shared" si="112"/>
        <v>10978.14</v>
      </c>
      <c r="AF819" s="11">
        <f t="shared" si="113"/>
        <v>8233.6049999999996</v>
      </c>
      <c r="AG819">
        <f t="shared" si="114"/>
        <v>6264.3499999999995</v>
      </c>
      <c r="AH819" s="11">
        <f t="shared" si="115"/>
        <v>0.57062034187940758</v>
      </c>
      <c r="AI819" s="44">
        <f t="shared" si="116"/>
        <v>0.57062034187940758</v>
      </c>
    </row>
    <row r="820" spans="1:35">
      <c r="A820" t="s">
        <v>2527</v>
      </c>
      <c r="B820" s="5">
        <v>45564</v>
      </c>
      <c r="C820" s="5">
        <v>45570</v>
      </c>
      <c r="D820" s="13">
        <f t="shared" si="108"/>
        <v>6</v>
      </c>
      <c r="E820" t="s">
        <v>2528</v>
      </c>
      <c r="F820" t="s">
        <v>114</v>
      </c>
      <c r="G820" t="s">
        <v>37</v>
      </c>
      <c r="H820" t="s">
        <v>63</v>
      </c>
      <c r="I820" t="s">
        <v>64</v>
      </c>
      <c r="J820" t="s">
        <v>65</v>
      </c>
      <c r="K820" t="s">
        <v>28</v>
      </c>
      <c r="L820" t="s">
        <v>91</v>
      </c>
      <c r="M820" t="s">
        <v>2529</v>
      </c>
      <c r="N820" t="s">
        <v>50</v>
      </c>
      <c r="O820">
        <v>8</v>
      </c>
      <c r="P820">
        <v>1981.04</v>
      </c>
      <c r="Q820" s="11">
        <v>-0.14000000000000001</v>
      </c>
      <c r="R820">
        <v>12678.66</v>
      </c>
      <c r="S820">
        <v>10088.65</v>
      </c>
      <c r="T820">
        <v>2590.0100000000002</v>
      </c>
      <c r="U820" t="s">
        <v>32</v>
      </c>
      <c r="V820" t="s">
        <v>33</v>
      </c>
      <c r="X820" s="8" t="str">
        <f>IF(C820&gt;=B820,"Valid", "Invalid-Date")</f>
        <v>Valid</v>
      </c>
      <c r="Y820" s="8" t="str">
        <f t="shared" si="109"/>
        <v>Invalid-Discount</v>
      </c>
      <c r="Z820" s="8" t="str">
        <f t="shared" si="110"/>
        <v>Pass</v>
      </c>
      <c r="AA820" s="8" t="str">
        <f t="shared" si="111"/>
        <v>Pass</v>
      </c>
      <c r="AB820" s="8" t="str">
        <f>TEXT(B820,"mmmm")</f>
        <v>September</v>
      </c>
      <c r="AC820" s="8" t="str">
        <f>TEXT(B820,"yyyy")</f>
        <v>2024</v>
      </c>
      <c r="AE820">
        <f t="shared" si="112"/>
        <v>15848.32</v>
      </c>
      <c r="AF820" s="11">
        <f t="shared" si="113"/>
        <v>18067.084800000001</v>
      </c>
      <c r="AG820">
        <f t="shared" si="114"/>
        <v>5759.67</v>
      </c>
      <c r="AH820" s="11">
        <f t="shared" si="115"/>
        <v>0.36342464059281993</v>
      </c>
      <c r="AI820" s="44">
        <f t="shared" si="116"/>
        <v>0.36342464059281993</v>
      </c>
    </row>
    <row r="821" spans="1:35">
      <c r="A821" t="s">
        <v>2530</v>
      </c>
      <c r="B821" s="5">
        <v>45504</v>
      </c>
      <c r="C821" s="5">
        <v>45504</v>
      </c>
      <c r="D821" s="13">
        <f t="shared" si="108"/>
        <v>0</v>
      </c>
      <c r="E821" t="s">
        <v>2531</v>
      </c>
      <c r="F821" t="s">
        <v>23</v>
      </c>
      <c r="G821" t="s">
        <v>95</v>
      </c>
      <c r="H821" t="s">
        <v>54</v>
      </c>
      <c r="I821" t="s">
        <v>185</v>
      </c>
      <c r="J821" t="s">
        <v>186</v>
      </c>
      <c r="K821" t="s">
        <v>74</v>
      </c>
      <c r="L821" t="s">
        <v>274</v>
      </c>
      <c r="M821" t="s">
        <v>2532</v>
      </c>
      <c r="N821" t="s">
        <v>59</v>
      </c>
      <c r="O821">
        <v>8</v>
      </c>
      <c r="P821">
        <v>4246.01</v>
      </c>
      <c r="Q821" s="11">
        <v>0</v>
      </c>
      <c r="R821">
        <v>33968.080000000002</v>
      </c>
      <c r="S821">
        <v>26902.44</v>
      </c>
      <c r="T821">
        <v>7065.64</v>
      </c>
      <c r="U821" t="s">
        <v>155</v>
      </c>
      <c r="V821" t="s">
        <v>68</v>
      </c>
      <c r="X821" s="8" t="str">
        <f>IF(C821&gt;=B821,"Valid", "Invalid-Date")</f>
        <v>Valid</v>
      </c>
      <c r="Y821" s="8" t="str">
        <f t="shared" si="109"/>
        <v>Valid</v>
      </c>
      <c r="Z821" s="8" t="str">
        <f t="shared" si="110"/>
        <v>Pass</v>
      </c>
      <c r="AA821" s="8" t="str">
        <f t="shared" si="111"/>
        <v>Pass</v>
      </c>
      <c r="AB821" s="8" t="str">
        <f>TEXT(B821,"mmmm")</f>
        <v>July</v>
      </c>
      <c r="AC821" s="8" t="str">
        <f>TEXT(B821,"yyyy")</f>
        <v>2024</v>
      </c>
      <c r="AE821">
        <f t="shared" si="112"/>
        <v>33968.080000000002</v>
      </c>
      <c r="AF821" s="11">
        <f t="shared" si="113"/>
        <v>33968.080000000002</v>
      </c>
      <c r="AG821">
        <f t="shared" si="114"/>
        <v>7065.6400000000031</v>
      </c>
      <c r="AH821" s="11">
        <f t="shared" si="115"/>
        <v>0.20800822419165294</v>
      </c>
      <c r="AI821" s="44">
        <f t="shared" si="116"/>
        <v>0.20800822419165294</v>
      </c>
    </row>
    <row r="822" spans="1:35">
      <c r="A822" t="s">
        <v>2533</v>
      </c>
      <c r="B822" s="5">
        <v>45694</v>
      </c>
      <c r="C822" s="5">
        <v>45698</v>
      </c>
      <c r="D822" s="13">
        <f t="shared" si="108"/>
        <v>4</v>
      </c>
      <c r="E822" t="s">
        <v>2534</v>
      </c>
      <c r="F822" t="s">
        <v>62</v>
      </c>
      <c r="G822" t="s">
        <v>95</v>
      </c>
      <c r="H822" t="s">
        <v>25</v>
      </c>
      <c r="I822" t="s">
        <v>136</v>
      </c>
      <c r="J822" t="s">
        <v>137</v>
      </c>
      <c r="K822" t="s">
        <v>41</v>
      </c>
      <c r="L822" t="s">
        <v>158</v>
      </c>
      <c r="M822" t="s">
        <v>2535</v>
      </c>
      <c r="N822" t="s">
        <v>59</v>
      </c>
      <c r="O822">
        <v>2</v>
      </c>
      <c r="P822">
        <v>319.57</v>
      </c>
      <c r="Q822" s="11">
        <v>0.2</v>
      </c>
      <c r="R822">
        <v>511.31</v>
      </c>
      <c r="S822">
        <v>436.43</v>
      </c>
      <c r="T822">
        <v>74.88</v>
      </c>
      <c r="U822" t="s">
        <v>32</v>
      </c>
      <c r="V822" t="s">
        <v>33</v>
      </c>
      <c r="X822" s="8" t="str">
        <f>IF(C822&gt;=B822,"Valid", "Invalid-Date")</f>
        <v>Valid</v>
      </c>
      <c r="Y822" s="8" t="str">
        <f t="shared" si="109"/>
        <v>Valid</v>
      </c>
      <c r="Z822" s="8" t="str">
        <f t="shared" si="110"/>
        <v>Pass</v>
      </c>
      <c r="AA822" s="8" t="str">
        <f t="shared" si="111"/>
        <v>Pass</v>
      </c>
      <c r="AB822" s="8" t="str">
        <f>TEXT(B822,"mmmm")</f>
        <v>February</v>
      </c>
      <c r="AC822" s="8" t="str">
        <f>TEXT(B822,"yyyy")</f>
        <v>2025</v>
      </c>
      <c r="AE822">
        <f t="shared" si="112"/>
        <v>639.14</v>
      </c>
      <c r="AF822" s="11">
        <f t="shared" si="113"/>
        <v>511.31200000000001</v>
      </c>
      <c r="AG822">
        <f t="shared" si="114"/>
        <v>202.70999999999998</v>
      </c>
      <c r="AH822" s="11">
        <f t="shared" si="115"/>
        <v>0.31716055950183059</v>
      </c>
      <c r="AI822" s="44">
        <f t="shared" si="116"/>
        <v>0.31716055950183059</v>
      </c>
    </row>
    <row r="823" spans="1:35">
      <c r="A823" t="s">
        <v>2536</v>
      </c>
      <c r="B823" s="5">
        <v>45476</v>
      </c>
      <c r="C823" s="5">
        <v>45479</v>
      </c>
      <c r="D823" s="13">
        <f t="shared" si="108"/>
        <v>3</v>
      </c>
      <c r="E823" t="s">
        <v>2537</v>
      </c>
      <c r="F823" t="s">
        <v>128</v>
      </c>
      <c r="G823" t="s">
        <v>90</v>
      </c>
      <c r="H823" t="s">
        <v>54</v>
      </c>
      <c r="I823" t="s">
        <v>175</v>
      </c>
      <c r="J823" t="s">
        <v>176</v>
      </c>
      <c r="K823" t="s">
        <v>74</v>
      </c>
      <c r="L823" t="s">
        <v>75</v>
      </c>
      <c r="M823" t="s">
        <v>2538</v>
      </c>
      <c r="N823" t="s">
        <v>50</v>
      </c>
      <c r="O823">
        <v>7</v>
      </c>
      <c r="P823">
        <v>1942.49</v>
      </c>
      <c r="Q823" s="11">
        <v>0.2</v>
      </c>
      <c r="R823">
        <v>10877.94</v>
      </c>
      <c r="S823">
        <v>9110.14</v>
      </c>
      <c r="T823">
        <v>1767.8</v>
      </c>
      <c r="U823" t="s">
        <v>32</v>
      </c>
      <c r="V823" t="s">
        <v>33</v>
      </c>
      <c r="X823" s="8" t="str">
        <f>IF(C823&gt;=B823,"Valid", "Invalid-Date")</f>
        <v>Valid</v>
      </c>
      <c r="Y823" s="8" t="str">
        <f t="shared" si="109"/>
        <v>Valid</v>
      </c>
      <c r="Z823" s="8" t="str">
        <f t="shared" si="110"/>
        <v>Pass</v>
      </c>
      <c r="AA823" s="8" t="str">
        <f t="shared" si="111"/>
        <v>Pass</v>
      </c>
      <c r="AB823" s="8" t="str">
        <f>TEXT(B823,"mmmm")</f>
        <v>July</v>
      </c>
      <c r="AC823" s="8" t="str">
        <f>TEXT(B823,"yyyy")</f>
        <v>2024</v>
      </c>
      <c r="AE823">
        <f t="shared" si="112"/>
        <v>13597.43</v>
      </c>
      <c r="AF823" s="11">
        <f t="shared" si="113"/>
        <v>10877.944000000001</v>
      </c>
      <c r="AG823">
        <f t="shared" si="114"/>
        <v>4487.2900000000009</v>
      </c>
      <c r="AH823" s="11">
        <f t="shared" si="115"/>
        <v>0.33001015633101261</v>
      </c>
      <c r="AI823" s="44">
        <f t="shared" si="116"/>
        <v>0.33001015633101261</v>
      </c>
    </row>
    <row r="824" spans="1:35">
      <c r="A824" t="s">
        <v>2539</v>
      </c>
      <c r="B824" s="5">
        <v>45636</v>
      </c>
      <c r="C824" s="5">
        <v>45514</v>
      </c>
      <c r="D824" s="13">
        <f t="shared" si="108"/>
        <v>-122</v>
      </c>
      <c r="E824" t="s">
        <v>2540</v>
      </c>
      <c r="F824" t="s">
        <v>36</v>
      </c>
      <c r="G824" t="s">
        <v>90</v>
      </c>
      <c r="H824" t="s">
        <v>38</v>
      </c>
      <c r="I824" t="s">
        <v>166</v>
      </c>
      <c r="J824" t="s">
        <v>167</v>
      </c>
      <c r="K824" t="s">
        <v>41</v>
      </c>
      <c r="L824" t="s">
        <v>57</v>
      </c>
      <c r="M824" t="s">
        <v>2541</v>
      </c>
      <c r="N824" t="s">
        <v>31</v>
      </c>
      <c r="O824">
        <v>4</v>
      </c>
      <c r="P824">
        <v>3202.04</v>
      </c>
      <c r="Q824" s="11">
        <v>0.2</v>
      </c>
      <c r="R824">
        <v>10246.530000000001</v>
      </c>
      <c r="S824">
        <v>8634.42</v>
      </c>
      <c r="T824">
        <v>1612.11</v>
      </c>
      <c r="U824" t="s">
        <v>111</v>
      </c>
      <c r="V824" t="s">
        <v>103</v>
      </c>
      <c r="X824" s="8" t="str">
        <f>IF(C824&gt;=B824,"Valid", "Invalid-Date")</f>
        <v>Invalid-Date</v>
      </c>
      <c r="Y824" s="8" t="str">
        <f t="shared" si="109"/>
        <v>Valid</v>
      </c>
      <c r="Z824" s="8" t="str">
        <f t="shared" si="110"/>
        <v>Pass</v>
      </c>
      <c r="AA824" s="8" t="str">
        <f t="shared" si="111"/>
        <v>Pass</v>
      </c>
      <c r="AB824" s="8" t="str">
        <f>TEXT(B824,"mmmm")</f>
        <v>December</v>
      </c>
      <c r="AC824" s="8" t="str">
        <f>TEXT(B824,"yyyy")</f>
        <v>2024</v>
      </c>
      <c r="AE824">
        <f t="shared" si="112"/>
        <v>12808.16</v>
      </c>
      <c r="AF824" s="11">
        <f t="shared" si="113"/>
        <v>10246.528</v>
      </c>
      <c r="AG824">
        <f t="shared" si="114"/>
        <v>4173.74</v>
      </c>
      <c r="AH824" s="11">
        <f t="shared" si="115"/>
        <v>0.32586569811745009</v>
      </c>
      <c r="AI824" s="44">
        <f t="shared" si="116"/>
        <v>0.32586569811745009</v>
      </c>
    </row>
    <row r="825" spans="1:35">
      <c r="A825" t="s">
        <v>2542</v>
      </c>
      <c r="B825" s="5">
        <v>45663</v>
      </c>
      <c r="C825" s="5">
        <v>45992</v>
      </c>
      <c r="D825" s="13">
        <f t="shared" si="108"/>
        <v>329</v>
      </c>
      <c r="E825" t="s">
        <v>2543</v>
      </c>
      <c r="F825" t="s">
        <v>36</v>
      </c>
      <c r="G825" t="s">
        <v>95</v>
      </c>
      <c r="H825" t="s">
        <v>63</v>
      </c>
      <c r="I825" t="s">
        <v>190</v>
      </c>
      <c r="J825" t="s">
        <v>191</v>
      </c>
      <c r="K825" t="s">
        <v>28</v>
      </c>
      <c r="L825" t="s">
        <v>29</v>
      </c>
      <c r="M825" t="s">
        <v>2544</v>
      </c>
      <c r="N825" t="s">
        <v>44</v>
      </c>
      <c r="O825">
        <v>3</v>
      </c>
      <c r="P825">
        <v>668.33</v>
      </c>
      <c r="Q825" s="11">
        <v>0.15</v>
      </c>
      <c r="R825">
        <v>1704.24</v>
      </c>
      <c r="S825">
        <v>957.55</v>
      </c>
      <c r="T825">
        <v>746.69</v>
      </c>
      <c r="U825" t="s">
        <v>32</v>
      </c>
      <c r="V825" t="s">
        <v>33</v>
      </c>
      <c r="X825" s="8" t="str">
        <f>IF(C825&gt;=B825,"Valid", "Invalid-Date")</f>
        <v>Valid</v>
      </c>
      <c r="Y825" s="8" t="str">
        <f t="shared" si="109"/>
        <v>Valid</v>
      </c>
      <c r="Z825" s="8" t="str">
        <f t="shared" si="110"/>
        <v>Pass</v>
      </c>
      <c r="AA825" s="8" t="str">
        <f t="shared" si="111"/>
        <v>Pass</v>
      </c>
      <c r="AB825" s="8" t="str">
        <f>TEXT(B825,"mmmm")</f>
        <v>January</v>
      </c>
      <c r="AC825" s="8" t="str">
        <f>TEXT(B825,"yyyy")</f>
        <v>2025</v>
      </c>
      <c r="AE825">
        <f t="shared" si="112"/>
        <v>2004.9900000000002</v>
      </c>
      <c r="AF825" s="11">
        <f t="shared" si="113"/>
        <v>1704.2415000000001</v>
      </c>
      <c r="AG825">
        <f t="shared" si="114"/>
        <v>1047.4400000000003</v>
      </c>
      <c r="AH825" s="11">
        <f t="shared" si="115"/>
        <v>0.52241657065621283</v>
      </c>
      <c r="AI825" s="44">
        <f t="shared" si="116"/>
        <v>0.52241657065621283</v>
      </c>
    </row>
    <row r="826" spans="1:35">
      <c r="A826" t="s">
        <v>2545</v>
      </c>
      <c r="B826" s="5">
        <v>45737</v>
      </c>
      <c r="C826" s="5">
        <v>45738</v>
      </c>
      <c r="D826" s="13">
        <f t="shared" si="108"/>
        <v>1</v>
      </c>
      <c r="E826" t="s">
        <v>2546</v>
      </c>
      <c r="F826" t="s">
        <v>114</v>
      </c>
      <c r="G826" t="s">
        <v>24</v>
      </c>
      <c r="H826" t="s">
        <v>63</v>
      </c>
      <c r="I826" t="s">
        <v>190</v>
      </c>
      <c r="J826" t="s">
        <v>191</v>
      </c>
      <c r="K826" t="s">
        <v>28</v>
      </c>
      <c r="L826" t="s">
        <v>29</v>
      </c>
      <c r="M826" t="s">
        <v>2547</v>
      </c>
      <c r="N826" t="s">
        <v>50</v>
      </c>
      <c r="O826">
        <v>8</v>
      </c>
      <c r="P826">
        <v>4436.74</v>
      </c>
      <c r="Q826" s="11">
        <v>0.05</v>
      </c>
      <c r="R826">
        <v>33719.22</v>
      </c>
      <c r="S826">
        <v>28924.43</v>
      </c>
      <c r="T826">
        <v>4794.79</v>
      </c>
      <c r="U826" t="s">
        <v>32</v>
      </c>
      <c r="V826" t="s">
        <v>33</v>
      </c>
      <c r="X826" s="8" t="str">
        <f>IF(C826&gt;=B826,"Valid", "Invalid-Date")</f>
        <v>Valid</v>
      </c>
      <c r="Y826" s="8" t="str">
        <f t="shared" si="109"/>
        <v>Valid</v>
      </c>
      <c r="Z826" s="8" t="str">
        <f t="shared" si="110"/>
        <v>Pass</v>
      </c>
      <c r="AA826" s="8" t="str">
        <f t="shared" si="111"/>
        <v>Pass</v>
      </c>
      <c r="AB826" s="8" t="str">
        <f>TEXT(B826,"mmmm")</f>
        <v>March</v>
      </c>
      <c r="AC826" s="8" t="str">
        <f>TEXT(B826,"yyyy")</f>
        <v>2025</v>
      </c>
      <c r="AE826">
        <f t="shared" si="112"/>
        <v>35493.919999999998</v>
      </c>
      <c r="AF826" s="11">
        <f t="shared" si="113"/>
        <v>33719.223999999995</v>
      </c>
      <c r="AG826">
        <f t="shared" si="114"/>
        <v>6569.489999999998</v>
      </c>
      <c r="AH826" s="11">
        <f t="shared" si="115"/>
        <v>0.18508775587480894</v>
      </c>
      <c r="AI826" s="44">
        <f t="shared" si="116"/>
        <v>0.18508775587480894</v>
      </c>
    </row>
    <row r="827" spans="1:35">
      <c r="A827" t="s">
        <v>2548</v>
      </c>
      <c r="B827" s="5">
        <v>45763</v>
      </c>
      <c r="C827" s="5">
        <v>45764</v>
      </c>
      <c r="D827" s="13">
        <f t="shared" si="108"/>
        <v>1</v>
      </c>
      <c r="E827" t="s">
        <v>2549</v>
      </c>
      <c r="F827" t="s">
        <v>71</v>
      </c>
      <c r="G827" t="s">
        <v>37</v>
      </c>
      <c r="H827" t="s">
        <v>25</v>
      </c>
      <c r="I827" t="s">
        <v>136</v>
      </c>
      <c r="J827" t="s">
        <v>137</v>
      </c>
      <c r="K827" t="s">
        <v>74</v>
      </c>
      <c r="L827" t="s">
        <v>274</v>
      </c>
      <c r="M827" t="s">
        <v>2550</v>
      </c>
      <c r="N827" t="s">
        <v>50</v>
      </c>
      <c r="O827">
        <v>1</v>
      </c>
      <c r="P827">
        <v>2720.17</v>
      </c>
      <c r="Q827" s="11">
        <v>0</v>
      </c>
      <c r="R827">
        <v>2720.17</v>
      </c>
      <c r="S827">
        <v>1834.23</v>
      </c>
      <c r="T827">
        <v>885.94</v>
      </c>
      <c r="U827" t="s">
        <v>32</v>
      </c>
      <c r="V827" t="s">
        <v>33</v>
      </c>
      <c r="X827" s="8" t="str">
        <f>IF(C827&gt;=B827,"Valid", "Invalid-Date")</f>
        <v>Valid</v>
      </c>
      <c r="Y827" s="8" t="str">
        <f t="shared" si="109"/>
        <v>Valid</v>
      </c>
      <c r="Z827" s="8" t="str">
        <f t="shared" si="110"/>
        <v>Pass</v>
      </c>
      <c r="AA827" s="8" t="str">
        <f t="shared" si="111"/>
        <v>Pass</v>
      </c>
      <c r="AB827" s="8" t="str">
        <f>TEXT(B827,"mmmm")</f>
        <v>April</v>
      </c>
      <c r="AC827" s="8" t="str">
        <f>TEXT(B827,"yyyy")</f>
        <v>2025</v>
      </c>
      <c r="AE827">
        <f t="shared" si="112"/>
        <v>2720.17</v>
      </c>
      <c r="AF827" s="11">
        <f t="shared" si="113"/>
        <v>2720.17</v>
      </c>
      <c r="AG827">
        <f t="shared" si="114"/>
        <v>885.94</v>
      </c>
      <c r="AH827" s="11">
        <f t="shared" si="115"/>
        <v>0.3256928794891496</v>
      </c>
      <c r="AI827" s="44">
        <f t="shared" si="116"/>
        <v>0.3256928794891496</v>
      </c>
    </row>
    <row r="828" spans="1:35">
      <c r="A828" t="s">
        <v>2551</v>
      </c>
      <c r="B828" s="5">
        <v>45879</v>
      </c>
      <c r="C828" s="5">
        <v>45883</v>
      </c>
      <c r="D828" s="13">
        <f t="shared" si="108"/>
        <v>4</v>
      </c>
      <c r="E828" t="s">
        <v>2552</v>
      </c>
      <c r="F828" t="s">
        <v>89</v>
      </c>
      <c r="G828" t="s">
        <v>24</v>
      </c>
      <c r="H828" t="s">
        <v>63</v>
      </c>
      <c r="I828" t="s">
        <v>26</v>
      </c>
      <c r="J828" t="s">
        <v>109</v>
      </c>
      <c r="K828" t="s">
        <v>74</v>
      </c>
      <c r="L828" t="s">
        <v>75</v>
      </c>
      <c r="M828" t="s">
        <v>2553</v>
      </c>
      <c r="N828" t="s">
        <v>59</v>
      </c>
      <c r="O828">
        <v>5</v>
      </c>
      <c r="P828">
        <v>2190.14</v>
      </c>
      <c r="Q828" s="11">
        <v>0.25</v>
      </c>
      <c r="R828">
        <v>8213.02</v>
      </c>
      <c r="S828">
        <v>5569.3</v>
      </c>
      <c r="T828">
        <v>2643.72</v>
      </c>
      <c r="U828" t="s">
        <v>32</v>
      </c>
      <c r="V828" t="s">
        <v>33</v>
      </c>
      <c r="X828" s="8" t="str">
        <f>IF(C828&gt;=B828,"Valid", "Invalid-Date")</f>
        <v>Valid</v>
      </c>
      <c r="Y828" s="8" t="str">
        <f t="shared" si="109"/>
        <v>Valid</v>
      </c>
      <c r="Z828" s="8" t="str">
        <f t="shared" si="110"/>
        <v>Pass</v>
      </c>
      <c r="AA828" s="8" t="str">
        <f t="shared" si="111"/>
        <v>Pass</v>
      </c>
      <c r="AB828" s="8" t="str">
        <f>TEXT(B828,"mmmm")</f>
        <v>August</v>
      </c>
      <c r="AC828" s="8" t="str">
        <f>TEXT(B828,"yyyy")</f>
        <v>2025</v>
      </c>
      <c r="AE828">
        <f t="shared" si="112"/>
        <v>10950.699999999999</v>
      </c>
      <c r="AF828" s="11">
        <f t="shared" si="113"/>
        <v>8213.0249999999996</v>
      </c>
      <c r="AG828">
        <f t="shared" si="114"/>
        <v>5381.3999999999987</v>
      </c>
      <c r="AH828" s="11">
        <f t="shared" si="115"/>
        <v>0.49142063977645256</v>
      </c>
      <c r="AI828" s="44">
        <f t="shared" si="116"/>
        <v>0.49142063977645256</v>
      </c>
    </row>
    <row r="829" spans="1:35">
      <c r="A829" t="s">
        <v>2554</v>
      </c>
      <c r="B829" s="5">
        <v>45620</v>
      </c>
      <c r="C829" s="5">
        <v>45627</v>
      </c>
      <c r="D829" s="13">
        <f t="shared" si="108"/>
        <v>7</v>
      </c>
      <c r="E829" t="s">
        <v>2555</v>
      </c>
      <c r="F829" t="s">
        <v>114</v>
      </c>
      <c r="G829" t="s">
        <v>95</v>
      </c>
      <c r="H829" t="s">
        <v>54</v>
      </c>
      <c r="I829" t="s">
        <v>247</v>
      </c>
      <c r="J829" t="s">
        <v>248</v>
      </c>
      <c r="K829" t="s">
        <v>28</v>
      </c>
      <c r="L829" t="s">
        <v>29</v>
      </c>
      <c r="M829" t="s">
        <v>2556</v>
      </c>
      <c r="N829" t="s">
        <v>44</v>
      </c>
      <c r="O829">
        <v>1</v>
      </c>
      <c r="P829">
        <v>844.89</v>
      </c>
      <c r="Q829" s="11">
        <v>0.25</v>
      </c>
      <c r="R829">
        <v>633.66999999999996</v>
      </c>
      <c r="S829">
        <v>520.47</v>
      </c>
      <c r="T829">
        <v>113.2</v>
      </c>
      <c r="U829" t="s">
        <v>32</v>
      </c>
      <c r="V829" t="s">
        <v>68</v>
      </c>
      <c r="X829" s="8" t="str">
        <f>IF(C829&gt;=B829,"Valid", "Invalid-Date")</f>
        <v>Valid</v>
      </c>
      <c r="Y829" s="8" t="str">
        <f t="shared" si="109"/>
        <v>Valid</v>
      </c>
      <c r="Z829" s="8" t="str">
        <f t="shared" si="110"/>
        <v>Pass</v>
      </c>
      <c r="AA829" s="8" t="str">
        <f t="shared" si="111"/>
        <v>Pass</v>
      </c>
      <c r="AB829" s="8" t="str">
        <f>TEXT(B829,"mmmm")</f>
        <v>November</v>
      </c>
      <c r="AC829" s="8" t="str">
        <f>TEXT(B829,"yyyy")</f>
        <v>2024</v>
      </c>
      <c r="AE829">
        <f t="shared" si="112"/>
        <v>844.89</v>
      </c>
      <c r="AF829" s="11">
        <f t="shared" si="113"/>
        <v>633.66750000000002</v>
      </c>
      <c r="AG829">
        <f t="shared" si="114"/>
        <v>324.41999999999996</v>
      </c>
      <c r="AH829" s="11">
        <f t="shared" si="115"/>
        <v>0.38397897951212578</v>
      </c>
      <c r="AI829" s="44">
        <f t="shared" si="116"/>
        <v>0.38397897951212578</v>
      </c>
    </row>
    <row r="830" spans="1:35">
      <c r="A830" t="s">
        <v>2557</v>
      </c>
      <c r="B830" s="5">
        <v>45940</v>
      </c>
      <c r="C830" s="5">
        <v>45941</v>
      </c>
      <c r="D830" s="13">
        <f t="shared" si="108"/>
        <v>1</v>
      </c>
      <c r="E830" t="s">
        <v>2558</v>
      </c>
      <c r="F830" t="s">
        <v>23</v>
      </c>
      <c r="G830" t="s">
        <v>90</v>
      </c>
      <c r="H830" t="s">
        <v>38</v>
      </c>
      <c r="I830" t="s">
        <v>39</v>
      </c>
      <c r="J830" t="s">
        <v>40</v>
      </c>
      <c r="K830" t="s">
        <v>41</v>
      </c>
      <c r="L830" t="s">
        <v>66</v>
      </c>
      <c r="M830" t="s">
        <v>2559</v>
      </c>
      <c r="N830" t="s">
        <v>31</v>
      </c>
      <c r="O830">
        <v>7</v>
      </c>
      <c r="P830">
        <v>3791.96</v>
      </c>
      <c r="Q830" s="11">
        <v>0.05</v>
      </c>
      <c r="R830">
        <v>25216.53</v>
      </c>
      <c r="S830">
        <v>14216.94</v>
      </c>
      <c r="T830">
        <v>10999.59</v>
      </c>
      <c r="U830" t="s">
        <v>155</v>
      </c>
      <c r="V830" t="s">
        <v>68</v>
      </c>
      <c r="X830" s="8" t="str">
        <f>IF(C830&gt;=B830,"Valid", "Invalid-Date")</f>
        <v>Valid</v>
      </c>
      <c r="Y830" s="8" t="str">
        <f t="shared" si="109"/>
        <v>Valid</v>
      </c>
      <c r="Z830" s="8" t="str">
        <f t="shared" si="110"/>
        <v>Pass</v>
      </c>
      <c r="AA830" s="8" t="str">
        <f t="shared" si="111"/>
        <v>Pass</v>
      </c>
      <c r="AB830" s="8" t="str">
        <f>TEXT(B830,"mmmm")</f>
        <v>October</v>
      </c>
      <c r="AC830" s="8" t="str">
        <f>TEXT(B830,"yyyy")</f>
        <v>2025</v>
      </c>
      <c r="AE830">
        <f t="shared" si="112"/>
        <v>26543.72</v>
      </c>
      <c r="AF830" s="11">
        <f t="shared" si="113"/>
        <v>25216.534</v>
      </c>
      <c r="AG830">
        <f t="shared" si="114"/>
        <v>12326.78</v>
      </c>
      <c r="AH830" s="11">
        <f t="shared" si="115"/>
        <v>0.46439534473690952</v>
      </c>
      <c r="AI830" s="44">
        <f t="shared" si="116"/>
        <v>0.46439534473690952</v>
      </c>
    </row>
    <row r="831" spans="1:35">
      <c r="A831" t="s">
        <v>2560</v>
      </c>
      <c r="B831" s="5">
        <v>45348</v>
      </c>
      <c r="C831" s="5">
        <v>45350</v>
      </c>
      <c r="D831" s="13">
        <f t="shared" si="108"/>
        <v>2</v>
      </c>
      <c r="E831" t="s">
        <v>2561</v>
      </c>
      <c r="F831" t="s">
        <v>89</v>
      </c>
      <c r="G831" t="s">
        <v>37</v>
      </c>
      <c r="H831" t="s">
        <v>63</v>
      </c>
      <c r="I831" t="s">
        <v>190</v>
      </c>
      <c r="J831" t="s">
        <v>191</v>
      </c>
      <c r="K831" t="s">
        <v>41</v>
      </c>
      <c r="L831" t="s">
        <v>57</v>
      </c>
      <c r="M831" t="s">
        <v>2562</v>
      </c>
      <c r="N831" t="s">
        <v>31</v>
      </c>
      <c r="O831">
        <v>7</v>
      </c>
      <c r="P831">
        <v>1035.1400000000001</v>
      </c>
      <c r="Q831" s="11">
        <v>0.1</v>
      </c>
      <c r="R831">
        <v>6521.38</v>
      </c>
      <c r="S831">
        <v>4511.1000000000004</v>
      </c>
      <c r="T831">
        <v>2010.28</v>
      </c>
      <c r="U831" t="s">
        <v>32</v>
      </c>
      <c r="V831" t="s">
        <v>33</v>
      </c>
      <c r="X831" s="8" t="str">
        <f>IF(C831&gt;=B831,"Valid", "Invalid-Date")</f>
        <v>Valid</v>
      </c>
      <c r="Y831" s="8" t="str">
        <f t="shared" si="109"/>
        <v>Valid</v>
      </c>
      <c r="Z831" s="8" t="str">
        <f t="shared" si="110"/>
        <v>Pass</v>
      </c>
      <c r="AA831" s="8" t="str">
        <f t="shared" si="111"/>
        <v>Pass</v>
      </c>
      <c r="AB831" s="8" t="str">
        <f>TEXT(B831,"mmmm")</f>
        <v>February</v>
      </c>
      <c r="AC831" s="8" t="str">
        <f>TEXT(B831,"yyyy")</f>
        <v>2024</v>
      </c>
      <c r="AE831">
        <f t="shared" si="112"/>
        <v>7245.9800000000005</v>
      </c>
      <c r="AF831" s="11">
        <f t="shared" si="113"/>
        <v>6521.3820000000005</v>
      </c>
      <c r="AG831">
        <f t="shared" si="114"/>
        <v>2734.88</v>
      </c>
      <c r="AH831" s="11">
        <f t="shared" si="115"/>
        <v>0.37743410829177004</v>
      </c>
      <c r="AI831" s="44">
        <f t="shared" si="116"/>
        <v>0.37743410829177004</v>
      </c>
    </row>
    <row r="832" spans="1:35">
      <c r="A832" t="s">
        <v>2563</v>
      </c>
      <c r="B832" s="5">
        <v>45853</v>
      </c>
      <c r="C832" s="5">
        <v>45856</v>
      </c>
      <c r="D832" s="13">
        <f t="shared" si="108"/>
        <v>3</v>
      </c>
      <c r="E832" t="s">
        <v>2564</v>
      </c>
      <c r="F832" t="s">
        <v>89</v>
      </c>
      <c r="G832" t="s">
        <v>37</v>
      </c>
      <c r="H832" t="s">
        <v>2785</v>
      </c>
      <c r="I832" t="s">
        <v>247</v>
      </c>
      <c r="J832" t="s">
        <v>248</v>
      </c>
      <c r="K832" t="s">
        <v>74</v>
      </c>
      <c r="L832" t="s">
        <v>274</v>
      </c>
      <c r="M832" t="s">
        <v>2565</v>
      </c>
      <c r="N832" t="s">
        <v>50</v>
      </c>
      <c r="O832">
        <v>6</v>
      </c>
      <c r="P832">
        <v>2382.88</v>
      </c>
      <c r="Q832" s="11">
        <v>0.1</v>
      </c>
      <c r="R832">
        <v>12867.55</v>
      </c>
      <c r="S832">
        <v>10068.94</v>
      </c>
      <c r="T832">
        <v>2798.61</v>
      </c>
      <c r="U832" t="s">
        <v>32</v>
      </c>
      <c r="V832" t="s">
        <v>33</v>
      </c>
      <c r="X832" s="8" t="str">
        <f>IF(C832&gt;=B832,"Valid", "Invalid-Date")</f>
        <v>Valid</v>
      </c>
      <c r="Y832" s="8" t="str">
        <f t="shared" si="109"/>
        <v>Valid</v>
      </c>
      <c r="Z832" s="8" t="str">
        <f t="shared" si="110"/>
        <v>Pass</v>
      </c>
      <c r="AA832" s="8" t="str">
        <f t="shared" si="111"/>
        <v>Flagged</v>
      </c>
      <c r="AB832" s="8" t="str">
        <f>TEXT(B832,"mmmm")</f>
        <v>July</v>
      </c>
      <c r="AC832" s="8" t="str">
        <f>TEXT(B832,"yyyy")</f>
        <v>2025</v>
      </c>
      <c r="AE832">
        <f t="shared" si="112"/>
        <v>14297.28</v>
      </c>
      <c r="AF832" s="11">
        <f t="shared" si="113"/>
        <v>12867.552000000001</v>
      </c>
      <c r="AG832">
        <f t="shared" si="114"/>
        <v>4228.34</v>
      </c>
      <c r="AH832" s="11">
        <f t="shared" si="115"/>
        <v>0.2957443653618031</v>
      </c>
      <c r="AI832" s="44">
        <f t="shared" si="116"/>
        <v>0.2957443653618031</v>
      </c>
    </row>
    <row r="833" spans="1:35">
      <c r="A833" t="s">
        <v>2566</v>
      </c>
      <c r="B833" s="5">
        <v>45720</v>
      </c>
      <c r="C833" s="5">
        <v>45750</v>
      </c>
      <c r="D833" s="13">
        <f t="shared" si="108"/>
        <v>30</v>
      </c>
      <c r="E833" t="s">
        <v>2567</v>
      </c>
      <c r="F833" t="s">
        <v>162</v>
      </c>
      <c r="G833" t="s">
        <v>95</v>
      </c>
      <c r="H833" t="s">
        <v>2785</v>
      </c>
      <c r="I833" t="s">
        <v>236</v>
      </c>
      <c r="J833" t="s">
        <v>237</v>
      </c>
      <c r="K833" t="s">
        <v>41</v>
      </c>
      <c r="L833" t="s">
        <v>66</v>
      </c>
      <c r="M833" t="s">
        <v>2568</v>
      </c>
      <c r="N833" t="s">
        <v>50</v>
      </c>
      <c r="O833">
        <v>9</v>
      </c>
      <c r="P833">
        <v>3462.7</v>
      </c>
      <c r="Q833" s="11">
        <v>0.15</v>
      </c>
      <c r="R833">
        <v>26489.65</v>
      </c>
      <c r="S833">
        <v>15818.46</v>
      </c>
      <c r="T833">
        <v>10671.19</v>
      </c>
      <c r="U833" t="s">
        <v>155</v>
      </c>
      <c r="V833" t="s">
        <v>103</v>
      </c>
      <c r="X833" s="8" t="str">
        <f>IF(C833&gt;=B833,"Valid", "Invalid-Date")</f>
        <v>Valid</v>
      </c>
      <c r="Y833" s="8" t="str">
        <f t="shared" si="109"/>
        <v>Valid</v>
      </c>
      <c r="Z833" s="8" t="str">
        <f t="shared" si="110"/>
        <v>Pass</v>
      </c>
      <c r="AA833" s="8" t="str">
        <f t="shared" si="111"/>
        <v>Flagged</v>
      </c>
      <c r="AB833" s="8" t="str">
        <f>TEXT(B833,"mmmm")</f>
        <v>March</v>
      </c>
      <c r="AC833" s="8" t="str">
        <f>TEXT(B833,"yyyy")</f>
        <v>2025</v>
      </c>
      <c r="AE833">
        <f t="shared" si="112"/>
        <v>31164.3</v>
      </c>
      <c r="AF833" s="11">
        <f t="shared" si="113"/>
        <v>26489.654999999999</v>
      </c>
      <c r="AG833">
        <f t="shared" si="114"/>
        <v>15345.84</v>
      </c>
      <c r="AH833" s="11">
        <f t="shared" si="115"/>
        <v>0.49241728516283056</v>
      </c>
      <c r="AI833" s="44">
        <f t="shared" si="116"/>
        <v>0.49241728516283056</v>
      </c>
    </row>
    <row r="834" spans="1:35">
      <c r="A834" t="s">
        <v>2569</v>
      </c>
      <c r="B834" s="5">
        <v>45803</v>
      </c>
      <c r="C834" s="5">
        <v>45805</v>
      </c>
      <c r="D834" s="13">
        <f t="shared" si="108"/>
        <v>2</v>
      </c>
      <c r="E834" t="s">
        <v>2570</v>
      </c>
      <c r="F834" t="s">
        <v>264</v>
      </c>
      <c r="G834" t="s">
        <v>37</v>
      </c>
      <c r="H834" t="s">
        <v>54</v>
      </c>
      <c r="I834" t="s">
        <v>84</v>
      </c>
      <c r="J834" t="s">
        <v>85</v>
      </c>
      <c r="K834" t="s">
        <v>74</v>
      </c>
      <c r="L834" t="s">
        <v>171</v>
      </c>
      <c r="M834" t="s">
        <v>2571</v>
      </c>
      <c r="N834" t="s">
        <v>31</v>
      </c>
      <c r="O834">
        <v>9</v>
      </c>
      <c r="P834">
        <v>4302.0200000000004</v>
      </c>
      <c r="Q834" s="11">
        <v>0.05</v>
      </c>
      <c r="R834">
        <v>36782.269999999997</v>
      </c>
      <c r="S834">
        <v>25902.81</v>
      </c>
      <c r="T834">
        <v>10879.46</v>
      </c>
      <c r="U834" t="s">
        <v>32</v>
      </c>
      <c r="V834" t="s">
        <v>33</v>
      </c>
      <c r="X834" s="8" t="str">
        <f>IF(C834&gt;=B834,"Valid", "Invalid-Date")</f>
        <v>Valid</v>
      </c>
      <c r="Y834" s="8" t="str">
        <f t="shared" si="109"/>
        <v>Valid</v>
      </c>
      <c r="Z834" s="8" t="str">
        <f t="shared" si="110"/>
        <v>Pass</v>
      </c>
      <c r="AA834" s="8" t="str">
        <f t="shared" si="111"/>
        <v>Pass</v>
      </c>
      <c r="AB834" s="8" t="str">
        <f>TEXT(B834,"mmmm")</f>
        <v>May</v>
      </c>
      <c r="AC834" s="8" t="str">
        <f>TEXT(B834,"yyyy")</f>
        <v>2025</v>
      </c>
      <c r="AE834">
        <f t="shared" si="112"/>
        <v>38718.180000000008</v>
      </c>
      <c r="AF834" s="11">
        <f t="shared" si="113"/>
        <v>36782.271000000008</v>
      </c>
      <c r="AG834">
        <f t="shared" si="114"/>
        <v>12815.370000000006</v>
      </c>
      <c r="AH834" s="11">
        <f t="shared" si="115"/>
        <v>0.33099102282183729</v>
      </c>
      <c r="AI834" s="44">
        <f t="shared" si="116"/>
        <v>0.33099102282183729</v>
      </c>
    </row>
    <row r="835" spans="1:35">
      <c r="A835" t="s">
        <v>2572</v>
      </c>
      <c r="B835" s="5">
        <v>45447</v>
      </c>
      <c r="C835" s="5">
        <v>45388</v>
      </c>
      <c r="D835" s="13">
        <f t="shared" ref="D835:D898" si="117">C835-B835</f>
        <v>-59</v>
      </c>
      <c r="E835" t="s">
        <v>2573</v>
      </c>
      <c r="F835" t="s">
        <v>118</v>
      </c>
      <c r="G835" t="s">
        <v>95</v>
      </c>
      <c r="H835" t="s">
        <v>38</v>
      </c>
      <c r="I835" t="s">
        <v>99</v>
      </c>
      <c r="J835" t="s">
        <v>100</v>
      </c>
      <c r="K835" t="s">
        <v>41</v>
      </c>
      <c r="L835" t="s">
        <v>158</v>
      </c>
      <c r="M835" t="s">
        <v>2574</v>
      </c>
      <c r="N835" t="s">
        <v>50</v>
      </c>
      <c r="O835">
        <v>6</v>
      </c>
      <c r="P835">
        <v>3949.4</v>
      </c>
      <c r="Q835" s="11">
        <v>0</v>
      </c>
      <c r="R835">
        <v>23696.400000000001</v>
      </c>
      <c r="S835">
        <v>18109.77</v>
      </c>
      <c r="T835">
        <v>5586.63</v>
      </c>
      <c r="U835" t="s">
        <v>32</v>
      </c>
      <c r="V835" t="s">
        <v>33</v>
      </c>
      <c r="X835" s="8" t="str">
        <f>IF(C835&gt;=B835,"Valid", "Invalid-Date")</f>
        <v>Invalid-Date</v>
      </c>
      <c r="Y835" s="8" t="str">
        <f t="shared" ref="Y835:Y898" si="118">IF(OR(Q835&lt;0, Q835&gt;0.5), "Invalid-Discount", "Valid")</f>
        <v>Valid</v>
      </c>
      <c r="Z835" s="8" t="str">
        <f t="shared" ref="Z835:Z898" si="119">IF(N835="Unknown","Flagged","Pass")</f>
        <v>Pass</v>
      </c>
      <c r="AA835" s="8" t="str">
        <f t="shared" ref="AA835:AA898" si="120">IF(H835="Unknown","Flagged","Pass")</f>
        <v>Pass</v>
      </c>
      <c r="AB835" s="8" t="str">
        <f>TEXT(B835,"mmmm")</f>
        <v>June</v>
      </c>
      <c r="AC835" s="8" t="str">
        <f>TEXT(B835,"yyyy")</f>
        <v>2024</v>
      </c>
      <c r="AE835">
        <f t="shared" ref="AE835:AE898" si="121">O835*P835</f>
        <v>23696.400000000001</v>
      </c>
      <c r="AF835" s="11">
        <f t="shared" ref="AF835:AF898" si="122">AE835*(1-Q835)</f>
        <v>23696.400000000001</v>
      </c>
      <c r="AG835">
        <f t="shared" ref="AG835:AG898" si="123">AE835-S835</f>
        <v>5586.630000000001</v>
      </c>
      <c r="AH835" s="11">
        <f t="shared" ref="AH835:AH898" si="124">AG835/AE835</f>
        <v>0.23575859624246723</v>
      </c>
      <c r="AI835" s="44">
        <f t="shared" ref="AI835:AI898" si="125">AG835/AE835</f>
        <v>0.23575859624246723</v>
      </c>
    </row>
    <row r="836" spans="1:35">
      <c r="A836" t="s">
        <v>2575</v>
      </c>
      <c r="B836" s="5">
        <v>45583</v>
      </c>
      <c r="C836" s="5">
        <v>45587</v>
      </c>
      <c r="D836" s="13">
        <f t="shared" si="117"/>
        <v>4</v>
      </c>
      <c r="E836" t="s">
        <v>2576</v>
      </c>
      <c r="F836" t="s">
        <v>128</v>
      </c>
      <c r="G836" t="s">
        <v>95</v>
      </c>
      <c r="H836" t="s">
        <v>54</v>
      </c>
      <c r="I836" t="s">
        <v>55</v>
      </c>
      <c r="J836" t="s">
        <v>56</v>
      </c>
      <c r="K836" t="s">
        <v>28</v>
      </c>
      <c r="L836" t="s">
        <v>48</v>
      </c>
      <c r="M836" t="s">
        <v>2577</v>
      </c>
      <c r="N836" t="s">
        <v>50</v>
      </c>
      <c r="O836">
        <v>6</v>
      </c>
      <c r="P836">
        <v>674.61</v>
      </c>
      <c r="Q836" s="11">
        <v>0</v>
      </c>
      <c r="R836">
        <v>4047.66</v>
      </c>
      <c r="S836">
        <v>3078.93</v>
      </c>
      <c r="T836">
        <v>1279.79</v>
      </c>
      <c r="U836" t="s">
        <v>32</v>
      </c>
      <c r="V836" t="s">
        <v>33</v>
      </c>
      <c r="X836" s="8" t="str">
        <f>IF(C836&gt;=B836,"Valid", "Invalid-Date")</f>
        <v>Valid</v>
      </c>
      <c r="Y836" s="8" t="str">
        <f t="shared" si="118"/>
        <v>Valid</v>
      </c>
      <c r="Z836" s="8" t="str">
        <f t="shared" si="119"/>
        <v>Pass</v>
      </c>
      <c r="AA836" s="8" t="str">
        <f t="shared" si="120"/>
        <v>Pass</v>
      </c>
      <c r="AB836" s="8" t="str">
        <f>TEXT(B836,"mmmm")</f>
        <v>October</v>
      </c>
      <c r="AC836" s="8" t="str">
        <f>TEXT(B836,"yyyy")</f>
        <v>2024</v>
      </c>
      <c r="AE836">
        <f t="shared" si="121"/>
        <v>4047.66</v>
      </c>
      <c r="AF836" s="11">
        <f t="shared" si="122"/>
        <v>4047.66</v>
      </c>
      <c r="AG836">
        <f t="shared" si="123"/>
        <v>968.73</v>
      </c>
      <c r="AH836" s="11">
        <f t="shared" si="124"/>
        <v>0.23933087265234729</v>
      </c>
      <c r="AI836" s="44">
        <f t="shared" si="125"/>
        <v>0.23933087265234729</v>
      </c>
    </row>
    <row r="837" spans="1:35">
      <c r="A837" t="s">
        <v>2578</v>
      </c>
      <c r="B837" s="5">
        <v>45926</v>
      </c>
      <c r="C837" s="5">
        <v>45934</v>
      </c>
      <c r="D837" s="13">
        <f t="shared" si="117"/>
        <v>8</v>
      </c>
      <c r="E837" t="s">
        <v>2579</v>
      </c>
      <c r="F837" t="s">
        <v>114</v>
      </c>
      <c r="G837" t="s">
        <v>37</v>
      </c>
      <c r="H837" t="s">
        <v>38</v>
      </c>
      <c r="I837" t="s">
        <v>166</v>
      </c>
      <c r="J837" t="s">
        <v>167</v>
      </c>
      <c r="K837" t="s">
        <v>74</v>
      </c>
      <c r="L837" t="s">
        <v>171</v>
      </c>
      <c r="M837" t="s">
        <v>2580</v>
      </c>
      <c r="N837" t="s">
        <v>31</v>
      </c>
      <c r="O837">
        <v>7</v>
      </c>
      <c r="P837">
        <v>1509.59</v>
      </c>
      <c r="Q837" s="11">
        <v>0.05</v>
      </c>
      <c r="R837">
        <v>10038.77</v>
      </c>
      <c r="S837">
        <v>5673.1</v>
      </c>
      <c r="T837">
        <v>4365.67</v>
      </c>
      <c r="U837" t="s">
        <v>32</v>
      </c>
      <c r="V837" t="s">
        <v>33</v>
      </c>
      <c r="X837" s="8" t="str">
        <f>IF(C837&gt;=B837,"Valid", "Invalid-Date")</f>
        <v>Valid</v>
      </c>
      <c r="Y837" s="8" t="str">
        <f t="shared" si="118"/>
        <v>Valid</v>
      </c>
      <c r="Z837" s="8" t="str">
        <f t="shared" si="119"/>
        <v>Pass</v>
      </c>
      <c r="AA837" s="8" t="str">
        <f t="shared" si="120"/>
        <v>Pass</v>
      </c>
      <c r="AB837" s="8" t="str">
        <f>TEXT(B837,"mmmm")</f>
        <v>September</v>
      </c>
      <c r="AC837" s="8" t="str">
        <f>TEXT(B837,"yyyy")</f>
        <v>2025</v>
      </c>
      <c r="AE837">
        <f t="shared" si="121"/>
        <v>10567.13</v>
      </c>
      <c r="AF837" s="11">
        <f t="shared" si="122"/>
        <v>10038.773499999999</v>
      </c>
      <c r="AG837">
        <f t="shared" si="123"/>
        <v>4894.0299999999988</v>
      </c>
      <c r="AH837" s="11">
        <f t="shared" si="124"/>
        <v>0.46313710534459207</v>
      </c>
      <c r="AI837" s="44">
        <f t="shared" si="125"/>
        <v>0.46313710534459207</v>
      </c>
    </row>
    <row r="838" spans="1:35">
      <c r="A838" t="s">
        <v>2581</v>
      </c>
      <c r="B838" s="5">
        <v>45641</v>
      </c>
      <c r="C838" s="5">
        <v>45644</v>
      </c>
      <c r="D838" s="13">
        <f t="shared" si="117"/>
        <v>3</v>
      </c>
      <c r="E838" t="s">
        <v>2582</v>
      </c>
      <c r="F838" t="s">
        <v>47</v>
      </c>
      <c r="G838" t="s">
        <v>37</v>
      </c>
      <c r="H838" t="s">
        <v>25</v>
      </c>
      <c r="I838" t="s">
        <v>26</v>
      </c>
      <c r="J838" t="s">
        <v>27</v>
      </c>
      <c r="K838" t="s">
        <v>28</v>
      </c>
      <c r="L838" t="s">
        <v>91</v>
      </c>
      <c r="M838" t="s">
        <v>2583</v>
      </c>
      <c r="N838" t="s">
        <v>31</v>
      </c>
      <c r="O838">
        <v>2</v>
      </c>
      <c r="P838">
        <v>537.11</v>
      </c>
      <c r="Q838" s="11">
        <v>0</v>
      </c>
      <c r="R838">
        <v>1074.22</v>
      </c>
      <c r="S838">
        <v>850.86</v>
      </c>
      <c r="T838">
        <v>223.36</v>
      </c>
      <c r="U838" t="s">
        <v>32</v>
      </c>
      <c r="V838" t="s">
        <v>33</v>
      </c>
      <c r="X838" s="8" t="str">
        <f>IF(C838&gt;=B838,"Valid", "Invalid-Date")</f>
        <v>Valid</v>
      </c>
      <c r="Y838" s="8" t="str">
        <f t="shared" si="118"/>
        <v>Valid</v>
      </c>
      <c r="Z838" s="8" t="str">
        <f t="shared" si="119"/>
        <v>Pass</v>
      </c>
      <c r="AA838" s="8" t="str">
        <f t="shared" si="120"/>
        <v>Pass</v>
      </c>
      <c r="AB838" s="8" t="str">
        <f>TEXT(B838,"mmmm")</f>
        <v>December</v>
      </c>
      <c r="AC838" s="8" t="str">
        <f>TEXT(B838,"yyyy")</f>
        <v>2024</v>
      </c>
      <c r="AE838">
        <f t="shared" si="121"/>
        <v>1074.22</v>
      </c>
      <c r="AF838" s="11">
        <f t="shared" si="122"/>
        <v>1074.22</v>
      </c>
      <c r="AG838">
        <f t="shared" si="123"/>
        <v>223.36</v>
      </c>
      <c r="AH838" s="11">
        <f t="shared" si="124"/>
        <v>0.20792761259332354</v>
      </c>
      <c r="AI838" s="44">
        <f t="shared" si="125"/>
        <v>0.20792761259332354</v>
      </c>
    </row>
    <row r="839" spans="1:35">
      <c r="A839" t="s">
        <v>2584</v>
      </c>
      <c r="B839" s="5">
        <v>45927</v>
      </c>
      <c r="C839" s="5">
        <v>45928</v>
      </c>
      <c r="D839" s="13">
        <f t="shared" si="117"/>
        <v>1</v>
      </c>
      <c r="E839" t="s">
        <v>2585</v>
      </c>
      <c r="F839" t="s">
        <v>23</v>
      </c>
      <c r="G839" t="s">
        <v>95</v>
      </c>
      <c r="H839" t="s">
        <v>63</v>
      </c>
      <c r="I839" t="s">
        <v>64</v>
      </c>
      <c r="J839" t="s">
        <v>65</v>
      </c>
      <c r="K839" t="s">
        <v>28</v>
      </c>
      <c r="L839" t="s">
        <v>29</v>
      </c>
      <c r="M839" t="s">
        <v>2586</v>
      </c>
      <c r="N839" t="s">
        <v>50</v>
      </c>
      <c r="O839">
        <v>3</v>
      </c>
      <c r="P839">
        <v>4177.63</v>
      </c>
      <c r="Q839" s="11">
        <v>0.25</v>
      </c>
      <c r="R839">
        <v>9399.67</v>
      </c>
      <c r="S839">
        <v>6540.37</v>
      </c>
      <c r="T839">
        <v>2859.3</v>
      </c>
      <c r="U839" t="s">
        <v>32</v>
      </c>
      <c r="V839" t="s">
        <v>33</v>
      </c>
      <c r="X839" s="8" t="str">
        <f>IF(C839&gt;=B839,"Valid", "Invalid-Date")</f>
        <v>Valid</v>
      </c>
      <c r="Y839" s="8" t="str">
        <f t="shared" si="118"/>
        <v>Valid</v>
      </c>
      <c r="Z839" s="8" t="str">
        <f t="shared" si="119"/>
        <v>Pass</v>
      </c>
      <c r="AA839" s="8" t="str">
        <f t="shared" si="120"/>
        <v>Pass</v>
      </c>
      <c r="AB839" s="8" t="str">
        <f>TEXT(B839,"mmmm")</f>
        <v>September</v>
      </c>
      <c r="AC839" s="8" t="str">
        <f>TEXT(B839,"yyyy")</f>
        <v>2025</v>
      </c>
      <c r="AE839">
        <f t="shared" si="121"/>
        <v>12532.89</v>
      </c>
      <c r="AF839" s="11">
        <f t="shared" si="122"/>
        <v>9399.6674999999996</v>
      </c>
      <c r="AG839">
        <f t="shared" si="123"/>
        <v>5992.5199999999995</v>
      </c>
      <c r="AH839" s="11">
        <f t="shared" si="124"/>
        <v>0.47814350879964634</v>
      </c>
      <c r="AI839" s="44">
        <f t="shared" si="125"/>
        <v>0.47814350879964634</v>
      </c>
    </row>
    <row r="840" spans="1:35">
      <c r="A840" t="s">
        <v>2587</v>
      </c>
      <c r="B840" s="5">
        <v>45720</v>
      </c>
      <c r="C840" s="5">
        <v>45842</v>
      </c>
      <c r="D840" s="13">
        <f t="shared" si="117"/>
        <v>122</v>
      </c>
      <c r="E840" t="s">
        <v>2588</v>
      </c>
      <c r="F840" t="s">
        <v>62</v>
      </c>
      <c r="G840" t="s">
        <v>37</v>
      </c>
      <c r="H840" t="s">
        <v>63</v>
      </c>
      <c r="I840" t="s">
        <v>190</v>
      </c>
      <c r="J840" t="s">
        <v>191</v>
      </c>
      <c r="K840" t="s">
        <v>28</v>
      </c>
      <c r="L840" t="s">
        <v>29</v>
      </c>
      <c r="M840" t="s">
        <v>2589</v>
      </c>
      <c r="N840" t="s">
        <v>44</v>
      </c>
      <c r="O840">
        <v>1</v>
      </c>
      <c r="P840">
        <v>1470.57</v>
      </c>
      <c r="Q840" s="11">
        <v>0</v>
      </c>
      <c r="R840">
        <v>1470.57</v>
      </c>
      <c r="S840">
        <v>834.02</v>
      </c>
      <c r="T840">
        <v>636.54999999999995</v>
      </c>
      <c r="U840" t="s">
        <v>32</v>
      </c>
      <c r="V840" t="s">
        <v>103</v>
      </c>
      <c r="X840" s="8" t="str">
        <f>IF(C840&gt;=B840,"Valid", "Invalid-Date")</f>
        <v>Valid</v>
      </c>
      <c r="Y840" s="8" t="str">
        <f t="shared" si="118"/>
        <v>Valid</v>
      </c>
      <c r="Z840" s="8" t="str">
        <f t="shared" si="119"/>
        <v>Pass</v>
      </c>
      <c r="AA840" s="8" t="str">
        <f t="shared" si="120"/>
        <v>Pass</v>
      </c>
      <c r="AB840" s="8" t="str">
        <f>TEXT(B840,"mmmm")</f>
        <v>March</v>
      </c>
      <c r="AC840" s="8" t="str">
        <f>TEXT(B840,"yyyy")</f>
        <v>2025</v>
      </c>
      <c r="AE840">
        <f t="shared" si="121"/>
        <v>1470.57</v>
      </c>
      <c r="AF840" s="11">
        <f t="shared" si="122"/>
        <v>1470.57</v>
      </c>
      <c r="AG840">
        <f t="shared" si="123"/>
        <v>636.54999999999995</v>
      </c>
      <c r="AH840" s="11">
        <f t="shared" si="124"/>
        <v>0.43285936745615644</v>
      </c>
      <c r="AI840" s="44">
        <f t="shared" si="125"/>
        <v>0.43285936745615644</v>
      </c>
    </row>
    <row r="841" spans="1:35">
      <c r="A841" t="s">
        <v>2590</v>
      </c>
      <c r="B841" s="5">
        <v>45555</v>
      </c>
      <c r="C841" s="5">
        <v>45557</v>
      </c>
      <c r="D841" s="13">
        <f t="shared" si="117"/>
        <v>2</v>
      </c>
      <c r="E841" t="s">
        <v>2591</v>
      </c>
      <c r="F841" t="s">
        <v>141</v>
      </c>
      <c r="G841" t="s">
        <v>95</v>
      </c>
      <c r="H841" t="s">
        <v>38</v>
      </c>
      <c r="I841" t="s">
        <v>39</v>
      </c>
      <c r="J841" t="s">
        <v>40</v>
      </c>
      <c r="K841" t="s">
        <v>74</v>
      </c>
      <c r="L841" t="s">
        <v>171</v>
      </c>
      <c r="M841" t="s">
        <v>2592</v>
      </c>
      <c r="N841" t="s">
        <v>59</v>
      </c>
      <c r="O841">
        <v>8</v>
      </c>
      <c r="P841">
        <v>531.42999999999995</v>
      </c>
      <c r="Q841" s="11">
        <v>0.1</v>
      </c>
      <c r="R841">
        <v>3826.3</v>
      </c>
      <c r="S841">
        <v>2194.12</v>
      </c>
      <c r="T841">
        <v>1632.18</v>
      </c>
      <c r="U841" t="s">
        <v>32</v>
      </c>
      <c r="V841" t="s">
        <v>33</v>
      </c>
      <c r="X841" s="8" t="str">
        <f>IF(C841&gt;=B841,"Valid", "Invalid-Date")</f>
        <v>Valid</v>
      </c>
      <c r="Y841" s="8" t="str">
        <f t="shared" si="118"/>
        <v>Valid</v>
      </c>
      <c r="Z841" s="8" t="str">
        <f t="shared" si="119"/>
        <v>Pass</v>
      </c>
      <c r="AA841" s="8" t="str">
        <f t="shared" si="120"/>
        <v>Pass</v>
      </c>
      <c r="AB841" s="8" t="str">
        <f>TEXT(B841,"mmmm")</f>
        <v>September</v>
      </c>
      <c r="AC841" s="8" t="str">
        <f>TEXT(B841,"yyyy")</f>
        <v>2024</v>
      </c>
      <c r="AE841">
        <f t="shared" si="121"/>
        <v>4251.4399999999996</v>
      </c>
      <c r="AF841" s="11">
        <f t="shared" si="122"/>
        <v>3826.2959999999998</v>
      </c>
      <c r="AG841">
        <f t="shared" si="123"/>
        <v>2057.3199999999997</v>
      </c>
      <c r="AH841" s="11">
        <f t="shared" si="124"/>
        <v>0.48391133357168392</v>
      </c>
      <c r="AI841" s="44">
        <f t="shared" si="125"/>
        <v>0.48391133357168392</v>
      </c>
    </row>
    <row r="842" spans="1:35">
      <c r="A842" t="s">
        <v>2593</v>
      </c>
      <c r="B842" s="5">
        <v>45919</v>
      </c>
      <c r="C842" s="5">
        <v>45919</v>
      </c>
      <c r="D842" s="13">
        <f t="shared" si="117"/>
        <v>0</v>
      </c>
      <c r="E842" t="s">
        <v>2594</v>
      </c>
      <c r="F842" t="s">
        <v>79</v>
      </c>
      <c r="G842" t="s">
        <v>95</v>
      </c>
      <c r="H842" t="s">
        <v>25</v>
      </c>
      <c r="I842" t="s">
        <v>350</v>
      </c>
      <c r="J842" t="s">
        <v>351</v>
      </c>
      <c r="K842" t="s">
        <v>41</v>
      </c>
      <c r="L842" t="s">
        <v>66</v>
      </c>
      <c r="M842" t="s">
        <v>2595</v>
      </c>
      <c r="N842" t="s">
        <v>44</v>
      </c>
      <c r="O842">
        <v>4</v>
      </c>
      <c r="P842">
        <v>1584.11</v>
      </c>
      <c r="Q842" s="11">
        <v>0</v>
      </c>
      <c r="R842">
        <v>6336.44</v>
      </c>
      <c r="S842">
        <v>4680.68</v>
      </c>
      <c r="T842">
        <v>1655.76</v>
      </c>
      <c r="U842" t="s">
        <v>32</v>
      </c>
      <c r="V842" t="s">
        <v>33</v>
      </c>
      <c r="X842" s="8" t="str">
        <f>IF(C842&gt;=B842,"Valid", "Invalid-Date")</f>
        <v>Valid</v>
      </c>
      <c r="Y842" s="8" t="str">
        <f t="shared" si="118"/>
        <v>Valid</v>
      </c>
      <c r="Z842" s="8" t="str">
        <f t="shared" si="119"/>
        <v>Pass</v>
      </c>
      <c r="AA842" s="8" t="str">
        <f t="shared" si="120"/>
        <v>Pass</v>
      </c>
      <c r="AB842" s="8" t="str">
        <f>TEXT(B842,"mmmm")</f>
        <v>September</v>
      </c>
      <c r="AC842" s="8" t="str">
        <f>TEXT(B842,"yyyy")</f>
        <v>2025</v>
      </c>
      <c r="AE842">
        <f t="shared" si="121"/>
        <v>6336.44</v>
      </c>
      <c r="AF842" s="11">
        <f t="shared" si="122"/>
        <v>6336.44</v>
      </c>
      <c r="AG842">
        <f t="shared" si="123"/>
        <v>1655.7599999999993</v>
      </c>
      <c r="AH842" s="11">
        <f t="shared" si="124"/>
        <v>0.26130761121386764</v>
      </c>
      <c r="AI842" s="44">
        <f t="shared" si="125"/>
        <v>0.26130761121386764</v>
      </c>
    </row>
    <row r="843" spans="1:35">
      <c r="A843" t="s">
        <v>2596</v>
      </c>
      <c r="B843" s="5">
        <v>45694</v>
      </c>
      <c r="C843" s="5">
        <v>45993</v>
      </c>
      <c r="D843" s="13">
        <f t="shared" si="117"/>
        <v>299</v>
      </c>
      <c r="E843" t="s">
        <v>2597</v>
      </c>
      <c r="F843" t="s">
        <v>62</v>
      </c>
      <c r="G843" t="s">
        <v>37</v>
      </c>
      <c r="H843" t="s">
        <v>38</v>
      </c>
      <c r="I843" t="s">
        <v>145</v>
      </c>
      <c r="J843" t="s">
        <v>146</v>
      </c>
      <c r="K843" t="s">
        <v>28</v>
      </c>
      <c r="L843" t="s">
        <v>48</v>
      </c>
      <c r="M843" t="s">
        <v>2598</v>
      </c>
      <c r="N843" t="s">
        <v>59</v>
      </c>
      <c r="O843">
        <v>9</v>
      </c>
      <c r="P843">
        <v>3237.16</v>
      </c>
      <c r="Q843" s="11">
        <v>0.25</v>
      </c>
      <c r="R843">
        <v>21850.83</v>
      </c>
      <c r="S843">
        <v>16600.13</v>
      </c>
      <c r="T843">
        <v>5250.7</v>
      </c>
      <c r="U843" t="s">
        <v>32</v>
      </c>
      <c r="V843" t="s">
        <v>33</v>
      </c>
      <c r="X843" s="8" t="str">
        <f>IF(C843&gt;=B843,"Valid", "Invalid-Date")</f>
        <v>Valid</v>
      </c>
      <c r="Y843" s="8" t="str">
        <f t="shared" si="118"/>
        <v>Valid</v>
      </c>
      <c r="Z843" s="8" t="str">
        <f t="shared" si="119"/>
        <v>Pass</v>
      </c>
      <c r="AA843" s="8" t="str">
        <f t="shared" si="120"/>
        <v>Pass</v>
      </c>
      <c r="AB843" s="8" t="str">
        <f>TEXT(B843,"mmmm")</f>
        <v>February</v>
      </c>
      <c r="AC843" s="8" t="str">
        <f>TEXT(B843,"yyyy")</f>
        <v>2025</v>
      </c>
      <c r="AE843">
        <f t="shared" si="121"/>
        <v>29134.44</v>
      </c>
      <c r="AF843" s="11">
        <f t="shared" si="122"/>
        <v>21850.829999999998</v>
      </c>
      <c r="AG843">
        <f t="shared" si="123"/>
        <v>12534.309999999998</v>
      </c>
      <c r="AH843" s="11">
        <f t="shared" si="124"/>
        <v>0.43022313111218197</v>
      </c>
      <c r="AI843" s="44">
        <f t="shared" si="125"/>
        <v>0.43022313111218197</v>
      </c>
    </row>
    <row r="844" spans="1:35">
      <c r="A844" t="s">
        <v>2599</v>
      </c>
      <c r="B844" s="5">
        <v>45382</v>
      </c>
      <c r="C844" s="5">
        <v>45381</v>
      </c>
      <c r="D844" s="13">
        <f t="shared" si="117"/>
        <v>-1</v>
      </c>
      <c r="E844" t="s">
        <v>2600</v>
      </c>
      <c r="F844" t="s">
        <v>2601</v>
      </c>
      <c r="G844" t="s">
        <v>24</v>
      </c>
      <c r="H844" t="s">
        <v>25</v>
      </c>
      <c r="I844" t="s">
        <v>236</v>
      </c>
      <c r="J844" t="s">
        <v>237</v>
      </c>
      <c r="K844" t="s">
        <v>74</v>
      </c>
      <c r="L844" t="s">
        <v>274</v>
      </c>
      <c r="M844" t="s">
        <v>2602</v>
      </c>
      <c r="N844" t="s">
        <v>50</v>
      </c>
      <c r="O844">
        <v>4</v>
      </c>
      <c r="P844">
        <v>2192.08</v>
      </c>
      <c r="Q844" s="11">
        <v>0.15</v>
      </c>
      <c r="R844">
        <v>7453.07</v>
      </c>
      <c r="S844">
        <v>5133.78</v>
      </c>
      <c r="T844">
        <v>2319.29</v>
      </c>
      <c r="U844" t="s">
        <v>32</v>
      </c>
      <c r="V844" t="s">
        <v>103</v>
      </c>
      <c r="X844" s="8" t="str">
        <f>IF(C844&gt;=B844,"Valid", "Invalid-Date")</f>
        <v>Invalid-Date</v>
      </c>
      <c r="Y844" s="8" t="str">
        <f t="shared" si="118"/>
        <v>Valid</v>
      </c>
      <c r="Z844" s="8" t="str">
        <f t="shared" si="119"/>
        <v>Pass</v>
      </c>
      <c r="AA844" s="8" t="str">
        <f t="shared" si="120"/>
        <v>Pass</v>
      </c>
      <c r="AB844" s="8" t="str">
        <f>TEXT(B844,"mmmm")</f>
        <v>March</v>
      </c>
      <c r="AC844" s="8" t="str">
        <f>TEXT(B844,"yyyy")</f>
        <v>2024</v>
      </c>
      <c r="AE844">
        <f t="shared" si="121"/>
        <v>8768.32</v>
      </c>
      <c r="AF844" s="11">
        <f t="shared" si="122"/>
        <v>7453.0719999999992</v>
      </c>
      <c r="AG844">
        <f t="shared" si="123"/>
        <v>3634.54</v>
      </c>
      <c r="AH844" s="11">
        <f t="shared" si="124"/>
        <v>0.41450813838910988</v>
      </c>
      <c r="AI844" s="44">
        <f t="shared" si="125"/>
        <v>0.41450813838910988</v>
      </c>
    </row>
    <row r="845" spans="1:35">
      <c r="A845" t="s">
        <v>2603</v>
      </c>
      <c r="B845" s="5">
        <v>45856</v>
      </c>
      <c r="C845" s="5">
        <v>45863</v>
      </c>
      <c r="D845" s="13">
        <f t="shared" si="117"/>
        <v>7</v>
      </c>
      <c r="E845" t="s">
        <v>2604</v>
      </c>
      <c r="F845" t="s">
        <v>114</v>
      </c>
      <c r="G845" t="s">
        <v>37</v>
      </c>
      <c r="H845" t="s">
        <v>25</v>
      </c>
      <c r="I845" t="s">
        <v>136</v>
      </c>
      <c r="J845" t="s">
        <v>137</v>
      </c>
      <c r="K845" t="s">
        <v>74</v>
      </c>
      <c r="L845" t="s">
        <v>171</v>
      </c>
      <c r="M845" t="s">
        <v>2605</v>
      </c>
      <c r="N845" t="s">
        <v>50</v>
      </c>
      <c r="O845">
        <v>9</v>
      </c>
      <c r="P845">
        <v>3989.52</v>
      </c>
      <c r="Q845" s="11">
        <v>-0.02</v>
      </c>
      <c r="R845">
        <v>35905.68</v>
      </c>
      <c r="S845">
        <v>23916.1</v>
      </c>
      <c r="T845">
        <v>11989.58</v>
      </c>
      <c r="U845" t="s">
        <v>32</v>
      </c>
      <c r="V845" t="s">
        <v>33</v>
      </c>
      <c r="X845" s="8" t="str">
        <f>IF(C845&gt;=B845,"Valid", "Invalid-Date")</f>
        <v>Valid</v>
      </c>
      <c r="Y845" s="8" t="str">
        <f t="shared" si="118"/>
        <v>Invalid-Discount</v>
      </c>
      <c r="Z845" s="8" t="str">
        <f t="shared" si="119"/>
        <v>Pass</v>
      </c>
      <c r="AA845" s="8" t="str">
        <f t="shared" si="120"/>
        <v>Pass</v>
      </c>
      <c r="AB845" s="8" t="str">
        <f>TEXT(B845,"mmmm")</f>
        <v>July</v>
      </c>
      <c r="AC845" s="8" t="str">
        <f>TEXT(B845,"yyyy")</f>
        <v>2025</v>
      </c>
      <c r="AE845">
        <f t="shared" si="121"/>
        <v>35905.68</v>
      </c>
      <c r="AF845" s="11">
        <f t="shared" si="122"/>
        <v>36623.793600000005</v>
      </c>
      <c r="AG845">
        <f t="shared" si="123"/>
        <v>11989.580000000002</v>
      </c>
      <c r="AH845" s="11">
        <f t="shared" si="124"/>
        <v>0.33391875602968674</v>
      </c>
      <c r="AI845" s="44">
        <f t="shared" si="125"/>
        <v>0.33391875602968674</v>
      </c>
    </row>
    <row r="846" spans="1:35">
      <c r="A846" t="s">
        <v>2606</v>
      </c>
      <c r="B846" s="5">
        <v>45677</v>
      </c>
      <c r="C846" s="5">
        <v>45682</v>
      </c>
      <c r="D846" s="13">
        <f t="shared" si="117"/>
        <v>5</v>
      </c>
      <c r="E846" t="s">
        <v>2607</v>
      </c>
      <c r="F846" t="s">
        <v>89</v>
      </c>
      <c r="G846" t="s">
        <v>95</v>
      </c>
      <c r="H846" t="s">
        <v>63</v>
      </c>
      <c r="I846" t="s">
        <v>190</v>
      </c>
      <c r="J846" t="s">
        <v>191</v>
      </c>
      <c r="K846" t="s">
        <v>28</v>
      </c>
      <c r="L846" t="s">
        <v>48</v>
      </c>
      <c r="M846" t="s">
        <v>2608</v>
      </c>
      <c r="N846" t="s">
        <v>50</v>
      </c>
      <c r="O846">
        <v>1</v>
      </c>
      <c r="P846">
        <v>3515.15</v>
      </c>
      <c r="Q846" s="11">
        <v>0</v>
      </c>
      <c r="R846">
        <v>3515.15</v>
      </c>
      <c r="S846">
        <v>2216.34</v>
      </c>
      <c r="T846">
        <v>1298.81</v>
      </c>
      <c r="U846" t="s">
        <v>32</v>
      </c>
      <c r="V846" t="s">
        <v>33</v>
      </c>
      <c r="X846" s="8" t="str">
        <f>IF(C846&gt;=B846,"Valid", "Invalid-Date")</f>
        <v>Valid</v>
      </c>
      <c r="Y846" s="8" t="str">
        <f t="shared" si="118"/>
        <v>Valid</v>
      </c>
      <c r="Z846" s="8" t="str">
        <f t="shared" si="119"/>
        <v>Pass</v>
      </c>
      <c r="AA846" s="8" t="str">
        <f t="shared" si="120"/>
        <v>Pass</v>
      </c>
      <c r="AB846" s="8" t="str">
        <f>TEXT(B846,"mmmm")</f>
        <v>January</v>
      </c>
      <c r="AC846" s="8" t="str">
        <f>TEXT(B846,"yyyy")</f>
        <v>2025</v>
      </c>
      <c r="AE846">
        <f t="shared" si="121"/>
        <v>3515.15</v>
      </c>
      <c r="AF846" s="11">
        <f t="shared" si="122"/>
        <v>3515.15</v>
      </c>
      <c r="AG846">
        <f t="shared" si="123"/>
        <v>1298.81</v>
      </c>
      <c r="AH846" s="11">
        <f t="shared" si="124"/>
        <v>0.36948921098672882</v>
      </c>
      <c r="AI846" s="44">
        <f t="shared" si="125"/>
        <v>0.36948921098672882</v>
      </c>
    </row>
    <row r="847" spans="1:35">
      <c r="A847" t="s">
        <v>2609</v>
      </c>
      <c r="B847" s="5">
        <v>45345</v>
      </c>
      <c r="C847" s="5">
        <v>45349</v>
      </c>
      <c r="D847" s="13">
        <f t="shared" si="117"/>
        <v>4</v>
      </c>
      <c r="E847" t="s">
        <v>592</v>
      </c>
      <c r="F847" t="s">
        <v>23</v>
      </c>
      <c r="G847" t="s">
        <v>24</v>
      </c>
      <c r="H847" t="s">
        <v>38</v>
      </c>
      <c r="I847" t="s">
        <v>39</v>
      </c>
      <c r="J847" t="s">
        <v>40</v>
      </c>
      <c r="K847" t="s">
        <v>41</v>
      </c>
      <c r="L847" t="s">
        <v>42</v>
      </c>
      <c r="M847" t="s">
        <v>2610</v>
      </c>
      <c r="N847" t="s">
        <v>50</v>
      </c>
      <c r="O847">
        <v>9</v>
      </c>
      <c r="P847">
        <v>3616.23</v>
      </c>
      <c r="Q847" s="11">
        <v>0.25</v>
      </c>
      <c r="R847">
        <v>24409.55</v>
      </c>
      <c r="S847">
        <v>17157.580000000002</v>
      </c>
      <c r="T847">
        <v>7251.97</v>
      </c>
      <c r="U847" t="s">
        <v>111</v>
      </c>
      <c r="V847" t="s">
        <v>103</v>
      </c>
      <c r="X847" s="8" t="str">
        <f>IF(C847&gt;=B847,"Valid", "Invalid-Date")</f>
        <v>Valid</v>
      </c>
      <c r="Y847" s="8" t="str">
        <f t="shared" si="118"/>
        <v>Valid</v>
      </c>
      <c r="Z847" s="8" t="str">
        <f t="shared" si="119"/>
        <v>Pass</v>
      </c>
      <c r="AA847" s="8" t="str">
        <f t="shared" si="120"/>
        <v>Pass</v>
      </c>
      <c r="AB847" s="8" t="str">
        <f>TEXT(B847,"mmmm")</f>
        <v>February</v>
      </c>
      <c r="AC847" s="8" t="str">
        <f>TEXT(B847,"yyyy")</f>
        <v>2024</v>
      </c>
      <c r="AE847">
        <f t="shared" si="121"/>
        <v>32546.07</v>
      </c>
      <c r="AF847" s="11">
        <f t="shared" si="122"/>
        <v>24409.552499999998</v>
      </c>
      <c r="AG847">
        <f t="shared" si="123"/>
        <v>15388.489999999998</v>
      </c>
      <c r="AH847" s="11">
        <f t="shared" si="124"/>
        <v>0.47282175697403706</v>
      </c>
      <c r="AI847" s="44">
        <f t="shared" si="125"/>
        <v>0.47282175697403706</v>
      </c>
    </row>
    <row r="848" spans="1:35">
      <c r="A848" t="s">
        <v>2611</v>
      </c>
      <c r="B848" s="5">
        <v>45396</v>
      </c>
      <c r="C848" s="5">
        <v>45404</v>
      </c>
      <c r="D848" s="13">
        <f t="shared" si="117"/>
        <v>8</v>
      </c>
      <c r="E848" t="s">
        <v>2612</v>
      </c>
      <c r="F848" t="s">
        <v>114</v>
      </c>
      <c r="G848" t="s">
        <v>37</v>
      </c>
      <c r="H848" t="s">
        <v>63</v>
      </c>
      <c r="I848" t="s">
        <v>180</v>
      </c>
      <c r="J848" t="s">
        <v>181</v>
      </c>
      <c r="K848" t="s">
        <v>41</v>
      </c>
      <c r="L848" t="s">
        <v>158</v>
      </c>
      <c r="M848" t="s">
        <v>2613</v>
      </c>
      <c r="N848" t="s">
        <v>59</v>
      </c>
      <c r="O848">
        <v>2</v>
      </c>
      <c r="P848">
        <v>3977.52</v>
      </c>
      <c r="Q848" s="11">
        <v>0</v>
      </c>
      <c r="R848">
        <v>7955.04</v>
      </c>
      <c r="S848">
        <v>5580.68</v>
      </c>
      <c r="T848">
        <v>2374.36</v>
      </c>
      <c r="U848" t="s">
        <v>111</v>
      </c>
      <c r="V848" t="s">
        <v>103</v>
      </c>
      <c r="X848" s="8" t="str">
        <f>IF(C848&gt;=B848,"Valid", "Invalid-Date")</f>
        <v>Valid</v>
      </c>
      <c r="Y848" s="8" t="str">
        <f t="shared" si="118"/>
        <v>Valid</v>
      </c>
      <c r="Z848" s="8" t="str">
        <f t="shared" si="119"/>
        <v>Pass</v>
      </c>
      <c r="AA848" s="8" t="str">
        <f t="shared" si="120"/>
        <v>Pass</v>
      </c>
      <c r="AB848" s="8" t="str">
        <f>TEXT(B848,"mmmm")</f>
        <v>April</v>
      </c>
      <c r="AC848" s="8" t="str">
        <f>TEXT(B848,"yyyy")</f>
        <v>2024</v>
      </c>
      <c r="AE848">
        <f t="shared" si="121"/>
        <v>7955.04</v>
      </c>
      <c r="AF848" s="11">
        <f t="shared" si="122"/>
        <v>7955.04</v>
      </c>
      <c r="AG848">
        <f t="shared" si="123"/>
        <v>2374.3599999999997</v>
      </c>
      <c r="AH848" s="11">
        <f t="shared" si="124"/>
        <v>0.29847241497214339</v>
      </c>
      <c r="AI848" s="44">
        <f t="shared" si="125"/>
        <v>0.29847241497214339</v>
      </c>
    </row>
    <row r="849" spans="1:35">
      <c r="A849" t="s">
        <v>2614</v>
      </c>
      <c r="B849" s="5">
        <v>45797</v>
      </c>
      <c r="C849" s="5">
        <v>45799</v>
      </c>
      <c r="D849" s="13">
        <f t="shared" si="117"/>
        <v>2</v>
      </c>
      <c r="E849" t="s">
        <v>2615</v>
      </c>
      <c r="F849" t="s">
        <v>162</v>
      </c>
      <c r="G849" t="s">
        <v>95</v>
      </c>
      <c r="H849" t="s">
        <v>38</v>
      </c>
      <c r="I849" t="s">
        <v>39</v>
      </c>
      <c r="J849" t="s">
        <v>40</v>
      </c>
      <c r="K849" t="s">
        <v>41</v>
      </c>
      <c r="L849" t="s">
        <v>42</v>
      </c>
      <c r="M849" t="s">
        <v>2616</v>
      </c>
      <c r="N849" t="s">
        <v>31</v>
      </c>
      <c r="O849">
        <v>2</v>
      </c>
      <c r="P849">
        <v>210.08</v>
      </c>
      <c r="Q849" s="11">
        <v>0.2</v>
      </c>
      <c r="R849">
        <v>336.13</v>
      </c>
      <c r="S849">
        <v>242.19</v>
      </c>
      <c r="T849">
        <v>93.94</v>
      </c>
      <c r="U849" t="s">
        <v>32</v>
      </c>
      <c r="V849" t="s">
        <v>33</v>
      </c>
      <c r="X849" s="8" t="str">
        <f>IF(C849&gt;=B849,"Valid", "Invalid-Date")</f>
        <v>Valid</v>
      </c>
      <c r="Y849" s="8" t="str">
        <f t="shared" si="118"/>
        <v>Valid</v>
      </c>
      <c r="Z849" s="8" t="str">
        <f t="shared" si="119"/>
        <v>Pass</v>
      </c>
      <c r="AA849" s="8" t="str">
        <f t="shared" si="120"/>
        <v>Pass</v>
      </c>
      <c r="AB849" s="8" t="str">
        <f>TEXT(B849,"mmmm")</f>
        <v>May</v>
      </c>
      <c r="AC849" s="8" t="str">
        <f>TEXT(B849,"yyyy")</f>
        <v>2025</v>
      </c>
      <c r="AE849">
        <f t="shared" si="121"/>
        <v>420.16</v>
      </c>
      <c r="AF849" s="11">
        <f t="shared" si="122"/>
        <v>336.12800000000004</v>
      </c>
      <c r="AG849">
        <f t="shared" si="123"/>
        <v>177.97000000000003</v>
      </c>
      <c r="AH849" s="11">
        <f t="shared" si="124"/>
        <v>0.42357673267326734</v>
      </c>
      <c r="AI849" s="44">
        <f t="shared" si="125"/>
        <v>0.42357673267326734</v>
      </c>
    </row>
    <row r="850" spans="1:35">
      <c r="A850" t="s">
        <v>2617</v>
      </c>
      <c r="B850" s="5">
        <v>45804</v>
      </c>
      <c r="C850" s="5">
        <v>45806</v>
      </c>
      <c r="D850" s="13">
        <f t="shared" si="117"/>
        <v>2</v>
      </c>
      <c r="E850" t="s">
        <v>2618</v>
      </c>
      <c r="F850" t="s">
        <v>118</v>
      </c>
      <c r="G850" t="s">
        <v>95</v>
      </c>
      <c r="H850" t="s">
        <v>54</v>
      </c>
      <c r="I850" t="s">
        <v>247</v>
      </c>
      <c r="J850" t="s">
        <v>248</v>
      </c>
      <c r="K850" t="s">
        <v>41</v>
      </c>
      <c r="L850" t="s">
        <v>57</v>
      </c>
      <c r="M850" t="s">
        <v>2619</v>
      </c>
      <c r="N850" t="s">
        <v>31</v>
      </c>
      <c r="O850">
        <v>1</v>
      </c>
      <c r="P850">
        <v>1744.35</v>
      </c>
      <c r="Q850" s="11">
        <v>0.25</v>
      </c>
      <c r="R850">
        <v>1308.26</v>
      </c>
      <c r="S850">
        <v>1083.56</v>
      </c>
      <c r="T850">
        <v>224.7</v>
      </c>
      <c r="U850" t="s">
        <v>32</v>
      </c>
      <c r="V850" t="s">
        <v>33</v>
      </c>
      <c r="X850" s="8" t="str">
        <f>IF(C850&gt;=B850,"Valid", "Invalid-Date")</f>
        <v>Valid</v>
      </c>
      <c r="Y850" s="8" t="str">
        <f t="shared" si="118"/>
        <v>Valid</v>
      </c>
      <c r="Z850" s="8" t="str">
        <f t="shared" si="119"/>
        <v>Pass</v>
      </c>
      <c r="AA850" s="8" t="str">
        <f t="shared" si="120"/>
        <v>Pass</v>
      </c>
      <c r="AB850" s="8" t="str">
        <f>TEXT(B850,"mmmm")</f>
        <v>May</v>
      </c>
      <c r="AC850" s="8" t="str">
        <f>TEXT(B850,"yyyy")</f>
        <v>2025</v>
      </c>
      <c r="AE850">
        <f t="shared" si="121"/>
        <v>1744.35</v>
      </c>
      <c r="AF850" s="11">
        <f t="shared" si="122"/>
        <v>1308.2624999999998</v>
      </c>
      <c r="AG850">
        <f t="shared" si="123"/>
        <v>660.79</v>
      </c>
      <c r="AH850" s="11">
        <f t="shared" si="124"/>
        <v>0.37881732450482986</v>
      </c>
      <c r="AI850" s="44">
        <f t="shared" si="125"/>
        <v>0.37881732450482986</v>
      </c>
    </row>
    <row r="851" spans="1:35" s="15" customFormat="1">
      <c r="A851" s="15" t="s">
        <v>2620</v>
      </c>
      <c r="B851" s="16">
        <v>45357</v>
      </c>
      <c r="C851" s="16">
        <v>45363</v>
      </c>
      <c r="D851" s="17">
        <f t="shared" si="117"/>
        <v>6</v>
      </c>
      <c r="E851" s="15" t="s">
        <v>2621</v>
      </c>
      <c r="F851" s="15" t="s">
        <v>47</v>
      </c>
      <c r="G851" s="15" t="s">
        <v>95</v>
      </c>
      <c r="H851" s="15" t="s">
        <v>63</v>
      </c>
      <c r="I851" s="15" t="s">
        <v>180</v>
      </c>
      <c r="J851" s="15" t="s">
        <v>181</v>
      </c>
      <c r="K851" s="15" t="s">
        <v>41</v>
      </c>
      <c r="L851" s="15" t="s">
        <v>158</v>
      </c>
      <c r="M851" s="15" t="s">
        <v>2622</v>
      </c>
      <c r="N851" s="15" t="s">
        <v>59</v>
      </c>
      <c r="O851" s="15">
        <v>3</v>
      </c>
      <c r="P851" s="15">
        <v>679.63</v>
      </c>
      <c r="Q851" s="18">
        <v>0.2</v>
      </c>
      <c r="R851" s="15">
        <v>1631.11</v>
      </c>
      <c r="S851" s="15">
        <v>898.73</v>
      </c>
      <c r="T851" s="15">
        <v>396.58</v>
      </c>
      <c r="U851" s="15" t="s">
        <v>32</v>
      </c>
      <c r="V851" s="15" t="s">
        <v>33</v>
      </c>
      <c r="W851" s="25"/>
      <c r="X851" s="8" t="str">
        <f>IF(C851&gt;=B851,"Valid", "Invalid-Date")</f>
        <v>Valid</v>
      </c>
      <c r="Y851" s="8" t="str">
        <f t="shared" si="118"/>
        <v>Valid</v>
      </c>
      <c r="Z851" s="19" t="str">
        <f t="shared" si="119"/>
        <v>Pass</v>
      </c>
      <c r="AA851" s="19" t="str">
        <f t="shared" si="120"/>
        <v>Pass</v>
      </c>
      <c r="AB851" s="19" t="str">
        <f>TEXT(B851,"mmmm")</f>
        <v>March</v>
      </c>
      <c r="AC851" s="19" t="str">
        <f>TEXT(B851,"yyyy")</f>
        <v>2024</v>
      </c>
      <c r="AD851" s="20"/>
      <c r="AE851" s="15">
        <f t="shared" si="121"/>
        <v>2038.8899999999999</v>
      </c>
      <c r="AF851" s="11">
        <f t="shared" si="122"/>
        <v>1631.1120000000001</v>
      </c>
      <c r="AG851" s="15">
        <f t="shared" si="123"/>
        <v>1140.1599999999999</v>
      </c>
      <c r="AH851" s="18">
        <f t="shared" si="124"/>
        <v>0.55920623476499465</v>
      </c>
      <c r="AI851" s="45">
        <f t="shared" si="125"/>
        <v>0.55920623476499465</v>
      </c>
    </row>
    <row r="852" spans="1:35">
      <c r="A852" t="s">
        <v>2623</v>
      </c>
      <c r="B852" s="5">
        <v>45473</v>
      </c>
      <c r="C852" s="5">
        <v>45358</v>
      </c>
      <c r="D852" s="13">
        <f t="shared" si="117"/>
        <v>-115</v>
      </c>
      <c r="E852" t="s">
        <v>2624</v>
      </c>
      <c r="F852" t="s">
        <v>114</v>
      </c>
      <c r="G852" t="s">
        <v>95</v>
      </c>
      <c r="H852" t="s">
        <v>38</v>
      </c>
      <c r="I852" t="s">
        <v>99</v>
      </c>
      <c r="J852" t="s">
        <v>100</v>
      </c>
      <c r="K852" t="s">
        <v>28</v>
      </c>
      <c r="L852" t="s">
        <v>29</v>
      </c>
      <c r="M852" t="s">
        <v>2625</v>
      </c>
      <c r="N852" t="s">
        <v>50</v>
      </c>
      <c r="O852">
        <v>6</v>
      </c>
      <c r="P852">
        <v>1211.01</v>
      </c>
      <c r="Q852" s="11">
        <v>0</v>
      </c>
      <c r="R852">
        <v>7266.06</v>
      </c>
      <c r="S852">
        <v>6216.89</v>
      </c>
      <c r="T852">
        <v>1049.17</v>
      </c>
      <c r="U852" t="s">
        <v>32</v>
      </c>
      <c r="V852" t="s">
        <v>33</v>
      </c>
      <c r="X852" s="8" t="str">
        <f>IF(C852&gt;=B852,"Valid", "Invalid-Date")</f>
        <v>Invalid-Date</v>
      </c>
      <c r="Y852" s="8" t="str">
        <f t="shared" si="118"/>
        <v>Valid</v>
      </c>
      <c r="Z852" s="8" t="str">
        <f t="shared" si="119"/>
        <v>Pass</v>
      </c>
      <c r="AA852" s="8" t="str">
        <f t="shared" si="120"/>
        <v>Pass</v>
      </c>
      <c r="AB852" s="8" t="str">
        <f>TEXT(B852,"mmmm")</f>
        <v>June</v>
      </c>
      <c r="AC852" s="8" t="str">
        <f>TEXT(B852,"yyyy")</f>
        <v>2024</v>
      </c>
      <c r="AE852">
        <f t="shared" si="121"/>
        <v>7266.0599999999995</v>
      </c>
      <c r="AF852" s="11">
        <f t="shared" si="122"/>
        <v>7266.0599999999995</v>
      </c>
      <c r="AG852">
        <f t="shared" si="123"/>
        <v>1049.1699999999992</v>
      </c>
      <c r="AH852" s="11">
        <f t="shared" si="124"/>
        <v>0.14439324750965438</v>
      </c>
      <c r="AI852" s="44">
        <f t="shared" si="125"/>
        <v>0.14439324750965438</v>
      </c>
    </row>
    <row r="853" spans="1:35">
      <c r="A853" t="s">
        <v>2626</v>
      </c>
      <c r="B853" s="5">
        <v>45377</v>
      </c>
      <c r="C853" s="5">
        <v>45295</v>
      </c>
      <c r="D853" s="13">
        <f t="shared" si="117"/>
        <v>-82</v>
      </c>
      <c r="E853" t="s">
        <v>2627</v>
      </c>
      <c r="F853" t="s">
        <v>23</v>
      </c>
      <c r="G853" t="s">
        <v>37</v>
      </c>
      <c r="H853" t="s">
        <v>63</v>
      </c>
      <c r="I853" t="s">
        <v>180</v>
      </c>
      <c r="J853" t="s">
        <v>181</v>
      </c>
      <c r="K853" t="s">
        <v>74</v>
      </c>
      <c r="L853" t="s">
        <v>75</v>
      </c>
      <c r="M853" t="s">
        <v>2628</v>
      </c>
      <c r="N853" t="s">
        <v>50</v>
      </c>
      <c r="O853">
        <v>2</v>
      </c>
      <c r="P853">
        <v>1161.3</v>
      </c>
      <c r="Q853" s="11">
        <v>0.2</v>
      </c>
      <c r="R853">
        <v>1858.08</v>
      </c>
      <c r="S853">
        <v>1590.75</v>
      </c>
      <c r="T853">
        <v>267.33</v>
      </c>
      <c r="U853" t="s">
        <v>32</v>
      </c>
      <c r="V853" t="s">
        <v>33</v>
      </c>
      <c r="X853" s="8" t="str">
        <f>IF(C853&gt;=B853,"Valid", "Invalid-Date")</f>
        <v>Invalid-Date</v>
      </c>
      <c r="Y853" s="8" t="str">
        <f t="shared" si="118"/>
        <v>Valid</v>
      </c>
      <c r="Z853" s="8" t="str">
        <f t="shared" si="119"/>
        <v>Pass</v>
      </c>
      <c r="AA853" s="8" t="str">
        <f t="shared" si="120"/>
        <v>Pass</v>
      </c>
      <c r="AB853" s="8" t="str">
        <f>TEXT(B853,"mmmm")</f>
        <v>March</v>
      </c>
      <c r="AC853" s="8" t="str">
        <f>TEXT(B853,"yyyy")</f>
        <v>2024</v>
      </c>
      <c r="AE853">
        <f t="shared" si="121"/>
        <v>2322.6</v>
      </c>
      <c r="AF853" s="11">
        <f t="shared" si="122"/>
        <v>1858.08</v>
      </c>
      <c r="AG853">
        <f t="shared" si="123"/>
        <v>731.84999999999991</v>
      </c>
      <c r="AH853" s="11">
        <f t="shared" si="124"/>
        <v>0.31509945750452079</v>
      </c>
      <c r="AI853" s="44">
        <f t="shared" si="125"/>
        <v>0.31509945750452079</v>
      </c>
    </row>
    <row r="854" spans="1:35">
      <c r="A854" t="s">
        <v>2629</v>
      </c>
      <c r="B854" s="5">
        <v>45383</v>
      </c>
      <c r="C854" s="5">
        <v>45390</v>
      </c>
      <c r="D854" s="13">
        <f t="shared" si="117"/>
        <v>7</v>
      </c>
      <c r="E854" t="s">
        <v>2630</v>
      </c>
      <c r="F854" t="s">
        <v>62</v>
      </c>
      <c r="G854" t="s">
        <v>24</v>
      </c>
      <c r="H854" t="s">
        <v>38</v>
      </c>
      <c r="I854" t="s">
        <v>166</v>
      </c>
      <c r="J854" t="s">
        <v>167</v>
      </c>
      <c r="K854" t="s">
        <v>41</v>
      </c>
      <c r="L854" t="s">
        <v>42</v>
      </c>
      <c r="M854" t="s">
        <v>2631</v>
      </c>
      <c r="N854" t="s">
        <v>31</v>
      </c>
      <c r="O854">
        <v>7</v>
      </c>
      <c r="P854">
        <v>4205.3500000000004</v>
      </c>
      <c r="Q854" s="11">
        <v>0.15</v>
      </c>
      <c r="R854">
        <v>25021.83</v>
      </c>
      <c r="S854">
        <v>15544.44</v>
      </c>
      <c r="T854">
        <v>9477.39</v>
      </c>
      <c r="U854" t="s">
        <v>111</v>
      </c>
      <c r="V854" t="s">
        <v>68</v>
      </c>
      <c r="X854" s="8" t="str">
        <f>IF(C854&gt;=B854,"Valid", "Invalid-Date")</f>
        <v>Valid</v>
      </c>
      <c r="Y854" s="8" t="str">
        <f t="shared" si="118"/>
        <v>Valid</v>
      </c>
      <c r="Z854" s="8" t="str">
        <f t="shared" si="119"/>
        <v>Pass</v>
      </c>
      <c r="AA854" s="8" t="str">
        <f t="shared" si="120"/>
        <v>Pass</v>
      </c>
      <c r="AB854" s="8" t="str">
        <f>TEXT(B854,"mmmm")</f>
        <v>April</v>
      </c>
      <c r="AC854" s="8" t="str">
        <f>TEXT(B854,"yyyy")</f>
        <v>2024</v>
      </c>
      <c r="AE854">
        <f t="shared" si="121"/>
        <v>29437.450000000004</v>
      </c>
      <c r="AF854" s="11">
        <f t="shared" si="122"/>
        <v>25021.832500000004</v>
      </c>
      <c r="AG854">
        <f t="shared" si="123"/>
        <v>13893.010000000004</v>
      </c>
      <c r="AH854" s="11">
        <f t="shared" si="124"/>
        <v>0.47195018590265125</v>
      </c>
      <c r="AI854" s="44">
        <f t="shared" si="125"/>
        <v>0.47195018590265125</v>
      </c>
    </row>
    <row r="855" spans="1:35">
      <c r="A855" t="s">
        <v>2632</v>
      </c>
      <c r="B855" s="5">
        <v>45793</v>
      </c>
      <c r="C855" s="5">
        <v>45799</v>
      </c>
      <c r="D855" s="13">
        <f t="shared" si="117"/>
        <v>6</v>
      </c>
      <c r="E855" t="s">
        <v>2633</v>
      </c>
      <c r="F855" t="s">
        <v>53</v>
      </c>
      <c r="G855" t="s">
        <v>90</v>
      </c>
      <c r="H855" t="s">
        <v>54</v>
      </c>
      <c r="I855" t="s">
        <v>247</v>
      </c>
      <c r="J855" t="s">
        <v>248</v>
      </c>
      <c r="K855" t="s">
        <v>74</v>
      </c>
      <c r="L855" t="s">
        <v>75</v>
      </c>
      <c r="M855" t="s">
        <v>2634</v>
      </c>
      <c r="N855" t="s">
        <v>44</v>
      </c>
      <c r="O855">
        <v>8</v>
      </c>
      <c r="P855">
        <v>579.79999999999995</v>
      </c>
      <c r="Q855" s="11">
        <v>0.2</v>
      </c>
      <c r="R855">
        <v>3710.72</v>
      </c>
      <c r="S855">
        <v>3115.29</v>
      </c>
      <c r="T855">
        <v>595.42999999999995</v>
      </c>
      <c r="U855" t="s">
        <v>32</v>
      </c>
      <c r="V855" t="s">
        <v>33</v>
      </c>
      <c r="X855" s="8" t="str">
        <f>IF(C855&gt;=B855,"Valid", "Invalid-Date")</f>
        <v>Valid</v>
      </c>
      <c r="Y855" s="8" t="str">
        <f t="shared" si="118"/>
        <v>Valid</v>
      </c>
      <c r="Z855" s="8" t="str">
        <f t="shared" si="119"/>
        <v>Pass</v>
      </c>
      <c r="AA855" s="8" t="str">
        <f t="shared" si="120"/>
        <v>Pass</v>
      </c>
      <c r="AB855" s="8" t="str">
        <f>TEXT(B855,"mmmm")</f>
        <v>May</v>
      </c>
      <c r="AC855" s="8" t="str">
        <f>TEXT(B855,"yyyy")</f>
        <v>2025</v>
      </c>
      <c r="AE855">
        <f t="shared" si="121"/>
        <v>4638.3999999999996</v>
      </c>
      <c r="AF855" s="11">
        <f t="shared" si="122"/>
        <v>3710.72</v>
      </c>
      <c r="AG855">
        <f t="shared" si="123"/>
        <v>1523.1099999999997</v>
      </c>
      <c r="AH855" s="11">
        <f t="shared" si="124"/>
        <v>0.32836969644705066</v>
      </c>
      <c r="AI855" s="44">
        <f t="shared" si="125"/>
        <v>0.32836969644705066</v>
      </c>
    </row>
    <row r="856" spans="1:35">
      <c r="A856" t="s">
        <v>2635</v>
      </c>
      <c r="B856" s="5">
        <v>45741</v>
      </c>
      <c r="C856" s="5">
        <v>45692</v>
      </c>
      <c r="D856" s="13">
        <f t="shared" si="117"/>
        <v>-49</v>
      </c>
      <c r="E856" t="s">
        <v>2636</v>
      </c>
      <c r="F856" t="s">
        <v>114</v>
      </c>
      <c r="G856" t="s">
        <v>24</v>
      </c>
      <c r="H856" t="s">
        <v>54</v>
      </c>
      <c r="I856" t="s">
        <v>175</v>
      </c>
      <c r="J856" t="s">
        <v>176</v>
      </c>
      <c r="K856" t="s">
        <v>41</v>
      </c>
      <c r="L856" t="s">
        <v>158</v>
      </c>
      <c r="M856" t="s">
        <v>2637</v>
      </c>
      <c r="N856" t="s">
        <v>31</v>
      </c>
      <c r="O856">
        <v>4</v>
      </c>
      <c r="P856">
        <v>2233.64</v>
      </c>
      <c r="Q856" s="11">
        <v>0.05</v>
      </c>
      <c r="R856">
        <v>8487.83</v>
      </c>
      <c r="S856">
        <v>5245.72</v>
      </c>
      <c r="T856">
        <v>3242.11</v>
      </c>
      <c r="U856" t="s">
        <v>32</v>
      </c>
      <c r="V856" t="s">
        <v>33</v>
      </c>
      <c r="X856" s="8" t="str">
        <f>IF(C856&gt;=B856,"Valid", "Invalid-Date")</f>
        <v>Invalid-Date</v>
      </c>
      <c r="Y856" s="8" t="str">
        <f t="shared" si="118"/>
        <v>Valid</v>
      </c>
      <c r="Z856" s="8" t="str">
        <f t="shared" si="119"/>
        <v>Pass</v>
      </c>
      <c r="AA856" s="8" t="str">
        <f t="shared" si="120"/>
        <v>Pass</v>
      </c>
      <c r="AB856" s="8" t="str">
        <f>TEXT(B856,"mmmm")</f>
        <v>March</v>
      </c>
      <c r="AC856" s="8" t="str">
        <f>TEXT(B856,"yyyy")</f>
        <v>2025</v>
      </c>
      <c r="AE856">
        <f t="shared" si="121"/>
        <v>8934.56</v>
      </c>
      <c r="AF856" s="11">
        <f t="shared" si="122"/>
        <v>8487.8319999999985</v>
      </c>
      <c r="AG856">
        <f t="shared" si="123"/>
        <v>3688.8399999999992</v>
      </c>
      <c r="AH856" s="11">
        <f t="shared" si="124"/>
        <v>0.41287315771565691</v>
      </c>
      <c r="AI856" s="44">
        <f t="shared" si="125"/>
        <v>0.41287315771565691</v>
      </c>
    </row>
    <row r="857" spans="1:35">
      <c r="A857" t="s">
        <v>2638</v>
      </c>
      <c r="B857" s="5">
        <v>45498</v>
      </c>
      <c r="C857" s="5">
        <v>45330</v>
      </c>
      <c r="D857" s="13">
        <f t="shared" si="117"/>
        <v>-168</v>
      </c>
      <c r="E857" t="s">
        <v>1121</v>
      </c>
      <c r="F857" t="s">
        <v>118</v>
      </c>
      <c r="G857" t="s">
        <v>24</v>
      </c>
      <c r="H857" t="s">
        <v>25</v>
      </c>
      <c r="I857" t="s">
        <v>26</v>
      </c>
      <c r="J857" t="s">
        <v>27</v>
      </c>
      <c r="K857" t="s">
        <v>28</v>
      </c>
      <c r="L857" t="s">
        <v>91</v>
      </c>
      <c r="M857" t="s">
        <v>2639</v>
      </c>
      <c r="N857" t="s">
        <v>31</v>
      </c>
      <c r="O857">
        <v>2</v>
      </c>
      <c r="P857">
        <v>2073.5300000000002</v>
      </c>
      <c r="Q857" s="11">
        <v>0.25</v>
      </c>
      <c r="R857">
        <v>3110.3</v>
      </c>
      <c r="S857">
        <v>2101.0300000000002</v>
      </c>
      <c r="T857">
        <v>1009.27</v>
      </c>
      <c r="U857" t="s">
        <v>32</v>
      </c>
      <c r="V857" t="s">
        <v>33</v>
      </c>
      <c r="X857" s="8" t="str">
        <f>IF(C857&gt;=B857,"Valid", "Invalid-Date")</f>
        <v>Invalid-Date</v>
      </c>
      <c r="Y857" s="8" t="str">
        <f t="shared" si="118"/>
        <v>Valid</v>
      </c>
      <c r="Z857" s="8" t="str">
        <f t="shared" si="119"/>
        <v>Pass</v>
      </c>
      <c r="AA857" s="8" t="str">
        <f t="shared" si="120"/>
        <v>Pass</v>
      </c>
      <c r="AB857" s="8" t="str">
        <f>TEXT(B857,"mmmm")</f>
        <v>July</v>
      </c>
      <c r="AC857" s="8" t="str">
        <f>TEXT(B857,"yyyy")</f>
        <v>2024</v>
      </c>
      <c r="AE857">
        <f t="shared" si="121"/>
        <v>4147.0600000000004</v>
      </c>
      <c r="AF857" s="11">
        <f t="shared" si="122"/>
        <v>3110.2950000000001</v>
      </c>
      <c r="AG857">
        <f t="shared" si="123"/>
        <v>2046.0300000000002</v>
      </c>
      <c r="AH857" s="11">
        <f t="shared" si="124"/>
        <v>0.49336879620743368</v>
      </c>
      <c r="AI857" s="44">
        <f t="shared" si="125"/>
        <v>0.49336879620743368</v>
      </c>
    </row>
    <row r="858" spans="1:35">
      <c r="A858" t="s">
        <v>2640</v>
      </c>
      <c r="B858" s="5">
        <v>45455</v>
      </c>
      <c r="C858" s="5">
        <v>45462</v>
      </c>
      <c r="D858" s="13">
        <f t="shared" si="117"/>
        <v>7</v>
      </c>
      <c r="E858" t="s">
        <v>1299</v>
      </c>
      <c r="F858" t="s">
        <v>141</v>
      </c>
      <c r="G858" t="s">
        <v>95</v>
      </c>
      <c r="H858" t="s">
        <v>54</v>
      </c>
      <c r="I858" t="s">
        <v>247</v>
      </c>
      <c r="J858" t="s">
        <v>248</v>
      </c>
      <c r="K858" t="s">
        <v>28</v>
      </c>
      <c r="L858" t="s">
        <v>124</v>
      </c>
      <c r="M858" t="s">
        <v>2641</v>
      </c>
      <c r="N858" t="s">
        <v>59</v>
      </c>
      <c r="O858">
        <v>4</v>
      </c>
      <c r="P858">
        <v>395.1</v>
      </c>
      <c r="Q858" s="11">
        <v>-0.16</v>
      </c>
      <c r="R858">
        <v>1185.3</v>
      </c>
      <c r="S858">
        <v>966.55</v>
      </c>
      <c r="T858">
        <v>218.75</v>
      </c>
      <c r="U858" t="s">
        <v>155</v>
      </c>
      <c r="V858" t="s">
        <v>68</v>
      </c>
      <c r="X858" s="8" t="str">
        <f>IF(C858&gt;=B858,"Valid", "Invalid-Date")</f>
        <v>Valid</v>
      </c>
      <c r="Y858" s="8" t="str">
        <f t="shared" si="118"/>
        <v>Invalid-Discount</v>
      </c>
      <c r="Z858" s="8" t="str">
        <f t="shared" si="119"/>
        <v>Pass</v>
      </c>
      <c r="AA858" s="8" t="str">
        <f t="shared" si="120"/>
        <v>Pass</v>
      </c>
      <c r="AB858" s="8" t="str">
        <f>TEXT(B858,"mmmm")</f>
        <v>June</v>
      </c>
      <c r="AC858" s="8" t="str">
        <f>TEXT(B858,"yyyy")</f>
        <v>2024</v>
      </c>
      <c r="AE858">
        <f t="shared" si="121"/>
        <v>1580.4</v>
      </c>
      <c r="AF858" s="11">
        <f t="shared" si="122"/>
        <v>1833.2639999999999</v>
      </c>
      <c r="AG858">
        <f t="shared" si="123"/>
        <v>613.85000000000014</v>
      </c>
      <c r="AH858" s="11">
        <f t="shared" si="124"/>
        <v>0.38841432548721849</v>
      </c>
      <c r="AI858" s="44">
        <f t="shared" si="125"/>
        <v>0.38841432548721849</v>
      </c>
    </row>
    <row r="859" spans="1:35">
      <c r="A859" t="s">
        <v>2642</v>
      </c>
      <c r="B859" s="5">
        <v>45447</v>
      </c>
      <c r="C859" s="5">
        <v>45447</v>
      </c>
      <c r="D859" s="13">
        <f t="shared" si="117"/>
        <v>0</v>
      </c>
      <c r="E859" t="s">
        <v>2148</v>
      </c>
      <c r="F859" t="s">
        <v>132</v>
      </c>
      <c r="G859" t="s">
        <v>95</v>
      </c>
      <c r="H859" t="s">
        <v>54</v>
      </c>
      <c r="I859" t="s">
        <v>185</v>
      </c>
      <c r="J859" t="s">
        <v>186</v>
      </c>
      <c r="K859" t="s">
        <v>28</v>
      </c>
      <c r="L859" t="s">
        <v>124</v>
      </c>
      <c r="M859" t="s">
        <v>2643</v>
      </c>
      <c r="N859" t="s">
        <v>50</v>
      </c>
      <c r="O859">
        <v>6</v>
      </c>
      <c r="P859">
        <v>2708.97</v>
      </c>
      <c r="Q859" s="11">
        <v>0.25</v>
      </c>
      <c r="R859">
        <v>12190.36</v>
      </c>
      <c r="S859">
        <v>10176.99</v>
      </c>
      <c r="T859">
        <v>2013.37</v>
      </c>
      <c r="U859" t="s">
        <v>32</v>
      </c>
      <c r="V859" t="s">
        <v>33</v>
      </c>
      <c r="X859" s="8" t="str">
        <f>IF(C859&gt;=B859,"Valid", "Invalid-Date")</f>
        <v>Valid</v>
      </c>
      <c r="Y859" s="8" t="str">
        <f t="shared" si="118"/>
        <v>Valid</v>
      </c>
      <c r="Z859" s="8" t="str">
        <f t="shared" si="119"/>
        <v>Pass</v>
      </c>
      <c r="AA859" s="8" t="str">
        <f t="shared" si="120"/>
        <v>Pass</v>
      </c>
      <c r="AB859" s="8" t="str">
        <f>TEXT(B859,"mmmm")</f>
        <v>June</v>
      </c>
      <c r="AC859" s="8" t="str">
        <f>TEXT(B859,"yyyy")</f>
        <v>2024</v>
      </c>
      <c r="AE859">
        <f t="shared" si="121"/>
        <v>16253.82</v>
      </c>
      <c r="AF859" s="11">
        <f t="shared" si="122"/>
        <v>12190.365</v>
      </c>
      <c r="AG859">
        <f t="shared" si="123"/>
        <v>6076.83</v>
      </c>
      <c r="AH859" s="11">
        <f t="shared" si="124"/>
        <v>0.37387088081447933</v>
      </c>
      <c r="AI859" s="44">
        <f t="shared" si="125"/>
        <v>0.37387088081447933</v>
      </c>
    </row>
    <row r="860" spans="1:35">
      <c r="A860" t="s">
        <v>2644</v>
      </c>
      <c r="B860" s="5">
        <v>45327</v>
      </c>
      <c r="C860" s="5">
        <v>45540</v>
      </c>
      <c r="D860" s="13">
        <f t="shared" si="117"/>
        <v>213</v>
      </c>
      <c r="E860" t="s">
        <v>2645</v>
      </c>
      <c r="F860" t="s">
        <v>53</v>
      </c>
      <c r="G860" t="s">
        <v>24</v>
      </c>
      <c r="H860" t="s">
        <v>38</v>
      </c>
      <c r="I860" t="s">
        <v>39</v>
      </c>
      <c r="J860" t="s">
        <v>40</v>
      </c>
      <c r="K860" t="s">
        <v>74</v>
      </c>
      <c r="L860" t="s">
        <v>75</v>
      </c>
      <c r="M860" t="s">
        <v>2646</v>
      </c>
      <c r="N860" t="s">
        <v>31</v>
      </c>
      <c r="O860">
        <v>4</v>
      </c>
      <c r="P860">
        <v>2904.86</v>
      </c>
      <c r="Q860" s="11">
        <v>0</v>
      </c>
      <c r="R860">
        <v>11619.44</v>
      </c>
      <c r="S860">
        <v>7184.32</v>
      </c>
      <c r="T860">
        <v>4494.6400000000003</v>
      </c>
      <c r="U860" t="s">
        <v>32</v>
      </c>
      <c r="V860" t="s">
        <v>33</v>
      </c>
      <c r="X860" s="8" t="str">
        <f>IF(C860&gt;=B860,"Valid", "Invalid-Date")</f>
        <v>Valid</v>
      </c>
      <c r="Y860" s="8" t="str">
        <f t="shared" si="118"/>
        <v>Valid</v>
      </c>
      <c r="Z860" s="8" t="str">
        <f t="shared" si="119"/>
        <v>Pass</v>
      </c>
      <c r="AA860" s="8" t="str">
        <f t="shared" si="120"/>
        <v>Pass</v>
      </c>
      <c r="AB860" s="8" t="str">
        <f>TEXT(B860,"mmmm")</f>
        <v>February</v>
      </c>
      <c r="AC860" s="8" t="str">
        <f>TEXT(B860,"yyyy")</f>
        <v>2024</v>
      </c>
      <c r="AE860">
        <f t="shared" si="121"/>
        <v>11619.44</v>
      </c>
      <c r="AF860" s="11">
        <f t="shared" si="122"/>
        <v>11619.44</v>
      </c>
      <c r="AG860">
        <f t="shared" si="123"/>
        <v>4435.1200000000008</v>
      </c>
      <c r="AH860" s="11">
        <f t="shared" si="124"/>
        <v>0.3816982574031107</v>
      </c>
      <c r="AI860" s="44">
        <f t="shared" si="125"/>
        <v>0.3816982574031107</v>
      </c>
    </row>
    <row r="861" spans="1:35">
      <c r="A861" t="s">
        <v>2647</v>
      </c>
      <c r="B861" s="5">
        <v>45592</v>
      </c>
      <c r="C861" s="5">
        <v>45302</v>
      </c>
      <c r="D861" s="13">
        <f t="shared" si="117"/>
        <v>-290</v>
      </c>
      <c r="E861" t="s">
        <v>2648</v>
      </c>
      <c r="F861" t="s">
        <v>89</v>
      </c>
      <c r="G861" t="s">
        <v>90</v>
      </c>
      <c r="H861" t="s">
        <v>54</v>
      </c>
      <c r="I861" t="s">
        <v>247</v>
      </c>
      <c r="J861" t="s">
        <v>248</v>
      </c>
      <c r="K861" t="s">
        <v>74</v>
      </c>
      <c r="L861" t="s">
        <v>171</v>
      </c>
      <c r="M861" t="s">
        <v>2649</v>
      </c>
      <c r="N861" t="s">
        <v>59</v>
      </c>
      <c r="O861">
        <v>6</v>
      </c>
      <c r="P861">
        <v>4399.2</v>
      </c>
      <c r="Q861" s="11">
        <v>0.05</v>
      </c>
      <c r="R861">
        <v>25075.439999999999</v>
      </c>
      <c r="S861">
        <v>16282.74</v>
      </c>
      <c r="T861">
        <v>8792.7000000000007</v>
      </c>
      <c r="U861" t="s">
        <v>32</v>
      </c>
      <c r="V861" t="s">
        <v>33</v>
      </c>
      <c r="X861" s="8" t="str">
        <f>IF(C861&gt;=B861,"Valid", "Invalid-Date")</f>
        <v>Invalid-Date</v>
      </c>
      <c r="Y861" s="8" t="str">
        <f t="shared" si="118"/>
        <v>Valid</v>
      </c>
      <c r="Z861" s="8" t="str">
        <f t="shared" si="119"/>
        <v>Pass</v>
      </c>
      <c r="AA861" s="8" t="str">
        <f t="shared" si="120"/>
        <v>Pass</v>
      </c>
      <c r="AB861" s="8" t="str">
        <f>TEXT(B861,"mmmm")</f>
        <v>October</v>
      </c>
      <c r="AC861" s="8" t="str">
        <f>TEXT(B861,"yyyy")</f>
        <v>2024</v>
      </c>
      <c r="AE861">
        <f t="shared" si="121"/>
        <v>26395.199999999997</v>
      </c>
      <c r="AF861" s="11">
        <f t="shared" si="122"/>
        <v>25075.439999999995</v>
      </c>
      <c r="AG861">
        <f t="shared" si="123"/>
        <v>10112.459999999997</v>
      </c>
      <c r="AH861" s="11">
        <f t="shared" si="124"/>
        <v>0.38311738497908704</v>
      </c>
      <c r="AI861" s="44">
        <f t="shared" si="125"/>
        <v>0.38311738497908704</v>
      </c>
    </row>
    <row r="862" spans="1:35">
      <c r="A862" t="s">
        <v>2650</v>
      </c>
      <c r="B862" s="5">
        <v>45324</v>
      </c>
      <c r="C862" s="5">
        <v>45384</v>
      </c>
      <c r="D862" s="13">
        <f t="shared" si="117"/>
        <v>60</v>
      </c>
      <c r="E862" t="s">
        <v>2651</v>
      </c>
      <c r="F862" t="s">
        <v>71</v>
      </c>
      <c r="G862" t="s">
        <v>95</v>
      </c>
      <c r="H862" t="s">
        <v>25</v>
      </c>
      <c r="I862" t="s">
        <v>136</v>
      </c>
      <c r="J862" t="s">
        <v>137</v>
      </c>
      <c r="K862" t="s">
        <v>28</v>
      </c>
      <c r="L862" t="s">
        <v>124</v>
      </c>
      <c r="M862" t="s">
        <v>2652</v>
      </c>
      <c r="N862" t="s">
        <v>31</v>
      </c>
      <c r="O862">
        <v>1</v>
      </c>
      <c r="P862">
        <v>4397.32</v>
      </c>
      <c r="Q862" s="11">
        <v>0.05</v>
      </c>
      <c r="R862">
        <v>4177.45</v>
      </c>
      <c r="S862">
        <v>2299.5</v>
      </c>
      <c r="T862">
        <v>1877.95</v>
      </c>
      <c r="U862" t="s">
        <v>32</v>
      </c>
      <c r="V862" t="s">
        <v>33</v>
      </c>
      <c r="X862" s="8" t="str">
        <f>IF(C862&gt;=B862,"Valid", "Invalid-Date")</f>
        <v>Valid</v>
      </c>
      <c r="Y862" s="8" t="str">
        <f t="shared" si="118"/>
        <v>Valid</v>
      </c>
      <c r="Z862" s="8" t="str">
        <f t="shared" si="119"/>
        <v>Pass</v>
      </c>
      <c r="AA862" s="8" t="str">
        <f t="shared" si="120"/>
        <v>Pass</v>
      </c>
      <c r="AB862" s="8" t="str">
        <f>TEXT(B862,"mmmm")</f>
        <v>February</v>
      </c>
      <c r="AC862" s="8" t="str">
        <f>TEXT(B862,"yyyy")</f>
        <v>2024</v>
      </c>
      <c r="AE862">
        <f t="shared" si="121"/>
        <v>4397.32</v>
      </c>
      <c r="AF862" s="11">
        <f t="shared" si="122"/>
        <v>4177.4539999999997</v>
      </c>
      <c r="AG862">
        <f t="shared" si="123"/>
        <v>2097.8199999999997</v>
      </c>
      <c r="AH862" s="11">
        <f t="shared" si="124"/>
        <v>0.47706785041798183</v>
      </c>
      <c r="AI862" s="44">
        <f t="shared" si="125"/>
        <v>0.47706785041798183</v>
      </c>
    </row>
    <row r="863" spans="1:35">
      <c r="A863" t="s">
        <v>2653</v>
      </c>
      <c r="B863" s="5">
        <v>45724</v>
      </c>
      <c r="C863" s="5">
        <v>45903</v>
      </c>
      <c r="D863" s="13">
        <f t="shared" si="117"/>
        <v>179</v>
      </c>
      <c r="E863" t="s">
        <v>2654</v>
      </c>
      <c r="F863" t="s">
        <v>114</v>
      </c>
      <c r="G863" t="s">
        <v>95</v>
      </c>
      <c r="H863" t="s">
        <v>25</v>
      </c>
      <c r="I863" t="s">
        <v>350</v>
      </c>
      <c r="J863" t="s">
        <v>351</v>
      </c>
      <c r="K863" t="s">
        <v>41</v>
      </c>
      <c r="L863" t="s">
        <v>57</v>
      </c>
      <c r="M863" t="s">
        <v>2655</v>
      </c>
      <c r="N863" t="s">
        <v>44</v>
      </c>
      <c r="O863">
        <v>4</v>
      </c>
      <c r="P863">
        <v>3405.68</v>
      </c>
      <c r="Q863" s="11">
        <v>0.2</v>
      </c>
      <c r="R863">
        <v>10898.18</v>
      </c>
      <c r="S863">
        <v>6231.41</v>
      </c>
      <c r="T863">
        <v>4666.7700000000004</v>
      </c>
      <c r="U863" t="s">
        <v>32</v>
      </c>
      <c r="V863" t="s">
        <v>33</v>
      </c>
      <c r="X863" s="8" t="str">
        <f>IF(C863&gt;=B863,"Valid", "Invalid-Date")</f>
        <v>Valid</v>
      </c>
      <c r="Y863" s="8" t="str">
        <f t="shared" si="118"/>
        <v>Valid</v>
      </c>
      <c r="Z863" s="8" t="str">
        <f t="shared" si="119"/>
        <v>Pass</v>
      </c>
      <c r="AA863" s="8" t="str">
        <f t="shared" si="120"/>
        <v>Pass</v>
      </c>
      <c r="AB863" s="8" t="str">
        <f>TEXT(B863,"mmmm")</f>
        <v>March</v>
      </c>
      <c r="AC863" s="8" t="str">
        <f>TEXT(B863,"yyyy")</f>
        <v>2025</v>
      </c>
      <c r="AE863">
        <f t="shared" si="121"/>
        <v>13622.72</v>
      </c>
      <c r="AF863" s="11">
        <f t="shared" si="122"/>
        <v>10898.175999999999</v>
      </c>
      <c r="AG863">
        <f t="shared" si="123"/>
        <v>7391.3099999999995</v>
      </c>
      <c r="AH863" s="11">
        <f t="shared" si="124"/>
        <v>0.54257226163350636</v>
      </c>
      <c r="AI863" s="44">
        <f t="shared" si="125"/>
        <v>0.54257226163350636</v>
      </c>
    </row>
    <row r="864" spans="1:35">
      <c r="A864" t="s">
        <v>2656</v>
      </c>
      <c r="B864" s="5">
        <v>45742</v>
      </c>
      <c r="C864" s="5">
        <v>45747</v>
      </c>
      <c r="D864" s="13">
        <f t="shared" si="117"/>
        <v>5</v>
      </c>
      <c r="E864" t="s">
        <v>2657</v>
      </c>
      <c r="F864" t="s">
        <v>114</v>
      </c>
      <c r="G864" t="s">
        <v>37</v>
      </c>
      <c r="H864" t="s">
        <v>38</v>
      </c>
      <c r="I864" t="s">
        <v>228</v>
      </c>
      <c r="J864" t="s">
        <v>229</v>
      </c>
      <c r="K864" t="s">
        <v>28</v>
      </c>
      <c r="L864" t="s">
        <v>153</v>
      </c>
      <c r="M864" t="s">
        <v>2658</v>
      </c>
      <c r="N864" t="s">
        <v>50</v>
      </c>
      <c r="O864">
        <v>5</v>
      </c>
      <c r="P864">
        <v>1395.14</v>
      </c>
      <c r="Q864" s="11">
        <v>0</v>
      </c>
      <c r="R864">
        <v>6975.7</v>
      </c>
      <c r="S864">
        <v>4797.88</v>
      </c>
      <c r="T864">
        <v>2177.8200000000002</v>
      </c>
      <c r="U864" t="s">
        <v>32</v>
      </c>
      <c r="V864" t="s">
        <v>68</v>
      </c>
      <c r="X864" s="8" t="str">
        <f>IF(C864&gt;=B864,"Valid", "Invalid-Date")</f>
        <v>Valid</v>
      </c>
      <c r="Y864" s="8" t="str">
        <f t="shared" si="118"/>
        <v>Valid</v>
      </c>
      <c r="Z864" s="8" t="str">
        <f t="shared" si="119"/>
        <v>Pass</v>
      </c>
      <c r="AA864" s="8" t="str">
        <f t="shared" si="120"/>
        <v>Pass</v>
      </c>
      <c r="AB864" s="8" t="str">
        <f>TEXT(B864,"mmmm")</f>
        <v>March</v>
      </c>
      <c r="AC864" s="8" t="str">
        <f>TEXT(B864,"yyyy")</f>
        <v>2025</v>
      </c>
      <c r="AE864">
        <f t="shared" si="121"/>
        <v>6975.7000000000007</v>
      </c>
      <c r="AF864" s="11">
        <f t="shared" si="122"/>
        <v>6975.7000000000007</v>
      </c>
      <c r="AG864">
        <f t="shared" si="123"/>
        <v>2177.8200000000006</v>
      </c>
      <c r="AH864" s="11">
        <f t="shared" si="124"/>
        <v>0.3122009260719355</v>
      </c>
      <c r="AI864" s="44">
        <f t="shared" si="125"/>
        <v>0.3122009260719355</v>
      </c>
    </row>
    <row r="865" spans="1:35">
      <c r="A865" t="s">
        <v>2659</v>
      </c>
      <c r="B865" s="5">
        <v>45817</v>
      </c>
      <c r="C865" s="5">
        <v>45878</v>
      </c>
      <c r="D865" s="13">
        <f t="shared" si="117"/>
        <v>61</v>
      </c>
      <c r="E865" t="s">
        <v>2660</v>
      </c>
      <c r="F865" t="s">
        <v>128</v>
      </c>
      <c r="G865" t="s">
        <v>95</v>
      </c>
      <c r="H865" t="s">
        <v>63</v>
      </c>
      <c r="I865" t="s">
        <v>72</v>
      </c>
      <c r="J865" t="s">
        <v>73</v>
      </c>
      <c r="K865" t="s">
        <v>41</v>
      </c>
      <c r="L865" t="s">
        <v>57</v>
      </c>
      <c r="M865" t="s">
        <v>2661</v>
      </c>
      <c r="N865" t="s">
        <v>44</v>
      </c>
      <c r="O865">
        <v>3</v>
      </c>
      <c r="P865">
        <v>2937.23</v>
      </c>
      <c r="Q865" s="11">
        <v>0</v>
      </c>
      <c r="R865">
        <v>8811.69</v>
      </c>
      <c r="S865">
        <v>6765.91</v>
      </c>
      <c r="T865">
        <v>2045.78</v>
      </c>
      <c r="U865" t="s">
        <v>32</v>
      </c>
      <c r="V865" t="s">
        <v>33</v>
      </c>
      <c r="X865" s="8" t="str">
        <f>IF(C865&gt;=B865,"Valid", "Invalid-Date")</f>
        <v>Valid</v>
      </c>
      <c r="Y865" s="8" t="str">
        <f t="shared" si="118"/>
        <v>Valid</v>
      </c>
      <c r="Z865" s="8" t="str">
        <f t="shared" si="119"/>
        <v>Pass</v>
      </c>
      <c r="AA865" s="8" t="str">
        <f t="shared" si="120"/>
        <v>Pass</v>
      </c>
      <c r="AB865" s="8" t="str">
        <f>TEXT(B865,"mmmm")</f>
        <v>June</v>
      </c>
      <c r="AC865" s="8" t="str">
        <f>TEXT(B865,"yyyy")</f>
        <v>2025</v>
      </c>
      <c r="AE865">
        <f t="shared" si="121"/>
        <v>8811.69</v>
      </c>
      <c r="AF865" s="11">
        <f t="shared" si="122"/>
        <v>8811.69</v>
      </c>
      <c r="AG865">
        <f t="shared" si="123"/>
        <v>2045.7800000000007</v>
      </c>
      <c r="AH865" s="11">
        <f t="shared" si="124"/>
        <v>0.23216658779416893</v>
      </c>
      <c r="AI865" s="44">
        <f t="shared" si="125"/>
        <v>0.23216658779416893</v>
      </c>
    </row>
    <row r="866" spans="1:35">
      <c r="A866" t="s">
        <v>2662</v>
      </c>
      <c r="B866" s="5">
        <v>45902</v>
      </c>
      <c r="C866" s="5">
        <v>45905</v>
      </c>
      <c r="D866" s="13">
        <f t="shared" si="117"/>
        <v>3</v>
      </c>
      <c r="E866" t="s">
        <v>2663</v>
      </c>
      <c r="F866" t="s">
        <v>71</v>
      </c>
      <c r="G866" t="s">
        <v>24</v>
      </c>
      <c r="H866" t="s">
        <v>54</v>
      </c>
      <c r="I866" t="s">
        <v>247</v>
      </c>
      <c r="J866" t="s">
        <v>248</v>
      </c>
      <c r="K866" t="s">
        <v>74</v>
      </c>
      <c r="L866" t="s">
        <v>171</v>
      </c>
      <c r="M866" t="s">
        <v>2664</v>
      </c>
      <c r="N866" t="s">
        <v>50</v>
      </c>
      <c r="O866">
        <v>5</v>
      </c>
      <c r="P866">
        <v>3406.87</v>
      </c>
      <c r="Q866" s="11">
        <v>0</v>
      </c>
      <c r="R866">
        <v>17034.349999999999</v>
      </c>
      <c r="S866">
        <v>14631.36</v>
      </c>
      <c r="T866">
        <v>2402.9899999999998</v>
      </c>
      <c r="U866" t="s">
        <v>32</v>
      </c>
      <c r="V866" t="s">
        <v>33</v>
      </c>
      <c r="X866" s="8" t="str">
        <f>IF(C866&gt;=B866,"Valid", "Invalid-Date")</f>
        <v>Valid</v>
      </c>
      <c r="Y866" s="8" t="str">
        <f t="shared" si="118"/>
        <v>Valid</v>
      </c>
      <c r="Z866" s="8" t="str">
        <f t="shared" si="119"/>
        <v>Pass</v>
      </c>
      <c r="AA866" s="8" t="str">
        <f t="shared" si="120"/>
        <v>Pass</v>
      </c>
      <c r="AB866" s="8" t="str">
        <f>TEXT(B866,"mmmm")</f>
        <v>September</v>
      </c>
      <c r="AC866" s="8" t="str">
        <f>TEXT(B866,"yyyy")</f>
        <v>2025</v>
      </c>
      <c r="AE866">
        <f t="shared" si="121"/>
        <v>17034.349999999999</v>
      </c>
      <c r="AF866" s="11">
        <f t="shared" si="122"/>
        <v>17034.349999999999</v>
      </c>
      <c r="AG866">
        <f t="shared" si="123"/>
        <v>2402.989999999998</v>
      </c>
      <c r="AH866" s="11">
        <f t="shared" si="124"/>
        <v>0.14106731398615141</v>
      </c>
      <c r="AI866" s="44">
        <f t="shared" si="125"/>
        <v>0.14106731398615141</v>
      </c>
    </row>
    <row r="867" spans="1:35">
      <c r="A867" t="s">
        <v>2665</v>
      </c>
      <c r="B867" s="5">
        <v>45694</v>
      </c>
      <c r="C867" s="5">
        <v>45702</v>
      </c>
      <c r="D867" s="13">
        <f t="shared" si="117"/>
        <v>8</v>
      </c>
      <c r="E867" t="s">
        <v>2666</v>
      </c>
      <c r="F867" t="s">
        <v>264</v>
      </c>
      <c r="G867" t="s">
        <v>24</v>
      </c>
      <c r="H867" t="s">
        <v>63</v>
      </c>
      <c r="I867" t="s">
        <v>64</v>
      </c>
      <c r="J867" t="s">
        <v>65</v>
      </c>
      <c r="K867" t="s">
        <v>28</v>
      </c>
      <c r="L867" t="s">
        <v>91</v>
      </c>
      <c r="M867" t="s">
        <v>2667</v>
      </c>
      <c r="N867" t="s">
        <v>31</v>
      </c>
      <c r="O867">
        <v>2</v>
      </c>
      <c r="P867">
        <v>3992.04</v>
      </c>
      <c r="Q867" s="11">
        <v>0</v>
      </c>
      <c r="R867">
        <v>7984.08</v>
      </c>
      <c r="S867">
        <v>5658.05</v>
      </c>
      <c r="T867">
        <v>2326.0300000000002</v>
      </c>
      <c r="U867" t="s">
        <v>32</v>
      </c>
      <c r="V867" t="s">
        <v>33</v>
      </c>
      <c r="X867" s="8" t="str">
        <f>IF(C867&gt;=B867,"Valid", "Invalid-Date")</f>
        <v>Valid</v>
      </c>
      <c r="Y867" s="8" t="str">
        <f t="shared" si="118"/>
        <v>Valid</v>
      </c>
      <c r="Z867" s="8" t="str">
        <f t="shared" si="119"/>
        <v>Pass</v>
      </c>
      <c r="AA867" s="8" t="str">
        <f t="shared" si="120"/>
        <v>Pass</v>
      </c>
      <c r="AB867" s="8" t="str">
        <f>TEXT(B867,"mmmm")</f>
        <v>February</v>
      </c>
      <c r="AC867" s="8" t="str">
        <f>TEXT(B867,"yyyy")</f>
        <v>2025</v>
      </c>
      <c r="AE867">
        <f t="shared" si="121"/>
        <v>7984.08</v>
      </c>
      <c r="AF867" s="11">
        <f t="shared" si="122"/>
        <v>7984.08</v>
      </c>
      <c r="AG867">
        <f t="shared" si="123"/>
        <v>2326.0299999999997</v>
      </c>
      <c r="AH867" s="11">
        <f t="shared" si="124"/>
        <v>0.29133350367230787</v>
      </c>
      <c r="AI867" s="44">
        <f t="shared" si="125"/>
        <v>0.29133350367230787</v>
      </c>
    </row>
    <row r="868" spans="1:35">
      <c r="A868" t="s">
        <v>2668</v>
      </c>
      <c r="B868" s="5">
        <v>45714</v>
      </c>
      <c r="C868" s="5">
        <v>45811</v>
      </c>
      <c r="D868" s="13">
        <f t="shared" si="117"/>
        <v>97</v>
      </c>
      <c r="E868" t="s">
        <v>2669</v>
      </c>
      <c r="F868" t="s">
        <v>114</v>
      </c>
      <c r="G868" t="s">
        <v>24</v>
      </c>
      <c r="H868" t="s">
        <v>38</v>
      </c>
      <c r="I868" t="s">
        <v>145</v>
      </c>
      <c r="J868" t="s">
        <v>146</v>
      </c>
      <c r="K868" t="s">
        <v>41</v>
      </c>
      <c r="L868" t="s">
        <v>158</v>
      </c>
      <c r="M868" t="s">
        <v>2670</v>
      </c>
      <c r="N868" t="s">
        <v>50</v>
      </c>
      <c r="O868">
        <v>9</v>
      </c>
      <c r="P868">
        <v>3043.37</v>
      </c>
      <c r="Q868" s="11">
        <v>0.2</v>
      </c>
      <c r="R868">
        <v>21912.26</v>
      </c>
      <c r="S868">
        <v>16367.78</v>
      </c>
      <c r="T868">
        <v>5544.48</v>
      </c>
      <c r="U868" t="s">
        <v>111</v>
      </c>
      <c r="V868" t="s">
        <v>68</v>
      </c>
      <c r="X868" s="8" t="str">
        <f>IF(C868&gt;=B868,"Valid", "Invalid-Date")</f>
        <v>Valid</v>
      </c>
      <c r="Y868" s="8" t="str">
        <f t="shared" si="118"/>
        <v>Valid</v>
      </c>
      <c r="Z868" s="8" t="str">
        <f t="shared" si="119"/>
        <v>Pass</v>
      </c>
      <c r="AA868" s="8" t="str">
        <f t="shared" si="120"/>
        <v>Pass</v>
      </c>
      <c r="AB868" s="8" t="str">
        <f>TEXT(B868,"mmmm")</f>
        <v>February</v>
      </c>
      <c r="AC868" s="8" t="str">
        <f>TEXT(B868,"yyyy")</f>
        <v>2025</v>
      </c>
      <c r="AE868">
        <f t="shared" si="121"/>
        <v>27390.329999999998</v>
      </c>
      <c r="AF868" s="11">
        <f t="shared" si="122"/>
        <v>21912.263999999999</v>
      </c>
      <c r="AG868">
        <f t="shared" si="123"/>
        <v>11022.549999999997</v>
      </c>
      <c r="AH868" s="11">
        <f t="shared" si="124"/>
        <v>0.40242487038308766</v>
      </c>
      <c r="AI868" s="44">
        <f t="shared" si="125"/>
        <v>0.40242487038308766</v>
      </c>
    </row>
    <row r="869" spans="1:35">
      <c r="A869" t="s">
        <v>2671</v>
      </c>
      <c r="B869" s="5">
        <v>45617</v>
      </c>
      <c r="C869" s="5">
        <v>45618</v>
      </c>
      <c r="D869" s="13">
        <f t="shared" si="117"/>
        <v>1</v>
      </c>
      <c r="E869" t="s">
        <v>2672</v>
      </c>
      <c r="F869" t="s">
        <v>118</v>
      </c>
      <c r="G869" t="s">
        <v>95</v>
      </c>
      <c r="H869" t="s">
        <v>54</v>
      </c>
      <c r="I869" t="s">
        <v>84</v>
      </c>
      <c r="J869" t="s">
        <v>85</v>
      </c>
      <c r="K869" t="s">
        <v>74</v>
      </c>
      <c r="L869" t="s">
        <v>75</v>
      </c>
      <c r="M869" t="s">
        <v>2673</v>
      </c>
      <c r="N869" t="s">
        <v>44</v>
      </c>
      <c r="O869">
        <v>6</v>
      </c>
      <c r="P869">
        <v>1043.49</v>
      </c>
      <c r="Q869" s="11">
        <v>0.25</v>
      </c>
      <c r="R869">
        <v>4695.7</v>
      </c>
      <c r="S869">
        <v>3871.69</v>
      </c>
      <c r="T869">
        <v>824.01</v>
      </c>
      <c r="U869" t="s">
        <v>155</v>
      </c>
      <c r="V869" t="s">
        <v>68</v>
      </c>
      <c r="X869" s="8" t="str">
        <f>IF(C869&gt;=B869,"Valid", "Invalid-Date")</f>
        <v>Valid</v>
      </c>
      <c r="Y869" s="8" t="str">
        <f t="shared" si="118"/>
        <v>Valid</v>
      </c>
      <c r="Z869" s="8" t="str">
        <f t="shared" si="119"/>
        <v>Pass</v>
      </c>
      <c r="AA869" s="8" t="str">
        <f t="shared" si="120"/>
        <v>Pass</v>
      </c>
      <c r="AB869" s="8" t="str">
        <f>TEXT(B869,"mmmm")</f>
        <v>November</v>
      </c>
      <c r="AC869" s="8" t="str">
        <f>TEXT(B869,"yyyy")</f>
        <v>2024</v>
      </c>
      <c r="AE869">
        <f t="shared" si="121"/>
        <v>6260.9400000000005</v>
      </c>
      <c r="AF869" s="11">
        <f t="shared" si="122"/>
        <v>4695.7049999999999</v>
      </c>
      <c r="AG869">
        <f t="shared" si="123"/>
        <v>2389.2500000000005</v>
      </c>
      <c r="AH869" s="11">
        <f t="shared" si="124"/>
        <v>0.38161202630914853</v>
      </c>
      <c r="AI869" s="44">
        <f t="shared" si="125"/>
        <v>0.38161202630914853</v>
      </c>
    </row>
    <row r="870" spans="1:35">
      <c r="A870" t="s">
        <v>2674</v>
      </c>
      <c r="B870" s="5">
        <v>45758</v>
      </c>
      <c r="C870" s="5">
        <v>45762</v>
      </c>
      <c r="D870" s="13">
        <f t="shared" si="117"/>
        <v>4</v>
      </c>
      <c r="E870" t="s">
        <v>2675</v>
      </c>
      <c r="F870" t="s">
        <v>71</v>
      </c>
      <c r="G870" t="s">
        <v>95</v>
      </c>
      <c r="H870" t="s">
        <v>54</v>
      </c>
      <c r="I870" t="s">
        <v>175</v>
      </c>
      <c r="J870" t="s">
        <v>176</v>
      </c>
      <c r="K870" t="s">
        <v>28</v>
      </c>
      <c r="L870" t="s">
        <v>124</v>
      </c>
      <c r="M870" t="s">
        <v>2676</v>
      </c>
      <c r="N870" t="s">
        <v>44</v>
      </c>
      <c r="O870">
        <v>9</v>
      </c>
      <c r="P870">
        <v>224.94</v>
      </c>
      <c r="Q870" s="11">
        <v>0.05</v>
      </c>
      <c r="R870">
        <v>1923.24</v>
      </c>
      <c r="S870">
        <v>1093.6600000000001</v>
      </c>
      <c r="T870">
        <v>829.58</v>
      </c>
      <c r="U870" t="s">
        <v>32</v>
      </c>
      <c r="V870" t="s">
        <v>33</v>
      </c>
      <c r="X870" s="8" t="str">
        <f>IF(C870&gt;=B870,"Valid", "Invalid-Date")</f>
        <v>Valid</v>
      </c>
      <c r="Y870" s="8" t="str">
        <f t="shared" si="118"/>
        <v>Valid</v>
      </c>
      <c r="Z870" s="8" t="str">
        <f t="shared" si="119"/>
        <v>Pass</v>
      </c>
      <c r="AA870" s="8" t="str">
        <f t="shared" si="120"/>
        <v>Pass</v>
      </c>
      <c r="AB870" s="8" t="str">
        <f>TEXT(B870,"mmmm")</f>
        <v>April</v>
      </c>
      <c r="AC870" s="8" t="str">
        <f>TEXT(B870,"yyyy")</f>
        <v>2025</v>
      </c>
      <c r="AE870">
        <f t="shared" si="121"/>
        <v>2024.46</v>
      </c>
      <c r="AF870" s="11">
        <f t="shared" si="122"/>
        <v>1923.2369999999999</v>
      </c>
      <c r="AG870">
        <f t="shared" si="123"/>
        <v>930.8</v>
      </c>
      <c r="AH870" s="11">
        <f t="shared" si="124"/>
        <v>0.45977692816849924</v>
      </c>
      <c r="AI870" s="44">
        <f t="shared" si="125"/>
        <v>0.45977692816849924</v>
      </c>
    </row>
    <row r="871" spans="1:35">
      <c r="A871" t="s">
        <v>2677</v>
      </c>
      <c r="B871" s="5">
        <v>45811</v>
      </c>
      <c r="C871" s="5">
        <v>45723</v>
      </c>
      <c r="D871" s="13">
        <f t="shared" si="117"/>
        <v>-88</v>
      </c>
      <c r="E871" t="s">
        <v>2678</v>
      </c>
      <c r="F871" t="s">
        <v>141</v>
      </c>
      <c r="G871" t="s">
        <v>95</v>
      </c>
      <c r="H871" t="s">
        <v>2785</v>
      </c>
      <c r="I871" t="s">
        <v>350</v>
      </c>
      <c r="J871" t="s">
        <v>351</v>
      </c>
      <c r="K871" t="s">
        <v>41</v>
      </c>
      <c r="L871" t="s">
        <v>66</v>
      </c>
      <c r="M871" t="s">
        <v>1146</v>
      </c>
      <c r="N871" t="s">
        <v>44</v>
      </c>
      <c r="O871">
        <v>6</v>
      </c>
      <c r="P871">
        <v>796.65</v>
      </c>
      <c r="Q871" s="11">
        <v>0.1</v>
      </c>
      <c r="R871">
        <v>4301.91</v>
      </c>
      <c r="S871">
        <v>2374.4</v>
      </c>
      <c r="T871">
        <v>1927.51</v>
      </c>
      <c r="U871" t="s">
        <v>32</v>
      </c>
      <c r="V871" t="s">
        <v>33</v>
      </c>
      <c r="X871" s="8" t="str">
        <f>IF(C871&gt;=B871,"Valid", "Invalid-Date")</f>
        <v>Invalid-Date</v>
      </c>
      <c r="Y871" s="8" t="str">
        <f t="shared" si="118"/>
        <v>Valid</v>
      </c>
      <c r="Z871" s="8" t="str">
        <f t="shared" si="119"/>
        <v>Pass</v>
      </c>
      <c r="AA871" s="8" t="str">
        <f t="shared" si="120"/>
        <v>Flagged</v>
      </c>
      <c r="AB871" s="8" t="str">
        <f>TEXT(B871,"mmmm")</f>
        <v>June</v>
      </c>
      <c r="AC871" s="8" t="str">
        <f>TEXT(B871,"yyyy")</f>
        <v>2025</v>
      </c>
      <c r="AE871">
        <f t="shared" si="121"/>
        <v>4779.8999999999996</v>
      </c>
      <c r="AF871" s="11">
        <f t="shared" si="122"/>
        <v>4301.91</v>
      </c>
      <c r="AG871">
        <f t="shared" si="123"/>
        <v>2405.4999999999995</v>
      </c>
      <c r="AH871" s="11">
        <f t="shared" si="124"/>
        <v>0.50325320613401947</v>
      </c>
      <c r="AI871" s="44">
        <f t="shared" si="125"/>
        <v>0.50325320613401947</v>
      </c>
    </row>
    <row r="872" spans="1:35">
      <c r="A872" t="s">
        <v>2679</v>
      </c>
      <c r="B872" s="5">
        <v>45814</v>
      </c>
      <c r="C872" s="5">
        <v>45844</v>
      </c>
      <c r="D872" s="13">
        <f t="shared" si="117"/>
        <v>30</v>
      </c>
      <c r="E872" t="s">
        <v>2680</v>
      </c>
      <c r="F872" t="s">
        <v>71</v>
      </c>
      <c r="G872" t="s">
        <v>90</v>
      </c>
      <c r="H872" t="s">
        <v>63</v>
      </c>
      <c r="I872" t="s">
        <v>190</v>
      </c>
      <c r="J872" t="s">
        <v>191</v>
      </c>
      <c r="K872" t="s">
        <v>41</v>
      </c>
      <c r="L872" t="s">
        <v>42</v>
      </c>
      <c r="M872" t="s">
        <v>2681</v>
      </c>
      <c r="N872" t="s">
        <v>59</v>
      </c>
      <c r="O872">
        <v>9</v>
      </c>
      <c r="P872">
        <v>2932.92</v>
      </c>
      <c r="Q872" s="11">
        <v>0.15</v>
      </c>
      <c r="R872">
        <v>22436.84</v>
      </c>
      <c r="S872">
        <v>17454.669999999998</v>
      </c>
      <c r="T872">
        <v>4982.17</v>
      </c>
      <c r="U872" t="s">
        <v>32</v>
      </c>
      <c r="V872" t="s">
        <v>68</v>
      </c>
      <c r="X872" s="8" t="str">
        <f>IF(C872&gt;=B872,"Valid", "Invalid-Date")</f>
        <v>Valid</v>
      </c>
      <c r="Y872" s="8" t="str">
        <f t="shared" si="118"/>
        <v>Valid</v>
      </c>
      <c r="Z872" s="8" t="str">
        <f t="shared" si="119"/>
        <v>Pass</v>
      </c>
      <c r="AA872" s="8" t="str">
        <f t="shared" si="120"/>
        <v>Pass</v>
      </c>
      <c r="AB872" s="8" t="str">
        <f>TEXT(B872,"mmmm")</f>
        <v>June</v>
      </c>
      <c r="AC872" s="8" t="str">
        <f>TEXT(B872,"yyyy")</f>
        <v>2025</v>
      </c>
      <c r="AE872">
        <f t="shared" si="121"/>
        <v>26396.28</v>
      </c>
      <c r="AF872" s="11">
        <f t="shared" si="122"/>
        <v>22436.838</v>
      </c>
      <c r="AG872">
        <f t="shared" si="123"/>
        <v>8941.61</v>
      </c>
      <c r="AH872" s="11">
        <f t="shared" si="124"/>
        <v>0.33874508074622639</v>
      </c>
      <c r="AI872" s="44">
        <f t="shared" si="125"/>
        <v>0.33874508074622639</v>
      </c>
    </row>
    <row r="873" spans="1:35">
      <c r="A873" t="s">
        <v>2682</v>
      </c>
      <c r="B873" s="5">
        <v>45342</v>
      </c>
      <c r="C873" s="5">
        <v>45344</v>
      </c>
      <c r="D873" s="13">
        <f t="shared" si="117"/>
        <v>2</v>
      </c>
      <c r="E873" t="s">
        <v>2552</v>
      </c>
      <c r="F873" t="s">
        <v>79</v>
      </c>
      <c r="G873" t="s">
        <v>37</v>
      </c>
      <c r="H873" t="s">
        <v>54</v>
      </c>
      <c r="I873" t="s">
        <v>55</v>
      </c>
      <c r="J873" t="s">
        <v>56</v>
      </c>
      <c r="K873" t="s">
        <v>74</v>
      </c>
      <c r="L873" t="s">
        <v>75</v>
      </c>
      <c r="M873" t="s">
        <v>2683</v>
      </c>
      <c r="N873" t="s">
        <v>50</v>
      </c>
      <c r="O873">
        <v>9</v>
      </c>
      <c r="P873">
        <v>2186.23</v>
      </c>
      <c r="Q873" s="11">
        <v>0</v>
      </c>
      <c r="R873">
        <v>19676.07</v>
      </c>
      <c r="S873">
        <v>12458.62</v>
      </c>
      <c r="T873">
        <v>7217.45</v>
      </c>
      <c r="U873" t="s">
        <v>102</v>
      </c>
      <c r="V873" t="s">
        <v>68</v>
      </c>
      <c r="X873" s="8" t="str">
        <f>IF(C873&gt;=B873,"Valid", "Invalid-Date")</f>
        <v>Valid</v>
      </c>
      <c r="Y873" s="8" t="str">
        <f t="shared" si="118"/>
        <v>Valid</v>
      </c>
      <c r="Z873" s="8" t="str">
        <f t="shared" si="119"/>
        <v>Pass</v>
      </c>
      <c r="AA873" s="8" t="str">
        <f t="shared" si="120"/>
        <v>Pass</v>
      </c>
      <c r="AB873" s="8" t="str">
        <f>TEXT(B873,"mmmm")</f>
        <v>February</v>
      </c>
      <c r="AC873" s="8" t="str">
        <f>TEXT(B873,"yyyy")</f>
        <v>2024</v>
      </c>
      <c r="AE873">
        <f t="shared" si="121"/>
        <v>19676.07</v>
      </c>
      <c r="AF873" s="11">
        <f t="shared" si="122"/>
        <v>19676.07</v>
      </c>
      <c r="AG873">
        <f t="shared" si="123"/>
        <v>7217.4499999999989</v>
      </c>
      <c r="AH873" s="11">
        <f t="shared" si="124"/>
        <v>0.36681359641432454</v>
      </c>
      <c r="AI873" s="44">
        <f t="shared" si="125"/>
        <v>0.36681359641432454</v>
      </c>
    </row>
    <row r="874" spans="1:35">
      <c r="A874" t="s">
        <v>2684</v>
      </c>
      <c r="B874" s="5">
        <v>45302</v>
      </c>
      <c r="C874" s="5">
        <v>45333</v>
      </c>
      <c r="D874" s="13">
        <f t="shared" si="117"/>
        <v>31</v>
      </c>
      <c r="E874" t="s">
        <v>1960</v>
      </c>
      <c r="F874" t="s">
        <v>23</v>
      </c>
      <c r="G874" t="s">
        <v>90</v>
      </c>
      <c r="H874" t="s">
        <v>38</v>
      </c>
      <c r="I874" t="s">
        <v>99</v>
      </c>
      <c r="J874" t="s">
        <v>100</v>
      </c>
      <c r="K874" t="s">
        <v>41</v>
      </c>
      <c r="L874" t="s">
        <v>57</v>
      </c>
      <c r="M874" t="s">
        <v>2685</v>
      </c>
      <c r="N874" t="s">
        <v>59</v>
      </c>
      <c r="O874">
        <v>5</v>
      </c>
      <c r="P874">
        <v>2212.02</v>
      </c>
      <c r="Q874" s="11">
        <v>0.2</v>
      </c>
      <c r="R874">
        <v>8848.08</v>
      </c>
      <c r="S874">
        <v>5691.56</v>
      </c>
      <c r="T874">
        <v>3156.52</v>
      </c>
      <c r="U874" t="s">
        <v>32</v>
      </c>
      <c r="V874" t="s">
        <v>33</v>
      </c>
      <c r="X874" s="8" t="str">
        <f>IF(C874&gt;=B874,"Valid", "Invalid-Date")</f>
        <v>Valid</v>
      </c>
      <c r="Y874" s="8" t="str">
        <f t="shared" si="118"/>
        <v>Valid</v>
      </c>
      <c r="Z874" s="8" t="str">
        <f t="shared" si="119"/>
        <v>Pass</v>
      </c>
      <c r="AA874" s="8" t="str">
        <f t="shared" si="120"/>
        <v>Pass</v>
      </c>
      <c r="AB874" s="8" t="str">
        <f>TEXT(B874,"mmmm")</f>
        <v>January</v>
      </c>
      <c r="AC874" s="8" t="str">
        <f>TEXT(B874,"yyyy")</f>
        <v>2024</v>
      </c>
      <c r="AE874">
        <f t="shared" si="121"/>
        <v>11060.1</v>
      </c>
      <c r="AF874" s="11">
        <f t="shared" si="122"/>
        <v>8848.08</v>
      </c>
      <c r="AG874">
        <f t="shared" si="123"/>
        <v>5368.54</v>
      </c>
      <c r="AH874" s="11">
        <f t="shared" si="124"/>
        <v>0.48539705789278575</v>
      </c>
      <c r="AI874" s="44">
        <f t="shared" si="125"/>
        <v>0.48539705789278575</v>
      </c>
    </row>
    <row r="875" spans="1:35">
      <c r="A875" t="s">
        <v>2686</v>
      </c>
      <c r="B875" s="5">
        <v>45689</v>
      </c>
      <c r="C875" s="5">
        <v>45696</v>
      </c>
      <c r="D875" s="13">
        <f t="shared" si="117"/>
        <v>7</v>
      </c>
      <c r="E875" t="s">
        <v>2687</v>
      </c>
      <c r="F875" t="s">
        <v>89</v>
      </c>
      <c r="G875" t="s">
        <v>95</v>
      </c>
      <c r="H875" t="s">
        <v>63</v>
      </c>
      <c r="I875" t="s">
        <v>180</v>
      </c>
      <c r="J875" t="s">
        <v>181</v>
      </c>
      <c r="K875" t="s">
        <v>28</v>
      </c>
      <c r="L875" t="s">
        <v>124</v>
      </c>
      <c r="M875" t="s">
        <v>2688</v>
      </c>
      <c r="N875" t="s">
        <v>31</v>
      </c>
      <c r="O875">
        <v>8</v>
      </c>
      <c r="P875">
        <v>623.30999999999995</v>
      </c>
      <c r="Q875" s="11">
        <v>0.1</v>
      </c>
      <c r="R875">
        <v>4487.83</v>
      </c>
      <c r="S875">
        <v>2633.78</v>
      </c>
      <c r="T875">
        <v>1854.05</v>
      </c>
      <c r="U875" t="s">
        <v>32</v>
      </c>
      <c r="V875" t="s">
        <v>33</v>
      </c>
      <c r="X875" s="8" t="str">
        <f>IF(C875&gt;=B875,"Valid", "Invalid-Date")</f>
        <v>Valid</v>
      </c>
      <c r="Y875" s="8" t="str">
        <f t="shared" si="118"/>
        <v>Valid</v>
      </c>
      <c r="Z875" s="8" t="str">
        <f t="shared" si="119"/>
        <v>Pass</v>
      </c>
      <c r="AA875" s="8" t="str">
        <f t="shared" si="120"/>
        <v>Pass</v>
      </c>
      <c r="AB875" s="8" t="str">
        <f>TEXT(B875,"mmmm")</f>
        <v>February</v>
      </c>
      <c r="AC875" s="8" t="str">
        <f>TEXT(B875,"yyyy")</f>
        <v>2025</v>
      </c>
      <c r="AE875">
        <f t="shared" si="121"/>
        <v>4986.4799999999996</v>
      </c>
      <c r="AF875" s="11">
        <f t="shared" si="122"/>
        <v>4487.8319999999994</v>
      </c>
      <c r="AG875">
        <f t="shared" si="123"/>
        <v>2352.6999999999994</v>
      </c>
      <c r="AH875" s="11">
        <f t="shared" si="124"/>
        <v>0.47181578989587836</v>
      </c>
      <c r="AI875" s="44">
        <f t="shared" si="125"/>
        <v>0.47181578989587836</v>
      </c>
    </row>
    <row r="876" spans="1:35">
      <c r="A876" t="s">
        <v>2689</v>
      </c>
      <c r="B876" s="5">
        <v>45853</v>
      </c>
      <c r="C876" s="5">
        <v>45854</v>
      </c>
      <c r="D876" s="13">
        <f t="shared" si="117"/>
        <v>1</v>
      </c>
      <c r="E876" t="s">
        <v>2690</v>
      </c>
      <c r="F876" t="s">
        <v>71</v>
      </c>
      <c r="G876" t="s">
        <v>37</v>
      </c>
      <c r="H876" t="s">
        <v>63</v>
      </c>
      <c r="I876" t="s">
        <v>64</v>
      </c>
      <c r="J876" t="s">
        <v>65</v>
      </c>
      <c r="K876" t="s">
        <v>28</v>
      </c>
      <c r="L876" t="s">
        <v>29</v>
      </c>
      <c r="M876" t="s">
        <v>2691</v>
      </c>
      <c r="N876" t="s">
        <v>59</v>
      </c>
      <c r="O876">
        <v>8</v>
      </c>
      <c r="P876">
        <v>3924.88</v>
      </c>
      <c r="Q876" s="11">
        <v>0.05</v>
      </c>
      <c r="R876">
        <v>29829.09</v>
      </c>
      <c r="S876">
        <v>20710.18</v>
      </c>
      <c r="T876">
        <v>9118.91</v>
      </c>
      <c r="U876" t="s">
        <v>32</v>
      </c>
      <c r="V876" t="s">
        <v>33</v>
      </c>
      <c r="X876" s="8" t="str">
        <f>IF(C876&gt;=B876,"Valid", "Invalid-Date")</f>
        <v>Valid</v>
      </c>
      <c r="Y876" s="8" t="str">
        <f t="shared" si="118"/>
        <v>Valid</v>
      </c>
      <c r="Z876" s="8" t="str">
        <f t="shared" si="119"/>
        <v>Pass</v>
      </c>
      <c r="AA876" s="8" t="str">
        <f t="shared" si="120"/>
        <v>Pass</v>
      </c>
      <c r="AB876" s="8" t="str">
        <f>TEXT(B876,"mmmm")</f>
        <v>July</v>
      </c>
      <c r="AC876" s="8" t="str">
        <f>TEXT(B876,"yyyy")</f>
        <v>2025</v>
      </c>
      <c r="AE876">
        <f t="shared" si="121"/>
        <v>31399.040000000001</v>
      </c>
      <c r="AF876" s="11">
        <f t="shared" si="122"/>
        <v>29829.088</v>
      </c>
      <c r="AG876">
        <f t="shared" si="123"/>
        <v>10688.86</v>
      </c>
      <c r="AH876" s="11">
        <f t="shared" si="124"/>
        <v>0.340419961884185</v>
      </c>
      <c r="AI876" s="44">
        <f t="shared" si="125"/>
        <v>0.340419961884185</v>
      </c>
    </row>
    <row r="877" spans="1:35">
      <c r="A877" t="s">
        <v>2692</v>
      </c>
      <c r="B877" s="5">
        <v>45514</v>
      </c>
      <c r="C877" s="5">
        <v>45604</v>
      </c>
      <c r="D877" s="13">
        <f t="shared" si="117"/>
        <v>90</v>
      </c>
      <c r="E877" t="s">
        <v>2693</v>
      </c>
      <c r="F877" t="s">
        <v>36</v>
      </c>
      <c r="G877" t="s">
        <v>90</v>
      </c>
      <c r="H877" t="s">
        <v>63</v>
      </c>
      <c r="I877" t="s">
        <v>64</v>
      </c>
      <c r="J877" t="s">
        <v>65</v>
      </c>
      <c r="K877" t="s">
        <v>74</v>
      </c>
      <c r="L877" t="s">
        <v>80</v>
      </c>
      <c r="M877" t="s">
        <v>2694</v>
      </c>
      <c r="N877" t="s">
        <v>50</v>
      </c>
      <c r="O877">
        <v>7</v>
      </c>
      <c r="P877">
        <v>3852.62</v>
      </c>
      <c r="Q877" s="11">
        <v>0.2</v>
      </c>
      <c r="R877">
        <v>21574.67</v>
      </c>
      <c r="S877">
        <v>14672.83</v>
      </c>
      <c r="T877">
        <v>6901.84</v>
      </c>
      <c r="U877" t="s">
        <v>32</v>
      </c>
      <c r="V877" t="s">
        <v>33</v>
      </c>
      <c r="X877" s="8" t="str">
        <f>IF(C877&gt;=B877,"Valid", "Invalid-Date")</f>
        <v>Valid</v>
      </c>
      <c r="Y877" s="8" t="str">
        <f t="shared" si="118"/>
        <v>Valid</v>
      </c>
      <c r="Z877" s="8" t="str">
        <f t="shared" si="119"/>
        <v>Pass</v>
      </c>
      <c r="AA877" s="8" t="str">
        <f t="shared" si="120"/>
        <v>Pass</v>
      </c>
      <c r="AB877" s="8" t="str">
        <f>TEXT(B877,"mmmm")</f>
        <v>August</v>
      </c>
      <c r="AC877" s="8" t="str">
        <f>TEXT(B877,"yyyy")</f>
        <v>2024</v>
      </c>
      <c r="AE877">
        <f t="shared" si="121"/>
        <v>26968.34</v>
      </c>
      <c r="AF877" s="11">
        <f t="shared" si="122"/>
        <v>21574.672000000002</v>
      </c>
      <c r="AG877">
        <f t="shared" si="123"/>
        <v>12295.51</v>
      </c>
      <c r="AH877" s="11">
        <f t="shared" si="124"/>
        <v>0.45592387221460423</v>
      </c>
      <c r="AI877" s="44">
        <f t="shared" si="125"/>
        <v>0.45592387221460423</v>
      </c>
    </row>
    <row r="878" spans="1:35">
      <c r="A878" t="s">
        <v>2695</v>
      </c>
      <c r="B878" s="5">
        <v>45614</v>
      </c>
      <c r="C878" s="5">
        <v>45616</v>
      </c>
      <c r="D878" s="13">
        <f t="shared" si="117"/>
        <v>2</v>
      </c>
      <c r="E878" t="s">
        <v>2696</v>
      </c>
      <c r="F878" t="s">
        <v>114</v>
      </c>
      <c r="G878" t="s">
        <v>24</v>
      </c>
      <c r="H878" t="s">
        <v>63</v>
      </c>
      <c r="I878" t="s">
        <v>26</v>
      </c>
      <c r="J878" t="s">
        <v>109</v>
      </c>
      <c r="K878" t="s">
        <v>41</v>
      </c>
      <c r="L878" t="s">
        <v>66</v>
      </c>
      <c r="M878" t="s">
        <v>844</v>
      </c>
      <c r="N878" t="s">
        <v>50</v>
      </c>
      <c r="O878">
        <v>6</v>
      </c>
      <c r="P878">
        <v>3790.22</v>
      </c>
      <c r="Q878" s="11">
        <v>0</v>
      </c>
      <c r="R878">
        <v>22741.32</v>
      </c>
      <c r="S878">
        <v>16388.57</v>
      </c>
      <c r="T878">
        <v>6352.75</v>
      </c>
      <c r="U878" t="s">
        <v>32</v>
      </c>
      <c r="V878" t="s">
        <v>33</v>
      </c>
      <c r="X878" s="8" t="str">
        <f>IF(C878&gt;=B878,"Valid", "Invalid-Date")</f>
        <v>Valid</v>
      </c>
      <c r="Y878" s="8" t="str">
        <f t="shared" si="118"/>
        <v>Valid</v>
      </c>
      <c r="Z878" s="8" t="str">
        <f t="shared" si="119"/>
        <v>Pass</v>
      </c>
      <c r="AA878" s="8" t="str">
        <f t="shared" si="120"/>
        <v>Pass</v>
      </c>
      <c r="AB878" s="8" t="str">
        <f>TEXT(B878,"mmmm")</f>
        <v>November</v>
      </c>
      <c r="AC878" s="8" t="str">
        <f>TEXT(B878,"yyyy")</f>
        <v>2024</v>
      </c>
      <c r="AE878">
        <f t="shared" si="121"/>
        <v>22741.32</v>
      </c>
      <c r="AF878" s="11">
        <f t="shared" si="122"/>
        <v>22741.32</v>
      </c>
      <c r="AG878">
        <f t="shared" si="123"/>
        <v>6352.75</v>
      </c>
      <c r="AH878" s="11">
        <f t="shared" si="124"/>
        <v>0.27934834037777928</v>
      </c>
      <c r="AI878" s="44">
        <f t="shared" si="125"/>
        <v>0.27934834037777928</v>
      </c>
    </row>
    <row r="879" spans="1:35">
      <c r="A879" t="s">
        <v>2697</v>
      </c>
      <c r="B879" s="5">
        <v>45895</v>
      </c>
      <c r="C879" s="5">
        <v>45725</v>
      </c>
      <c r="D879" s="13">
        <f t="shared" si="117"/>
        <v>-170</v>
      </c>
      <c r="E879" t="s">
        <v>2698</v>
      </c>
      <c r="F879" t="s">
        <v>128</v>
      </c>
      <c r="G879" t="s">
        <v>24</v>
      </c>
      <c r="H879" t="s">
        <v>63</v>
      </c>
      <c r="I879" t="s">
        <v>26</v>
      </c>
      <c r="J879" t="s">
        <v>109</v>
      </c>
      <c r="K879" t="s">
        <v>28</v>
      </c>
      <c r="L879" t="s">
        <v>124</v>
      </c>
      <c r="M879" t="s">
        <v>2699</v>
      </c>
      <c r="N879" t="s">
        <v>31</v>
      </c>
      <c r="O879">
        <v>6</v>
      </c>
      <c r="P879">
        <v>674.36</v>
      </c>
      <c r="Q879" s="11">
        <v>0.1</v>
      </c>
      <c r="R879">
        <v>3641.54</v>
      </c>
      <c r="S879">
        <v>2690.37</v>
      </c>
      <c r="T879">
        <v>951.17</v>
      </c>
      <c r="U879" t="s">
        <v>32</v>
      </c>
      <c r="V879" t="s">
        <v>33</v>
      </c>
      <c r="X879" s="8" t="str">
        <f>IF(C879&gt;=B879,"Valid", "Invalid-Date")</f>
        <v>Invalid-Date</v>
      </c>
      <c r="Y879" s="8" t="str">
        <f t="shared" si="118"/>
        <v>Valid</v>
      </c>
      <c r="Z879" s="8" t="str">
        <f t="shared" si="119"/>
        <v>Pass</v>
      </c>
      <c r="AA879" s="8" t="str">
        <f t="shared" si="120"/>
        <v>Pass</v>
      </c>
      <c r="AB879" s="8" t="str">
        <f>TEXT(B879,"mmmm")</f>
        <v>August</v>
      </c>
      <c r="AC879" s="8" t="str">
        <f>TEXT(B879,"yyyy")</f>
        <v>2025</v>
      </c>
      <c r="AE879">
        <f t="shared" si="121"/>
        <v>4046.16</v>
      </c>
      <c r="AF879" s="11">
        <f t="shared" si="122"/>
        <v>3641.5439999999999</v>
      </c>
      <c r="AG879">
        <f t="shared" si="123"/>
        <v>1355.79</v>
      </c>
      <c r="AH879" s="11">
        <f t="shared" si="124"/>
        <v>0.33508066907883033</v>
      </c>
      <c r="AI879" s="44">
        <f t="shared" si="125"/>
        <v>0.33508066907883033</v>
      </c>
    </row>
    <row r="880" spans="1:35">
      <c r="A880" t="s">
        <v>2700</v>
      </c>
      <c r="B880" s="5">
        <v>45313</v>
      </c>
      <c r="C880" s="5">
        <v>45313</v>
      </c>
      <c r="D880" s="13">
        <f t="shared" si="117"/>
        <v>0</v>
      </c>
      <c r="E880" t="s">
        <v>2701</v>
      </c>
      <c r="F880" t="s">
        <v>23</v>
      </c>
      <c r="G880" t="s">
        <v>90</v>
      </c>
      <c r="H880" t="s">
        <v>38</v>
      </c>
      <c r="I880" t="s">
        <v>99</v>
      </c>
      <c r="J880" t="s">
        <v>100</v>
      </c>
      <c r="K880" t="s">
        <v>28</v>
      </c>
      <c r="L880" t="s">
        <v>29</v>
      </c>
      <c r="M880" t="s">
        <v>2702</v>
      </c>
      <c r="N880" t="s">
        <v>50</v>
      </c>
      <c r="O880">
        <v>8</v>
      </c>
      <c r="P880">
        <v>1557.21</v>
      </c>
      <c r="Q880" s="11">
        <v>0.05</v>
      </c>
      <c r="R880">
        <v>11834.8</v>
      </c>
      <c r="S880">
        <v>9322.36</v>
      </c>
      <c r="T880">
        <v>2512.44</v>
      </c>
      <c r="U880" t="s">
        <v>32</v>
      </c>
      <c r="V880" t="s">
        <v>33</v>
      </c>
      <c r="X880" s="8" t="str">
        <f>IF(C880&gt;=B880,"Valid", "Invalid-Date")</f>
        <v>Valid</v>
      </c>
      <c r="Y880" s="8" t="str">
        <f t="shared" si="118"/>
        <v>Valid</v>
      </c>
      <c r="Z880" s="8" t="str">
        <f t="shared" si="119"/>
        <v>Pass</v>
      </c>
      <c r="AA880" s="8" t="str">
        <f t="shared" si="120"/>
        <v>Pass</v>
      </c>
      <c r="AB880" s="8" t="str">
        <f>TEXT(B880,"mmmm")</f>
        <v>January</v>
      </c>
      <c r="AC880" s="8" t="str">
        <f>TEXT(B880,"yyyy")</f>
        <v>2024</v>
      </c>
      <c r="AE880">
        <f t="shared" si="121"/>
        <v>12457.68</v>
      </c>
      <c r="AF880" s="11">
        <f t="shared" si="122"/>
        <v>11834.796</v>
      </c>
      <c r="AG880">
        <f t="shared" si="123"/>
        <v>3135.3199999999997</v>
      </c>
      <c r="AH880" s="11">
        <f t="shared" si="124"/>
        <v>0.25167767995324969</v>
      </c>
      <c r="AI880" s="44">
        <f t="shared" si="125"/>
        <v>0.25167767995324969</v>
      </c>
    </row>
    <row r="881" spans="1:35">
      <c r="A881" t="s">
        <v>2703</v>
      </c>
      <c r="B881" s="5">
        <v>45896</v>
      </c>
      <c r="C881" s="5">
        <v>45897</v>
      </c>
      <c r="D881" s="13">
        <f t="shared" si="117"/>
        <v>1</v>
      </c>
      <c r="E881" t="s">
        <v>2704</v>
      </c>
      <c r="F881" t="s">
        <v>62</v>
      </c>
      <c r="G881" t="s">
        <v>95</v>
      </c>
      <c r="H881" t="s">
        <v>25</v>
      </c>
      <c r="I881" t="s">
        <v>136</v>
      </c>
      <c r="J881" t="s">
        <v>137</v>
      </c>
      <c r="K881" t="s">
        <v>28</v>
      </c>
      <c r="L881" t="s">
        <v>48</v>
      </c>
      <c r="M881" t="s">
        <v>2705</v>
      </c>
      <c r="N881" t="s">
        <v>59</v>
      </c>
      <c r="O881">
        <v>6</v>
      </c>
      <c r="P881">
        <v>1182.03</v>
      </c>
      <c r="Q881" s="11">
        <v>0.15</v>
      </c>
      <c r="R881">
        <v>6028.35</v>
      </c>
      <c r="S881">
        <v>4433.63</v>
      </c>
      <c r="T881">
        <v>1594.72</v>
      </c>
      <c r="U881" t="s">
        <v>32</v>
      </c>
      <c r="V881" t="s">
        <v>33</v>
      </c>
      <c r="X881" s="8" t="str">
        <f>IF(C881&gt;=B881,"Valid", "Invalid-Date")</f>
        <v>Valid</v>
      </c>
      <c r="Y881" s="8" t="str">
        <f t="shared" si="118"/>
        <v>Valid</v>
      </c>
      <c r="Z881" s="8" t="str">
        <f t="shared" si="119"/>
        <v>Pass</v>
      </c>
      <c r="AA881" s="8" t="str">
        <f t="shared" si="120"/>
        <v>Pass</v>
      </c>
      <c r="AB881" s="8" t="str">
        <f>TEXT(B881,"mmmm")</f>
        <v>August</v>
      </c>
      <c r="AC881" s="8" t="str">
        <f>TEXT(B881,"yyyy")</f>
        <v>2025</v>
      </c>
      <c r="AE881">
        <f t="shared" si="121"/>
        <v>7092.18</v>
      </c>
      <c r="AF881" s="11">
        <f t="shared" si="122"/>
        <v>6028.3530000000001</v>
      </c>
      <c r="AG881">
        <f t="shared" si="123"/>
        <v>2658.55</v>
      </c>
      <c r="AH881" s="11">
        <f t="shared" si="124"/>
        <v>0.37485653212411418</v>
      </c>
      <c r="AI881" s="44">
        <f t="shared" si="125"/>
        <v>0.37485653212411418</v>
      </c>
    </row>
    <row r="882" spans="1:35">
      <c r="A882" t="s">
        <v>2706</v>
      </c>
      <c r="B882" s="5">
        <v>45359</v>
      </c>
      <c r="C882" s="5">
        <v>45366</v>
      </c>
      <c r="D882" s="13">
        <f t="shared" si="117"/>
        <v>7</v>
      </c>
      <c r="E882" t="s">
        <v>2707</v>
      </c>
      <c r="F882" t="s">
        <v>128</v>
      </c>
      <c r="G882" t="s">
        <v>37</v>
      </c>
      <c r="H882" t="s">
        <v>2785</v>
      </c>
      <c r="I882" t="s">
        <v>122</v>
      </c>
      <c r="J882" t="s">
        <v>123</v>
      </c>
      <c r="K882" t="s">
        <v>41</v>
      </c>
      <c r="L882" t="s">
        <v>66</v>
      </c>
      <c r="M882" t="s">
        <v>2708</v>
      </c>
      <c r="N882" t="s">
        <v>50</v>
      </c>
      <c r="O882">
        <v>5</v>
      </c>
      <c r="P882">
        <v>3234.77</v>
      </c>
      <c r="Q882" s="11">
        <v>0</v>
      </c>
      <c r="R882">
        <v>16173.85</v>
      </c>
      <c r="S882">
        <v>13636.34</v>
      </c>
      <c r="T882">
        <v>2537.5100000000002</v>
      </c>
      <c r="U882" t="s">
        <v>32</v>
      </c>
      <c r="V882" t="s">
        <v>33</v>
      </c>
      <c r="X882" s="8" t="str">
        <f>IF(C882&gt;=B882,"Valid", "Invalid-Date")</f>
        <v>Valid</v>
      </c>
      <c r="Y882" s="8" t="str">
        <f t="shared" si="118"/>
        <v>Valid</v>
      </c>
      <c r="Z882" s="8" t="str">
        <f t="shared" si="119"/>
        <v>Pass</v>
      </c>
      <c r="AA882" s="8" t="str">
        <f t="shared" si="120"/>
        <v>Flagged</v>
      </c>
      <c r="AB882" s="8" t="str">
        <f>TEXT(B882,"mmmm")</f>
        <v>March</v>
      </c>
      <c r="AC882" s="8" t="str">
        <f>TEXT(B882,"yyyy")</f>
        <v>2024</v>
      </c>
      <c r="AE882">
        <f t="shared" si="121"/>
        <v>16173.85</v>
      </c>
      <c r="AF882" s="11">
        <f t="shared" si="122"/>
        <v>16173.85</v>
      </c>
      <c r="AG882">
        <f t="shared" si="123"/>
        <v>2537.5100000000002</v>
      </c>
      <c r="AH882" s="11">
        <f t="shared" si="124"/>
        <v>0.15688967067210344</v>
      </c>
      <c r="AI882" s="44">
        <f t="shared" si="125"/>
        <v>0.15688967067210344</v>
      </c>
    </row>
    <row r="883" spans="1:35">
      <c r="A883" t="s">
        <v>2709</v>
      </c>
      <c r="B883" s="5">
        <v>45627</v>
      </c>
      <c r="C883" s="5">
        <v>45631</v>
      </c>
      <c r="D883" s="13">
        <f t="shared" si="117"/>
        <v>4</v>
      </c>
      <c r="E883" t="s">
        <v>2710</v>
      </c>
      <c r="F883" t="s">
        <v>62</v>
      </c>
      <c r="G883" t="s">
        <v>37</v>
      </c>
      <c r="H883" t="s">
        <v>54</v>
      </c>
      <c r="I883" t="s">
        <v>84</v>
      </c>
      <c r="J883" t="s">
        <v>85</v>
      </c>
      <c r="K883" t="s">
        <v>74</v>
      </c>
      <c r="L883" t="s">
        <v>80</v>
      </c>
      <c r="M883" t="s">
        <v>2711</v>
      </c>
      <c r="N883" t="s">
        <v>31</v>
      </c>
      <c r="O883">
        <v>9</v>
      </c>
      <c r="P883">
        <v>3726.75</v>
      </c>
      <c r="Q883" s="11">
        <v>0.25</v>
      </c>
      <c r="R883">
        <v>25155.56</v>
      </c>
      <c r="S883">
        <v>17592.689999999999</v>
      </c>
      <c r="T883">
        <v>7562.87</v>
      </c>
      <c r="U883" t="s">
        <v>32</v>
      </c>
      <c r="V883" t="s">
        <v>33</v>
      </c>
      <c r="X883" s="8" t="str">
        <f>IF(C883&gt;=B883,"Valid", "Invalid-Date")</f>
        <v>Valid</v>
      </c>
      <c r="Y883" s="8" t="str">
        <f t="shared" si="118"/>
        <v>Valid</v>
      </c>
      <c r="Z883" s="8" t="str">
        <f t="shared" si="119"/>
        <v>Pass</v>
      </c>
      <c r="AA883" s="8" t="str">
        <f t="shared" si="120"/>
        <v>Pass</v>
      </c>
      <c r="AB883" s="8" t="str">
        <f>TEXT(B883,"mmmm")</f>
        <v>December</v>
      </c>
      <c r="AC883" s="8" t="str">
        <f>TEXT(B883,"yyyy")</f>
        <v>2024</v>
      </c>
      <c r="AE883">
        <f t="shared" si="121"/>
        <v>33540.75</v>
      </c>
      <c r="AF883" s="11">
        <f t="shared" si="122"/>
        <v>25155.5625</v>
      </c>
      <c r="AG883">
        <f t="shared" si="123"/>
        <v>15948.060000000001</v>
      </c>
      <c r="AH883" s="11">
        <f t="shared" si="124"/>
        <v>0.47548310637060892</v>
      </c>
      <c r="AI883" s="44">
        <f t="shared" si="125"/>
        <v>0.47548310637060892</v>
      </c>
    </row>
    <row r="884" spans="1:35">
      <c r="A884" t="s">
        <v>2712</v>
      </c>
      <c r="B884" s="5">
        <v>45690</v>
      </c>
      <c r="C884" s="5">
        <v>45932</v>
      </c>
      <c r="D884" s="13">
        <f t="shared" si="117"/>
        <v>242</v>
      </c>
      <c r="E884" t="s">
        <v>2713</v>
      </c>
      <c r="F884" t="s">
        <v>132</v>
      </c>
      <c r="G884" t="s">
        <v>90</v>
      </c>
      <c r="H884" t="s">
        <v>38</v>
      </c>
      <c r="I884" t="s">
        <v>145</v>
      </c>
      <c r="J884" t="s">
        <v>146</v>
      </c>
      <c r="K884" t="s">
        <v>74</v>
      </c>
      <c r="L884" t="s">
        <v>75</v>
      </c>
      <c r="M884" t="s">
        <v>2714</v>
      </c>
      <c r="N884" t="s">
        <v>59</v>
      </c>
      <c r="O884">
        <v>4</v>
      </c>
      <c r="P884">
        <v>1912.45</v>
      </c>
      <c r="Q884" s="11">
        <v>0</v>
      </c>
      <c r="R884">
        <v>7649.8</v>
      </c>
      <c r="S884">
        <v>4894.53</v>
      </c>
      <c r="T884">
        <v>2755.27</v>
      </c>
      <c r="U884" t="s">
        <v>111</v>
      </c>
      <c r="V884" t="s">
        <v>103</v>
      </c>
      <c r="X884" s="8" t="str">
        <f>IF(C884&gt;=B884,"Valid", "Invalid-Date")</f>
        <v>Valid</v>
      </c>
      <c r="Y884" s="8" t="str">
        <f t="shared" si="118"/>
        <v>Valid</v>
      </c>
      <c r="Z884" s="8" t="str">
        <f t="shared" si="119"/>
        <v>Pass</v>
      </c>
      <c r="AA884" s="8" t="str">
        <f t="shared" si="120"/>
        <v>Pass</v>
      </c>
      <c r="AB884" s="8" t="str">
        <f>TEXT(B884,"mmmm")</f>
        <v>February</v>
      </c>
      <c r="AC884" s="8" t="str">
        <f>TEXT(B884,"yyyy")</f>
        <v>2025</v>
      </c>
      <c r="AE884">
        <f t="shared" si="121"/>
        <v>7649.8</v>
      </c>
      <c r="AF884" s="11">
        <f t="shared" si="122"/>
        <v>7649.8</v>
      </c>
      <c r="AG884">
        <f t="shared" si="123"/>
        <v>2755.2700000000004</v>
      </c>
      <c r="AH884" s="11">
        <f t="shared" si="124"/>
        <v>0.36017542942299152</v>
      </c>
      <c r="AI884" s="44">
        <f t="shared" si="125"/>
        <v>0.36017542942299152</v>
      </c>
    </row>
    <row r="885" spans="1:35">
      <c r="A885" t="s">
        <v>2715</v>
      </c>
      <c r="B885" s="5">
        <v>45775</v>
      </c>
      <c r="C885" s="5">
        <v>45662</v>
      </c>
      <c r="D885" s="13">
        <f t="shared" si="117"/>
        <v>-113</v>
      </c>
      <c r="E885" t="s">
        <v>2716</v>
      </c>
      <c r="F885" t="s">
        <v>128</v>
      </c>
      <c r="G885" t="s">
        <v>37</v>
      </c>
      <c r="H885" t="s">
        <v>63</v>
      </c>
      <c r="I885" t="s">
        <v>190</v>
      </c>
      <c r="J885" t="s">
        <v>191</v>
      </c>
      <c r="K885" t="s">
        <v>28</v>
      </c>
      <c r="L885" t="s">
        <v>124</v>
      </c>
      <c r="M885" t="s">
        <v>2717</v>
      </c>
      <c r="N885" t="s">
        <v>44</v>
      </c>
      <c r="O885">
        <v>1</v>
      </c>
      <c r="P885">
        <v>1620.87</v>
      </c>
      <c r="Q885" s="11">
        <v>0</v>
      </c>
      <c r="R885">
        <v>1620.87</v>
      </c>
      <c r="S885">
        <v>1103.6099999999999</v>
      </c>
      <c r="T885">
        <v>517.26</v>
      </c>
      <c r="U885" t="s">
        <v>32</v>
      </c>
      <c r="V885" t="s">
        <v>33</v>
      </c>
      <c r="X885" s="8" t="str">
        <f>IF(C885&gt;=B885,"Valid", "Invalid-Date")</f>
        <v>Invalid-Date</v>
      </c>
      <c r="Y885" s="8" t="str">
        <f t="shared" si="118"/>
        <v>Valid</v>
      </c>
      <c r="Z885" s="8" t="str">
        <f t="shared" si="119"/>
        <v>Pass</v>
      </c>
      <c r="AA885" s="8" t="str">
        <f t="shared" si="120"/>
        <v>Pass</v>
      </c>
      <c r="AB885" s="8" t="str">
        <f>TEXT(B885,"mmmm")</f>
        <v>April</v>
      </c>
      <c r="AC885" s="8" t="str">
        <f>TEXT(B885,"yyyy")</f>
        <v>2025</v>
      </c>
      <c r="AE885">
        <f t="shared" si="121"/>
        <v>1620.87</v>
      </c>
      <c r="AF885" s="11">
        <f t="shared" si="122"/>
        <v>1620.87</v>
      </c>
      <c r="AG885">
        <f t="shared" si="123"/>
        <v>517.26</v>
      </c>
      <c r="AH885" s="11">
        <f t="shared" si="124"/>
        <v>0.31912491439782342</v>
      </c>
      <c r="AI885" s="44">
        <f t="shared" si="125"/>
        <v>0.31912491439782342</v>
      </c>
    </row>
    <row r="886" spans="1:35">
      <c r="A886" t="s">
        <v>2718</v>
      </c>
      <c r="B886" s="5">
        <v>45675</v>
      </c>
      <c r="C886" s="5">
        <v>45682</v>
      </c>
      <c r="D886" s="13">
        <f t="shared" si="117"/>
        <v>7</v>
      </c>
      <c r="E886" t="s">
        <v>2719</v>
      </c>
      <c r="F886" t="s">
        <v>79</v>
      </c>
      <c r="G886" t="s">
        <v>95</v>
      </c>
      <c r="H886" t="s">
        <v>54</v>
      </c>
      <c r="I886" t="s">
        <v>175</v>
      </c>
      <c r="J886" t="s">
        <v>176</v>
      </c>
      <c r="K886" t="s">
        <v>28</v>
      </c>
      <c r="L886" t="s">
        <v>124</v>
      </c>
      <c r="M886" t="s">
        <v>2720</v>
      </c>
      <c r="N886" t="s">
        <v>44</v>
      </c>
      <c r="O886">
        <v>2</v>
      </c>
      <c r="P886">
        <v>2098.54</v>
      </c>
      <c r="Q886" s="11">
        <v>0.15</v>
      </c>
      <c r="R886">
        <v>3567.52</v>
      </c>
      <c r="S886">
        <v>2411.8000000000002</v>
      </c>
      <c r="T886">
        <v>1155.72</v>
      </c>
      <c r="U886" t="s">
        <v>32</v>
      </c>
      <c r="V886" t="s">
        <v>33</v>
      </c>
      <c r="X886" s="8" t="str">
        <f>IF(C886&gt;=B886,"Valid", "Invalid-Date")</f>
        <v>Valid</v>
      </c>
      <c r="Y886" s="8" t="str">
        <f t="shared" si="118"/>
        <v>Valid</v>
      </c>
      <c r="Z886" s="8" t="str">
        <f t="shared" si="119"/>
        <v>Pass</v>
      </c>
      <c r="AA886" s="8" t="str">
        <f t="shared" si="120"/>
        <v>Pass</v>
      </c>
      <c r="AB886" s="8" t="str">
        <f>TEXT(B886,"mmmm")</f>
        <v>January</v>
      </c>
      <c r="AC886" s="8" t="str">
        <f>TEXT(B886,"yyyy")</f>
        <v>2025</v>
      </c>
      <c r="AE886">
        <f t="shared" si="121"/>
        <v>4197.08</v>
      </c>
      <c r="AF886" s="11">
        <f t="shared" si="122"/>
        <v>3567.518</v>
      </c>
      <c r="AG886">
        <f t="shared" si="123"/>
        <v>1785.2799999999997</v>
      </c>
      <c r="AH886" s="11">
        <f t="shared" si="124"/>
        <v>0.42536239480781873</v>
      </c>
      <c r="AI886" s="44">
        <f t="shared" si="125"/>
        <v>0.42536239480781873</v>
      </c>
    </row>
    <row r="887" spans="1:35">
      <c r="A887" t="s">
        <v>2721</v>
      </c>
      <c r="B887" s="5">
        <v>45296</v>
      </c>
      <c r="C887" s="5">
        <v>45413</v>
      </c>
      <c r="D887" s="13">
        <f t="shared" si="117"/>
        <v>117</v>
      </c>
      <c r="E887" t="s">
        <v>2722</v>
      </c>
      <c r="F887" t="s">
        <v>162</v>
      </c>
      <c r="G887" t="s">
        <v>24</v>
      </c>
      <c r="H887" t="s">
        <v>25</v>
      </c>
      <c r="I887" t="s">
        <v>26</v>
      </c>
      <c r="J887" t="s">
        <v>27</v>
      </c>
      <c r="K887" t="s">
        <v>41</v>
      </c>
      <c r="L887" t="s">
        <v>42</v>
      </c>
      <c r="M887" t="s">
        <v>2723</v>
      </c>
      <c r="N887" t="s">
        <v>59</v>
      </c>
      <c r="O887">
        <v>1</v>
      </c>
      <c r="P887">
        <v>2167.08</v>
      </c>
      <c r="Q887" s="11">
        <v>0.25</v>
      </c>
      <c r="R887">
        <v>1625.31</v>
      </c>
      <c r="S887">
        <v>1157.8900000000001</v>
      </c>
      <c r="T887">
        <v>467.42</v>
      </c>
      <c r="U887" t="s">
        <v>32</v>
      </c>
      <c r="V887" t="s">
        <v>33</v>
      </c>
      <c r="X887" s="8" t="str">
        <f>IF(C887&gt;=B887,"Valid", "Invalid-Date")</f>
        <v>Valid</v>
      </c>
      <c r="Y887" s="8" t="str">
        <f t="shared" si="118"/>
        <v>Valid</v>
      </c>
      <c r="Z887" s="8" t="str">
        <f t="shared" si="119"/>
        <v>Pass</v>
      </c>
      <c r="AA887" s="8" t="str">
        <f t="shared" si="120"/>
        <v>Pass</v>
      </c>
      <c r="AB887" s="8" t="str">
        <f>TEXT(B887,"mmmm")</f>
        <v>January</v>
      </c>
      <c r="AC887" s="8" t="str">
        <f>TEXT(B887,"yyyy")</f>
        <v>2024</v>
      </c>
      <c r="AE887">
        <f t="shared" si="121"/>
        <v>2167.08</v>
      </c>
      <c r="AF887" s="11">
        <f t="shared" si="122"/>
        <v>1625.31</v>
      </c>
      <c r="AG887">
        <f t="shared" si="123"/>
        <v>1009.1899999999998</v>
      </c>
      <c r="AH887" s="11">
        <f t="shared" si="124"/>
        <v>0.46569116045554382</v>
      </c>
      <c r="AI887" s="44">
        <f t="shared" si="125"/>
        <v>0.46569116045554382</v>
      </c>
    </row>
    <row r="888" spans="1:35">
      <c r="A888" t="s">
        <v>2724</v>
      </c>
      <c r="B888" s="5">
        <v>45773</v>
      </c>
      <c r="C888" s="5">
        <v>45780</v>
      </c>
      <c r="D888" s="13">
        <f t="shared" si="117"/>
        <v>7</v>
      </c>
      <c r="E888" t="s">
        <v>2725</v>
      </c>
      <c r="F888" t="s">
        <v>53</v>
      </c>
      <c r="G888" t="s">
        <v>95</v>
      </c>
      <c r="H888" t="s">
        <v>54</v>
      </c>
      <c r="I888" t="s">
        <v>247</v>
      </c>
      <c r="J888" t="s">
        <v>248</v>
      </c>
      <c r="K888" t="s">
        <v>74</v>
      </c>
      <c r="L888" t="s">
        <v>75</v>
      </c>
      <c r="M888" t="s">
        <v>2726</v>
      </c>
      <c r="N888" t="s">
        <v>50</v>
      </c>
      <c r="O888">
        <v>7</v>
      </c>
      <c r="P888">
        <v>3989.9</v>
      </c>
      <c r="Q888" s="11">
        <v>0.15</v>
      </c>
      <c r="R888">
        <v>23739.9</v>
      </c>
      <c r="S888">
        <v>17716.52</v>
      </c>
      <c r="T888">
        <v>6023.38</v>
      </c>
      <c r="U888" t="s">
        <v>32</v>
      </c>
      <c r="V888" t="s">
        <v>68</v>
      </c>
      <c r="X888" s="8" t="str">
        <f>IF(C888&gt;=B888,"Valid", "Invalid-Date")</f>
        <v>Valid</v>
      </c>
      <c r="Y888" s="8" t="str">
        <f t="shared" si="118"/>
        <v>Valid</v>
      </c>
      <c r="Z888" s="8" t="str">
        <f t="shared" si="119"/>
        <v>Pass</v>
      </c>
      <c r="AA888" s="8" t="str">
        <f t="shared" si="120"/>
        <v>Pass</v>
      </c>
      <c r="AB888" s="8" t="str">
        <f>TEXT(B888,"mmmm")</f>
        <v>April</v>
      </c>
      <c r="AC888" s="8" t="str">
        <f>TEXT(B888,"yyyy")</f>
        <v>2025</v>
      </c>
      <c r="AE888">
        <f t="shared" si="121"/>
        <v>27929.3</v>
      </c>
      <c r="AF888" s="11">
        <f t="shared" si="122"/>
        <v>23739.904999999999</v>
      </c>
      <c r="AG888">
        <f t="shared" si="123"/>
        <v>10212.779999999999</v>
      </c>
      <c r="AH888" s="11">
        <f t="shared" si="124"/>
        <v>0.36566544811362972</v>
      </c>
      <c r="AI888" s="44">
        <f t="shared" si="125"/>
        <v>0.36566544811362972</v>
      </c>
    </row>
    <row r="889" spans="1:35">
      <c r="A889" t="s">
        <v>2727</v>
      </c>
      <c r="B889" s="5">
        <v>45455</v>
      </c>
      <c r="C889" s="5">
        <v>45461</v>
      </c>
      <c r="D889" s="13">
        <f t="shared" si="117"/>
        <v>6</v>
      </c>
      <c r="E889" t="s">
        <v>2728</v>
      </c>
      <c r="F889" t="s">
        <v>128</v>
      </c>
      <c r="G889" t="s">
        <v>37</v>
      </c>
      <c r="H889" t="s">
        <v>54</v>
      </c>
      <c r="I889" t="s">
        <v>84</v>
      </c>
      <c r="J889" t="s">
        <v>85</v>
      </c>
      <c r="K889" t="s">
        <v>28</v>
      </c>
      <c r="L889" t="s">
        <v>48</v>
      </c>
      <c r="M889" t="s">
        <v>2729</v>
      </c>
      <c r="N889" t="s">
        <v>59</v>
      </c>
      <c r="O889">
        <v>4</v>
      </c>
      <c r="P889">
        <v>4176.13</v>
      </c>
      <c r="Q889" s="11">
        <v>0</v>
      </c>
      <c r="R889">
        <v>16704.52</v>
      </c>
      <c r="S889">
        <v>10158.280000000001</v>
      </c>
      <c r="T889">
        <v>6546.24</v>
      </c>
      <c r="U889" t="s">
        <v>32</v>
      </c>
      <c r="V889" t="s">
        <v>33</v>
      </c>
      <c r="X889" s="8" t="str">
        <f>IF(C889&gt;=B889,"Valid", "Invalid-Date")</f>
        <v>Valid</v>
      </c>
      <c r="Y889" s="8" t="str">
        <f t="shared" si="118"/>
        <v>Valid</v>
      </c>
      <c r="Z889" s="8" t="str">
        <f t="shared" si="119"/>
        <v>Pass</v>
      </c>
      <c r="AA889" s="8" t="str">
        <f t="shared" si="120"/>
        <v>Pass</v>
      </c>
      <c r="AB889" s="8" t="str">
        <f>TEXT(B889,"mmmm")</f>
        <v>June</v>
      </c>
      <c r="AC889" s="8" t="str">
        <f>TEXT(B889,"yyyy")</f>
        <v>2024</v>
      </c>
      <c r="AE889">
        <f t="shared" si="121"/>
        <v>16704.52</v>
      </c>
      <c r="AF889" s="11">
        <f t="shared" si="122"/>
        <v>16704.52</v>
      </c>
      <c r="AG889">
        <f t="shared" si="123"/>
        <v>6546.24</v>
      </c>
      <c r="AH889" s="11">
        <f t="shared" si="124"/>
        <v>0.39188435225914897</v>
      </c>
      <c r="AI889" s="44">
        <f t="shared" si="125"/>
        <v>0.39188435225914897</v>
      </c>
    </row>
    <row r="890" spans="1:35">
      <c r="A890" t="s">
        <v>2730</v>
      </c>
      <c r="B890" s="5">
        <v>45875</v>
      </c>
      <c r="C890" s="5">
        <v>45876</v>
      </c>
      <c r="D890" s="13">
        <f t="shared" si="117"/>
        <v>1</v>
      </c>
      <c r="E890" t="s">
        <v>2731</v>
      </c>
      <c r="F890" t="s">
        <v>118</v>
      </c>
      <c r="G890" t="s">
        <v>37</v>
      </c>
      <c r="H890" t="s">
        <v>63</v>
      </c>
      <c r="I890" t="s">
        <v>64</v>
      </c>
      <c r="J890" t="s">
        <v>65</v>
      </c>
      <c r="K890" t="s">
        <v>28</v>
      </c>
      <c r="L890" t="s">
        <v>48</v>
      </c>
      <c r="M890" t="s">
        <v>2732</v>
      </c>
      <c r="N890" t="s">
        <v>59</v>
      </c>
      <c r="O890">
        <v>4</v>
      </c>
      <c r="P890">
        <v>3523.64</v>
      </c>
      <c r="Q890" s="11">
        <v>0.1</v>
      </c>
      <c r="R890">
        <v>12685.1</v>
      </c>
      <c r="S890">
        <v>10779.56</v>
      </c>
      <c r="T890">
        <v>1905.54</v>
      </c>
      <c r="U890" t="s">
        <v>102</v>
      </c>
      <c r="V890" t="s">
        <v>68</v>
      </c>
      <c r="X890" s="8" t="str">
        <f>IF(C890&gt;=B890,"Valid", "Invalid-Date")</f>
        <v>Valid</v>
      </c>
      <c r="Y890" s="8" t="str">
        <f t="shared" si="118"/>
        <v>Valid</v>
      </c>
      <c r="Z890" s="8" t="str">
        <f t="shared" si="119"/>
        <v>Pass</v>
      </c>
      <c r="AA890" s="8" t="str">
        <f t="shared" si="120"/>
        <v>Pass</v>
      </c>
      <c r="AB890" s="8" t="str">
        <f>TEXT(B890,"mmmm")</f>
        <v>August</v>
      </c>
      <c r="AC890" s="8" t="str">
        <f>TEXT(B890,"yyyy")</f>
        <v>2025</v>
      </c>
      <c r="AE890">
        <f t="shared" si="121"/>
        <v>14094.56</v>
      </c>
      <c r="AF890" s="11">
        <f t="shared" si="122"/>
        <v>12685.103999999999</v>
      </c>
      <c r="AG890">
        <f t="shared" si="123"/>
        <v>3315</v>
      </c>
      <c r="AH890" s="11">
        <f t="shared" si="124"/>
        <v>0.23519712569956069</v>
      </c>
      <c r="AI890" s="44">
        <f t="shared" si="125"/>
        <v>0.23519712569956069</v>
      </c>
    </row>
    <row r="891" spans="1:35">
      <c r="A891" t="s">
        <v>2733</v>
      </c>
      <c r="B891" s="5">
        <v>45726</v>
      </c>
      <c r="C891" s="5">
        <v>45964</v>
      </c>
      <c r="D891" s="13">
        <f t="shared" si="117"/>
        <v>238</v>
      </c>
      <c r="E891" t="s">
        <v>882</v>
      </c>
      <c r="F891" t="s">
        <v>89</v>
      </c>
      <c r="G891" t="s">
        <v>95</v>
      </c>
      <c r="H891" t="s">
        <v>63</v>
      </c>
      <c r="I891" t="s">
        <v>72</v>
      </c>
      <c r="J891" t="s">
        <v>73</v>
      </c>
      <c r="K891" t="s">
        <v>28</v>
      </c>
      <c r="L891" t="s">
        <v>124</v>
      </c>
      <c r="M891" t="s">
        <v>2734</v>
      </c>
      <c r="N891" t="s">
        <v>50</v>
      </c>
      <c r="O891">
        <v>2</v>
      </c>
      <c r="P891">
        <v>3922.08</v>
      </c>
      <c r="Q891" s="11">
        <v>0.25</v>
      </c>
      <c r="R891">
        <v>5883.12</v>
      </c>
      <c r="S891">
        <v>4647.91</v>
      </c>
      <c r="T891">
        <v>1235.21</v>
      </c>
      <c r="U891" t="s">
        <v>32</v>
      </c>
      <c r="V891" t="s">
        <v>103</v>
      </c>
      <c r="X891" s="8" t="str">
        <f>IF(C891&gt;=B891,"Valid", "Invalid-Date")</f>
        <v>Valid</v>
      </c>
      <c r="Y891" s="8" t="str">
        <f t="shared" si="118"/>
        <v>Valid</v>
      </c>
      <c r="Z891" s="8" t="str">
        <f t="shared" si="119"/>
        <v>Pass</v>
      </c>
      <c r="AA891" s="8" t="str">
        <f t="shared" si="120"/>
        <v>Pass</v>
      </c>
      <c r="AB891" s="8" t="str">
        <f>TEXT(B891,"mmmm")</f>
        <v>March</v>
      </c>
      <c r="AC891" s="8" t="str">
        <f>TEXT(B891,"yyyy")</f>
        <v>2025</v>
      </c>
      <c r="AE891">
        <f t="shared" si="121"/>
        <v>7844.16</v>
      </c>
      <c r="AF891" s="11">
        <f t="shared" si="122"/>
        <v>5883.12</v>
      </c>
      <c r="AG891">
        <f t="shared" si="123"/>
        <v>3196.25</v>
      </c>
      <c r="AH891" s="11">
        <f t="shared" si="124"/>
        <v>0.40746874107616365</v>
      </c>
      <c r="AI891" s="44">
        <f t="shared" si="125"/>
        <v>0.40746874107616365</v>
      </c>
    </row>
    <row r="892" spans="1:35">
      <c r="A892" t="s">
        <v>2735</v>
      </c>
      <c r="B892" s="5">
        <v>45427</v>
      </c>
      <c r="C892" s="5">
        <v>45433</v>
      </c>
      <c r="D892" s="13">
        <f t="shared" si="117"/>
        <v>6</v>
      </c>
      <c r="E892" t="s">
        <v>2736</v>
      </c>
      <c r="F892" t="s">
        <v>23</v>
      </c>
      <c r="G892" t="s">
        <v>24</v>
      </c>
      <c r="H892" t="s">
        <v>63</v>
      </c>
      <c r="I892" t="s">
        <v>190</v>
      </c>
      <c r="J892" t="s">
        <v>191</v>
      </c>
      <c r="K892" t="s">
        <v>28</v>
      </c>
      <c r="L892" t="s">
        <v>124</v>
      </c>
      <c r="M892" t="s">
        <v>2737</v>
      </c>
      <c r="N892" t="s">
        <v>59</v>
      </c>
      <c r="O892">
        <v>6</v>
      </c>
      <c r="P892">
        <v>2909.56</v>
      </c>
      <c r="Q892" s="11">
        <v>0.2</v>
      </c>
      <c r="R892">
        <v>13965.89</v>
      </c>
      <c r="S892">
        <v>11646.12</v>
      </c>
      <c r="T892">
        <v>2319.77</v>
      </c>
      <c r="U892" t="s">
        <v>32</v>
      </c>
      <c r="V892" t="s">
        <v>33</v>
      </c>
      <c r="X892" s="8" t="str">
        <f>IF(C892&gt;=B892,"Valid", "Invalid-Date")</f>
        <v>Valid</v>
      </c>
      <c r="Y892" s="8" t="str">
        <f t="shared" si="118"/>
        <v>Valid</v>
      </c>
      <c r="Z892" s="8" t="str">
        <f t="shared" si="119"/>
        <v>Pass</v>
      </c>
      <c r="AA892" s="8" t="str">
        <f t="shared" si="120"/>
        <v>Pass</v>
      </c>
      <c r="AB892" s="8" t="str">
        <f>TEXT(B892,"mmmm")</f>
        <v>May</v>
      </c>
      <c r="AC892" s="8" t="str">
        <f>TEXT(B892,"yyyy")</f>
        <v>2024</v>
      </c>
      <c r="AE892">
        <f t="shared" si="121"/>
        <v>17457.36</v>
      </c>
      <c r="AF892" s="11">
        <f t="shared" si="122"/>
        <v>13965.888000000001</v>
      </c>
      <c r="AG892">
        <f t="shared" si="123"/>
        <v>5811.24</v>
      </c>
      <c r="AH892" s="11">
        <f t="shared" si="124"/>
        <v>0.33288194778591951</v>
      </c>
      <c r="AI892" s="44">
        <f t="shared" si="125"/>
        <v>0.33288194778591951</v>
      </c>
    </row>
    <row r="893" spans="1:35">
      <c r="A893" t="s">
        <v>2738</v>
      </c>
      <c r="B893" s="5">
        <v>45573</v>
      </c>
      <c r="C893" s="5">
        <v>45574</v>
      </c>
      <c r="D893" s="13">
        <f t="shared" si="117"/>
        <v>1</v>
      </c>
      <c r="E893" t="s">
        <v>2739</v>
      </c>
      <c r="F893" t="s">
        <v>264</v>
      </c>
      <c r="G893" t="s">
        <v>90</v>
      </c>
      <c r="H893" t="s">
        <v>54</v>
      </c>
      <c r="I893" t="s">
        <v>247</v>
      </c>
      <c r="J893" t="s">
        <v>248</v>
      </c>
      <c r="K893" t="s">
        <v>74</v>
      </c>
      <c r="L893" t="s">
        <v>274</v>
      </c>
      <c r="M893" t="s">
        <v>2740</v>
      </c>
      <c r="N893" t="s">
        <v>44</v>
      </c>
      <c r="O893">
        <v>5</v>
      </c>
      <c r="P893">
        <v>2407.9699999999998</v>
      </c>
      <c r="Q893" s="11">
        <v>0.1</v>
      </c>
      <c r="R893">
        <v>10835.86</v>
      </c>
      <c r="S893">
        <v>6419.92</v>
      </c>
      <c r="T893">
        <v>4415.9399999999996</v>
      </c>
      <c r="U893" t="s">
        <v>155</v>
      </c>
      <c r="V893" t="s">
        <v>68</v>
      </c>
      <c r="X893" s="8" t="str">
        <f>IF(C893&gt;=B893,"Valid", "Invalid-Date")</f>
        <v>Valid</v>
      </c>
      <c r="Y893" s="8" t="str">
        <f t="shared" si="118"/>
        <v>Valid</v>
      </c>
      <c r="Z893" s="8" t="str">
        <f t="shared" si="119"/>
        <v>Pass</v>
      </c>
      <c r="AA893" s="8" t="str">
        <f t="shared" si="120"/>
        <v>Pass</v>
      </c>
      <c r="AB893" s="8" t="str">
        <f>TEXT(B893,"mmmm")</f>
        <v>October</v>
      </c>
      <c r="AC893" s="8" t="str">
        <f>TEXT(B893,"yyyy")</f>
        <v>2024</v>
      </c>
      <c r="AE893">
        <f t="shared" si="121"/>
        <v>12039.849999999999</v>
      </c>
      <c r="AF893" s="11">
        <f t="shared" si="122"/>
        <v>10835.865</v>
      </c>
      <c r="AG893">
        <f t="shared" si="123"/>
        <v>5619.9299999999985</v>
      </c>
      <c r="AH893" s="11">
        <f t="shared" si="124"/>
        <v>0.46677741001756662</v>
      </c>
      <c r="AI893" s="44">
        <f t="shared" si="125"/>
        <v>0.46677741001756662</v>
      </c>
    </row>
    <row r="894" spans="1:35">
      <c r="A894" t="s">
        <v>2741</v>
      </c>
      <c r="B894" s="5">
        <v>45995</v>
      </c>
      <c r="C894" s="5">
        <v>45765</v>
      </c>
      <c r="D894" s="13">
        <f t="shared" si="117"/>
        <v>-230</v>
      </c>
      <c r="E894" t="s">
        <v>2742</v>
      </c>
      <c r="F894" t="s">
        <v>47</v>
      </c>
      <c r="G894" t="s">
        <v>37</v>
      </c>
      <c r="H894" t="s">
        <v>38</v>
      </c>
      <c r="I894" t="s">
        <v>228</v>
      </c>
      <c r="J894" t="s">
        <v>229</v>
      </c>
      <c r="K894" t="s">
        <v>74</v>
      </c>
      <c r="L894" t="s">
        <v>80</v>
      </c>
      <c r="M894" t="s">
        <v>2743</v>
      </c>
      <c r="N894" t="s">
        <v>44</v>
      </c>
      <c r="O894">
        <v>1</v>
      </c>
      <c r="P894">
        <v>726.89</v>
      </c>
      <c r="Q894" s="11">
        <v>0.2</v>
      </c>
      <c r="R894">
        <v>581.51</v>
      </c>
      <c r="S894">
        <v>423.86</v>
      </c>
      <c r="T894">
        <v>157.65</v>
      </c>
      <c r="U894" t="s">
        <v>32</v>
      </c>
      <c r="V894" t="s">
        <v>33</v>
      </c>
      <c r="X894" s="8" t="str">
        <f>IF(C894&gt;=B894,"Valid", "Invalid-Date")</f>
        <v>Invalid-Date</v>
      </c>
      <c r="Y894" s="8" t="str">
        <f t="shared" si="118"/>
        <v>Valid</v>
      </c>
      <c r="Z894" s="8" t="str">
        <f t="shared" si="119"/>
        <v>Pass</v>
      </c>
      <c r="AA894" s="8" t="str">
        <f t="shared" si="120"/>
        <v>Pass</v>
      </c>
      <c r="AB894" s="8" t="str">
        <f>TEXT(B894,"mmmm")</f>
        <v>December</v>
      </c>
      <c r="AC894" s="8" t="str">
        <f>TEXT(B894,"yyyy")</f>
        <v>2025</v>
      </c>
      <c r="AE894">
        <f t="shared" si="121"/>
        <v>726.89</v>
      </c>
      <c r="AF894" s="11">
        <f t="shared" si="122"/>
        <v>581.51200000000006</v>
      </c>
      <c r="AG894">
        <f t="shared" si="123"/>
        <v>303.02999999999997</v>
      </c>
      <c r="AH894" s="11">
        <f t="shared" si="124"/>
        <v>0.41688563606597967</v>
      </c>
      <c r="AI894" s="44">
        <f t="shared" si="125"/>
        <v>0.41688563606597967</v>
      </c>
    </row>
    <row r="895" spans="1:35">
      <c r="A895" t="s">
        <v>2744</v>
      </c>
      <c r="B895" s="5">
        <v>45449</v>
      </c>
      <c r="C895" s="5">
        <v>45510</v>
      </c>
      <c r="D895" s="13">
        <f t="shared" si="117"/>
        <v>61</v>
      </c>
      <c r="E895" t="s">
        <v>2745</v>
      </c>
      <c r="F895" t="s">
        <v>128</v>
      </c>
      <c r="G895" t="s">
        <v>90</v>
      </c>
      <c r="H895" t="s">
        <v>54</v>
      </c>
      <c r="I895" t="s">
        <v>175</v>
      </c>
      <c r="J895" t="s">
        <v>176</v>
      </c>
      <c r="K895" t="s">
        <v>41</v>
      </c>
      <c r="L895" t="s">
        <v>42</v>
      </c>
      <c r="M895" t="s">
        <v>2746</v>
      </c>
      <c r="N895" t="s">
        <v>31</v>
      </c>
      <c r="O895">
        <v>3</v>
      </c>
      <c r="P895">
        <v>395.49</v>
      </c>
      <c r="Q895" s="11">
        <v>0.05</v>
      </c>
      <c r="R895">
        <v>1127.1500000000001</v>
      </c>
      <c r="S895">
        <v>845.62</v>
      </c>
      <c r="T895">
        <v>281.52999999999997</v>
      </c>
      <c r="U895" t="s">
        <v>32</v>
      </c>
      <c r="V895" t="s">
        <v>103</v>
      </c>
      <c r="X895" s="8" t="str">
        <f>IF(C895&gt;=B895,"Valid", "Invalid-Date")</f>
        <v>Valid</v>
      </c>
      <c r="Y895" s="8" t="str">
        <f t="shared" si="118"/>
        <v>Valid</v>
      </c>
      <c r="Z895" s="8" t="str">
        <f t="shared" si="119"/>
        <v>Pass</v>
      </c>
      <c r="AA895" s="8" t="str">
        <f t="shared" si="120"/>
        <v>Pass</v>
      </c>
      <c r="AB895" s="8" t="str">
        <f>TEXT(B895,"mmmm")</f>
        <v>June</v>
      </c>
      <c r="AC895" s="8" t="str">
        <f>TEXT(B895,"yyyy")</f>
        <v>2024</v>
      </c>
      <c r="AE895">
        <f t="shared" si="121"/>
        <v>1186.47</v>
      </c>
      <c r="AF895" s="11">
        <f t="shared" si="122"/>
        <v>1127.1465000000001</v>
      </c>
      <c r="AG895">
        <f t="shared" si="123"/>
        <v>340.85</v>
      </c>
      <c r="AH895" s="11">
        <f t="shared" si="124"/>
        <v>0.28728075720414342</v>
      </c>
      <c r="AI895" s="44">
        <f t="shared" si="125"/>
        <v>0.28728075720414342</v>
      </c>
    </row>
    <row r="896" spans="1:35">
      <c r="A896" t="s">
        <v>2747</v>
      </c>
      <c r="B896" s="5">
        <v>45344</v>
      </c>
      <c r="C896" s="5">
        <v>45351</v>
      </c>
      <c r="D896" s="13">
        <f t="shared" si="117"/>
        <v>7</v>
      </c>
      <c r="E896" t="s">
        <v>2748</v>
      </c>
      <c r="F896" t="s">
        <v>47</v>
      </c>
      <c r="G896" t="s">
        <v>95</v>
      </c>
      <c r="H896" t="s">
        <v>54</v>
      </c>
      <c r="I896" t="s">
        <v>55</v>
      </c>
      <c r="J896" t="s">
        <v>56</v>
      </c>
      <c r="K896" t="s">
        <v>41</v>
      </c>
      <c r="L896" t="s">
        <v>42</v>
      </c>
      <c r="M896" t="s">
        <v>2749</v>
      </c>
      <c r="N896" t="s">
        <v>50</v>
      </c>
      <c r="O896">
        <v>6</v>
      </c>
      <c r="P896">
        <v>4254.05</v>
      </c>
      <c r="Q896" s="11">
        <v>0</v>
      </c>
      <c r="R896">
        <v>25524.3</v>
      </c>
      <c r="S896">
        <v>16711.93</v>
      </c>
      <c r="T896">
        <v>8812.3700000000008</v>
      </c>
      <c r="U896" t="s">
        <v>32</v>
      </c>
      <c r="V896" t="s">
        <v>33</v>
      </c>
      <c r="X896" s="8" t="str">
        <f>IF(C896&gt;=B896,"Valid", "Invalid-Date")</f>
        <v>Valid</v>
      </c>
      <c r="Y896" s="8" t="str">
        <f t="shared" si="118"/>
        <v>Valid</v>
      </c>
      <c r="Z896" s="8" t="str">
        <f t="shared" si="119"/>
        <v>Pass</v>
      </c>
      <c r="AA896" s="8" t="str">
        <f t="shared" si="120"/>
        <v>Pass</v>
      </c>
      <c r="AB896" s="8" t="str">
        <f>TEXT(B896,"mmmm")</f>
        <v>February</v>
      </c>
      <c r="AC896" s="8" t="str">
        <f>TEXT(B896,"yyyy")</f>
        <v>2024</v>
      </c>
      <c r="AE896">
        <f t="shared" si="121"/>
        <v>25524.300000000003</v>
      </c>
      <c r="AF896" s="11">
        <f t="shared" si="122"/>
        <v>25524.300000000003</v>
      </c>
      <c r="AG896">
        <f t="shared" si="123"/>
        <v>8812.3700000000026</v>
      </c>
      <c r="AH896" s="11">
        <f t="shared" si="124"/>
        <v>0.34525413037771857</v>
      </c>
      <c r="AI896" s="44">
        <f t="shared" si="125"/>
        <v>0.34525413037771857</v>
      </c>
    </row>
    <row r="897" spans="1:35">
      <c r="A897" t="s">
        <v>2750</v>
      </c>
      <c r="B897" s="5">
        <v>45601</v>
      </c>
      <c r="C897" s="5">
        <v>45576</v>
      </c>
      <c r="D897" s="13">
        <f t="shared" si="117"/>
        <v>-25</v>
      </c>
      <c r="E897" t="s">
        <v>2751</v>
      </c>
      <c r="F897" t="s">
        <v>53</v>
      </c>
      <c r="G897" t="s">
        <v>24</v>
      </c>
      <c r="H897" t="s">
        <v>54</v>
      </c>
      <c r="I897" t="s">
        <v>185</v>
      </c>
      <c r="J897" t="s">
        <v>186</v>
      </c>
      <c r="K897" t="s">
        <v>41</v>
      </c>
      <c r="L897" t="s">
        <v>66</v>
      </c>
      <c r="M897" t="s">
        <v>2752</v>
      </c>
      <c r="N897" t="s">
        <v>44</v>
      </c>
      <c r="O897">
        <v>4</v>
      </c>
      <c r="P897">
        <v>711.18</v>
      </c>
      <c r="Q897" s="11">
        <v>0.15</v>
      </c>
      <c r="R897">
        <v>2418.0100000000002</v>
      </c>
      <c r="S897">
        <v>1441.89</v>
      </c>
      <c r="T897">
        <v>976.12</v>
      </c>
      <c r="U897" t="s">
        <v>111</v>
      </c>
      <c r="V897" t="s">
        <v>103</v>
      </c>
      <c r="X897" s="8" t="str">
        <f>IF(C897&gt;=B897,"Valid", "Invalid-Date")</f>
        <v>Invalid-Date</v>
      </c>
      <c r="Y897" s="8" t="str">
        <f t="shared" si="118"/>
        <v>Valid</v>
      </c>
      <c r="Z897" s="8" t="str">
        <f t="shared" si="119"/>
        <v>Pass</v>
      </c>
      <c r="AA897" s="8" t="str">
        <f t="shared" si="120"/>
        <v>Pass</v>
      </c>
      <c r="AB897" s="8" t="str">
        <f>TEXT(B897,"mmmm")</f>
        <v>November</v>
      </c>
      <c r="AC897" s="8" t="str">
        <f>TEXT(B897,"yyyy")</f>
        <v>2024</v>
      </c>
      <c r="AE897">
        <f t="shared" si="121"/>
        <v>2844.72</v>
      </c>
      <c r="AF897" s="11">
        <f t="shared" si="122"/>
        <v>2418.0119999999997</v>
      </c>
      <c r="AG897">
        <f t="shared" si="123"/>
        <v>1402.8299999999997</v>
      </c>
      <c r="AH897" s="11">
        <f t="shared" si="124"/>
        <v>0.49313464945583391</v>
      </c>
      <c r="AI897" s="44">
        <f t="shared" si="125"/>
        <v>0.49313464945583391</v>
      </c>
    </row>
    <row r="898" spans="1:35">
      <c r="A898" t="s">
        <v>2753</v>
      </c>
      <c r="B898" s="5">
        <v>45650</v>
      </c>
      <c r="C898" s="5">
        <v>45651</v>
      </c>
      <c r="D898" s="13">
        <f t="shared" si="117"/>
        <v>1</v>
      </c>
      <c r="E898" t="s">
        <v>2754</v>
      </c>
      <c r="F898" t="s">
        <v>62</v>
      </c>
      <c r="G898" t="s">
        <v>37</v>
      </c>
      <c r="H898" t="s">
        <v>54</v>
      </c>
      <c r="I898" t="s">
        <v>247</v>
      </c>
      <c r="J898" t="s">
        <v>248</v>
      </c>
      <c r="K898" t="s">
        <v>74</v>
      </c>
      <c r="L898" t="s">
        <v>80</v>
      </c>
      <c r="M898" t="s">
        <v>2755</v>
      </c>
      <c r="N898" t="s">
        <v>31</v>
      </c>
      <c r="O898">
        <v>1</v>
      </c>
      <c r="P898">
        <v>3693.03</v>
      </c>
      <c r="Q898" s="11">
        <v>0.05</v>
      </c>
      <c r="R898">
        <v>3508.38</v>
      </c>
      <c r="S898">
        <v>2828.06</v>
      </c>
      <c r="T898">
        <v>680.32</v>
      </c>
      <c r="U898" t="s">
        <v>155</v>
      </c>
      <c r="V898" t="s">
        <v>103</v>
      </c>
      <c r="X898" s="8" t="str">
        <f>IF(C898&gt;=B898,"Valid", "Invalid-Date")</f>
        <v>Valid</v>
      </c>
      <c r="Y898" s="8" t="str">
        <f t="shared" si="118"/>
        <v>Valid</v>
      </c>
      <c r="Z898" s="8" t="str">
        <f t="shared" si="119"/>
        <v>Pass</v>
      </c>
      <c r="AA898" s="8" t="str">
        <f t="shared" si="120"/>
        <v>Pass</v>
      </c>
      <c r="AB898" s="8" t="str">
        <f>TEXT(B898,"mmmm")</f>
        <v>December</v>
      </c>
      <c r="AC898" s="8" t="str">
        <f>TEXT(B898,"yyyy")</f>
        <v>2024</v>
      </c>
      <c r="AE898">
        <f t="shared" si="121"/>
        <v>3693.03</v>
      </c>
      <c r="AF898" s="11">
        <f t="shared" si="122"/>
        <v>3508.3784999999998</v>
      </c>
      <c r="AG898">
        <f t="shared" si="123"/>
        <v>864.97000000000025</v>
      </c>
      <c r="AH898" s="11">
        <f t="shared" si="124"/>
        <v>0.23421688965429477</v>
      </c>
      <c r="AI898" s="44">
        <f t="shared" si="125"/>
        <v>0.23421688965429477</v>
      </c>
    </row>
    <row r="899" spans="1:35">
      <c r="A899" t="s">
        <v>2756</v>
      </c>
      <c r="B899" s="5">
        <v>45776</v>
      </c>
      <c r="C899" s="5">
        <v>45721</v>
      </c>
      <c r="D899" s="13">
        <f t="shared" ref="D899:D933" si="126">C899-B899</f>
        <v>-55</v>
      </c>
      <c r="E899" t="s">
        <v>2121</v>
      </c>
      <c r="F899" t="s">
        <v>141</v>
      </c>
      <c r="G899" t="s">
        <v>90</v>
      </c>
      <c r="H899" t="s">
        <v>25</v>
      </c>
      <c r="I899" t="s">
        <v>236</v>
      </c>
      <c r="J899" t="s">
        <v>237</v>
      </c>
      <c r="K899" t="s">
        <v>28</v>
      </c>
      <c r="L899" t="s">
        <v>29</v>
      </c>
      <c r="M899" t="s">
        <v>2757</v>
      </c>
      <c r="N899" t="s">
        <v>50</v>
      </c>
      <c r="O899">
        <v>4</v>
      </c>
      <c r="P899">
        <v>1786.65</v>
      </c>
      <c r="Q899" s="11">
        <v>0.05</v>
      </c>
      <c r="R899">
        <v>6789.27</v>
      </c>
      <c r="S899">
        <v>5626.43</v>
      </c>
      <c r="T899">
        <v>1162.8399999999999</v>
      </c>
      <c r="U899" t="s">
        <v>32</v>
      </c>
      <c r="V899" t="s">
        <v>33</v>
      </c>
      <c r="X899" s="8" t="str">
        <f>IF(C899&gt;=B899,"Valid", "Invalid-Date")</f>
        <v>Invalid-Date</v>
      </c>
      <c r="Y899" s="8" t="str">
        <f t="shared" ref="Y899:Y933" si="127">IF(OR(Q899&lt;0, Q899&gt;0.5), "Invalid-Discount", "Valid")</f>
        <v>Valid</v>
      </c>
      <c r="Z899" s="8" t="str">
        <f t="shared" ref="Z899:Z933" si="128">IF(N899="Unknown","Flagged","Pass")</f>
        <v>Pass</v>
      </c>
      <c r="AA899" s="8" t="str">
        <f t="shared" ref="AA899:AA933" si="129">IF(H899="Unknown","Flagged","Pass")</f>
        <v>Pass</v>
      </c>
      <c r="AB899" s="8" t="str">
        <f>TEXT(B899,"mmmm")</f>
        <v>April</v>
      </c>
      <c r="AC899" s="8" t="str">
        <f>TEXT(B899,"yyyy")</f>
        <v>2025</v>
      </c>
      <c r="AE899">
        <f t="shared" ref="AE899:AE933" si="130">O899*P899</f>
        <v>7146.6</v>
      </c>
      <c r="AF899" s="11">
        <f t="shared" ref="AF899:AF933" si="131">AE899*(1-Q899)</f>
        <v>6789.27</v>
      </c>
      <c r="AG899">
        <f t="shared" ref="AG899:AG933" si="132">AE899-S899</f>
        <v>1520.17</v>
      </c>
      <c r="AH899" s="11">
        <f t="shared" ref="AH899:AH933" si="133">AG899/AE899</f>
        <v>0.21271233873450313</v>
      </c>
      <c r="AI899" s="44">
        <f t="shared" ref="AI899:AI933" si="134">AG899/AE899</f>
        <v>0.21271233873450313</v>
      </c>
    </row>
    <row r="900" spans="1:35">
      <c r="A900" t="s">
        <v>2758</v>
      </c>
      <c r="B900" s="5">
        <v>45445</v>
      </c>
      <c r="C900" s="5">
        <v>45510</v>
      </c>
      <c r="D900" s="13">
        <f t="shared" si="126"/>
        <v>65</v>
      </c>
      <c r="E900" t="s">
        <v>2759</v>
      </c>
      <c r="F900" t="s">
        <v>71</v>
      </c>
      <c r="G900" t="s">
        <v>24</v>
      </c>
      <c r="H900" t="s">
        <v>25</v>
      </c>
      <c r="I900" t="s">
        <v>350</v>
      </c>
      <c r="J900" t="s">
        <v>351</v>
      </c>
      <c r="K900" t="s">
        <v>41</v>
      </c>
      <c r="L900" t="s">
        <v>42</v>
      </c>
      <c r="M900" t="s">
        <v>2760</v>
      </c>
      <c r="N900" t="s">
        <v>50</v>
      </c>
      <c r="O900">
        <v>4</v>
      </c>
      <c r="P900">
        <v>1536.7</v>
      </c>
      <c r="Q900" s="11">
        <v>0.2</v>
      </c>
      <c r="R900">
        <v>4917.4399999999996</v>
      </c>
      <c r="S900">
        <v>3846.77</v>
      </c>
      <c r="T900">
        <v>1070.67</v>
      </c>
      <c r="U900" t="s">
        <v>32</v>
      </c>
      <c r="V900" t="s">
        <v>33</v>
      </c>
      <c r="X900" s="8" t="str">
        <f>IF(C900&gt;=B900,"Valid", "Invalid-Date")</f>
        <v>Valid</v>
      </c>
      <c r="Y900" s="8" t="str">
        <f t="shared" si="127"/>
        <v>Valid</v>
      </c>
      <c r="Z900" s="8" t="str">
        <f t="shared" si="128"/>
        <v>Pass</v>
      </c>
      <c r="AA900" s="8" t="str">
        <f t="shared" si="129"/>
        <v>Pass</v>
      </c>
      <c r="AB900" s="8" t="str">
        <f>TEXT(B900,"mmmm")</f>
        <v>June</v>
      </c>
      <c r="AC900" s="8" t="str">
        <f>TEXT(B900,"yyyy")</f>
        <v>2024</v>
      </c>
      <c r="AE900">
        <f t="shared" si="130"/>
        <v>6146.8</v>
      </c>
      <c r="AF900" s="11">
        <f t="shared" si="131"/>
        <v>4917.4400000000005</v>
      </c>
      <c r="AG900">
        <f t="shared" si="132"/>
        <v>2300.0300000000002</v>
      </c>
      <c r="AH900" s="11">
        <f t="shared" si="133"/>
        <v>0.37418331489555545</v>
      </c>
      <c r="AI900" s="44">
        <f t="shared" si="134"/>
        <v>0.37418331489555545</v>
      </c>
    </row>
    <row r="901" spans="1:35">
      <c r="A901" t="s">
        <v>2761</v>
      </c>
      <c r="B901" s="5">
        <v>45804</v>
      </c>
      <c r="C901" s="5">
        <v>45722</v>
      </c>
      <c r="D901" s="13">
        <f t="shared" si="126"/>
        <v>-82</v>
      </c>
      <c r="E901" t="s">
        <v>2762</v>
      </c>
      <c r="F901" t="s">
        <v>23</v>
      </c>
      <c r="G901" t="s">
        <v>24</v>
      </c>
      <c r="H901" t="s">
        <v>25</v>
      </c>
      <c r="I901" t="s">
        <v>122</v>
      </c>
      <c r="J901" t="s">
        <v>123</v>
      </c>
      <c r="K901" t="s">
        <v>41</v>
      </c>
      <c r="L901" t="s">
        <v>66</v>
      </c>
      <c r="M901" t="s">
        <v>2763</v>
      </c>
      <c r="N901" t="s">
        <v>50</v>
      </c>
      <c r="O901">
        <v>5</v>
      </c>
      <c r="P901">
        <v>881.08</v>
      </c>
      <c r="Q901" s="11">
        <v>0.25</v>
      </c>
      <c r="R901">
        <v>3304.05</v>
      </c>
      <c r="S901">
        <v>2279.41</v>
      </c>
      <c r="T901">
        <v>1024.6400000000001</v>
      </c>
      <c r="U901" t="s">
        <v>155</v>
      </c>
      <c r="V901" t="s">
        <v>68</v>
      </c>
      <c r="X901" s="8" t="str">
        <f>IF(C901&gt;=B901,"Valid", "Invalid-Date")</f>
        <v>Invalid-Date</v>
      </c>
      <c r="Y901" s="8" t="str">
        <f t="shared" si="127"/>
        <v>Valid</v>
      </c>
      <c r="Z901" s="8" t="str">
        <f t="shared" si="128"/>
        <v>Pass</v>
      </c>
      <c r="AA901" s="8" t="str">
        <f t="shared" si="129"/>
        <v>Pass</v>
      </c>
      <c r="AB901" s="8" t="str">
        <f>TEXT(B901,"mmmm")</f>
        <v>May</v>
      </c>
      <c r="AC901" s="8" t="str">
        <f>TEXT(B901,"yyyy")</f>
        <v>2025</v>
      </c>
      <c r="AE901">
        <f t="shared" si="130"/>
        <v>4405.4000000000005</v>
      </c>
      <c r="AF901" s="11">
        <f t="shared" si="131"/>
        <v>3304.05</v>
      </c>
      <c r="AG901">
        <f t="shared" si="132"/>
        <v>2125.9900000000007</v>
      </c>
      <c r="AH901" s="11">
        <f t="shared" si="133"/>
        <v>0.4825872792481955</v>
      </c>
      <c r="AI901" s="44">
        <f t="shared" si="134"/>
        <v>0.4825872792481955</v>
      </c>
    </row>
    <row r="902" spans="1:35" s="15" customFormat="1">
      <c r="A902" s="15" t="s">
        <v>1604</v>
      </c>
      <c r="B902" s="16">
        <v>45295</v>
      </c>
      <c r="C902" s="16">
        <v>45539</v>
      </c>
      <c r="D902" s="17">
        <f t="shared" si="126"/>
        <v>244</v>
      </c>
      <c r="E902" s="15" t="s">
        <v>1605</v>
      </c>
      <c r="F902" s="15" t="s">
        <v>114</v>
      </c>
      <c r="G902" s="15" t="s">
        <v>37</v>
      </c>
      <c r="H902" s="15" t="s">
        <v>38</v>
      </c>
      <c r="I902" s="15" t="s">
        <v>39</v>
      </c>
      <c r="J902" s="15" t="s">
        <v>40</v>
      </c>
      <c r="K902" s="15" t="s">
        <v>74</v>
      </c>
      <c r="L902" s="15" t="s">
        <v>80</v>
      </c>
      <c r="M902" s="15" t="s">
        <v>1606</v>
      </c>
      <c r="N902" s="15" t="s">
        <v>31</v>
      </c>
      <c r="O902" s="15">
        <v>6</v>
      </c>
      <c r="P902" s="15">
        <v>826.93</v>
      </c>
      <c r="Q902" s="18">
        <v>0.1</v>
      </c>
      <c r="R902" s="15">
        <v>4465.42</v>
      </c>
      <c r="S902" s="15">
        <v>3377.1</v>
      </c>
      <c r="T902" s="15">
        <v>1088.32</v>
      </c>
      <c r="U902" s="15" t="s">
        <v>32</v>
      </c>
      <c r="V902" s="15" t="s">
        <v>33</v>
      </c>
      <c r="W902" s="25"/>
      <c r="X902" s="8" t="str">
        <f>IF(C902&gt;=B902,"Valid", "Invalid-Date")</f>
        <v>Valid</v>
      </c>
      <c r="Y902" s="8" t="str">
        <f t="shared" si="127"/>
        <v>Valid</v>
      </c>
      <c r="Z902" s="19" t="str">
        <f t="shared" si="128"/>
        <v>Pass</v>
      </c>
      <c r="AA902" s="19" t="str">
        <f t="shared" si="129"/>
        <v>Pass</v>
      </c>
      <c r="AB902" s="19" t="str">
        <f>TEXT(B902,"mmmm")</f>
        <v>January</v>
      </c>
      <c r="AC902" s="19" t="str">
        <f>TEXT(B902,"yyyy")</f>
        <v>2024</v>
      </c>
      <c r="AD902" s="20"/>
      <c r="AE902" s="15">
        <f t="shared" si="130"/>
        <v>4961.58</v>
      </c>
      <c r="AF902" s="11">
        <f t="shared" si="131"/>
        <v>4465.4220000000005</v>
      </c>
      <c r="AG902" s="15">
        <f t="shared" si="132"/>
        <v>1584.48</v>
      </c>
      <c r="AH902" s="18">
        <f t="shared" si="133"/>
        <v>0.31934988451259477</v>
      </c>
      <c r="AI902" s="45">
        <f t="shared" si="134"/>
        <v>0.31934988451259477</v>
      </c>
    </row>
    <row r="903" spans="1:35" s="15" customFormat="1">
      <c r="A903" s="15" t="s">
        <v>1887</v>
      </c>
      <c r="B903" s="16">
        <v>45521</v>
      </c>
      <c r="C903" s="16">
        <v>45528</v>
      </c>
      <c r="D903" s="17">
        <f t="shared" si="126"/>
        <v>7</v>
      </c>
      <c r="E903" s="15" t="s">
        <v>1888</v>
      </c>
      <c r="F903" s="15" t="s">
        <v>62</v>
      </c>
      <c r="G903" s="15" t="s">
        <v>90</v>
      </c>
      <c r="H903" s="15" t="s">
        <v>38</v>
      </c>
      <c r="I903" s="15" t="s">
        <v>99</v>
      </c>
      <c r="J903" s="15" t="s">
        <v>100</v>
      </c>
      <c r="K903" s="15" t="s">
        <v>74</v>
      </c>
      <c r="L903" s="15" t="s">
        <v>80</v>
      </c>
      <c r="M903" s="15" t="s">
        <v>1889</v>
      </c>
      <c r="N903" s="15" t="s">
        <v>44</v>
      </c>
      <c r="O903" s="15">
        <v>3</v>
      </c>
      <c r="P903" s="15">
        <v>1490.69</v>
      </c>
      <c r="Q903" s="18">
        <v>0.25</v>
      </c>
      <c r="R903" s="15">
        <v>3354.05</v>
      </c>
      <c r="S903" s="15">
        <v>2672.67</v>
      </c>
      <c r="T903" s="15">
        <v>681.38</v>
      </c>
      <c r="U903" s="15" t="s">
        <v>32</v>
      </c>
      <c r="V903" s="15" t="s">
        <v>33</v>
      </c>
      <c r="W903" s="25"/>
      <c r="X903" s="8" t="str">
        <f>IF(C903&gt;=B903,"Valid", "Invalid-Date")</f>
        <v>Valid</v>
      </c>
      <c r="Y903" s="8" t="str">
        <f t="shared" si="127"/>
        <v>Valid</v>
      </c>
      <c r="Z903" s="19" t="str">
        <f t="shared" si="128"/>
        <v>Pass</v>
      </c>
      <c r="AA903" s="19" t="str">
        <f t="shared" si="129"/>
        <v>Pass</v>
      </c>
      <c r="AB903" s="19" t="str">
        <f>TEXT(B903,"mmmm")</f>
        <v>August</v>
      </c>
      <c r="AC903" s="19" t="str">
        <f>TEXT(B903,"yyyy")</f>
        <v>2024</v>
      </c>
      <c r="AD903" s="20"/>
      <c r="AE903" s="15">
        <f t="shared" si="130"/>
        <v>4472.07</v>
      </c>
      <c r="AF903" s="11">
        <f t="shared" si="131"/>
        <v>3354.0524999999998</v>
      </c>
      <c r="AG903" s="15">
        <f t="shared" si="132"/>
        <v>1799.3999999999996</v>
      </c>
      <c r="AH903" s="18">
        <f t="shared" si="133"/>
        <v>0.40236400593013966</v>
      </c>
      <c r="AI903" s="45">
        <f t="shared" si="134"/>
        <v>0.40236400593013966</v>
      </c>
    </row>
    <row r="904" spans="1:35" s="15" customFormat="1">
      <c r="A904" s="15" t="s">
        <v>2165</v>
      </c>
      <c r="B904" s="16">
        <v>45870</v>
      </c>
      <c r="C904" s="16">
        <v>45878</v>
      </c>
      <c r="D904" s="17">
        <f t="shared" si="126"/>
        <v>8</v>
      </c>
      <c r="E904" s="15" t="s">
        <v>1136</v>
      </c>
      <c r="F904" s="15" t="s">
        <v>47</v>
      </c>
      <c r="G904" s="15" t="s">
        <v>24</v>
      </c>
      <c r="H904" s="15" t="s">
        <v>54</v>
      </c>
      <c r="I904" s="15" t="s">
        <v>84</v>
      </c>
      <c r="J904" s="15" t="s">
        <v>85</v>
      </c>
      <c r="K904" s="15" t="s">
        <v>28</v>
      </c>
      <c r="L904" s="15" t="s">
        <v>124</v>
      </c>
      <c r="M904" s="15" t="s">
        <v>2166</v>
      </c>
      <c r="N904" s="15" t="s">
        <v>50</v>
      </c>
      <c r="O904" s="15">
        <v>5</v>
      </c>
      <c r="P904" s="15">
        <v>2736.24</v>
      </c>
      <c r="Q904" s="18">
        <v>0.15</v>
      </c>
      <c r="R904" s="15">
        <v>11629.02</v>
      </c>
      <c r="S904" s="15">
        <v>9627.2099999999991</v>
      </c>
      <c r="T904" s="15">
        <v>2001.81</v>
      </c>
      <c r="U904" s="15" t="s">
        <v>32</v>
      </c>
      <c r="V904" s="15" t="s">
        <v>33</v>
      </c>
      <c r="W904" s="25"/>
      <c r="X904" s="8" t="str">
        <f>IF(C904&gt;=B904,"Valid", "Invalid-Date")</f>
        <v>Valid</v>
      </c>
      <c r="Y904" s="8" t="str">
        <f t="shared" si="127"/>
        <v>Valid</v>
      </c>
      <c r="Z904" s="19" t="str">
        <f t="shared" si="128"/>
        <v>Pass</v>
      </c>
      <c r="AA904" s="19" t="str">
        <f t="shared" si="129"/>
        <v>Pass</v>
      </c>
      <c r="AB904" s="19" t="str">
        <f>TEXT(B904,"mmmm")</f>
        <v>August</v>
      </c>
      <c r="AC904" s="19" t="str">
        <f>TEXT(B904,"yyyy")</f>
        <v>2025</v>
      </c>
      <c r="AD904" s="20"/>
      <c r="AE904" s="15">
        <f t="shared" si="130"/>
        <v>13681.199999999999</v>
      </c>
      <c r="AF904" s="11">
        <f t="shared" si="131"/>
        <v>11629.019999999999</v>
      </c>
      <c r="AG904" s="15">
        <f t="shared" si="132"/>
        <v>4053.99</v>
      </c>
      <c r="AH904" s="18">
        <f t="shared" si="133"/>
        <v>0.29631830541180598</v>
      </c>
      <c r="AI904" s="45">
        <f t="shared" si="134"/>
        <v>0.29631830541180598</v>
      </c>
    </row>
    <row r="905" spans="1:35" s="15" customFormat="1">
      <c r="A905" s="15" t="s">
        <v>2194</v>
      </c>
      <c r="B905" s="16">
        <v>45364</v>
      </c>
      <c r="C905" s="16">
        <v>45371</v>
      </c>
      <c r="D905" s="17">
        <f t="shared" si="126"/>
        <v>7</v>
      </c>
      <c r="E905" s="15" t="s">
        <v>2195</v>
      </c>
      <c r="F905" s="15" t="s">
        <v>114</v>
      </c>
      <c r="G905" s="15" t="s">
        <v>95</v>
      </c>
      <c r="H905" s="15" t="s">
        <v>54</v>
      </c>
      <c r="I905" s="15" t="s">
        <v>247</v>
      </c>
      <c r="J905" s="15" t="s">
        <v>248</v>
      </c>
      <c r="K905" s="15" t="s">
        <v>41</v>
      </c>
      <c r="L905" s="15" t="s">
        <v>158</v>
      </c>
      <c r="M905" s="15" t="s">
        <v>2196</v>
      </c>
      <c r="N905" s="15" t="s">
        <v>2785</v>
      </c>
      <c r="O905" s="15">
        <v>1</v>
      </c>
      <c r="P905" s="15">
        <v>2825.63</v>
      </c>
      <c r="Q905" s="18">
        <v>0.15</v>
      </c>
      <c r="R905" s="15">
        <v>2401.79</v>
      </c>
      <c r="S905" s="15">
        <v>1820.34</v>
      </c>
      <c r="T905" s="15">
        <v>581.45000000000005</v>
      </c>
      <c r="U905" s="15" t="s">
        <v>32</v>
      </c>
      <c r="V905" s="15" t="s">
        <v>33</v>
      </c>
      <c r="W905" s="25"/>
      <c r="X905" s="8" t="str">
        <f>IF(C905&gt;=B905,"Valid", "Invalid-Date")</f>
        <v>Valid</v>
      </c>
      <c r="Y905" s="8" t="str">
        <f t="shared" si="127"/>
        <v>Valid</v>
      </c>
      <c r="Z905" s="19" t="str">
        <f t="shared" si="128"/>
        <v>Flagged</v>
      </c>
      <c r="AA905" s="19" t="str">
        <f t="shared" si="129"/>
        <v>Pass</v>
      </c>
      <c r="AB905" s="19" t="str">
        <f>TEXT(B905,"mmmm")</f>
        <v>March</v>
      </c>
      <c r="AC905" s="19" t="str">
        <f>TEXT(B905,"yyyy")</f>
        <v>2024</v>
      </c>
      <c r="AD905" s="20"/>
      <c r="AE905" s="15">
        <f t="shared" si="130"/>
        <v>2825.63</v>
      </c>
      <c r="AF905" s="11">
        <f t="shared" si="131"/>
        <v>2401.7855</v>
      </c>
      <c r="AG905" s="15">
        <f t="shared" si="132"/>
        <v>1005.2900000000002</v>
      </c>
      <c r="AH905" s="18">
        <f t="shared" si="133"/>
        <v>0.35577552616584623</v>
      </c>
      <c r="AI905" s="45">
        <f t="shared" si="134"/>
        <v>0.35577552616584623</v>
      </c>
    </row>
    <row r="906" spans="1:35" s="15" customFormat="1">
      <c r="A906" s="15" t="s">
        <v>934</v>
      </c>
      <c r="B906" s="16">
        <v>45313</v>
      </c>
      <c r="C906" s="16">
        <v>45314</v>
      </c>
      <c r="D906" s="17">
        <f t="shared" si="126"/>
        <v>1</v>
      </c>
      <c r="E906" s="15" t="s">
        <v>935</v>
      </c>
      <c r="F906" s="15" t="s">
        <v>128</v>
      </c>
      <c r="G906" s="15" t="s">
        <v>37</v>
      </c>
      <c r="H906" s="15" t="s">
        <v>2785</v>
      </c>
      <c r="I906" s="15" t="s">
        <v>166</v>
      </c>
      <c r="J906" s="15" t="s">
        <v>167</v>
      </c>
      <c r="K906" s="15" t="s">
        <v>41</v>
      </c>
      <c r="L906" s="15" t="s">
        <v>66</v>
      </c>
      <c r="M906" s="15" t="s">
        <v>936</v>
      </c>
      <c r="N906" s="15" t="s">
        <v>31</v>
      </c>
      <c r="O906" s="15">
        <v>6</v>
      </c>
      <c r="P906" s="15">
        <v>3391.53</v>
      </c>
      <c r="Q906" s="18">
        <v>-0.14000000000000001</v>
      </c>
      <c r="R906" s="15">
        <v>15261.89</v>
      </c>
      <c r="S906" s="15">
        <v>8413.5300000000007</v>
      </c>
      <c r="T906" s="15">
        <v>6848.36</v>
      </c>
      <c r="U906" s="15" t="s">
        <v>32</v>
      </c>
      <c r="V906" s="15" t="s">
        <v>33</v>
      </c>
      <c r="W906" s="25"/>
      <c r="X906" s="8" t="str">
        <f>IF(C906&gt;=B906,"Valid", "Invalid-Date")</f>
        <v>Valid</v>
      </c>
      <c r="Y906" s="8" t="str">
        <f t="shared" si="127"/>
        <v>Invalid-Discount</v>
      </c>
      <c r="Z906" s="19" t="str">
        <f t="shared" si="128"/>
        <v>Pass</v>
      </c>
      <c r="AA906" s="19" t="str">
        <f t="shared" si="129"/>
        <v>Flagged</v>
      </c>
      <c r="AB906" s="19" t="str">
        <f>TEXT(B906,"mmmm")</f>
        <v>January</v>
      </c>
      <c r="AC906" s="19" t="str">
        <f>TEXT(B906,"yyyy")</f>
        <v>2024</v>
      </c>
      <c r="AD906" s="20"/>
      <c r="AE906" s="15">
        <f t="shared" si="130"/>
        <v>20349.18</v>
      </c>
      <c r="AF906" s="11">
        <f t="shared" si="131"/>
        <v>23198.065200000005</v>
      </c>
      <c r="AG906" s="15">
        <f t="shared" si="132"/>
        <v>11935.65</v>
      </c>
      <c r="AH906" s="18">
        <f t="shared" si="133"/>
        <v>0.58654206213714755</v>
      </c>
      <c r="AI906" s="45">
        <f t="shared" si="134"/>
        <v>0.58654206213714755</v>
      </c>
    </row>
    <row r="907" spans="1:35" s="15" customFormat="1">
      <c r="A907" s="15" t="s">
        <v>1986</v>
      </c>
      <c r="B907" s="16">
        <v>45762</v>
      </c>
      <c r="C907" s="16">
        <v>45763</v>
      </c>
      <c r="D907" s="17">
        <f t="shared" si="126"/>
        <v>1</v>
      </c>
      <c r="E907" s="15" t="s">
        <v>1987</v>
      </c>
      <c r="F907" s="15" t="s">
        <v>132</v>
      </c>
      <c r="G907" s="15" t="s">
        <v>37</v>
      </c>
      <c r="H907" s="15" t="s">
        <v>54</v>
      </c>
      <c r="I907" s="15" t="s">
        <v>175</v>
      </c>
      <c r="J907" s="15" t="s">
        <v>176</v>
      </c>
      <c r="K907" s="15" t="s">
        <v>41</v>
      </c>
      <c r="L907" s="15" t="s">
        <v>57</v>
      </c>
      <c r="M907" s="15" t="s">
        <v>1988</v>
      </c>
      <c r="N907" s="15" t="s">
        <v>50</v>
      </c>
      <c r="O907" s="15">
        <v>5</v>
      </c>
      <c r="P907" s="15">
        <v>2850.53</v>
      </c>
      <c r="Q907" s="18">
        <v>0</v>
      </c>
      <c r="R907" s="15">
        <v>14252.65</v>
      </c>
      <c r="S907" s="15">
        <v>11558.31</v>
      </c>
      <c r="T907" s="15">
        <v>2694.34</v>
      </c>
      <c r="U907" s="15" t="s">
        <v>32</v>
      </c>
      <c r="V907" s="15" t="s">
        <v>33</v>
      </c>
      <c r="W907" s="25"/>
      <c r="X907" s="8" t="str">
        <f>IF(C907&gt;=B907,"Valid", "Invalid-Date")</f>
        <v>Valid</v>
      </c>
      <c r="Y907" s="8" t="str">
        <f t="shared" si="127"/>
        <v>Valid</v>
      </c>
      <c r="Z907" s="19" t="str">
        <f t="shared" si="128"/>
        <v>Pass</v>
      </c>
      <c r="AA907" s="19" t="str">
        <f t="shared" si="129"/>
        <v>Pass</v>
      </c>
      <c r="AB907" s="19" t="str">
        <f>TEXT(B907,"mmmm")</f>
        <v>April</v>
      </c>
      <c r="AC907" s="19" t="str">
        <f>TEXT(B907,"yyyy")</f>
        <v>2025</v>
      </c>
      <c r="AD907" s="20"/>
      <c r="AE907" s="15">
        <f t="shared" si="130"/>
        <v>14252.650000000001</v>
      </c>
      <c r="AF907" s="11">
        <f t="shared" si="131"/>
        <v>14252.650000000001</v>
      </c>
      <c r="AG907" s="15">
        <f t="shared" si="132"/>
        <v>2694.340000000002</v>
      </c>
      <c r="AH907" s="18">
        <f t="shared" si="133"/>
        <v>0.18904133617257154</v>
      </c>
      <c r="AI907" s="45">
        <f t="shared" si="134"/>
        <v>0.18904133617257154</v>
      </c>
    </row>
    <row r="908" spans="1:35" s="15" customFormat="1">
      <c r="A908" s="15" t="s">
        <v>2267</v>
      </c>
      <c r="B908" s="16">
        <v>45794</v>
      </c>
      <c r="C908" s="16">
        <v>45802</v>
      </c>
      <c r="D908" s="17">
        <f t="shared" si="126"/>
        <v>8</v>
      </c>
      <c r="E908" s="15" t="s">
        <v>2268</v>
      </c>
      <c r="F908" s="15" t="s">
        <v>62</v>
      </c>
      <c r="G908" s="15" t="s">
        <v>90</v>
      </c>
      <c r="H908" s="15" t="s">
        <v>54</v>
      </c>
      <c r="I908" s="15" t="s">
        <v>247</v>
      </c>
      <c r="J908" s="15" t="s">
        <v>248</v>
      </c>
      <c r="K908" s="15" t="s">
        <v>74</v>
      </c>
      <c r="L908" s="15" t="s">
        <v>274</v>
      </c>
      <c r="M908" s="15" t="s">
        <v>2269</v>
      </c>
      <c r="N908" s="15" t="s">
        <v>44</v>
      </c>
      <c r="O908" s="15">
        <v>6</v>
      </c>
      <c r="P908" s="15">
        <v>1810.63</v>
      </c>
      <c r="Q908" s="18">
        <v>0.15</v>
      </c>
      <c r="R908" s="15">
        <v>9234.2099999999991</v>
      </c>
      <c r="S908" s="15">
        <v>5516.52</v>
      </c>
      <c r="T908" s="15">
        <v>3717.69</v>
      </c>
      <c r="U908" s="15" t="s">
        <v>32</v>
      </c>
      <c r="V908" s="15" t="s">
        <v>33</v>
      </c>
      <c r="W908" s="25"/>
      <c r="X908" s="8" t="str">
        <f>IF(C908&gt;=B908,"Valid", "Invalid-Date")</f>
        <v>Valid</v>
      </c>
      <c r="Y908" s="8" t="str">
        <f t="shared" si="127"/>
        <v>Valid</v>
      </c>
      <c r="Z908" s="19" t="str">
        <f t="shared" si="128"/>
        <v>Pass</v>
      </c>
      <c r="AA908" s="19" t="str">
        <f t="shared" si="129"/>
        <v>Pass</v>
      </c>
      <c r="AB908" s="19" t="str">
        <f>TEXT(B908,"mmmm")</f>
        <v>May</v>
      </c>
      <c r="AC908" s="19" t="str">
        <f>TEXT(B908,"yyyy")</f>
        <v>2025</v>
      </c>
      <c r="AD908" s="20"/>
      <c r="AE908" s="15">
        <f t="shared" si="130"/>
        <v>10863.78</v>
      </c>
      <c r="AF908" s="11">
        <f t="shared" si="131"/>
        <v>9234.2129999999997</v>
      </c>
      <c r="AG908" s="15">
        <f t="shared" si="132"/>
        <v>5347.26</v>
      </c>
      <c r="AH908" s="18">
        <f t="shared" si="133"/>
        <v>0.49220989379387287</v>
      </c>
      <c r="AI908" s="45">
        <f t="shared" si="134"/>
        <v>0.49220989379387287</v>
      </c>
    </row>
    <row r="909" spans="1:35" s="15" customFormat="1">
      <c r="A909" s="15" t="s">
        <v>508</v>
      </c>
      <c r="B909" s="16">
        <v>45639</v>
      </c>
      <c r="C909" s="16">
        <v>45644</v>
      </c>
      <c r="D909" s="17">
        <f t="shared" si="126"/>
        <v>5</v>
      </c>
      <c r="E909" s="15" t="s">
        <v>509</v>
      </c>
      <c r="F909" s="15" t="s">
        <v>23</v>
      </c>
      <c r="G909" s="15" t="s">
        <v>24</v>
      </c>
      <c r="H909" s="15" t="s">
        <v>63</v>
      </c>
      <c r="I909" s="15" t="s">
        <v>190</v>
      </c>
      <c r="J909" s="15" t="s">
        <v>191</v>
      </c>
      <c r="K909" s="15" t="s">
        <v>74</v>
      </c>
      <c r="L909" s="15" t="s">
        <v>171</v>
      </c>
      <c r="M909" s="15" t="s">
        <v>510</v>
      </c>
      <c r="N909" s="15" t="s">
        <v>31</v>
      </c>
      <c r="O909" s="15">
        <v>8</v>
      </c>
      <c r="P909" s="15">
        <v>3372.15</v>
      </c>
      <c r="Q909" s="18">
        <v>0.15</v>
      </c>
      <c r="R909" s="15">
        <v>22930.62</v>
      </c>
      <c r="S909" s="15">
        <v>16875.55</v>
      </c>
      <c r="T909" s="15">
        <v>6055.07</v>
      </c>
      <c r="U909" s="15" t="s">
        <v>32</v>
      </c>
      <c r="V909" s="15" t="s">
        <v>33</v>
      </c>
      <c r="W909" s="25"/>
      <c r="X909" s="8" t="str">
        <f>IF(C909&gt;=B909,"Valid", "Invalid-Date")</f>
        <v>Valid</v>
      </c>
      <c r="Y909" s="8" t="str">
        <f t="shared" si="127"/>
        <v>Valid</v>
      </c>
      <c r="Z909" s="19" t="str">
        <f t="shared" si="128"/>
        <v>Pass</v>
      </c>
      <c r="AA909" s="19" t="str">
        <f t="shared" si="129"/>
        <v>Pass</v>
      </c>
      <c r="AB909" s="19" t="str">
        <f>TEXT(B909,"mmmm")</f>
        <v>December</v>
      </c>
      <c r="AC909" s="19" t="str">
        <f>TEXT(B909,"yyyy")</f>
        <v>2024</v>
      </c>
      <c r="AD909" s="20"/>
      <c r="AE909" s="15">
        <f t="shared" si="130"/>
        <v>26977.200000000001</v>
      </c>
      <c r="AF909" s="11">
        <f t="shared" si="131"/>
        <v>22930.62</v>
      </c>
      <c r="AG909" s="15">
        <f t="shared" si="132"/>
        <v>10101.650000000001</v>
      </c>
      <c r="AH909" s="18">
        <f t="shared" si="133"/>
        <v>0.37445138857998611</v>
      </c>
      <c r="AI909" s="45">
        <f t="shared" si="134"/>
        <v>0.37445138857998611</v>
      </c>
    </row>
    <row r="910" spans="1:35" s="15" customFormat="1">
      <c r="A910" s="15" t="s">
        <v>2238</v>
      </c>
      <c r="B910" s="16">
        <v>45908</v>
      </c>
      <c r="C910" s="16">
        <v>45909</v>
      </c>
      <c r="D910" s="17">
        <f t="shared" si="126"/>
        <v>1</v>
      </c>
      <c r="E910" s="15" t="s">
        <v>144</v>
      </c>
      <c r="F910" s="15" t="s">
        <v>264</v>
      </c>
      <c r="G910" s="15" t="s">
        <v>90</v>
      </c>
      <c r="H910" s="15" t="s">
        <v>63</v>
      </c>
      <c r="I910" s="15" t="s">
        <v>180</v>
      </c>
      <c r="J910" s="15" t="s">
        <v>181</v>
      </c>
      <c r="K910" s="15" t="s">
        <v>28</v>
      </c>
      <c r="L910" s="15" t="s">
        <v>48</v>
      </c>
      <c r="M910" s="15" t="s">
        <v>2239</v>
      </c>
      <c r="N910" s="15" t="s">
        <v>44</v>
      </c>
      <c r="O910" s="15">
        <v>2</v>
      </c>
      <c r="P910" s="15">
        <v>2372.41</v>
      </c>
      <c r="Q910" s="18">
        <v>0.2</v>
      </c>
      <c r="R910" s="15">
        <v>3795.86</v>
      </c>
      <c r="S910" s="15">
        <v>2264.92</v>
      </c>
      <c r="T910" s="15">
        <v>1530.94</v>
      </c>
      <c r="U910" s="15" t="s">
        <v>32</v>
      </c>
      <c r="V910" s="15" t="s">
        <v>33</v>
      </c>
      <c r="W910" s="25"/>
      <c r="X910" s="8" t="str">
        <f>IF(C910&gt;=B910,"Valid", "Invalid-Date")</f>
        <v>Valid</v>
      </c>
      <c r="Y910" s="8" t="str">
        <f t="shared" si="127"/>
        <v>Valid</v>
      </c>
      <c r="Z910" s="19" t="str">
        <f t="shared" si="128"/>
        <v>Pass</v>
      </c>
      <c r="AA910" s="19" t="str">
        <f t="shared" si="129"/>
        <v>Pass</v>
      </c>
      <c r="AB910" s="19" t="str">
        <f>TEXT(B910,"mmmm")</f>
        <v>September</v>
      </c>
      <c r="AC910" s="19" t="str">
        <f>TEXT(B910,"yyyy")</f>
        <v>2025</v>
      </c>
      <c r="AD910" s="20"/>
      <c r="AE910" s="15">
        <f t="shared" si="130"/>
        <v>4744.82</v>
      </c>
      <c r="AF910" s="11">
        <f t="shared" si="131"/>
        <v>3795.8559999999998</v>
      </c>
      <c r="AG910" s="15">
        <f t="shared" si="132"/>
        <v>2479.8999999999996</v>
      </c>
      <c r="AH910" s="18">
        <f t="shared" si="133"/>
        <v>0.52265417866220421</v>
      </c>
      <c r="AI910" s="45">
        <f t="shared" si="134"/>
        <v>0.52265417866220421</v>
      </c>
    </row>
    <row r="911" spans="1:35" s="15" customFormat="1">
      <c r="A911" s="15" t="s">
        <v>1298</v>
      </c>
      <c r="B911" s="16">
        <v>45771</v>
      </c>
      <c r="C911" s="16">
        <v>45776</v>
      </c>
      <c r="D911" s="17">
        <f t="shared" si="126"/>
        <v>5</v>
      </c>
      <c r="E911" s="15" t="s">
        <v>1299</v>
      </c>
      <c r="F911" s="15" t="s">
        <v>162</v>
      </c>
      <c r="G911" s="15" t="s">
        <v>37</v>
      </c>
      <c r="H911" s="15" t="s">
        <v>54</v>
      </c>
      <c r="I911" s="15" t="s">
        <v>84</v>
      </c>
      <c r="J911" s="15" t="s">
        <v>85</v>
      </c>
      <c r="K911" s="15" t="s">
        <v>28</v>
      </c>
      <c r="L911" s="15" t="s">
        <v>29</v>
      </c>
      <c r="M911" s="15" t="s">
        <v>1300</v>
      </c>
      <c r="N911" s="15" t="s">
        <v>44</v>
      </c>
      <c r="O911" s="15">
        <v>1</v>
      </c>
      <c r="P911" s="15">
        <v>4358.5</v>
      </c>
      <c r="Q911" s="18">
        <v>0.25</v>
      </c>
      <c r="R911" s="15">
        <v>3268.88</v>
      </c>
      <c r="S911" s="15">
        <v>1993.74</v>
      </c>
      <c r="T911" s="15">
        <v>1275.1400000000001</v>
      </c>
      <c r="U911" s="15" t="s">
        <v>32</v>
      </c>
      <c r="V911" s="15" t="s">
        <v>33</v>
      </c>
      <c r="W911" s="25"/>
      <c r="X911" s="8" t="str">
        <f>IF(C911&gt;=B911,"Valid", "Invalid-Date")</f>
        <v>Valid</v>
      </c>
      <c r="Y911" s="8" t="str">
        <f t="shared" si="127"/>
        <v>Valid</v>
      </c>
      <c r="Z911" s="19" t="str">
        <f t="shared" si="128"/>
        <v>Pass</v>
      </c>
      <c r="AA911" s="19" t="str">
        <f t="shared" si="129"/>
        <v>Pass</v>
      </c>
      <c r="AB911" s="19" t="str">
        <f>TEXT(B911,"mmmm")</f>
        <v>April</v>
      </c>
      <c r="AC911" s="19" t="str">
        <f>TEXT(B911,"yyyy")</f>
        <v>2025</v>
      </c>
      <c r="AD911" s="20"/>
      <c r="AE911" s="15">
        <f t="shared" si="130"/>
        <v>4358.5</v>
      </c>
      <c r="AF911" s="11">
        <f t="shared" si="131"/>
        <v>3268.875</v>
      </c>
      <c r="AG911" s="15">
        <f t="shared" si="132"/>
        <v>2364.7600000000002</v>
      </c>
      <c r="AH911" s="18">
        <f t="shared" si="133"/>
        <v>0.54256280830560977</v>
      </c>
      <c r="AI911" s="45">
        <f t="shared" si="134"/>
        <v>0.54256280830560977</v>
      </c>
    </row>
    <row r="912" spans="1:35" s="15" customFormat="1">
      <c r="A912" s="15" t="s">
        <v>478</v>
      </c>
      <c r="B912" s="16">
        <v>45436</v>
      </c>
      <c r="C912" s="16">
        <v>45437</v>
      </c>
      <c r="D912" s="17">
        <f t="shared" si="126"/>
        <v>1</v>
      </c>
      <c r="E912" s="15" t="s">
        <v>479</v>
      </c>
      <c r="F912" s="15" t="s">
        <v>132</v>
      </c>
      <c r="G912" s="15" t="s">
        <v>37</v>
      </c>
      <c r="H912" s="15" t="s">
        <v>25</v>
      </c>
      <c r="I912" s="15" t="s">
        <v>122</v>
      </c>
      <c r="J912" s="15" t="s">
        <v>123</v>
      </c>
      <c r="K912" s="15" t="s">
        <v>74</v>
      </c>
      <c r="L912" s="15" t="s">
        <v>80</v>
      </c>
      <c r="M912" s="15" t="s">
        <v>480</v>
      </c>
      <c r="N912" s="15" t="s">
        <v>44</v>
      </c>
      <c r="O912" s="15">
        <v>1</v>
      </c>
      <c r="P912" s="15">
        <v>634.13</v>
      </c>
      <c r="Q912" s="18">
        <v>0</v>
      </c>
      <c r="R912" s="15">
        <v>634.13</v>
      </c>
      <c r="S912" s="15">
        <v>453.35</v>
      </c>
      <c r="T912" s="15">
        <v>180.78</v>
      </c>
      <c r="U912" s="15" t="s">
        <v>102</v>
      </c>
      <c r="V912" s="15" t="s">
        <v>68</v>
      </c>
      <c r="W912" s="25"/>
      <c r="X912" s="8" t="str">
        <f>IF(C912&gt;=B912,"Valid", "Invalid-Date")</f>
        <v>Valid</v>
      </c>
      <c r="Y912" s="8" t="str">
        <f t="shared" si="127"/>
        <v>Valid</v>
      </c>
      <c r="Z912" s="19" t="str">
        <f t="shared" si="128"/>
        <v>Pass</v>
      </c>
      <c r="AA912" s="19" t="str">
        <f t="shared" si="129"/>
        <v>Pass</v>
      </c>
      <c r="AB912" s="19" t="str">
        <f>TEXT(B912,"mmmm")</f>
        <v>May</v>
      </c>
      <c r="AC912" s="19" t="str">
        <f>TEXT(B912,"yyyy")</f>
        <v>2024</v>
      </c>
      <c r="AD912" s="20"/>
      <c r="AE912" s="15">
        <f t="shared" si="130"/>
        <v>634.13</v>
      </c>
      <c r="AF912" s="11">
        <f t="shared" si="131"/>
        <v>634.13</v>
      </c>
      <c r="AG912" s="15">
        <f t="shared" si="132"/>
        <v>180.77999999999997</v>
      </c>
      <c r="AH912" s="18">
        <f t="shared" si="133"/>
        <v>0.28508350022865969</v>
      </c>
      <c r="AI912" s="45">
        <f t="shared" si="134"/>
        <v>0.28508350022865969</v>
      </c>
    </row>
    <row r="913" spans="1:35" s="15" customFormat="1">
      <c r="A913" s="15" t="s">
        <v>857</v>
      </c>
      <c r="B913" s="16">
        <v>45343</v>
      </c>
      <c r="C913" s="16">
        <v>45349</v>
      </c>
      <c r="D913" s="17">
        <f t="shared" si="126"/>
        <v>6</v>
      </c>
      <c r="E913" s="15" t="s">
        <v>858</v>
      </c>
      <c r="F913" s="15" t="s">
        <v>53</v>
      </c>
      <c r="G913" s="15" t="s">
        <v>37</v>
      </c>
      <c r="H913" s="15" t="s">
        <v>38</v>
      </c>
      <c r="I913" s="15" t="s">
        <v>99</v>
      </c>
      <c r="J913" s="15" t="s">
        <v>100</v>
      </c>
      <c r="K913" s="15" t="s">
        <v>41</v>
      </c>
      <c r="L913" s="15" t="s">
        <v>57</v>
      </c>
      <c r="M913" s="15" t="s">
        <v>859</v>
      </c>
      <c r="N913" s="15" t="s">
        <v>59</v>
      </c>
      <c r="O913" s="15">
        <v>5</v>
      </c>
      <c r="P913" s="15">
        <v>3373.86</v>
      </c>
      <c r="Q913" s="18">
        <v>0.15</v>
      </c>
      <c r="R913" s="15">
        <v>14338.9</v>
      </c>
      <c r="S913" s="15">
        <v>11897.65</v>
      </c>
      <c r="T913" s="15">
        <v>2441.25</v>
      </c>
      <c r="U913" s="15" t="s">
        <v>111</v>
      </c>
      <c r="V913" s="15" t="s">
        <v>103</v>
      </c>
      <c r="W913" s="25"/>
      <c r="X913" s="8" t="str">
        <f>IF(C913&gt;=B913,"Valid", "Invalid-Date")</f>
        <v>Valid</v>
      </c>
      <c r="Y913" s="8" t="str">
        <f t="shared" si="127"/>
        <v>Valid</v>
      </c>
      <c r="Z913" s="19" t="str">
        <f t="shared" si="128"/>
        <v>Pass</v>
      </c>
      <c r="AA913" s="19" t="str">
        <f t="shared" si="129"/>
        <v>Pass</v>
      </c>
      <c r="AB913" s="19" t="str">
        <f>TEXT(B913,"mmmm")</f>
        <v>February</v>
      </c>
      <c r="AC913" s="19" t="str">
        <f>TEXT(B913,"yyyy")</f>
        <v>2024</v>
      </c>
      <c r="AD913" s="20"/>
      <c r="AE913" s="15">
        <f t="shared" si="130"/>
        <v>16869.3</v>
      </c>
      <c r="AF913" s="11">
        <f t="shared" si="131"/>
        <v>14338.904999999999</v>
      </c>
      <c r="AG913" s="15">
        <f t="shared" si="132"/>
        <v>4971.6499999999996</v>
      </c>
      <c r="AH913" s="18">
        <f t="shared" si="133"/>
        <v>0.29471584475941504</v>
      </c>
      <c r="AI913" s="45">
        <f t="shared" si="134"/>
        <v>0.29471584475941504</v>
      </c>
    </row>
    <row r="914" spans="1:35" s="15" customFormat="1">
      <c r="A914" s="15" t="s">
        <v>1233</v>
      </c>
      <c r="B914" s="16">
        <v>45801</v>
      </c>
      <c r="C914" s="16">
        <v>45807</v>
      </c>
      <c r="D914" s="17">
        <f t="shared" si="126"/>
        <v>6</v>
      </c>
      <c r="E914" s="15" t="s">
        <v>1234</v>
      </c>
      <c r="F914" s="15" t="s">
        <v>264</v>
      </c>
      <c r="G914" s="15" t="s">
        <v>37</v>
      </c>
      <c r="H914" s="15" t="s">
        <v>38</v>
      </c>
      <c r="I914" s="15" t="s">
        <v>39</v>
      </c>
      <c r="J914" s="15" t="s">
        <v>40</v>
      </c>
      <c r="K914" s="15" t="s">
        <v>28</v>
      </c>
      <c r="L914" s="15" t="s">
        <v>124</v>
      </c>
      <c r="M914" s="15" t="s">
        <v>1235</v>
      </c>
      <c r="N914" s="15" t="s">
        <v>44</v>
      </c>
      <c r="O914" s="15">
        <v>1</v>
      </c>
      <c r="P914" s="15">
        <v>2564.7399999999998</v>
      </c>
      <c r="Q914" s="18">
        <v>0</v>
      </c>
      <c r="R914" s="15">
        <v>2564.7399999999998</v>
      </c>
      <c r="S914" s="15">
        <v>1754.58</v>
      </c>
      <c r="T914" s="15">
        <v>810.16</v>
      </c>
      <c r="U914" s="15" t="s">
        <v>32</v>
      </c>
      <c r="V914" s="15" t="s">
        <v>33</v>
      </c>
      <c r="W914" s="25"/>
      <c r="X914" s="8" t="str">
        <f>IF(C914&gt;=B914,"Valid", "Invalid-Date")</f>
        <v>Valid</v>
      </c>
      <c r="Y914" s="8" t="str">
        <f t="shared" si="127"/>
        <v>Valid</v>
      </c>
      <c r="Z914" s="19" t="str">
        <f t="shared" si="128"/>
        <v>Pass</v>
      </c>
      <c r="AA914" s="19" t="str">
        <f t="shared" si="129"/>
        <v>Pass</v>
      </c>
      <c r="AB914" s="19" t="str">
        <f>TEXT(B914,"mmmm")</f>
        <v>May</v>
      </c>
      <c r="AC914" s="19" t="str">
        <f>TEXT(B914,"yyyy")</f>
        <v>2025</v>
      </c>
      <c r="AD914" s="20"/>
      <c r="AE914" s="15">
        <f t="shared" si="130"/>
        <v>2564.7399999999998</v>
      </c>
      <c r="AF914" s="11">
        <f t="shared" si="131"/>
        <v>2564.7399999999998</v>
      </c>
      <c r="AG914" s="15">
        <f t="shared" si="132"/>
        <v>810.15999999999985</v>
      </c>
      <c r="AH914" s="18">
        <f t="shared" si="133"/>
        <v>0.31588387126960232</v>
      </c>
      <c r="AI914" s="45">
        <f t="shared" si="134"/>
        <v>0.31588387126960232</v>
      </c>
    </row>
    <row r="915" spans="1:35" s="15" customFormat="1">
      <c r="A915" s="15" t="s">
        <v>945</v>
      </c>
      <c r="B915" s="16">
        <v>45649</v>
      </c>
      <c r="C915" s="16">
        <v>45652</v>
      </c>
      <c r="D915" s="17">
        <f t="shared" si="126"/>
        <v>3</v>
      </c>
      <c r="E915" s="15" t="s">
        <v>946</v>
      </c>
      <c r="F915" s="15" t="s">
        <v>89</v>
      </c>
      <c r="G915" s="15" t="s">
        <v>24</v>
      </c>
      <c r="H915" s="15" t="s">
        <v>54</v>
      </c>
      <c r="I915" s="15" t="s">
        <v>175</v>
      </c>
      <c r="J915" s="15" t="s">
        <v>176</v>
      </c>
      <c r="K915" s="15" t="s">
        <v>74</v>
      </c>
      <c r="L915" s="15" t="s">
        <v>80</v>
      </c>
      <c r="M915" s="15" t="s">
        <v>947</v>
      </c>
      <c r="N915" s="15" t="s">
        <v>59</v>
      </c>
      <c r="O915" s="15">
        <v>9</v>
      </c>
      <c r="P915" s="15">
        <v>993.67</v>
      </c>
      <c r="Q915" s="18">
        <v>0</v>
      </c>
      <c r="R915" s="15">
        <v>8943.0300000000007</v>
      </c>
      <c r="S915" s="15">
        <v>5165.38</v>
      </c>
      <c r="T915" s="15">
        <v>3777.65</v>
      </c>
      <c r="U915" s="15" t="s">
        <v>32</v>
      </c>
      <c r="V915" s="15" t="s">
        <v>33</v>
      </c>
      <c r="W915" s="25"/>
      <c r="X915" s="8" t="str">
        <f>IF(C915&gt;=B915,"Valid", "Invalid-Date")</f>
        <v>Valid</v>
      </c>
      <c r="Y915" s="8" t="str">
        <f t="shared" si="127"/>
        <v>Valid</v>
      </c>
      <c r="Z915" s="19" t="str">
        <f t="shared" si="128"/>
        <v>Pass</v>
      </c>
      <c r="AA915" s="19" t="str">
        <f t="shared" si="129"/>
        <v>Pass</v>
      </c>
      <c r="AB915" s="19" t="str">
        <f>TEXT(B915,"mmmm")</f>
        <v>December</v>
      </c>
      <c r="AC915" s="19" t="str">
        <f>TEXT(B915,"yyyy")</f>
        <v>2024</v>
      </c>
      <c r="AD915" s="20"/>
      <c r="AE915" s="15">
        <f t="shared" si="130"/>
        <v>8943.0299999999988</v>
      </c>
      <c r="AF915" s="11">
        <f t="shared" si="131"/>
        <v>8943.0299999999988</v>
      </c>
      <c r="AG915" s="15">
        <f t="shared" si="132"/>
        <v>3777.6499999999987</v>
      </c>
      <c r="AH915" s="18">
        <f t="shared" si="133"/>
        <v>0.42241276167026154</v>
      </c>
      <c r="AI915" s="45">
        <f t="shared" si="134"/>
        <v>0.42241276167026154</v>
      </c>
    </row>
    <row r="916" spans="1:35" s="15" customFormat="1">
      <c r="A916" s="15" t="s">
        <v>2218</v>
      </c>
      <c r="B916" s="16">
        <v>45332</v>
      </c>
      <c r="C916" s="16">
        <v>45340</v>
      </c>
      <c r="D916" s="17">
        <f t="shared" si="126"/>
        <v>8</v>
      </c>
      <c r="E916" s="15" t="s">
        <v>2219</v>
      </c>
      <c r="F916" s="15" t="s">
        <v>47</v>
      </c>
      <c r="G916" s="15" t="s">
        <v>95</v>
      </c>
      <c r="H916" s="15" t="s">
        <v>63</v>
      </c>
      <c r="I916" s="15" t="s">
        <v>72</v>
      </c>
      <c r="J916" s="15" t="s">
        <v>73</v>
      </c>
      <c r="K916" s="15" t="s">
        <v>41</v>
      </c>
      <c r="L916" s="15" t="s">
        <v>66</v>
      </c>
      <c r="M916" s="15" t="s">
        <v>2220</v>
      </c>
      <c r="N916" s="15" t="s">
        <v>50</v>
      </c>
      <c r="O916" s="15">
        <v>7</v>
      </c>
      <c r="P916" s="15">
        <v>1382.86</v>
      </c>
      <c r="Q916" s="18">
        <v>0</v>
      </c>
      <c r="R916" s="15">
        <v>9680.02</v>
      </c>
      <c r="S916" s="15">
        <v>6876.66</v>
      </c>
      <c r="T916" s="15">
        <v>2803.36</v>
      </c>
      <c r="U916" s="15" t="s">
        <v>32</v>
      </c>
      <c r="V916" s="15" t="s">
        <v>33</v>
      </c>
      <c r="W916" s="25"/>
      <c r="X916" s="8" t="str">
        <f>IF(C916&gt;=B916,"Valid", "Invalid-Date")</f>
        <v>Valid</v>
      </c>
      <c r="Y916" s="8" t="str">
        <f t="shared" si="127"/>
        <v>Valid</v>
      </c>
      <c r="Z916" s="19" t="str">
        <f t="shared" si="128"/>
        <v>Pass</v>
      </c>
      <c r="AA916" s="19" t="str">
        <f t="shared" si="129"/>
        <v>Pass</v>
      </c>
      <c r="AB916" s="19" t="str">
        <f>TEXT(B916,"mmmm")</f>
        <v>February</v>
      </c>
      <c r="AC916" s="19" t="str">
        <f>TEXT(B916,"yyyy")</f>
        <v>2024</v>
      </c>
      <c r="AD916" s="20"/>
      <c r="AE916" s="15">
        <f t="shared" si="130"/>
        <v>9680.0199999999986</v>
      </c>
      <c r="AF916" s="11">
        <f t="shared" si="131"/>
        <v>9680.0199999999986</v>
      </c>
      <c r="AG916" s="15">
        <f t="shared" si="132"/>
        <v>2803.3599999999988</v>
      </c>
      <c r="AH916" s="18">
        <f t="shared" si="133"/>
        <v>0.28960270743242256</v>
      </c>
      <c r="AI916" s="45">
        <f t="shared" si="134"/>
        <v>0.28960270743242256</v>
      </c>
    </row>
    <row r="917" spans="1:35" s="15" customFormat="1">
      <c r="A917" s="15" t="s">
        <v>1744</v>
      </c>
      <c r="B917" s="16">
        <v>45971</v>
      </c>
      <c r="C917" s="16">
        <v>45943</v>
      </c>
      <c r="D917" s="17">
        <f t="shared" si="126"/>
        <v>-28</v>
      </c>
      <c r="E917" s="15" t="s">
        <v>1745</v>
      </c>
      <c r="F917" s="15" t="s">
        <v>36</v>
      </c>
      <c r="G917" s="15" t="s">
        <v>90</v>
      </c>
      <c r="H917" s="15" t="s">
        <v>54</v>
      </c>
      <c r="I917" s="15" t="s">
        <v>55</v>
      </c>
      <c r="J917" s="15" t="s">
        <v>56</v>
      </c>
      <c r="K917" s="15" t="s">
        <v>28</v>
      </c>
      <c r="L917" s="15" t="s">
        <v>48</v>
      </c>
      <c r="M917" s="15" t="s">
        <v>1746</v>
      </c>
      <c r="N917" s="15" t="s">
        <v>31</v>
      </c>
      <c r="O917" s="15">
        <v>3</v>
      </c>
      <c r="P917" s="15">
        <v>3804.27</v>
      </c>
      <c r="Q917" s="18">
        <v>0.1</v>
      </c>
      <c r="R917" s="15">
        <v>10271.530000000001</v>
      </c>
      <c r="S917" s="15">
        <v>8272.24</v>
      </c>
      <c r="T917" s="15">
        <v>1999.29</v>
      </c>
      <c r="U917" s="15" t="s">
        <v>32</v>
      </c>
      <c r="V917" s="15" t="s">
        <v>33</v>
      </c>
      <c r="W917" s="25"/>
      <c r="X917" s="8" t="str">
        <f>IF(C917&gt;=B917,"Valid", "Invalid-Date")</f>
        <v>Invalid-Date</v>
      </c>
      <c r="Y917" s="8" t="str">
        <f t="shared" si="127"/>
        <v>Valid</v>
      </c>
      <c r="Z917" s="19" t="str">
        <f t="shared" si="128"/>
        <v>Pass</v>
      </c>
      <c r="AA917" s="19" t="str">
        <f t="shared" si="129"/>
        <v>Pass</v>
      </c>
      <c r="AB917" s="19" t="str">
        <f>TEXT(B917,"mmmm")</f>
        <v>November</v>
      </c>
      <c r="AC917" s="19" t="str">
        <f>TEXT(B917,"yyyy")</f>
        <v>2025</v>
      </c>
      <c r="AD917" s="20"/>
      <c r="AE917" s="15">
        <f t="shared" si="130"/>
        <v>11412.81</v>
      </c>
      <c r="AF917" s="11">
        <f t="shared" si="131"/>
        <v>10271.529</v>
      </c>
      <c r="AG917" s="15">
        <f t="shared" si="132"/>
        <v>3140.5699999999997</v>
      </c>
      <c r="AH917" s="18">
        <f t="shared" si="133"/>
        <v>0.2751793817648765</v>
      </c>
      <c r="AI917" s="45">
        <f t="shared" si="134"/>
        <v>0.2751793817648765</v>
      </c>
    </row>
    <row r="918" spans="1:35" s="15" customFormat="1">
      <c r="A918" s="15" t="s">
        <v>2620</v>
      </c>
      <c r="B918" s="16">
        <v>45357</v>
      </c>
      <c r="C918" s="16">
        <v>45363</v>
      </c>
      <c r="D918" s="17">
        <f t="shared" si="126"/>
        <v>6</v>
      </c>
      <c r="E918" s="15" t="s">
        <v>2621</v>
      </c>
      <c r="F918" s="15" t="s">
        <v>47</v>
      </c>
      <c r="G918" s="15" t="s">
        <v>95</v>
      </c>
      <c r="H918" s="15" t="s">
        <v>63</v>
      </c>
      <c r="I918" s="15" t="s">
        <v>180</v>
      </c>
      <c r="J918" s="15" t="s">
        <v>181</v>
      </c>
      <c r="K918" s="15" t="s">
        <v>41</v>
      </c>
      <c r="L918" s="15" t="s">
        <v>158</v>
      </c>
      <c r="M918" s="15" t="s">
        <v>2622</v>
      </c>
      <c r="N918" s="15" t="s">
        <v>59</v>
      </c>
      <c r="O918" s="15">
        <v>3</v>
      </c>
      <c r="P918" s="15">
        <v>679.63</v>
      </c>
      <c r="Q918" s="18">
        <v>0.2</v>
      </c>
      <c r="R918" s="15">
        <v>1631.11</v>
      </c>
      <c r="S918" s="15">
        <v>898.73</v>
      </c>
      <c r="T918" s="15">
        <v>396.58</v>
      </c>
      <c r="U918" s="15" t="s">
        <v>32</v>
      </c>
      <c r="V918" s="15" t="s">
        <v>33</v>
      </c>
      <c r="W918" s="25"/>
      <c r="X918" s="8" t="str">
        <f>IF(C918&gt;=B918,"Valid", "Invalid-Date")</f>
        <v>Valid</v>
      </c>
      <c r="Y918" s="8" t="str">
        <f t="shared" si="127"/>
        <v>Valid</v>
      </c>
      <c r="Z918" s="19" t="str">
        <f t="shared" si="128"/>
        <v>Pass</v>
      </c>
      <c r="AA918" s="19" t="str">
        <f t="shared" si="129"/>
        <v>Pass</v>
      </c>
      <c r="AB918" s="19" t="str">
        <f>TEXT(B918,"mmmm")</f>
        <v>March</v>
      </c>
      <c r="AC918" s="19" t="str">
        <f>TEXT(B918,"yyyy")</f>
        <v>2024</v>
      </c>
      <c r="AD918" s="20"/>
      <c r="AE918" s="15">
        <f t="shared" si="130"/>
        <v>2038.8899999999999</v>
      </c>
      <c r="AF918" s="11">
        <f t="shared" si="131"/>
        <v>1631.1120000000001</v>
      </c>
      <c r="AG918" s="15">
        <f t="shared" si="132"/>
        <v>1140.1599999999999</v>
      </c>
      <c r="AH918" s="18">
        <f t="shared" si="133"/>
        <v>0.55920623476499465</v>
      </c>
      <c r="AI918" s="45">
        <f t="shared" si="134"/>
        <v>0.55920623476499465</v>
      </c>
    </row>
    <row r="919" spans="1:35" s="15" customFormat="1">
      <c r="A919" s="15" t="s">
        <v>490</v>
      </c>
      <c r="B919" s="16">
        <v>45687</v>
      </c>
      <c r="C919" s="16">
        <v>45683</v>
      </c>
      <c r="D919" s="17">
        <f t="shared" si="126"/>
        <v>-4</v>
      </c>
      <c r="E919" s="15" t="s">
        <v>491</v>
      </c>
      <c r="F919" s="15" t="s">
        <v>114</v>
      </c>
      <c r="G919" s="15" t="s">
        <v>90</v>
      </c>
      <c r="H919" s="15" t="s">
        <v>63</v>
      </c>
      <c r="I919" s="15" t="s">
        <v>72</v>
      </c>
      <c r="J919" s="15" t="s">
        <v>73</v>
      </c>
      <c r="K919" s="15" t="s">
        <v>28</v>
      </c>
      <c r="L919" s="15" t="s">
        <v>124</v>
      </c>
      <c r="M919" s="15" t="s">
        <v>492</v>
      </c>
      <c r="N919" s="15" t="s">
        <v>31</v>
      </c>
      <c r="O919" s="15">
        <v>2</v>
      </c>
      <c r="P919" s="15">
        <v>3039.3</v>
      </c>
      <c r="Q919" s="18">
        <v>0.05</v>
      </c>
      <c r="R919" s="15">
        <v>5774.67</v>
      </c>
      <c r="S919" s="15">
        <v>3518.36</v>
      </c>
      <c r="T919" s="15">
        <v>2256.31</v>
      </c>
      <c r="U919" s="15" t="s">
        <v>32</v>
      </c>
      <c r="V919" s="15" t="s">
        <v>33</v>
      </c>
      <c r="W919" s="25"/>
      <c r="X919" s="8" t="str">
        <f>IF(C919&gt;=B919,"Valid", "Invalid-Date")</f>
        <v>Invalid-Date</v>
      </c>
      <c r="Y919" s="8" t="str">
        <f t="shared" si="127"/>
        <v>Valid</v>
      </c>
      <c r="Z919" s="19" t="str">
        <f t="shared" si="128"/>
        <v>Pass</v>
      </c>
      <c r="AA919" s="19" t="str">
        <f t="shared" si="129"/>
        <v>Pass</v>
      </c>
      <c r="AB919" s="19" t="str">
        <f>TEXT(B919,"mmmm")</f>
        <v>January</v>
      </c>
      <c r="AC919" s="19" t="str">
        <f>TEXT(B919,"yyyy")</f>
        <v>2025</v>
      </c>
      <c r="AD919" s="20"/>
      <c r="AE919" s="15">
        <f t="shared" si="130"/>
        <v>6078.6</v>
      </c>
      <c r="AF919" s="11">
        <f t="shared" si="131"/>
        <v>5774.67</v>
      </c>
      <c r="AG919" s="15">
        <f t="shared" si="132"/>
        <v>2560.2400000000002</v>
      </c>
      <c r="AH919" s="18">
        <f t="shared" si="133"/>
        <v>0.42118908959299839</v>
      </c>
      <c r="AI919" s="45">
        <f t="shared" si="134"/>
        <v>0.42118908959299839</v>
      </c>
    </row>
    <row r="920" spans="1:35" s="15" customFormat="1">
      <c r="A920" s="15" t="s">
        <v>2112</v>
      </c>
      <c r="B920" s="16">
        <v>45970</v>
      </c>
      <c r="C920" s="16">
        <v>45918</v>
      </c>
      <c r="D920" s="17">
        <f t="shared" si="126"/>
        <v>-52</v>
      </c>
      <c r="E920" s="15" t="s">
        <v>2113</v>
      </c>
      <c r="F920" s="15" t="s">
        <v>118</v>
      </c>
      <c r="G920" s="15" t="s">
        <v>37</v>
      </c>
      <c r="H920" s="15" t="s">
        <v>25</v>
      </c>
      <c r="I920" s="15" t="s">
        <v>350</v>
      </c>
      <c r="J920" s="15" t="s">
        <v>351</v>
      </c>
      <c r="K920" s="15" t="s">
        <v>74</v>
      </c>
      <c r="L920" s="15" t="s">
        <v>171</v>
      </c>
      <c r="M920" s="15" t="s">
        <v>2114</v>
      </c>
      <c r="N920" s="15" t="s">
        <v>44</v>
      </c>
      <c r="O920" s="15">
        <v>7</v>
      </c>
      <c r="P920" s="15">
        <v>3411.21</v>
      </c>
      <c r="Q920" s="18">
        <v>0.15</v>
      </c>
      <c r="R920" s="15">
        <v>20296.7</v>
      </c>
      <c r="S920" s="15">
        <v>14920.87</v>
      </c>
      <c r="T920" s="15">
        <v>5375.83</v>
      </c>
      <c r="U920" s="15" t="s">
        <v>32</v>
      </c>
      <c r="V920" s="15" t="s">
        <v>33</v>
      </c>
      <c r="W920" s="25"/>
      <c r="X920" s="8" t="str">
        <f>IF(C920&gt;=B920,"Valid", "Invalid-Date")</f>
        <v>Invalid-Date</v>
      </c>
      <c r="Y920" s="8" t="str">
        <f t="shared" si="127"/>
        <v>Valid</v>
      </c>
      <c r="Z920" s="19" t="str">
        <f t="shared" si="128"/>
        <v>Pass</v>
      </c>
      <c r="AA920" s="19" t="str">
        <f t="shared" si="129"/>
        <v>Pass</v>
      </c>
      <c r="AB920" s="19" t="str">
        <f>TEXT(B920,"mmmm")</f>
        <v>November</v>
      </c>
      <c r="AC920" s="19" t="str">
        <f>TEXT(B920,"yyyy")</f>
        <v>2025</v>
      </c>
      <c r="AD920" s="20"/>
      <c r="AE920" s="15">
        <f t="shared" si="130"/>
        <v>23878.47</v>
      </c>
      <c r="AF920" s="11">
        <f t="shared" si="131"/>
        <v>20296.699499999999</v>
      </c>
      <c r="AG920" s="15">
        <f t="shared" si="132"/>
        <v>8957.6</v>
      </c>
      <c r="AH920" s="18">
        <f t="shared" si="133"/>
        <v>0.3751329126196109</v>
      </c>
      <c r="AI920" s="45">
        <f t="shared" si="134"/>
        <v>0.3751329126196109</v>
      </c>
    </row>
    <row r="921" spans="1:35" s="15" customFormat="1">
      <c r="A921" s="15" t="s">
        <v>77</v>
      </c>
      <c r="B921" s="16">
        <v>45934</v>
      </c>
      <c r="C921" s="16">
        <v>45763</v>
      </c>
      <c r="D921" s="17">
        <f t="shared" si="126"/>
        <v>-171</v>
      </c>
      <c r="E921" s="15" t="s">
        <v>78</v>
      </c>
      <c r="F921" s="15" t="s">
        <v>79</v>
      </c>
      <c r="G921" s="15" t="s">
        <v>24</v>
      </c>
      <c r="H921" s="15" t="s">
        <v>38</v>
      </c>
      <c r="I921" s="15" t="s">
        <v>39</v>
      </c>
      <c r="J921" s="15" t="s">
        <v>40</v>
      </c>
      <c r="K921" s="15" t="s">
        <v>74</v>
      </c>
      <c r="L921" s="15" t="s">
        <v>80</v>
      </c>
      <c r="M921" s="15" t="s">
        <v>81</v>
      </c>
      <c r="N921" s="15" t="s">
        <v>59</v>
      </c>
      <c r="O921" s="15">
        <v>4</v>
      </c>
      <c r="P921" s="15">
        <v>1719.87</v>
      </c>
      <c r="Q921" s="18">
        <v>0.15</v>
      </c>
      <c r="R921" s="15">
        <v>5847.56</v>
      </c>
      <c r="S921" s="15">
        <v>4727.25</v>
      </c>
      <c r="T921" s="15">
        <v>1120.31</v>
      </c>
      <c r="U921" s="15" t="s">
        <v>32</v>
      </c>
      <c r="V921" s="15" t="s">
        <v>33</v>
      </c>
      <c r="W921" s="25"/>
      <c r="X921" s="8" t="str">
        <f>IF(C921&gt;=B921,"Valid", "Invalid-Date")</f>
        <v>Invalid-Date</v>
      </c>
      <c r="Y921" s="8" t="str">
        <f t="shared" si="127"/>
        <v>Valid</v>
      </c>
      <c r="Z921" s="19" t="str">
        <f t="shared" si="128"/>
        <v>Pass</v>
      </c>
      <c r="AA921" s="19" t="str">
        <f t="shared" si="129"/>
        <v>Pass</v>
      </c>
      <c r="AB921" s="19" t="str">
        <f>TEXT(B921,"mmmm")</f>
        <v>October</v>
      </c>
      <c r="AC921" s="19" t="str">
        <f>TEXT(B921,"yyyy")</f>
        <v>2025</v>
      </c>
      <c r="AD921" s="20"/>
      <c r="AE921" s="15">
        <f t="shared" si="130"/>
        <v>6879.48</v>
      </c>
      <c r="AF921" s="11">
        <f t="shared" si="131"/>
        <v>5847.5579999999991</v>
      </c>
      <c r="AG921" s="15">
        <f t="shared" si="132"/>
        <v>2152.2299999999996</v>
      </c>
      <c r="AH921" s="18">
        <f t="shared" si="133"/>
        <v>0.3128477733782204</v>
      </c>
      <c r="AI921" s="45">
        <f t="shared" si="134"/>
        <v>0.3128477733782204</v>
      </c>
    </row>
    <row r="922" spans="1:35" s="15" customFormat="1">
      <c r="A922" s="15" t="s">
        <v>1097</v>
      </c>
      <c r="B922" s="16">
        <v>45630</v>
      </c>
      <c r="C922" s="16">
        <v>45455</v>
      </c>
      <c r="D922" s="17">
        <f t="shared" si="126"/>
        <v>-175</v>
      </c>
      <c r="E922" s="15" t="s">
        <v>1098</v>
      </c>
      <c r="F922" s="15" t="s">
        <v>132</v>
      </c>
      <c r="G922" s="15" t="s">
        <v>95</v>
      </c>
      <c r="H922" s="15" t="s">
        <v>38</v>
      </c>
      <c r="I922" s="15" t="s">
        <v>39</v>
      </c>
      <c r="J922" s="15" t="s">
        <v>40</v>
      </c>
      <c r="K922" s="15" t="s">
        <v>28</v>
      </c>
      <c r="L922" s="15" t="s">
        <v>153</v>
      </c>
      <c r="M922" s="15" t="s">
        <v>1099</v>
      </c>
      <c r="N922" s="15" t="s">
        <v>31</v>
      </c>
      <c r="O922" s="15">
        <v>4</v>
      </c>
      <c r="P922" s="15">
        <v>2685.66</v>
      </c>
      <c r="Q922" s="18">
        <v>0</v>
      </c>
      <c r="R922" s="15">
        <v>10989.89</v>
      </c>
      <c r="S922" s="15">
        <v>6477.37</v>
      </c>
      <c r="T922" s="15">
        <v>4265.2700000000004</v>
      </c>
      <c r="U922" s="15" t="s">
        <v>32</v>
      </c>
      <c r="V922" s="15" t="s">
        <v>33</v>
      </c>
      <c r="W922" s="25"/>
      <c r="X922" s="8" t="str">
        <f>IF(C922&gt;=B922,"Valid", "Invalid-Date")</f>
        <v>Invalid-Date</v>
      </c>
      <c r="Y922" s="8" t="str">
        <f t="shared" si="127"/>
        <v>Valid</v>
      </c>
      <c r="Z922" s="19" t="str">
        <f t="shared" si="128"/>
        <v>Pass</v>
      </c>
      <c r="AA922" s="19" t="str">
        <f t="shared" si="129"/>
        <v>Pass</v>
      </c>
      <c r="AB922" s="19" t="str">
        <f>TEXT(B922,"mmmm")</f>
        <v>December</v>
      </c>
      <c r="AC922" s="19" t="str">
        <f>TEXT(B922,"yyyy")</f>
        <v>2024</v>
      </c>
      <c r="AD922" s="20"/>
      <c r="AE922" s="15">
        <f t="shared" si="130"/>
        <v>10742.64</v>
      </c>
      <c r="AF922" s="11">
        <f t="shared" si="131"/>
        <v>10742.64</v>
      </c>
      <c r="AG922" s="15">
        <f t="shared" si="132"/>
        <v>4265.2699999999995</v>
      </c>
      <c r="AH922" s="18">
        <f t="shared" si="133"/>
        <v>0.39704113700170535</v>
      </c>
      <c r="AI922" s="45">
        <f t="shared" si="134"/>
        <v>0.39704113700170535</v>
      </c>
    </row>
    <row r="923" spans="1:35" s="15" customFormat="1">
      <c r="A923" s="15" t="s">
        <v>380</v>
      </c>
      <c r="B923" s="16">
        <v>45893</v>
      </c>
      <c r="C923" s="16">
        <v>45898</v>
      </c>
      <c r="D923" s="17">
        <f t="shared" si="126"/>
        <v>5</v>
      </c>
      <c r="E923" s="15" t="s">
        <v>381</v>
      </c>
      <c r="F923" s="15" t="s">
        <v>128</v>
      </c>
      <c r="G923" s="15" t="s">
        <v>37</v>
      </c>
      <c r="H923" s="15" t="s">
        <v>38</v>
      </c>
      <c r="I923" s="15" t="s">
        <v>145</v>
      </c>
      <c r="J923" s="15" t="s">
        <v>146</v>
      </c>
      <c r="K923" s="15" t="s">
        <v>74</v>
      </c>
      <c r="L923" s="15" t="s">
        <v>80</v>
      </c>
      <c r="M923" s="15" t="s">
        <v>382</v>
      </c>
      <c r="N923" s="15" t="s">
        <v>50</v>
      </c>
      <c r="O923" s="15">
        <v>3</v>
      </c>
      <c r="P923" s="15">
        <v>3703.96</v>
      </c>
      <c r="Q923" s="18">
        <v>0.15</v>
      </c>
      <c r="R923" s="15">
        <v>9549.44</v>
      </c>
      <c r="S923" s="15">
        <v>5586.28</v>
      </c>
      <c r="T923" s="15">
        <v>3858.82</v>
      </c>
      <c r="U923" s="15" t="s">
        <v>32</v>
      </c>
      <c r="V923" s="15" t="s">
        <v>103</v>
      </c>
      <c r="W923" s="25"/>
      <c r="X923" s="8" t="str">
        <f>IF(C923&gt;=B923,"Valid", "Invalid-Date")</f>
        <v>Valid</v>
      </c>
      <c r="Y923" s="8" t="str">
        <f t="shared" si="127"/>
        <v>Valid</v>
      </c>
      <c r="Z923" s="19" t="str">
        <f t="shared" si="128"/>
        <v>Pass</v>
      </c>
      <c r="AA923" s="19" t="str">
        <f t="shared" si="129"/>
        <v>Pass</v>
      </c>
      <c r="AB923" s="19" t="str">
        <f>TEXT(B923,"mmmm")</f>
        <v>August</v>
      </c>
      <c r="AC923" s="19" t="str">
        <f>TEXT(B923,"yyyy")</f>
        <v>2025</v>
      </c>
      <c r="AD923" s="20"/>
      <c r="AE923" s="15">
        <f t="shared" si="130"/>
        <v>11111.880000000001</v>
      </c>
      <c r="AF923" s="11">
        <f t="shared" si="131"/>
        <v>9445.098</v>
      </c>
      <c r="AG923" s="15">
        <f t="shared" si="132"/>
        <v>5525.6000000000013</v>
      </c>
      <c r="AH923" s="18">
        <f t="shared" si="133"/>
        <v>0.49726958894444512</v>
      </c>
      <c r="AI923" s="45">
        <f t="shared" si="134"/>
        <v>0.49726958894444512</v>
      </c>
    </row>
    <row r="924" spans="1:35" s="15" customFormat="1">
      <c r="A924" s="15" t="s">
        <v>1221</v>
      </c>
      <c r="B924" s="16">
        <v>45760</v>
      </c>
      <c r="C924" s="16">
        <v>45760</v>
      </c>
      <c r="D924" s="17">
        <f t="shared" si="126"/>
        <v>0</v>
      </c>
      <c r="E924" s="15" t="s">
        <v>1222</v>
      </c>
      <c r="F924" s="15" t="s">
        <v>132</v>
      </c>
      <c r="G924" s="15" t="s">
        <v>37</v>
      </c>
      <c r="H924" s="15" t="s">
        <v>25</v>
      </c>
      <c r="I924" s="15" t="s">
        <v>136</v>
      </c>
      <c r="J924" s="15" t="s">
        <v>137</v>
      </c>
      <c r="K924" s="15" t="s">
        <v>28</v>
      </c>
      <c r="L924" s="15" t="s">
        <v>124</v>
      </c>
      <c r="M924" s="15" t="s">
        <v>1223</v>
      </c>
      <c r="N924" s="15" t="s">
        <v>31</v>
      </c>
      <c r="O924" s="15">
        <v>9</v>
      </c>
      <c r="P924" s="15">
        <v>1118.68</v>
      </c>
      <c r="Q924" s="18">
        <v>0</v>
      </c>
      <c r="R924" s="15">
        <v>10348.43</v>
      </c>
      <c r="S924" s="15">
        <v>8595.3700000000008</v>
      </c>
      <c r="T924" s="15">
        <v>1472.75</v>
      </c>
      <c r="U924" s="15" t="s">
        <v>32</v>
      </c>
      <c r="V924" s="15" t="s">
        <v>103</v>
      </c>
      <c r="W924" s="25"/>
      <c r="X924" s="8" t="str">
        <f>IF(C924&gt;=B924,"Valid", "Invalid-Date")</f>
        <v>Valid</v>
      </c>
      <c r="Y924" s="8" t="str">
        <f t="shared" si="127"/>
        <v>Valid</v>
      </c>
      <c r="Z924" s="19" t="str">
        <f t="shared" si="128"/>
        <v>Pass</v>
      </c>
      <c r="AA924" s="19" t="str">
        <f t="shared" si="129"/>
        <v>Pass</v>
      </c>
      <c r="AB924" s="19" t="str">
        <f>TEXT(B924,"mmmm")</f>
        <v>April</v>
      </c>
      <c r="AC924" s="19" t="str">
        <f>TEXT(B924,"yyyy")</f>
        <v>2025</v>
      </c>
      <c r="AD924" s="20"/>
      <c r="AE924" s="15">
        <f t="shared" si="130"/>
        <v>10068.120000000001</v>
      </c>
      <c r="AF924" s="11">
        <f t="shared" si="131"/>
        <v>10068.120000000001</v>
      </c>
      <c r="AG924" s="15">
        <f t="shared" si="132"/>
        <v>1472.75</v>
      </c>
      <c r="AH924" s="18">
        <f t="shared" si="133"/>
        <v>0.14627855051389932</v>
      </c>
      <c r="AI924" s="45">
        <f t="shared" si="134"/>
        <v>0.14627855051389932</v>
      </c>
    </row>
    <row r="925" spans="1:35" s="15" customFormat="1">
      <c r="A925" s="15" t="s">
        <v>779</v>
      </c>
      <c r="B925" s="16">
        <v>45698</v>
      </c>
      <c r="C925" s="16">
        <v>45879</v>
      </c>
      <c r="D925" s="17">
        <f t="shared" si="126"/>
        <v>181</v>
      </c>
      <c r="E925" s="15" t="s">
        <v>780</v>
      </c>
      <c r="F925" s="15" t="s">
        <v>47</v>
      </c>
      <c r="G925" s="15" t="s">
        <v>37</v>
      </c>
      <c r="H925" s="15" t="s">
        <v>25</v>
      </c>
      <c r="I925" s="15" t="s">
        <v>122</v>
      </c>
      <c r="J925" s="15" t="s">
        <v>123</v>
      </c>
      <c r="K925" s="15" t="s">
        <v>41</v>
      </c>
      <c r="L925" s="15" t="s">
        <v>57</v>
      </c>
      <c r="M925" s="15" t="s">
        <v>781</v>
      </c>
      <c r="N925" s="15" t="s">
        <v>59</v>
      </c>
      <c r="O925" s="15">
        <v>4</v>
      </c>
      <c r="P925" s="15">
        <v>3944.64</v>
      </c>
      <c r="Q925" s="18">
        <v>0.25</v>
      </c>
      <c r="R925" s="15">
        <v>12116.89</v>
      </c>
      <c r="S925" s="15">
        <v>6682.92</v>
      </c>
      <c r="T925" s="15">
        <v>5151</v>
      </c>
      <c r="U925" s="15" t="s">
        <v>32</v>
      </c>
      <c r="V925" s="15" t="s">
        <v>103</v>
      </c>
      <c r="W925" s="25"/>
      <c r="X925" s="8" t="str">
        <f>IF(C925&gt;=B925,"Valid", "Invalid-Date")</f>
        <v>Valid</v>
      </c>
      <c r="Y925" s="8" t="str">
        <f t="shared" si="127"/>
        <v>Valid</v>
      </c>
      <c r="Z925" s="19" t="str">
        <f t="shared" si="128"/>
        <v>Pass</v>
      </c>
      <c r="AA925" s="19" t="str">
        <f t="shared" si="129"/>
        <v>Pass</v>
      </c>
      <c r="AB925" s="19" t="str">
        <f>TEXT(B925,"mmmm")</f>
        <v>February</v>
      </c>
      <c r="AC925" s="19" t="str">
        <f>TEXT(B925,"yyyy")</f>
        <v>2025</v>
      </c>
      <c r="AD925" s="20"/>
      <c r="AE925" s="15">
        <f t="shared" si="130"/>
        <v>15778.56</v>
      </c>
      <c r="AF925" s="11">
        <f t="shared" si="131"/>
        <v>11833.92</v>
      </c>
      <c r="AG925" s="15">
        <f t="shared" si="132"/>
        <v>9095.64</v>
      </c>
      <c r="AH925" s="18">
        <f t="shared" si="133"/>
        <v>0.5764556461426138</v>
      </c>
      <c r="AI925" s="45">
        <f t="shared" si="134"/>
        <v>0.5764556461426138</v>
      </c>
    </row>
    <row r="926" spans="1:35" s="15" customFormat="1">
      <c r="A926" s="15" t="s">
        <v>1047</v>
      </c>
      <c r="B926" s="16">
        <v>45795</v>
      </c>
      <c r="C926" s="16">
        <v>45797</v>
      </c>
      <c r="D926" s="17">
        <f t="shared" si="126"/>
        <v>2</v>
      </c>
      <c r="E926" s="15" t="s">
        <v>1048</v>
      </c>
      <c r="F926" s="15" t="s">
        <v>47</v>
      </c>
      <c r="G926" s="15" t="s">
        <v>90</v>
      </c>
      <c r="H926" s="15" t="s">
        <v>63</v>
      </c>
      <c r="I926" s="15" t="s">
        <v>72</v>
      </c>
      <c r="J926" s="15" t="s">
        <v>73</v>
      </c>
      <c r="K926" s="15" t="s">
        <v>28</v>
      </c>
      <c r="L926" s="15" t="s">
        <v>91</v>
      </c>
      <c r="M926" s="15" t="s">
        <v>1049</v>
      </c>
      <c r="N926" s="15" t="s">
        <v>59</v>
      </c>
      <c r="O926" s="15">
        <v>9</v>
      </c>
      <c r="P926" s="15">
        <v>847.76</v>
      </c>
      <c r="Q926" s="18">
        <v>0.15</v>
      </c>
      <c r="R926" s="15">
        <v>6589.37</v>
      </c>
      <c r="S926" s="15">
        <v>5376.17</v>
      </c>
      <c r="T926" s="15">
        <v>1109.19</v>
      </c>
      <c r="U926" s="15" t="s">
        <v>155</v>
      </c>
      <c r="V926" s="15" t="s">
        <v>33</v>
      </c>
      <c r="W926" s="25"/>
      <c r="X926" s="8" t="str">
        <f>IF(C926&gt;=B926,"Valid", "Invalid-Date")</f>
        <v>Valid</v>
      </c>
      <c r="Y926" s="8" t="str">
        <f t="shared" si="127"/>
        <v>Valid</v>
      </c>
      <c r="Z926" s="19" t="str">
        <f t="shared" si="128"/>
        <v>Pass</v>
      </c>
      <c r="AA926" s="19" t="str">
        <f t="shared" si="129"/>
        <v>Pass</v>
      </c>
      <c r="AB926" s="19" t="str">
        <f>TEXT(B926,"mmmm")</f>
        <v>May</v>
      </c>
      <c r="AC926" s="19" t="str">
        <f>TEXT(B926,"yyyy")</f>
        <v>2025</v>
      </c>
      <c r="AD926" s="20"/>
      <c r="AE926" s="15">
        <f t="shared" si="130"/>
        <v>7629.84</v>
      </c>
      <c r="AF926" s="11">
        <f t="shared" si="131"/>
        <v>6485.3639999999996</v>
      </c>
      <c r="AG926" s="15">
        <f t="shared" si="132"/>
        <v>2253.67</v>
      </c>
      <c r="AH926" s="18">
        <f t="shared" si="133"/>
        <v>0.29537578769672757</v>
      </c>
      <c r="AI926" s="45">
        <f t="shared" si="134"/>
        <v>0.29537578769672757</v>
      </c>
    </row>
    <row r="927" spans="1:35" s="15" customFormat="1">
      <c r="A927" s="15" t="s">
        <v>618</v>
      </c>
      <c r="B927" s="16">
        <v>45907</v>
      </c>
      <c r="C927" s="16">
        <v>45915</v>
      </c>
      <c r="D927" s="17">
        <f t="shared" si="126"/>
        <v>8</v>
      </c>
      <c r="E927" s="15" t="s">
        <v>619</v>
      </c>
      <c r="F927" s="15" t="s">
        <v>141</v>
      </c>
      <c r="G927" s="15" t="s">
        <v>90</v>
      </c>
      <c r="H927" s="15" t="s">
        <v>38</v>
      </c>
      <c r="I927" s="15" t="s">
        <v>145</v>
      </c>
      <c r="J927" s="15" t="s">
        <v>146</v>
      </c>
      <c r="K927" s="15" t="s">
        <v>74</v>
      </c>
      <c r="L927" s="15" t="s">
        <v>80</v>
      </c>
      <c r="M927" s="15" t="s">
        <v>620</v>
      </c>
      <c r="N927" s="15" t="s">
        <v>59</v>
      </c>
      <c r="O927" s="15">
        <v>3</v>
      </c>
      <c r="P927" s="15">
        <v>1711.32</v>
      </c>
      <c r="Q927" s="18">
        <v>0</v>
      </c>
      <c r="R927" s="15">
        <v>5206.53</v>
      </c>
      <c r="S927" s="15">
        <v>3930</v>
      </c>
      <c r="T927" s="15">
        <v>1203.96</v>
      </c>
      <c r="U927" s="15" t="s">
        <v>32</v>
      </c>
      <c r="V927" s="15" t="s">
        <v>103</v>
      </c>
      <c r="W927" s="25"/>
      <c r="X927" s="8" t="str">
        <f>IF(C927&gt;=B927,"Valid", "Invalid-Date")</f>
        <v>Valid</v>
      </c>
      <c r="Y927" s="8" t="str">
        <f t="shared" si="127"/>
        <v>Valid</v>
      </c>
      <c r="Z927" s="19" t="str">
        <f t="shared" si="128"/>
        <v>Pass</v>
      </c>
      <c r="AA927" s="19" t="str">
        <f t="shared" si="129"/>
        <v>Pass</v>
      </c>
      <c r="AB927" s="19" t="str">
        <f>TEXT(B927,"mmmm")</f>
        <v>September</v>
      </c>
      <c r="AC927" s="19" t="str">
        <f>TEXT(B927,"yyyy")</f>
        <v>2025</v>
      </c>
      <c r="AD927" s="20"/>
      <c r="AE927" s="15">
        <f t="shared" si="130"/>
        <v>5133.96</v>
      </c>
      <c r="AF927" s="11">
        <f t="shared" si="131"/>
        <v>5133.96</v>
      </c>
      <c r="AG927" s="15">
        <f t="shared" si="132"/>
        <v>1203.96</v>
      </c>
      <c r="AH927" s="18">
        <f t="shared" si="133"/>
        <v>0.23450903396208775</v>
      </c>
      <c r="AI927" s="45">
        <f t="shared" si="134"/>
        <v>0.23450903396208775</v>
      </c>
    </row>
    <row r="928" spans="1:35" s="15" customFormat="1">
      <c r="A928" s="15" t="s">
        <v>1370</v>
      </c>
      <c r="B928" s="16">
        <v>45342</v>
      </c>
      <c r="C928" s="16">
        <v>45349</v>
      </c>
      <c r="D928" s="17">
        <f t="shared" si="126"/>
        <v>7</v>
      </c>
      <c r="E928" s="15" t="s">
        <v>1371</v>
      </c>
      <c r="F928" s="15" t="s">
        <v>162</v>
      </c>
      <c r="G928" s="15" t="s">
        <v>24</v>
      </c>
      <c r="H928" s="15" t="s">
        <v>54</v>
      </c>
      <c r="I928" s="15" t="s">
        <v>185</v>
      </c>
      <c r="J928" s="15" t="s">
        <v>186</v>
      </c>
      <c r="K928" s="15" t="s">
        <v>74</v>
      </c>
      <c r="L928" s="15" t="s">
        <v>75</v>
      </c>
      <c r="M928" s="15" t="s">
        <v>1372</v>
      </c>
      <c r="N928" s="15" t="s">
        <v>50</v>
      </c>
      <c r="O928" s="15">
        <v>9</v>
      </c>
      <c r="P928" s="15">
        <v>3779.31</v>
      </c>
      <c r="Q928" s="18">
        <v>0.2</v>
      </c>
      <c r="R928" s="15">
        <v>27322.9</v>
      </c>
      <c r="S928" s="15">
        <v>17940.43</v>
      </c>
      <c r="T928" s="15">
        <v>9270.6</v>
      </c>
      <c r="U928" s="15" t="s">
        <v>32</v>
      </c>
      <c r="V928" s="15" t="s">
        <v>103</v>
      </c>
      <c r="W928" s="25"/>
      <c r="X928" s="8" t="str">
        <f>IF(C928&gt;=B928,"Valid", "Invalid-Date")</f>
        <v>Valid</v>
      </c>
      <c r="Y928" s="8" t="str">
        <f t="shared" si="127"/>
        <v>Valid</v>
      </c>
      <c r="Z928" s="19" t="str">
        <f t="shared" si="128"/>
        <v>Pass</v>
      </c>
      <c r="AA928" s="19" t="str">
        <f t="shared" si="129"/>
        <v>Pass</v>
      </c>
      <c r="AB928" s="19" t="str">
        <f>TEXT(B928,"mmmm")</f>
        <v>February</v>
      </c>
      <c r="AC928" s="19" t="str">
        <f>TEXT(B928,"yyyy")</f>
        <v>2024</v>
      </c>
      <c r="AD928" s="20"/>
      <c r="AE928" s="15">
        <f t="shared" si="130"/>
        <v>34013.79</v>
      </c>
      <c r="AF928" s="11">
        <f t="shared" si="131"/>
        <v>27211.032000000003</v>
      </c>
      <c r="AG928" s="15">
        <f t="shared" si="132"/>
        <v>16073.36</v>
      </c>
      <c r="AH928" s="18">
        <f t="shared" si="133"/>
        <v>0.47255421992080271</v>
      </c>
      <c r="AI928" s="45">
        <f t="shared" si="134"/>
        <v>0.47255421992080271</v>
      </c>
    </row>
    <row r="929" spans="1:35" s="15" customFormat="1">
      <c r="A929" s="15" t="s">
        <v>1809</v>
      </c>
      <c r="B929" s="16">
        <v>45698</v>
      </c>
      <c r="C929" s="16">
        <v>45702</v>
      </c>
      <c r="D929" s="17">
        <f t="shared" si="126"/>
        <v>4</v>
      </c>
      <c r="E929" s="15" t="s">
        <v>1810</v>
      </c>
      <c r="F929" s="15" t="s">
        <v>114</v>
      </c>
      <c r="G929" s="15" t="s">
        <v>37</v>
      </c>
      <c r="H929" s="15" t="s">
        <v>25</v>
      </c>
      <c r="I929" s="15" t="s">
        <v>136</v>
      </c>
      <c r="J929" s="15" t="s">
        <v>137</v>
      </c>
      <c r="K929" s="15" t="s">
        <v>74</v>
      </c>
      <c r="L929" s="15" t="s">
        <v>171</v>
      </c>
      <c r="M929" s="15" t="s">
        <v>1811</v>
      </c>
      <c r="N929" s="15" t="s">
        <v>2785</v>
      </c>
      <c r="O929" s="15">
        <v>5</v>
      </c>
      <c r="P929" s="15">
        <v>4276.29</v>
      </c>
      <c r="Q929" s="18">
        <v>0</v>
      </c>
      <c r="R929" s="15">
        <v>21443.63</v>
      </c>
      <c r="S929" s="15">
        <v>13240.21</v>
      </c>
      <c r="T929" s="15">
        <v>8141.24</v>
      </c>
      <c r="U929" s="15" t="s">
        <v>155</v>
      </c>
      <c r="V929" s="15" t="s">
        <v>33</v>
      </c>
      <c r="W929" s="25"/>
      <c r="X929" s="8" t="str">
        <f>IF(C929&gt;=B929,"Valid", "Invalid-Date")</f>
        <v>Valid</v>
      </c>
      <c r="Y929" s="8" t="str">
        <f t="shared" si="127"/>
        <v>Valid</v>
      </c>
      <c r="Z929" s="19" t="str">
        <f t="shared" si="128"/>
        <v>Flagged</v>
      </c>
      <c r="AA929" s="19" t="str">
        <f t="shared" si="129"/>
        <v>Pass</v>
      </c>
      <c r="AB929" s="19" t="str">
        <f>TEXT(B929,"mmmm")</f>
        <v>February</v>
      </c>
      <c r="AC929" s="19" t="str">
        <f>TEXT(B929,"yyyy")</f>
        <v>2025</v>
      </c>
      <c r="AD929" s="20"/>
      <c r="AE929" s="15">
        <f t="shared" si="130"/>
        <v>21381.45</v>
      </c>
      <c r="AF929" s="11">
        <f t="shared" si="131"/>
        <v>21381.45</v>
      </c>
      <c r="AG929" s="15">
        <f t="shared" si="132"/>
        <v>8141.2400000000016</v>
      </c>
      <c r="AH929" s="18">
        <f t="shared" si="133"/>
        <v>0.38076182859441249</v>
      </c>
      <c r="AI929" s="45">
        <f t="shared" si="134"/>
        <v>0.38076182859441249</v>
      </c>
    </row>
    <row r="930" spans="1:35" s="15" customFormat="1">
      <c r="A930" s="15" t="s">
        <v>535</v>
      </c>
      <c r="B930" s="16">
        <v>45381</v>
      </c>
      <c r="C930" s="16">
        <v>45377</v>
      </c>
      <c r="D930" s="17">
        <f t="shared" si="126"/>
        <v>-4</v>
      </c>
      <c r="E930" s="15" t="s">
        <v>536</v>
      </c>
      <c r="F930" s="15" t="s">
        <v>89</v>
      </c>
      <c r="G930" s="15" t="s">
        <v>95</v>
      </c>
      <c r="H930" s="15" t="s">
        <v>25</v>
      </c>
      <c r="I930" s="15" t="s">
        <v>26</v>
      </c>
      <c r="J930" s="15" t="s">
        <v>27</v>
      </c>
      <c r="K930" s="15" t="s">
        <v>74</v>
      </c>
      <c r="L930" s="15" t="s">
        <v>171</v>
      </c>
      <c r="M930" s="15" t="s">
        <v>537</v>
      </c>
      <c r="N930" s="15" t="s">
        <v>31</v>
      </c>
      <c r="O930" s="15">
        <v>5</v>
      </c>
      <c r="P930" s="15">
        <v>907.54</v>
      </c>
      <c r="Q930" s="18">
        <v>0.15</v>
      </c>
      <c r="R930" s="15">
        <v>4099.6899999999996</v>
      </c>
      <c r="S930" s="15">
        <v>2769.26</v>
      </c>
      <c r="T930" s="15">
        <v>1087.78</v>
      </c>
      <c r="U930" s="15" t="s">
        <v>32</v>
      </c>
      <c r="V930" s="15" t="s">
        <v>103</v>
      </c>
      <c r="W930" s="25"/>
      <c r="X930" s="8" t="str">
        <f>IF(C930&gt;=B930,"Valid", "Invalid-Date")</f>
        <v>Invalid-Date</v>
      </c>
      <c r="Y930" s="8" t="str">
        <f t="shared" si="127"/>
        <v>Valid</v>
      </c>
      <c r="Z930" s="19" t="str">
        <f t="shared" si="128"/>
        <v>Pass</v>
      </c>
      <c r="AA930" s="19" t="str">
        <f t="shared" si="129"/>
        <v>Pass</v>
      </c>
      <c r="AB930" s="19" t="str">
        <f>TEXT(B930,"mmmm")</f>
        <v>March</v>
      </c>
      <c r="AC930" s="19" t="str">
        <f>TEXT(B930,"yyyy")</f>
        <v>2024</v>
      </c>
      <c r="AD930" s="20"/>
      <c r="AE930" s="15">
        <f t="shared" si="130"/>
        <v>4537.7</v>
      </c>
      <c r="AF930" s="11">
        <f t="shared" si="131"/>
        <v>3857.0449999999996</v>
      </c>
      <c r="AG930" s="15">
        <f t="shared" si="132"/>
        <v>1768.4399999999996</v>
      </c>
      <c r="AH930" s="18">
        <f t="shared" si="133"/>
        <v>0.38972166516076417</v>
      </c>
      <c r="AI930" s="45">
        <f t="shared" si="134"/>
        <v>0.38972166516076417</v>
      </c>
    </row>
    <row r="931" spans="1:35" s="15" customFormat="1">
      <c r="A931" s="15" t="s">
        <v>922</v>
      </c>
      <c r="B931" s="16">
        <v>45522</v>
      </c>
      <c r="C931" s="16">
        <v>45528</v>
      </c>
      <c r="D931" s="17">
        <f t="shared" si="126"/>
        <v>6</v>
      </c>
      <c r="E931" s="15" t="s">
        <v>923</v>
      </c>
      <c r="F931" s="15" t="s">
        <v>53</v>
      </c>
      <c r="G931" s="15" t="s">
        <v>24</v>
      </c>
      <c r="H931" s="15" t="s">
        <v>54</v>
      </c>
      <c r="I931" s="15" t="s">
        <v>84</v>
      </c>
      <c r="J931" s="15" t="s">
        <v>85</v>
      </c>
      <c r="K931" s="15" t="s">
        <v>41</v>
      </c>
      <c r="L931" s="15" t="s">
        <v>66</v>
      </c>
      <c r="M931" s="15" t="s">
        <v>924</v>
      </c>
      <c r="N931" s="15" t="s">
        <v>50</v>
      </c>
      <c r="O931" s="15">
        <v>7</v>
      </c>
      <c r="P931" s="15">
        <v>557.21</v>
      </c>
      <c r="Q931" s="18">
        <v>0.1</v>
      </c>
      <c r="R931" s="15">
        <v>3797.79</v>
      </c>
      <c r="S931" s="15">
        <v>2191.5</v>
      </c>
      <c r="T931" s="15">
        <v>1213.48</v>
      </c>
      <c r="U931" s="15" t="s">
        <v>32</v>
      </c>
      <c r="V931" s="15" t="s">
        <v>103</v>
      </c>
      <c r="W931" s="25"/>
      <c r="X931" s="8" t="str">
        <f>IF(C931&gt;=B931,"Valid", "Invalid-Date")</f>
        <v>Valid</v>
      </c>
      <c r="Y931" s="8" t="str">
        <f t="shared" si="127"/>
        <v>Valid</v>
      </c>
      <c r="Z931" s="19" t="str">
        <f t="shared" si="128"/>
        <v>Pass</v>
      </c>
      <c r="AA931" s="19" t="str">
        <f t="shared" si="129"/>
        <v>Pass</v>
      </c>
      <c r="AB931" s="19" t="str">
        <f>TEXT(B931,"mmmm")</f>
        <v>August</v>
      </c>
      <c r="AC931" s="19" t="str">
        <f>TEXT(B931,"yyyy")</f>
        <v>2024</v>
      </c>
      <c r="AD931" s="20"/>
      <c r="AE931" s="15">
        <f t="shared" si="130"/>
        <v>3900.4700000000003</v>
      </c>
      <c r="AF931" s="11">
        <f t="shared" si="131"/>
        <v>3510.4230000000002</v>
      </c>
      <c r="AG931" s="15">
        <f t="shared" si="132"/>
        <v>1708.9700000000003</v>
      </c>
      <c r="AH931" s="18">
        <f t="shared" si="133"/>
        <v>0.4381446338518179</v>
      </c>
      <c r="AI931" s="45">
        <f t="shared" si="134"/>
        <v>0.4381446338518179</v>
      </c>
    </row>
    <row r="932" spans="1:35" s="15" customFormat="1">
      <c r="A932" s="15" t="s">
        <v>478</v>
      </c>
      <c r="B932" s="16">
        <v>45436</v>
      </c>
      <c r="C932" s="16">
        <v>45437</v>
      </c>
      <c r="D932" s="17">
        <f t="shared" si="126"/>
        <v>1</v>
      </c>
      <c r="E932" s="15" t="s">
        <v>479</v>
      </c>
      <c r="F932" s="15" t="s">
        <v>132</v>
      </c>
      <c r="G932" s="15" t="s">
        <v>37</v>
      </c>
      <c r="H932" s="15" t="s">
        <v>25</v>
      </c>
      <c r="I932" s="15" t="s">
        <v>122</v>
      </c>
      <c r="J932" s="15" t="s">
        <v>123</v>
      </c>
      <c r="K932" s="15" t="s">
        <v>74</v>
      </c>
      <c r="L932" s="15" t="s">
        <v>80</v>
      </c>
      <c r="M932" s="15" t="s">
        <v>480</v>
      </c>
      <c r="N932" s="15" t="s">
        <v>44</v>
      </c>
      <c r="O932" s="15">
        <v>1</v>
      </c>
      <c r="P932" s="15">
        <v>634.13</v>
      </c>
      <c r="Q932" s="18">
        <v>0</v>
      </c>
      <c r="R932" s="15">
        <v>808.67</v>
      </c>
      <c r="S932" s="15">
        <v>453.35</v>
      </c>
      <c r="T932" s="15">
        <v>180.78</v>
      </c>
      <c r="U932" s="15" t="s">
        <v>102</v>
      </c>
      <c r="V932" s="15" t="s">
        <v>103</v>
      </c>
      <c r="W932" s="25"/>
      <c r="X932" s="8" t="str">
        <f>IF(C932&gt;=B932,"Valid", "Invalid-Date")</f>
        <v>Valid</v>
      </c>
      <c r="Y932" s="8" t="str">
        <f t="shared" si="127"/>
        <v>Valid</v>
      </c>
      <c r="Z932" s="19" t="str">
        <f t="shared" si="128"/>
        <v>Pass</v>
      </c>
      <c r="AA932" s="19" t="str">
        <f t="shared" si="129"/>
        <v>Pass</v>
      </c>
      <c r="AB932" s="19" t="str">
        <f>TEXT(B932,"mmmm")</f>
        <v>May</v>
      </c>
      <c r="AC932" s="19" t="str">
        <f>TEXT(B932,"yyyy")</f>
        <v>2024</v>
      </c>
      <c r="AD932" s="20"/>
      <c r="AE932" s="15">
        <f t="shared" si="130"/>
        <v>634.13</v>
      </c>
      <c r="AF932" s="11">
        <f t="shared" si="131"/>
        <v>634.13</v>
      </c>
      <c r="AG932" s="15">
        <f t="shared" si="132"/>
        <v>180.77999999999997</v>
      </c>
      <c r="AH932" s="18">
        <f t="shared" si="133"/>
        <v>0.28508350022865969</v>
      </c>
      <c r="AI932" s="45">
        <f t="shared" si="134"/>
        <v>0.28508350022865969</v>
      </c>
    </row>
    <row r="933" spans="1:35" s="15" customFormat="1">
      <c r="A933" s="15" t="s">
        <v>1109</v>
      </c>
      <c r="B933" s="16">
        <v>45824</v>
      </c>
      <c r="C933" s="16">
        <v>45826</v>
      </c>
      <c r="D933" s="17">
        <f t="shared" si="126"/>
        <v>2</v>
      </c>
      <c r="E933" s="15" t="s">
        <v>1110</v>
      </c>
      <c r="F933" s="15" t="s">
        <v>118</v>
      </c>
      <c r="G933" s="15" t="s">
        <v>95</v>
      </c>
      <c r="H933" s="15" t="s">
        <v>63</v>
      </c>
      <c r="I933" s="15" t="s">
        <v>72</v>
      </c>
      <c r="J933" s="15" t="s">
        <v>73</v>
      </c>
      <c r="K933" s="15" t="s">
        <v>28</v>
      </c>
      <c r="L933" s="15" t="s">
        <v>29</v>
      </c>
      <c r="M933" s="15" t="s">
        <v>1111</v>
      </c>
      <c r="N933" s="15" t="s">
        <v>50</v>
      </c>
      <c r="O933" s="15">
        <v>3</v>
      </c>
      <c r="P933" s="15">
        <v>4289.37</v>
      </c>
      <c r="Q933" s="18">
        <v>0.1</v>
      </c>
      <c r="R933" s="15">
        <v>11778.71</v>
      </c>
      <c r="S933" s="15">
        <v>6829.43</v>
      </c>
      <c r="T933" s="15">
        <v>4751.87</v>
      </c>
      <c r="U933" s="15" t="s">
        <v>32</v>
      </c>
      <c r="V933" s="15" t="s">
        <v>103</v>
      </c>
      <c r="W933" s="25"/>
      <c r="X933" s="8" t="str">
        <f>IF(C933&gt;=B933,"Valid", "Invalid-Date")</f>
        <v>Valid</v>
      </c>
      <c r="Y933" s="8" t="str">
        <f t="shared" si="127"/>
        <v>Valid</v>
      </c>
      <c r="Z933" s="19" t="str">
        <f t="shared" si="128"/>
        <v>Pass</v>
      </c>
      <c r="AA933" s="19" t="str">
        <f t="shared" si="129"/>
        <v>Pass</v>
      </c>
      <c r="AB933" s="19" t="str">
        <f>TEXT(B933,"mmmm")</f>
        <v>June</v>
      </c>
      <c r="AC933" s="19" t="str">
        <f>TEXT(B933,"yyyy")</f>
        <v>2025</v>
      </c>
      <c r="AD933" s="20"/>
      <c r="AE933" s="15">
        <f t="shared" si="130"/>
        <v>12868.11</v>
      </c>
      <c r="AF933" s="11">
        <f t="shared" si="131"/>
        <v>11581.299000000001</v>
      </c>
      <c r="AG933" s="15">
        <f t="shared" si="132"/>
        <v>6038.68</v>
      </c>
      <c r="AH933" s="18">
        <f t="shared" si="133"/>
        <v>0.46927481968991563</v>
      </c>
      <c r="AI933" s="45">
        <f t="shared" si="134"/>
        <v>0.46927481968991563</v>
      </c>
    </row>
  </sheetData>
  <conditionalFormatting sqref="A1:A1048576">
    <cfRule type="duplicateValues" dxfId="150" priority="10"/>
  </conditionalFormatting>
  <conditionalFormatting sqref="H1:H1048576">
    <cfRule type="containsText" dxfId="149" priority="9" operator="containsText" text="Unknown">
      <formula>NOT(ISERROR(SEARCH("Unknown",H1)))</formula>
    </cfRule>
  </conditionalFormatting>
  <conditionalFormatting sqref="N1:N1048576">
    <cfRule type="containsText" dxfId="148" priority="8" operator="containsText" text="Unknown">
      <formula>NOT(ISERROR(SEARCH("Unknown",N1)))</formula>
    </cfRule>
  </conditionalFormatting>
  <conditionalFormatting sqref="O1:P1048576 R1:R1048576">
    <cfRule type="expression" priority="3">
      <formula>"if(O2*P2) != R2"</formula>
    </cfRule>
  </conditionalFormatting>
  <conditionalFormatting sqref="Q1:Q1048576">
    <cfRule type="cellIs" dxfId="147" priority="1" operator="greaterThan">
      <formula>0.5</formula>
    </cfRule>
    <cfRule type="cellIs" dxfId="146" priority="2" operator="greaterThan">
      <formula>0.5</formula>
    </cfRule>
    <cfRule type="cellIs" dxfId="145" priority="4" operator="lessThan">
      <formula>0</formula>
    </cfRule>
    <cfRule type="cellIs" dxfId="144" priority="5" operator="lessThan">
      <formula>0</formula>
    </cfRule>
    <cfRule type="cellIs" dxfId="143" priority="6" operator="equal">
      <formula>0</formula>
    </cfRule>
    <cfRule type="containsText" dxfId="142" priority="7" operator="containsText" text="0.00">
      <formula>NOT(ISERROR(SEARCH("0.00",Q1)))</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election activeCell="D3" sqref="D3"/>
    </sheetView>
  </sheetViews>
  <sheetFormatPr defaultRowHeight="13.8"/>
  <cols>
    <col min="1" max="1" width="28" style="6" customWidth="1"/>
    <col min="2" max="2" width="28" customWidth="1"/>
    <col min="3" max="3" width="17.5" style="6" bestFit="1" customWidth="1"/>
    <col min="4" max="4" width="82.5" style="6" customWidth="1"/>
  </cols>
  <sheetData>
    <row r="1" spans="1:4" ht="27.9" customHeight="1">
      <c r="A1" s="30" t="s">
        <v>2764</v>
      </c>
      <c r="B1" s="2" t="s">
        <v>2765</v>
      </c>
      <c r="C1" s="31" t="s">
        <v>2806</v>
      </c>
      <c r="D1" s="31" t="s">
        <v>2805</v>
      </c>
    </row>
    <row r="2" spans="1:4" ht="41.4">
      <c r="A2" s="7" t="s">
        <v>2766</v>
      </c>
      <c r="B2" s="3" t="s">
        <v>2767</v>
      </c>
      <c r="C2" s="6" t="s">
        <v>2787</v>
      </c>
    </row>
    <row r="3" spans="1:4" ht="27.6">
      <c r="A3" s="7" t="s">
        <v>2768</v>
      </c>
      <c r="B3" s="3" t="s">
        <v>2769</v>
      </c>
      <c r="C3" s="6" t="s">
        <v>2787</v>
      </c>
      <c r="D3" s="7" t="s">
        <v>2797</v>
      </c>
    </row>
    <row r="4" spans="1:4" ht="27.6">
      <c r="A4" s="7" t="s">
        <v>2770</v>
      </c>
      <c r="B4" s="3" t="s">
        <v>2769</v>
      </c>
      <c r="C4" s="6" t="s">
        <v>2787</v>
      </c>
      <c r="D4" s="7" t="s">
        <v>2798</v>
      </c>
    </row>
    <row r="5" spans="1:4" ht="27.6">
      <c r="A5" s="7" t="s">
        <v>2771</v>
      </c>
      <c r="B5" s="3" t="s">
        <v>2772</v>
      </c>
      <c r="C5" s="6" t="s">
        <v>2787</v>
      </c>
      <c r="D5" s="6" t="s">
        <v>2799</v>
      </c>
    </row>
    <row r="6" spans="1:4" ht="96.6">
      <c r="A6" s="7" t="s">
        <v>2773</v>
      </c>
      <c r="B6" s="7" t="s">
        <v>2774</v>
      </c>
      <c r="C6" s="6" t="s">
        <v>2787</v>
      </c>
      <c r="D6" s="7" t="s">
        <v>2800</v>
      </c>
    </row>
    <row r="7" spans="1:4" ht="55.2">
      <c r="A7" s="7" t="s">
        <v>2775</v>
      </c>
      <c r="B7" s="7" t="s">
        <v>2776</v>
      </c>
    </row>
    <row r="8" spans="1:4" ht="27.6">
      <c r="A8" s="7" t="s">
        <v>2777</v>
      </c>
      <c r="B8" s="3" t="s">
        <v>2778</v>
      </c>
      <c r="C8" s="6" t="s">
        <v>2787</v>
      </c>
      <c r="D8" s="7" t="s">
        <v>2801</v>
      </c>
    </row>
    <row r="9" spans="1:4" ht="41.4">
      <c r="A9" s="7" t="s">
        <v>2779</v>
      </c>
      <c r="B9" s="3" t="s">
        <v>2780</v>
      </c>
      <c r="C9" s="6" t="s">
        <v>2787</v>
      </c>
      <c r="D9" s="6" t="s">
        <v>2791</v>
      </c>
    </row>
    <row r="10" spans="1:4" ht="127.5" customHeight="1">
      <c r="A10" s="7" t="s">
        <v>2781</v>
      </c>
      <c r="B10" s="7" t="s">
        <v>2782</v>
      </c>
      <c r="C10" s="6" t="s">
        <v>2787</v>
      </c>
      <c r="D10" s="7" t="s">
        <v>2790</v>
      </c>
    </row>
    <row r="11" spans="1:4" ht="297" customHeight="1">
      <c r="A11" s="7" t="s">
        <v>2783</v>
      </c>
      <c r="B11" s="7" t="s">
        <v>2784</v>
      </c>
      <c r="C11" s="6" t="s">
        <v>2787</v>
      </c>
      <c r="D11" s="7" t="s">
        <v>2792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53642-EC6C-4536-951C-668F7243AF81}">
  <dimension ref="A1:AQ933"/>
  <sheetViews>
    <sheetView topLeftCell="B2" zoomScale="55" zoomScaleNormal="52" workbookViewId="0">
      <selection activeCell="J50" sqref="J50"/>
    </sheetView>
  </sheetViews>
  <sheetFormatPr defaultRowHeight="13.8"/>
  <cols>
    <col min="1" max="1" width="16" customWidth="1"/>
    <col min="2" max="2" width="16" style="5" customWidth="1"/>
    <col min="3" max="3" width="14.69921875" style="5" customWidth="1"/>
    <col min="4" max="4" width="19.59765625" style="14" bestFit="1" customWidth="1"/>
    <col min="5" max="5" width="16" customWidth="1"/>
    <col min="6" max="6" width="19.19921875" customWidth="1"/>
    <col min="7" max="7" width="18.59765625" customWidth="1"/>
    <col min="8" max="12" width="16" customWidth="1"/>
    <col min="13" max="13" width="22" customWidth="1"/>
    <col min="14" max="16" width="16" customWidth="1"/>
    <col min="17" max="17" width="16" style="11" customWidth="1"/>
    <col min="18" max="22" width="16" customWidth="1"/>
    <col min="23" max="23" width="8.796875" style="25"/>
    <col min="24" max="24" width="24" style="8" customWidth="1"/>
    <col min="25" max="25" width="21.59765625" style="8" customWidth="1"/>
    <col min="26" max="26" width="22" style="8" bestFit="1" customWidth="1"/>
    <col min="27" max="27" width="20.19921875" style="8" bestFit="1" customWidth="1"/>
    <col min="28" max="28" width="12.3984375" style="8" bestFit="1" customWidth="1"/>
    <col min="29" max="29" width="10.8984375" style="8" bestFit="1" customWidth="1"/>
    <col min="30" max="30" width="14.8984375" style="1" bestFit="1" customWidth="1"/>
    <col min="31" max="31" width="18.796875" customWidth="1"/>
    <col min="32" max="32" width="24.5" style="11" customWidth="1"/>
    <col min="33" max="33" width="15.8984375" customWidth="1"/>
    <col min="34" max="34" width="17.3984375" style="11" customWidth="1"/>
    <col min="35" max="35" width="17.19921875" style="9" customWidth="1"/>
    <col min="36" max="36" width="24.59765625" customWidth="1"/>
    <col min="37" max="37" width="23.8984375" customWidth="1"/>
    <col min="38" max="38" width="17.09765625" customWidth="1"/>
    <col min="39" max="39" width="16.296875" customWidth="1"/>
    <col min="40" max="40" width="15" bestFit="1" customWidth="1"/>
    <col min="41" max="41" width="13" customWidth="1"/>
    <col min="42" max="42" width="16.09765625" customWidth="1"/>
    <col min="43" max="43" width="15.796875" customWidth="1"/>
  </cols>
  <sheetData>
    <row r="1" spans="1:43" ht="45.75" customHeight="1">
      <c r="A1" s="2" t="s">
        <v>0</v>
      </c>
      <c r="B1" s="4" t="s">
        <v>1</v>
      </c>
      <c r="C1" s="4" t="s">
        <v>2</v>
      </c>
      <c r="D1" s="12" t="s">
        <v>2796</v>
      </c>
      <c r="E1" s="2" t="s">
        <v>3</v>
      </c>
      <c r="F1" s="2" t="s">
        <v>4</v>
      </c>
      <c r="G1" s="2" t="s">
        <v>5</v>
      </c>
      <c r="H1" s="2" t="s">
        <v>6</v>
      </c>
      <c r="I1" s="2" t="s">
        <v>7</v>
      </c>
      <c r="J1" s="2" t="s">
        <v>8</v>
      </c>
      <c r="K1" s="2" t="s">
        <v>9</v>
      </c>
      <c r="L1" s="2" t="s">
        <v>10</v>
      </c>
      <c r="M1" s="2" t="s">
        <v>11</v>
      </c>
      <c r="N1" s="2" t="s">
        <v>12</v>
      </c>
      <c r="O1" s="2" t="s">
        <v>13</v>
      </c>
      <c r="P1" s="2" t="s">
        <v>14</v>
      </c>
      <c r="Q1" s="23" t="s">
        <v>15</v>
      </c>
      <c r="R1" s="2" t="s">
        <v>16</v>
      </c>
      <c r="S1" s="2" t="s">
        <v>17</v>
      </c>
      <c r="T1" s="2" t="s">
        <v>18</v>
      </c>
      <c r="U1" s="2" t="s">
        <v>19</v>
      </c>
      <c r="V1" s="2" t="s">
        <v>20</v>
      </c>
      <c r="W1" s="24"/>
      <c r="X1" s="26" t="s">
        <v>2786</v>
      </c>
      <c r="Y1" s="27" t="s">
        <v>2802</v>
      </c>
      <c r="Z1" s="26" t="s">
        <v>2803</v>
      </c>
      <c r="AA1" s="26" t="s">
        <v>2804</v>
      </c>
      <c r="AB1" s="26" t="s">
        <v>2794</v>
      </c>
      <c r="AC1" s="26" t="s">
        <v>2795</v>
      </c>
      <c r="AD1" s="28" t="s">
        <v>2793</v>
      </c>
      <c r="AE1" s="32" t="s">
        <v>2807</v>
      </c>
      <c r="AF1" s="33" t="s">
        <v>2808</v>
      </c>
      <c r="AG1" s="28" t="s">
        <v>2788</v>
      </c>
      <c r="AH1" s="34" t="s">
        <v>2788</v>
      </c>
      <c r="AI1" s="29" t="s">
        <v>2789</v>
      </c>
      <c r="AJ1" s="35" t="s">
        <v>2809</v>
      </c>
      <c r="AK1" s="35" t="s">
        <v>2810</v>
      </c>
      <c r="AL1" s="35" t="s">
        <v>2813</v>
      </c>
      <c r="AM1" s="36" t="s">
        <v>2814</v>
      </c>
      <c r="AN1" s="35" t="s">
        <v>2811</v>
      </c>
      <c r="AO1" s="36" t="s">
        <v>2815</v>
      </c>
      <c r="AP1" s="35" t="s">
        <v>2812</v>
      </c>
      <c r="AQ1" s="36" t="s">
        <v>2816</v>
      </c>
    </row>
    <row r="2" spans="1:43">
      <c r="A2" t="s">
        <v>21</v>
      </c>
      <c r="B2" s="5">
        <v>45494</v>
      </c>
      <c r="C2" s="5">
        <v>45500</v>
      </c>
      <c r="D2" s="13">
        <f>C2-B2</f>
        <v>6</v>
      </c>
      <c r="E2" t="s">
        <v>22</v>
      </c>
      <c r="F2" t="s">
        <v>23</v>
      </c>
      <c r="G2" t="s">
        <v>24</v>
      </c>
      <c r="H2" t="s">
        <v>25</v>
      </c>
      <c r="I2" t="s">
        <v>26</v>
      </c>
      <c r="J2" t="s">
        <v>27</v>
      </c>
      <c r="K2" t="s">
        <v>28</v>
      </c>
      <c r="L2" t="s">
        <v>29</v>
      </c>
      <c r="M2" t="s">
        <v>30</v>
      </c>
      <c r="N2" t="s">
        <v>31</v>
      </c>
      <c r="O2">
        <v>8</v>
      </c>
      <c r="P2">
        <v>2976.45</v>
      </c>
      <c r="Q2" s="11">
        <v>0.2</v>
      </c>
      <c r="R2">
        <v>19049.28</v>
      </c>
      <c r="S2">
        <v>15841.89</v>
      </c>
      <c r="T2">
        <v>3207.39</v>
      </c>
      <c r="U2" t="s">
        <v>32</v>
      </c>
      <c r="V2" t="s">
        <v>33</v>
      </c>
      <c r="X2" s="8" t="str">
        <f>IF(C2&gt;=B2,"Valid", "Invalid-Date")</f>
        <v>Valid</v>
      </c>
      <c r="Y2" s="8" t="str">
        <f>IF(OR(Q2&lt;0, Q2&gt;0.5), "Invalid-Discount", "Valid")</f>
        <v>Valid</v>
      </c>
      <c r="Z2" s="8" t="str">
        <f>IF(N2="Unknown","Flagged","Pass")</f>
        <v>Pass</v>
      </c>
      <c r="AA2" s="8" t="str">
        <f>IF(H2="Unknown","Flagged","Pass")</f>
        <v>Pass</v>
      </c>
      <c r="AB2" s="8" t="str">
        <f>TEXT(B2,"mmmm")</f>
        <v>July</v>
      </c>
      <c r="AC2" s="8" t="str">
        <f>TEXT(B2,"yyyy")</f>
        <v>2024</v>
      </c>
      <c r="AE2">
        <f>O2*P2</f>
        <v>23811.599999999999</v>
      </c>
      <c r="AF2" s="11">
        <f>AE2*(1-Q2)</f>
        <v>19049.28</v>
      </c>
      <c r="AG2">
        <f>AE2-S2</f>
        <v>7969.7099999999991</v>
      </c>
      <c r="AH2" s="11">
        <f>AG2/AE2</f>
        <v>0.33469863427909086</v>
      </c>
      <c r="AI2" s="9">
        <f>AG2/AE2</f>
        <v>0.33469863427909086</v>
      </c>
      <c r="AJ2">
        <f>SUMIFS(R2, V2, "Completed", U2, "Paid")</f>
        <v>19049.28</v>
      </c>
      <c r="AK2">
        <f>COUNTIFS(V2, "Completed", U2, "Paid")</f>
        <v>1</v>
      </c>
      <c r="AL2">
        <f>SUMIFS(R2, V2, "Cancelled")</f>
        <v>0</v>
      </c>
      <c r="AM2">
        <f>COUNTIFS(V2, "Cancelled")</f>
        <v>0</v>
      </c>
      <c r="AN2">
        <f>SUMIFS(R2, U2, "Failed")</f>
        <v>0</v>
      </c>
      <c r="AO2">
        <f>COUNTIFS(U2, "Failed")</f>
        <v>0</v>
      </c>
      <c r="AP2">
        <f>SUMIFS(R2, V2, "Returned")</f>
        <v>0</v>
      </c>
      <c r="AQ2">
        <f>COUNTIFS(V2, "Returned")</f>
        <v>0</v>
      </c>
    </row>
    <row r="3" spans="1:43">
      <c r="A3" t="s">
        <v>34</v>
      </c>
      <c r="B3" s="5">
        <v>45535</v>
      </c>
      <c r="C3" s="5">
        <v>45421</v>
      </c>
      <c r="D3" s="13">
        <f t="shared" ref="D3:D66" si="0">C3-B3</f>
        <v>-114</v>
      </c>
      <c r="E3" t="s">
        <v>35</v>
      </c>
      <c r="F3" t="s">
        <v>36</v>
      </c>
      <c r="G3" t="s">
        <v>37</v>
      </c>
      <c r="H3" t="s">
        <v>38</v>
      </c>
      <c r="I3" t="s">
        <v>39</v>
      </c>
      <c r="J3" t="s">
        <v>40</v>
      </c>
      <c r="K3" t="s">
        <v>41</v>
      </c>
      <c r="L3" t="s">
        <v>42</v>
      </c>
      <c r="M3" t="s">
        <v>43</v>
      </c>
      <c r="N3" t="s">
        <v>44</v>
      </c>
      <c r="O3">
        <v>3</v>
      </c>
      <c r="P3">
        <v>2437.5</v>
      </c>
      <c r="Q3" s="11">
        <v>0</v>
      </c>
      <c r="R3">
        <v>7312.5</v>
      </c>
      <c r="S3">
        <v>4904.7299999999996</v>
      </c>
      <c r="T3">
        <v>2407.77</v>
      </c>
      <c r="U3" t="s">
        <v>32</v>
      </c>
      <c r="V3" t="s">
        <v>33</v>
      </c>
      <c r="X3" s="8" t="str">
        <f>IF(C3&gt;=B3,"Valid", "Invalid-Date")</f>
        <v>Invalid-Date</v>
      </c>
      <c r="Y3" s="8" t="str">
        <f t="shared" ref="Y3:Y66" si="1">IF(OR(Q3&lt;0, Q3&gt;0.5), "Invalid-Discount", "Valid")</f>
        <v>Valid</v>
      </c>
      <c r="Z3" s="8" t="str">
        <f t="shared" ref="Z3:Z66" si="2">IF(N3="Unknown","Flagged","Pass")</f>
        <v>Pass</v>
      </c>
      <c r="AA3" s="8" t="str">
        <f t="shared" ref="AA3:AA66" si="3">IF(H3="Unknown","Flagged","Pass")</f>
        <v>Pass</v>
      </c>
      <c r="AB3" s="8" t="str">
        <f>TEXT(B3,"mmmm")</f>
        <v>August</v>
      </c>
      <c r="AC3" s="8" t="str">
        <f>TEXT(B3,"yyyy")</f>
        <v>2024</v>
      </c>
      <c r="AE3">
        <f t="shared" ref="AE3:AE66" si="4">O3*P3</f>
        <v>7312.5</v>
      </c>
      <c r="AF3" s="11">
        <f t="shared" ref="AF3:AF66" si="5">AE3*(1-Q3)</f>
        <v>7312.5</v>
      </c>
      <c r="AG3">
        <f t="shared" ref="AG3:AG66" si="6">AE3-S3</f>
        <v>2407.7700000000004</v>
      </c>
      <c r="AH3" s="11">
        <f t="shared" ref="AH3:AH66" si="7">AG3/AE3</f>
        <v>0.32926769230769237</v>
      </c>
      <c r="AI3" s="9">
        <f t="shared" ref="AI3:AI66" si="8">AG3/AE3</f>
        <v>0.32926769230769237</v>
      </c>
      <c r="AJ3">
        <f t="shared" ref="AJ3:AJ66" si="9">SUMIFS(R3, V3, "Completed", U3, "Paid")</f>
        <v>7312.5</v>
      </c>
      <c r="AK3">
        <f t="shared" ref="AK3:AK66" si="10">COUNTIFS(V3, "Completed", U3, "Paid")</f>
        <v>1</v>
      </c>
      <c r="AL3">
        <f t="shared" ref="AL3:AL66" si="11">SUMIFS(R3, V3, "Cancelled")</f>
        <v>0</v>
      </c>
      <c r="AM3">
        <f t="shared" ref="AM3:AM66" si="12">COUNTIFS(V3, "Cancelled")</f>
        <v>0</v>
      </c>
      <c r="AN3">
        <f t="shared" ref="AN3:AN66" si="13">SUMIFS(R3, U3, "Failed")</f>
        <v>0</v>
      </c>
      <c r="AO3">
        <f t="shared" ref="AO3:AO66" si="14">COUNTIFS(U3, "Failed")</f>
        <v>0</v>
      </c>
      <c r="AP3">
        <f t="shared" ref="AP3:AP66" si="15">SUMIFS(R3, V3, "Returned")</f>
        <v>0</v>
      </c>
      <c r="AQ3">
        <f t="shared" ref="AQ3:AQ66" si="16">COUNTIFS(V3, "Returned")</f>
        <v>0</v>
      </c>
    </row>
    <row r="4" spans="1:43">
      <c r="A4" t="s">
        <v>45</v>
      </c>
      <c r="B4" s="5">
        <v>45510</v>
      </c>
      <c r="C4" s="5">
        <v>45458</v>
      </c>
      <c r="D4" s="13">
        <f t="shared" si="0"/>
        <v>-52</v>
      </c>
      <c r="E4" t="s">
        <v>46</v>
      </c>
      <c r="F4" t="s">
        <v>47</v>
      </c>
      <c r="G4" t="s">
        <v>24</v>
      </c>
      <c r="H4" t="s">
        <v>38</v>
      </c>
      <c r="I4" t="s">
        <v>39</v>
      </c>
      <c r="J4" t="s">
        <v>40</v>
      </c>
      <c r="K4" t="s">
        <v>28</v>
      </c>
      <c r="L4" t="s">
        <v>48</v>
      </c>
      <c r="M4" t="s">
        <v>49</v>
      </c>
      <c r="N4" t="s">
        <v>50</v>
      </c>
      <c r="O4">
        <v>4</v>
      </c>
      <c r="P4">
        <v>1065.43</v>
      </c>
      <c r="Q4" s="11">
        <v>0.55000000000000004</v>
      </c>
      <c r="R4">
        <v>4261.72</v>
      </c>
      <c r="S4">
        <v>2465.69</v>
      </c>
      <c r="T4">
        <v>1796.03</v>
      </c>
      <c r="U4" t="s">
        <v>32</v>
      </c>
      <c r="V4" t="s">
        <v>33</v>
      </c>
      <c r="X4" s="8" t="str">
        <f>IF(C4&gt;=B4,"Valid", "Invalid-Date")</f>
        <v>Invalid-Date</v>
      </c>
      <c r="Y4" s="8" t="str">
        <f t="shared" si="1"/>
        <v>Invalid-Discount</v>
      </c>
      <c r="Z4" s="8" t="str">
        <f t="shared" si="2"/>
        <v>Pass</v>
      </c>
      <c r="AA4" s="8" t="str">
        <f t="shared" si="3"/>
        <v>Pass</v>
      </c>
      <c r="AB4" s="8" t="str">
        <f>TEXT(B4,"mmmm")</f>
        <v>August</v>
      </c>
      <c r="AC4" s="8" t="str">
        <f>TEXT(B4,"yyyy")</f>
        <v>2024</v>
      </c>
      <c r="AE4">
        <f t="shared" si="4"/>
        <v>4261.72</v>
      </c>
      <c r="AF4" s="11">
        <f t="shared" si="5"/>
        <v>1917.7739999999999</v>
      </c>
      <c r="AG4">
        <f t="shared" si="6"/>
        <v>1796.0300000000002</v>
      </c>
      <c r="AH4" s="11">
        <f t="shared" si="7"/>
        <v>0.42143313028542467</v>
      </c>
      <c r="AI4" s="9">
        <f t="shared" si="8"/>
        <v>0.42143313028542467</v>
      </c>
      <c r="AJ4">
        <f t="shared" si="9"/>
        <v>4261.72</v>
      </c>
      <c r="AK4">
        <f t="shared" si="10"/>
        <v>1</v>
      </c>
      <c r="AL4">
        <f t="shared" si="11"/>
        <v>0</v>
      </c>
      <c r="AM4">
        <f t="shared" si="12"/>
        <v>0</v>
      </c>
      <c r="AN4">
        <f t="shared" si="13"/>
        <v>0</v>
      </c>
      <c r="AO4">
        <f t="shared" si="14"/>
        <v>0</v>
      </c>
      <c r="AP4">
        <f t="shared" si="15"/>
        <v>0</v>
      </c>
      <c r="AQ4">
        <f t="shared" si="16"/>
        <v>0</v>
      </c>
    </row>
    <row r="5" spans="1:43">
      <c r="A5" t="s">
        <v>51</v>
      </c>
      <c r="B5" s="5">
        <v>45624</v>
      </c>
      <c r="C5" s="5">
        <v>45625</v>
      </c>
      <c r="D5" s="13">
        <f t="shared" si="0"/>
        <v>1</v>
      </c>
      <c r="E5" t="s">
        <v>52</v>
      </c>
      <c r="F5" t="s">
        <v>53</v>
      </c>
      <c r="G5" t="s">
        <v>37</v>
      </c>
      <c r="H5" t="s">
        <v>54</v>
      </c>
      <c r="I5" t="s">
        <v>55</v>
      </c>
      <c r="J5" t="s">
        <v>56</v>
      </c>
      <c r="K5" t="s">
        <v>41</v>
      </c>
      <c r="L5" t="s">
        <v>57</v>
      </c>
      <c r="M5" t="s">
        <v>58</v>
      </c>
      <c r="N5" t="s">
        <v>59</v>
      </c>
      <c r="O5">
        <v>6</v>
      </c>
      <c r="P5">
        <v>1848.43</v>
      </c>
      <c r="Q5" s="11">
        <v>0.25</v>
      </c>
      <c r="R5">
        <v>8317.93</v>
      </c>
      <c r="S5">
        <v>6796.77</v>
      </c>
      <c r="T5">
        <v>1521.16</v>
      </c>
      <c r="U5" t="s">
        <v>32</v>
      </c>
      <c r="V5" t="s">
        <v>33</v>
      </c>
      <c r="X5" s="8" t="str">
        <f>IF(C5&gt;=B5,"Valid", "Invalid-Date")</f>
        <v>Valid</v>
      </c>
      <c r="Y5" s="8" t="str">
        <f t="shared" si="1"/>
        <v>Valid</v>
      </c>
      <c r="Z5" s="8" t="str">
        <f t="shared" si="2"/>
        <v>Pass</v>
      </c>
      <c r="AA5" s="8" t="str">
        <f t="shared" si="3"/>
        <v>Pass</v>
      </c>
      <c r="AB5" s="8" t="str">
        <f>TEXT(B5,"mmmm")</f>
        <v>November</v>
      </c>
      <c r="AC5" s="8" t="str">
        <f>TEXT(B5,"yyyy")</f>
        <v>2024</v>
      </c>
      <c r="AE5">
        <f t="shared" si="4"/>
        <v>11090.58</v>
      </c>
      <c r="AF5" s="11">
        <f t="shared" si="5"/>
        <v>8317.9349999999995</v>
      </c>
      <c r="AG5">
        <f t="shared" si="6"/>
        <v>4293.8099999999995</v>
      </c>
      <c r="AH5" s="11">
        <f t="shared" si="7"/>
        <v>0.38715829109027655</v>
      </c>
      <c r="AI5" s="9">
        <f t="shared" si="8"/>
        <v>0.38715829109027655</v>
      </c>
      <c r="AJ5">
        <f t="shared" si="9"/>
        <v>8317.93</v>
      </c>
      <c r="AK5">
        <f t="shared" si="10"/>
        <v>1</v>
      </c>
      <c r="AL5">
        <f t="shared" si="11"/>
        <v>0</v>
      </c>
      <c r="AM5">
        <f t="shared" si="12"/>
        <v>0</v>
      </c>
      <c r="AN5">
        <f t="shared" si="13"/>
        <v>0</v>
      </c>
      <c r="AO5">
        <f t="shared" si="14"/>
        <v>0</v>
      </c>
      <c r="AP5">
        <f t="shared" si="15"/>
        <v>0</v>
      </c>
      <c r="AQ5">
        <f t="shared" si="16"/>
        <v>0</v>
      </c>
    </row>
    <row r="6" spans="1:43">
      <c r="A6" t="s">
        <v>60</v>
      </c>
      <c r="B6" s="5">
        <v>45898</v>
      </c>
      <c r="C6" s="5">
        <v>45666</v>
      </c>
      <c r="D6" s="13">
        <f t="shared" si="0"/>
        <v>-232</v>
      </c>
      <c r="E6" t="s">
        <v>61</v>
      </c>
      <c r="F6" t="s">
        <v>62</v>
      </c>
      <c r="G6" t="s">
        <v>37</v>
      </c>
      <c r="H6" t="s">
        <v>63</v>
      </c>
      <c r="I6" t="s">
        <v>64</v>
      </c>
      <c r="J6" t="s">
        <v>65</v>
      </c>
      <c r="K6" t="s">
        <v>41</v>
      </c>
      <c r="L6" t="s">
        <v>66</v>
      </c>
      <c r="M6" t="s">
        <v>67</v>
      </c>
      <c r="N6" t="s">
        <v>50</v>
      </c>
      <c r="O6">
        <v>7</v>
      </c>
      <c r="P6">
        <v>2973.76</v>
      </c>
      <c r="Q6" s="11">
        <v>0</v>
      </c>
      <c r="R6">
        <v>20816.32</v>
      </c>
      <c r="S6">
        <v>17705.37</v>
      </c>
      <c r="T6">
        <v>3110.95</v>
      </c>
      <c r="U6" t="s">
        <v>32</v>
      </c>
      <c r="V6" t="s">
        <v>68</v>
      </c>
      <c r="X6" s="8" t="str">
        <f>IF(C6&gt;=B6,"Valid", "Invalid-Date")</f>
        <v>Invalid-Date</v>
      </c>
      <c r="Y6" s="8" t="str">
        <f t="shared" si="1"/>
        <v>Valid</v>
      </c>
      <c r="Z6" s="8" t="str">
        <f t="shared" si="2"/>
        <v>Pass</v>
      </c>
      <c r="AA6" s="8" t="str">
        <f t="shared" si="3"/>
        <v>Pass</v>
      </c>
      <c r="AB6" s="8" t="str">
        <f>TEXT(B6,"mmmm")</f>
        <v>August</v>
      </c>
      <c r="AC6" s="8" t="str">
        <f>TEXT(B6,"yyyy")</f>
        <v>2025</v>
      </c>
      <c r="AE6">
        <f t="shared" si="4"/>
        <v>20816.32</v>
      </c>
      <c r="AF6" s="11">
        <f t="shared" si="5"/>
        <v>20816.32</v>
      </c>
      <c r="AG6">
        <f t="shared" si="6"/>
        <v>3110.9500000000007</v>
      </c>
      <c r="AH6" s="11">
        <f t="shared" si="7"/>
        <v>0.14944764492475138</v>
      </c>
      <c r="AI6" s="9">
        <f t="shared" si="8"/>
        <v>0.14944764492475138</v>
      </c>
      <c r="AJ6">
        <f t="shared" si="9"/>
        <v>0</v>
      </c>
      <c r="AK6">
        <f t="shared" si="10"/>
        <v>0</v>
      </c>
      <c r="AL6">
        <f t="shared" si="11"/>
        <v>20816.32</v>
      </c>
      <c r="AM6">
        <f t="shared" si="12"/>
        <v>1</v>
      </c>
      <c r="AN6">
        <f t="shared" si="13"/>
        <v>0</v>
      </c>
      <c r="AO6">
        <f t="shared" si="14"/>
        <v>0</v>
      </c>
      <c r="AP6">
        <f t="shared" si="15"/>
        <v>0</v>
      </c>
      <c r="AQ6">
        <f t="shared" si="16"/>
        <v>0</v>
      </c>
    </row>
    <row r="7" spans="1:43">
      <c r="A7" t="s">
        <v>69</v>
      </c>
      <c r="B7" s="5">
        <v>45436</v>
      </c>
      <c r="C7" s="5">
        <v>45440</v>
      </c>
      <c r="D7" s="13">
        <f t="shared" si="0"/>
        <v>4</v>
      </c>
      <c r="E7" t="s">
        <v>70</v>
      </c>
      <c r="F7" t="s">
        <v>71</v>
      </c>
      <c r="G7" t="s">
        <v>37</v>
      </c>
      <c r="H7" t="s">
        <v>63</v>
      </c>
      <c r="I7" t="s">
        <v>72</v>
      </c>
      <c r="J7" t="s">
        <v>73</v>
      </c>
      <c r="K7" t="s">
        <v>74</v>
      </c>
      <c r="L7" t="s">
        <v>75</v>
      </c>
      <c r="M7" t="s">
        <v>76</v>
      </c>
      <c r="N7" t="s">
        <v>44</v>
      </c>
      <c r="O7">
        <v>3</v>
      </c>
      <c r="P7">
        <v>1053.1099999999999</v>
      </c>
      <c r="Q7" s="11">
        <v>0.2</v>
      </c>
      <c r="R7">
        <v>2527.46</v>
      </c>
      <c r="S7">
        <v>1533.58</v>
      </c>
      <c r="T7">
        <v>993.88</v>
      </c>
      <c r="U7" t="s">
        <v>32</v>
      </c>
      <c r="V7" t="s">
        <v>33</v>
      </c>
      <c r="X7" s="8" t="str">
        <f>IF(C7&gt;=B7,"Valid", "Invalid-Date")</f>
        <v>Valid</v>
      </c>
      <c r="Y7" s="8" t="str">
        <f t="shared" si="1"/>
        <v>Valid</v>
      </c>
      <c r="Z7" s="8" t="str">
        <f t="shared" si="2"/>
        <v>Pass</v>
      </c>
      <c r="AA7" s="8" t="str">
        <f t="shared" si="3"/>
        <v>Pass</v>
      </c>
      <c r="AB7" s="8" t="str">
        <f>TEXT(B7,"mmmm")</f>
        <v>May</v>
      </c>
      <c r="AC7" s="8" t="str">
        <f>TEXT(B7,"yyyy")</f>
        <v>2024</v>
      </c>
      <c r="AE7">
        <f t="shared" si="4"/>
        <v>3159.33</v>
      </c>
      <c r="AF7" s="11">
        <f t="shared" si="5"/>
        <v>2527.4639999999999</v>
      </c>
      <c r="AG7">
        <f t="shared" si="6"/>
        <v>1625.75</v>
      </c>
      <c r="AH7" s="11">
        <f t="shared" si="7"/>
        <v>0.51458695356293904</v>
      </c>
      <c r="AI7" s="9">
        <f t="shared" si="8"/>
        <v>0.51458695356293904</v>
      </c>
      <c r="AJ7">
        <f t="shared" si="9"/>
        <v>2527.46</v>
      </c>
      <c r="AK7">
        <f t="shared" si="10"/>
        <v>1</v>
      </c>
      <c r="AL7">
        <f t="shared" si="11"/>
        <v>0</v>
      </c>
      <c r="AM7">
        <f t="shared" si="12"/>
        <v>0</v>
      </c>
      <c r="AN7">
        <f t="shared" si="13"/>
        <v>0</v>
      </c>
      <c r="AO7">
        <f t="shared" si="14"/>
        <v>0</v>
      </c>
      <c r="AP7">
        <f t="shared" si="15"/>
        <v>0</v>
      </c>
      <c r="AQ7">
        <f t="shared" si="16"/>
        <v>0</v>
      </c>
    </row>
    <row r="8" spans="1:43" s="15" customFormat="1">
      <c r="A8" s="15" t="s">
        <v>77</v>
      </c>
      <c r="B8" s="16">
        <v>45934</v>
      </c>
      <c r="C8" s="16">
        <v>45763</v>
      </c>
      <c r="D8" s="17">
        <f t="shared" si="0"/>
        <v>-171</v>
      </c>
      <c r="E8" s="15" t="s">
        <v>78</v>
      </c>
      <c r="F8" s="15" t="s">
        <v>79</v>
      </c>
      <c r="G8" s="15" t="s">
        <v>24</v>
      </c>
      <c r="H8" s="15" t="s">
        <v>38</v>
      </c>
      <c r="I8" s="15" t="s">
        <v>39</v>
      </c>
      <c r="J8" s="15" t="s">
        <v>40</v>
      </c>
      <c r="K8" s="15" t="s">
        <v>74</v>
      </c>
      <c r="L8" s="15" t="s">
        <v>80</v>
      </c>
      <c r="M8" s="15" t="s">
        <v>81</v>
      </c>
      <c r="N8" s="15" t="s">
        <v>59</v>
      </c>
      <c r="O8" s="15">
        <v>4</v>
      </c>
      <c r="P8" s="15">
        <v>1719.87</v>
      </c>
      <c r="Q8" s="18">
        <v>0.15</v>
      </c>
      <c r="R8" s="15">
        <v>5847.56</v>
      </c>
      <c r="S8" s="15">
        <v>4727.25</v>
      </c>
      <c r="T8" s="15">
        <v>1120.31</v>
      </c>
      <c r="U8" s="15" t="s">
        <v>32</v>
      </c>
      <c r="V8" s="15" t="s">
        <v>33</v>
      </c>
      <c r="W8" s="25"/>
      <c r="X8" s="8" t="str">
        <f>IF(C8&gt;=B8,"Valid", "Invalid-Date")</f>
        <v>Invalid-Date</v>
      </c>
      <c r="Y8" s="8" t="str">
        <f t="shared" si="1"/>
        <v>Valid</v>
      </c>
      <c r="Z8" s="19" t="str">
        <f t="shared" si="2"/>
        <v>Pass</v>
      </c>
      <c r="AA8" s="19" t="str">
        <f t="shared" si="3"/>
        <v>Pass</v>
      </c>
      <c r="AB8" s="19" t="str">
        <f>TEXT(B8,"mmmm")</f>
        <v>October</v>
      </c>
      <c r="AC8" s="19" t="str">
        <f>TEXT(B8,"yyyy")</f>
        <v>2025</v>
      </c>
      <c r="AD8" s="20"/>
      <c r="AE8" s="15">
        <f t="shared" si="4"/>
        <v>6879.48</v>
      </c>
      <c r="AF8" s="11">
        <f t="shared" si="5"/>
        <v>5847.5579999999991</v>
      </c>
      <c r="AG8" s="15">
        <f t="shared" si="6"/>
        <v>2152.2299999999996</v>
      </c>
      <c r="AH8" s="18">
        <f t="shared" si="7"/>
        <v>0.3128477733782204</v>
      </c>
      <c r="AI8" s="21">
        <f t="shared" si="8"/>
        <v>0.3128477733782204</v>
      </c>
      <c r="AJ8">
        <f t="shared" si="9"/>
        <v>5847.56</v>
      </c>
      <c r="AK8">
        <f t="shared" si="10"/>
        <v>1</v>
      </c>
      <c r="AL8">
        <f t="shared" si="11"/>
        <v>0</v>
      </c>
      <c r="AM8">
        <f t="shared" si="12"/>
        <v>0</v>
      </c>
      <c r="AN8">
        <f t="shared" si="13"/>
        <v>0</v>
      </c>
      <c r="AO8">
        <f t="shared" si="14"/>
        <v>0</v>
      </c>
      <c r="AP8">
        <f t="shared" si="15"/>
        <v>0</v>
      </c>
      <c r="AQ8">
        <f t="shared" si="16"/>
        <v>0</v>
      </c>
    </row>
    <row r="9" spans="1:43">
      <c r="A9" t="s">
        <v>82</v>
      </c>
      <c r="B9" s="5">
        <v>45711</v>
      </c>
      <c r="C9" s="5">
        <v>45714</v>
      </c>
      <c r="D9" s="13">
        <f t="shared" si="0"/>
        <v>3</v>
      </c>
      <c r="E9" t="s">
        <v>83</v>
      </c>
      <c r="F9" t="s">
        <v>47</v>
      </c>
      <c r="G9" t="s">
        <v>37</v>
      </c>
      <c r="H9" t="s">
        <v>54</v>
      </c>
      <c r="I9" t="s">
        <v>84</v>
      </c>
      <c r="J9" t="s">
        <v>85</v>
      </c>
      <c r="K9" t="s">
        <v>28</v>
      </c>
      <c r="L9" t="s">
        <v>48</v>
      </c>
      <c r="M9" t="s">
        <v>86</v>
      </c>
      <c r="N9" t="s">
        <v>50</v>
      </c>
      <c r="O9">
        <v>1</v>
      </c>
      <c r="P9">
        <v>2980.71</v>
      </c>
      <c r="Q9" s="11">
        <v>0</v>
      </c>
      <c r="R9">
        <v>2980.71</v>
      </c>
      <c r="S9">
        <v>2357.2199999999998</v>
      </c>
      <c r="T9">
        <v>623.49</v>
      </c>
      <c r="U9" t="s">
        <v>32</v>
      </c>
      <c r="V9" t="s">
        <v>33</v>
      </c>
      <c r="X9" s="8" t="str">
        <f>IF(C9&gt;=B9,"Valid", "Invalid-Date")</f>
        <v>Valid</v>
      </c>
      <c r="Y9" s="8" t="str">
        <f t="shared" si="1"/>
        <v>Valid</v>
      </c>
      <c r="Z9" s="8" t="str">
        <f t="shared" si="2"/>
        <v>Pass</v>
      </c>
      <c r="AA9" s="8" t="str">
        <f t="shared" si="3"/>
        <v>Pass</v>
      </c>
      <c r="AB9" s="8" t="str">
        <f>TEXT(B9,"mmmm")</f>
        <v>February</v>
      </c>
      <c r="AC9" s="8" t="str">
        <f>TEXT(B9,"yyyy")</f>
        <v>2025</v>
      </c>
      <c r="AE9">
        <f t="shared" si="4"/>
        <v>2980.71</v>
      </c>
      <c r="AF9" s="11">
        <f t="shared" si="5"/>
        <v>2980.71</v>
      </c>
      <c r="AG9">
        <f t="shared" si="6"/>
        <v>623.49000000000024</v>
      </c>
      <c r="AH9" s="11">
        <f t="shared" si="7"/>
        <v>0.20917499521925992</v>
      </c>
      <c r="AI9" s="9">
        <f t="shared" si="8"/>
        <v>0.20917499521925992</v>
      </c>
      <c r="AJ9">
        <f t="shared" si="9"/>
        <v>2980.71</v>
      </c>
      <c r="AK9">
        <f t="shared" si="10"/>
        <v>1</v>
      </c>
      <c r="AL9">
        <f t="shared" si="11"/>
        <v>0</v>
      </c>
      <c r="AM9">
        <f t="shared" si="12"/>
        <v>0</v>
      </c>
      <c r="AN9">
        <f t="shared" si="13"/>
        <v>0</v>
      </c>
      <c r="AO9">
        <f t="shared" si="14"/>
        <v>0</v>
      </c>
      <c r="AP9">
        <f t="shared" si="15"/>
        <v>0</v>
      </c>
      <c r="AQ9">
        <f t="shared" si="16"/>
        <v>0</v>
      </c>
    </row>
    <row r="10" spans="1:43">
      <c r="A10" t="s">
        <v>87</v>
      </c>
      <c r="B10" s="5">
        <v>45423</v>
      </c>
      <c r="C10" s="5">
        <v>45576</v>
      </c>
      <c r="D10" s="13">
        <f t="shared" si="0"/>
        <v>153</v>
      </c>
      <c r="E10" t="s">
        <v>88</v>
      </c>
      <c r="F10" t="s">
        <v>89</v>
      </c>
      <c r="G10" t="s">
        <v>90</v>
      </c>
      <c r="H10" t="s">
        <v>54</v>
      </c>
      <c r="I10" t="s">
        <v>55</v>
      </c>
      <c r="J10" t="s">
        <v>56</v>
      </c>
      <c r="K10" t="s">
        <v>28</v>
      </c>
      <c r="L10" t="s">
        <v>91</v>
      </c>
      <c r="M10" t="s">
        <v>92</v>
      </c>
      <c r="N10" t="s">
        <v>50</v>
      </c>
      <c r="O10">
        <v>8</v>
      </c>
      <c r="P10">
        <v>3134.2</v>
      </c>
      <c r="Q10" s="11">
        <v>0</v>
      </c>
      <c r="R10">
        <v>25073.599999999999</v>
      </c>
      <c r="S10">
        <v>17347.23</v>
      </c>
      <c r="T10">
        <v>7726.37</v>
      </c>
      <c r="U10" t="s">
        <v>32</v>
      </c>
      <c r="V10" t="s">
        <v>33</v>
      </c>
      <c r="X10" s="8" t="str">
        <f>IF(C10&gt;=B10,"Valid", "Invalid-Date")</f>
        <v>Valid</v>
      </c>
      <c r="Y10" s="8" t="str">
        <f t="shared" si="1"/>
        <v>Valid</v>
      </c>
      <c r="Z10" s="8" t="str">
        <f t="shared" si="2"/>
        <v>Pass</v>
      </c>
      <c r="AA10" s="8" t="str">
        <f t="shared" si="3"/>
        <v>Pass</v>
      </c>
      <c r="AB10" s="8" t="str">
        <f>TEXT(B10,"mmmm")</f>
        <v>May</v>
      </c>
      <c r="AC10" s="8" t="str">
        <f>TEXT(B10,"yyyy")</f>
        <v>2024</v>
      </c>
      <c r="AE10">
        <f t="shared" si="4"/>
        <v>25073.599999999999</v>
      </c>
      <c r="AF10" s="11">
        <f t="shared" si="5"/>
        <v>25073.599999999999</v>
      </c>
      <c r="AG10">
        <f t="shared" si="6"/>
        <v>7726.369999999999</v>
      </c>
      <c r="AH10" s="11">
        <f t="shared" si="7"/>
        <v>0.30814761342607361</v>
      </c>
      <c r="AI10" s="9">
        <f t="shared" si="8"/>
        <v>0.30814761342607361</v>
      </c>
      <c r="AJ10">
        <f t="shared" si="9"/>
        <v>25073.599999999999</v>
      </c>
      <c r="AK10">
        <f t="shared" si="10"/>
        <v>1</v>
      </c>
      <c r="AL10">
        <f t="shared" si="11"/>
        <v>0</v>
      </c>
      <c r="AM10">
        <f t="shared" si="12"/>
        <v>0</v>
      </c>
      <c r="AN10">
        <f t="shared" si="13"/>
        <v>0</v>
      </c>
      <c r="AO10">
        <f t="shared" si="14"/>
        <v>0</v>
      </c>
      <c r="AP10">
        <f t="shared" si="15"/>
        <v>0</v>
      </c>
      <c r="AQ10">
        <f t="shared" si="16"/>
        <v>0</v>
      </c>
    </row>
    <row r="11" spans="1:43">
      <c r="A11" t="s">
        <v>93</v>
      </c>
      <c r="B11" s="5">
        <v>45907</v>
      </c>
      <c r="C11" s="5">
        <v>46000</v>
      </c>
      <c r="D11" s="13">
        <f t="shared" si="0"/>
        <v>93</v>
      </c>
      <c r="E11" t="s">
        <v>94</v>
      </c>
      <c r="F11" t="s">
        <v>36</v>
      </c>
      <c r="G11" t="s">
        <v>95</v>
      </c>
      <c r="H11" t="s">
        <v>54</v>
      </c>
      <c r="I11" t="s">
        <v>55</v>
      </c>
      <c r="J11" t="s">
        <v>56</v>
      </c>
      <c r="K11" t="s">
        <v>28</v>
      </c>
      <c r="L11" t="s">
        <v>29</v>
      </c>
      <c r="M11" t="s">
        <v>96</v>
      </c>
      <c r="N11" t="s">
        <v>31</v>
      </c>
      <c r="O11">
        <v>9</v>
      </c>
      <c r="P11">
        <v>852.04</v>
      </c>
      <c r="Q11" s="11">
        <v>0.2</v>
      </c>
      <c r="R11">
        <v>6134.69</v>
      </c>
      <c r="S11">
        <v>3800.19</v>
      </c>
      <c r="T11">
        <v>2334.5</v>
      </c>
      <c r="U11" t="s">
        <v>32</v>
      </c>
      <c r="V11" t="s">
        <v>33</v>
      </c>
      <c r="X11" s="8" t="str">
        <f>IF(C11&gt;=B11,"Valid", "Invalid-Date")</f>
        <v>Valid</v>
      </c>
      <c r="Y11" s="8" t="str">
        <f t="shared" si="1"/>
        <v>Valid</v>
      </c>
      <c r="Z11" s="8" t="str">
        <f t="shared" si="2"/>
        <v>Pass</v>
      </c>
      <c r="AA11" s="8" t="str">
        <f t="shared" si="3"/>
        <v>Pass</v>
      </c>
      <c r="AB11" s="8" t="str">
        <f>TEXT(B11,"mmmm")</f>
        <v>September</v>
      </c>
      <c r="AC11" s="8" t="str">
        <f>TEXT(B11,"yyyy")</f>
        <v>2025</v>
      </c>
      <c r="AE11">
        <f t="shared" si="4"/>
        <v>7668.36</v>
      </c>
      <c r="AF11" s="11">
        <f t="shared" si="5"/>
        <v>6134.6880000000001</v>
      </c>
      <c r="AG11">
        <f t="shared" si="6"/>
        <v>3868.1699999999996</v>
      </c>
      <c r="AH11" s="11">
        <f t="shared" si="7"/>
        <v>0.50443249925668587</v>
      </c>
      <c r="AI11" s="9">
        <f t="shared" si="8"/>
        <v>0.50443249925668587</v>
      </c>
      <c r="AJ11">
        <f t="shared" si="9"/>
        <v>6134.69</v>
      </c>
      <c r="AK11">
        <f t="shared" si="10"/>
        <v>1</v>
      </c>
      <c r="AL11">
        <f t="shared" si="11"/>
        <v>0</v>
      </c>
      <c r="AM11">
        <f t="shared" si="12"/>
        <v>0</v>
      </c>
      <c r="AN11">
        <f t="shared" si="13"/>
        <v>0</v>
      </c>
      <c r="AO11">
        <f t="shared" si="14"/>
        <v>0</v>
      </c>
      <c r="AP11">
        <f t="shared" si="15"/>
        <v>0</v>
      </c>
      <c r="AQ11">
        <f t="shared" si="16"/>
        <v>0</v>
      </c>
    </row>
    <row r="12" spans="1:43">
      <c r="A12" t="s">
        <v>97</v>
      </c>
      <c r="B12" s="5">
        <v>45797</v>
      </c>
      <c r="C12" s="5">
        <v>45797</v>
      </c>
      <c r="D12" s="13">
        <f t="shared" si="0"/>
        <v>0</v>
      </c>
      <c r="E12" t="s">
        <v>98</v>
      </c>
      <c r="F12" t="s">
        <v>62</v>
      </c>
      <c r="G12" t="s">
        <v>90</v>
      </c>
      <c r="H12" t="s">
        <v>38</v>
      </c>
      <c r="I12" t="s">
        <v>99</v>
      </c>
      <c r="J12" t="s">
        <v>100</v>
      </c>
      <c r="K12" t="s">
        <v>28</v>
      </c>
      <c r="L12" t="s">
        <v>91</v>
      </c>
      <c r="M12" t="s">
        <v>101</v>
      </c>
      <c r="N12" t="s">
        <v>31</v>
      </c>
      <c r="O12">
        <v>3</v>
      </c>
      <c r="P12">
        <v>3534.83</v>
      </c>
      <c r="Q12" s="11">
        <v>0.05</v>
      </c>
      <c r="R12">
        <v>10074.27</v>
      </c>
      <c r="S12">
        <v>6048.27</v>
      </c>
      <c r="T12">
        <v>4026</v>
      </c>
      <c r="U12" t="s">
        <v>102</v>
      </c>
      <c r="V12" t="s">
        <v>103</v>
      </c>
      <c r="X12" s="8" t="str">
        <f>IF(C12&gt;=B12,"Valid", "Invalid-Date")</f>
        <v>Valid</v>
      </c>
      <c r="Y12" s="8" t="str">
        <f t="shared" si="1"/>
        <v>Valid</v>
      </c>
      <c r="Z12" s="8" t="str">
        <f t="shared" si="2"/>
        <v>Pass</v>
      </c>
      <c r="AA12" s="8" t="str">
        <f t="shared" si="3"/>
        <v>Pass</v>
      </c>
      <c r="AB12" s="8" t="str">
        <f>TEXT(B12,"mmmm")</f>
        <v>May</v>
      </c>
      <c r="AC12" s="8" t="str">
        <f>TEXT(B12,"yyyy")</f>
        <v>2025</v>
      </c>
      <c r="AE12">
        <f t="shared" si="4"/>
        <v>10604.49</v>
      </c>
      <c r="AF12" s="11">
        <f t="shared" si="5"/>
        <v>10074.2655</v>
      </c>
      <c r="AG12">
        <f t="shared" si="6"/>
        <v>4556.2199999999993</v>
      </c>
      <c r="AH12" s="11">
        <f t="shared" si="7"/>
        <v>0.42965008218216993</v>
      </c>
      <c r="AI12" s="9">
        <f t="shared" si="8"/>
        <v>0.42965008218216993</v>
      </c>
      <c r="AJ12">
        <f t="shared" si="9"/>
        <v>0</v>
      </c>
      <c r="AK12">
        <f t="shared" si="10"/>
        <v>0</v>
      </c>
      <c r="AL12">
        <f t="shared" si="11"/>
        <v>0</v>
      </c>
      <c r="AM12">
        <f t="shared" si="12"/>
        <v>0</v>
      </c>
      <c r="AN12">
        <f t="shared" si="13"/>
        <v>0</v>
      </c>
      <c r="AO12">
        <f t="shared" si="14"/>
        <v>0</v>
      </c>
      <c r="AP12">
        <f t="shared" si="15"/>
        <v>10074.27</v>
      </c>
      <c r="AQ12">
        <f t="shared" si="16"/>
        <v>1</v>
      </c>
    </row>
    <row r="13" spans="1:43">
      <c r="A13" t="s">
        <v>104</v>
      </c>
      <c r="B13" s="5">
        <v>45495</v>
      </c>
      <c r="C13" s="5">
        <v>45496</v>
      </c>
      <c r="D13" s="13">
        <f t="shared" si="0"/>
        <v>1</v>
      </c>
      <c r="E13" t="s">
        <v>105</v>
      </c>
      <c r="F13" t="s">
        <v>71</v>
      </c>
      <c r="G13" t="s">
        <v>37</v>
      </c>
      <c r="H13" t="s">
        <v>38</v>
      </c>
      <c r="I13" t="s">
        <v>39</v>
      </c>
      <c r="J13" t="s">
        <v>40</v>
      </c>
      <c r="K13" t="s">
        <v>74</v>
      </c>
      <c r="L13" t="s">
        <v>75</v>
      </c>
      <c r="M13" t="s">
        <v>106</v>
      </c>
      <c r="N13" t="s">
        <v>44</v>
      </c>
      <c r="O13">
        <v>6</v>
      </c>
      <c r="P13">
        <v>2005.95</v>
      </c>
      <c r="Q13" s="11">
        <v>0.2</v>
      </c>
      <c r="R13">
        <v>9628.56</v>
      </c>
      <c r="S13">
        <v>8038.59</v>
      </c>
      <c r="T13">
        <v>1589.97</v>
      </c>
      <c r="U13" t="s">
        <v>32</v>
      </c>
      <c r="V13" t="s">
        <v>33</v>
      </c>
      <c r="X13" s="8" t="str">
        <f>IF(C13&gt;=B13,"Valid", "Invalid-Date")</f>
        <v>Valid</v>
      </c>
      <c r="Y13" s="8" t="str">
        <f t="shared" si="1"/>
        <v>Valid</v>
      </c>
      <c r="Z13" s="8" t="str">
        <f t="shared" si="2"/>
        <v>Pass</v>
      </c>
      <c r="AA13" s="8" t="str">
        <f t="shared" si="3"/>
        <v>Pass</v>
      </c>
      <c r="AB13" s="8" t="str">
        <f>TEXT(B13,"mmmm")</f>
        <v>July</v>
      </c>
      <c r="AC13" s="8" t="str">
        <f>TEXT(B13,"yyyy")</f>
        <v>2024</v>
      </c>
      <c r="AE13">
        <f t="shared" si="4"/>
        <v>12035.7</v>
      </c>
      <c r="AF13" s="11">
        <f t="shared" si="5"/>
        <v>9628.5600000000013</v>
      </c>
      <c r="AG13">
        <f t="shared" si="6"/>
        <v>3997.1100000000006</v>
      </c>
      <c r="AH13" s="11">
        <f t="shared" si="7"/>
        <v>0.33210448914479429</v>
      </c>
      <c r="AI13" s="9">
        <f t="shared" si="8"/>
        <v>0.33210448914479429</v>
      </c>
      <c r="AJ13">
        <f t="shared" si="9"/>
        <v>9628.56</v>
      </c>
      <c r="AK13">
        <f t="shared" si="10"/>
        <v>1</v>
      </c>
      <c r="AL13">
        <f t="shared" si="11"/>
        <v>0</v>
      </c>
      <c r="AM13">
        <f t="shared" si="12"/>
        <v>0</v>
      </c>
      <c r="AN13">
        <f t="shared" si="13"/>
        <v>0</v>
      </c>
      <c r="AO13">
        <f t="shared" si="14"/>
        <v>0</v>
      </c>
      <c r="AP13">
        <f t="shared" si="15"/>
        <v>0</v>
      </c>
      <c r="AQ13">
        <f t="shared" si="16"/>
        <v>0</v>
      </c>
    </row>
    <row r="14" spans="1:43">
      <c r="A14" t="s">
        <v>107</v>
      </c>
      <c r="B14" s="5">
        <v>45646</v>
      </c>
      <c r="C14" s="5">
        <v>45647</v>
      </c>
      <c r="D14" s="13">
        <f t="shared" si="0"/>
        <v>1</v>
      </c>
      <c r="E14" t="s">
        <v>108</v>
      </c>
      <c r="F14" t="s">
        <v>62</v>
      </c>
      <c r="G14" t="s">
        <v>90</v>
      </c>
      <c r="H14" t="s">
        <v>63</v>
      </c>
      <c r="I14" t="s">
        <v>26</v>
      </c>
      <c r="J14" t="s">
        <v>109</v>
      </c>
      <c r="K14" t="s">
        <v>28</v>
      </c>
      <c r="L14" t="s">
        <v>29</v>
      </c>
      <c r="M14" t="s">
        <v>110</v>
      </c>
      <c r="N14" t="s">
        <v>50</v>
      </c>
      <c r="O14">
        <v>1</v>
      </c>
      <c r="P14">
        <v>702.14</v>
      </c>
      <c r="Q14" s="11">
        <v>0.15</v>
      </c>
      <c r="R14">
        <v>596.82000000000005</v>
      </c>
      <c r="S14">
        <v>380.25</v>
      </c>
      <c r="T14">
        <v>216.57</v>
      </c>
      <c r="U14" t="s">
        <v>111</v>
      </c>
      <c r="V14" t="s">
        <v>103</v>
      </c>
      <c r="X14" s="8" t="str">
        <f>IF(C14&gt;=B14,"Valid", "Invalid-Date")</f>
        <v>Valid</v>
      </c>
      <c r="Y14" s="8" t="str">
        <f t="shared" si="1"/>
        <v>Valid</v>
      </c>
      <c r="Z14" s="8" t="str">
        <f t="shared" si="2"/>
        <v>Pass</v>
      </c>
      <c r="AA14" s="8" t="str">
        <f t="shared" si="3"/>
        <v>Pass</v>
      </c>
      <c r="AB14" s="8" t="str">
        <f>TEXT(B14,"mmmm")</f>
        <v>December</v>
      </c>
      <c r="AC14" s="8" t="str">
        <f>TEXT(B14,"yyyy")</f>
        <v>2024</v>
      </c>
      <c r="AE14">
        <f t="shared" si="4"/>
        <v>702.14</v>
      </c>
      <c r="AF14" s="11">
        <f t="shared" si="5"/>
        <v>596.81899999999996</v>
      </c>
      <c r="AG14">
        <f t="shared" si="6"/>
        <v>321.89</v>
      </c>
      <c r="AH14" s="11">
        <f t="shared" si="7"/>
        <v>0.45844133648560115</v>
      </c>
      <c r="AI14" s="9">
        <f t="shared" si="8"/>
        <v>0.45844133648560115</v>
      </c>
      <c r="AJ14">
        <f t="shared" si="9"/>
        <v>0</v>
      </c>
      <c r="AK14">
        <f t="shared" si="10"/>
        <v>0</v>
      </c>
      <c r="AL14">
        <f t="shared" si="11"/>
        <v>0</v>
      </c>
      <c r="AM14">
        <f t="shared" si="12"/>
        <v>0</v>
      </c>
      <c r="AN14">
        <f t="shared" si="13"/>
        <v>0</v>
      </c>
      <c r="AO14">
        <f t="shared" si="14"/>
        <v>0</v>
      </c>
      <c r="AP14">
        <f t="shared" si="15"/>
        <v>596.82000000000005</v>
      </c>
      <c r="AQ14">
        <f t="shared" si="16"/>
        <v>1</v>
      </c>
    </row>
    <row r="15" spans="1:43">
      <c r="A15" t="s">
        <v>112</v>
      </c>
      <c r="B15" s="5">
        <v>45942</v>
      </c>
      <c r="C15" s="5">
        <v>45946</v>
      </c>
      <c r="D15" s="13">
        <f t="shared" si="0"/>
        <v>4</v>
      </c>
      <c r="E15" t="s">
        <v>113</v>
      </c>
      <c r="F15" t="s">
        <v>114</v>
      </c>
      <c r="G15" t="s">
        <v>37</v>
      </c>
      <c r="H15" t="s">
        <v>63</v>
      </c>
      <c r="I15" t="s">
        <v>64</v>
      </c>
      <c r="J15" t="s">
        <v>65</v>
      </c>
      <c r="K15" t="s">
        <v>28</v>
      </c>
      <c r="L15" t="s">
        <v>48</v>
      </c>
      <c r="M15" t="s">
        <v>115</v>
      </c>
      <c r="N15" t="s">
        <v>31</v>
      </c>
      <c r="O15">
        <v>7</v>
      </c>
      <c r="P15">
        <v>3964.72</v>
      </c>
      <c r="Q15" s="11">
        <v>0.05</v>
      </c>
      <c r="R15">
        <v>26365.39</v>
      </c>
      <c r="S15">
        <v>22306.240000000002</v>
      </c>
      <c r="T15">
        <v>4059.15</v>
      </c>
      <c r="U15" t="s">
        <v>32</v>
      </c>
      <c r="V15" t="s">
        <v>33</v>
      </c>
      <c r="X15" s="8" t="str">
        <f>IF(C15&gt;=B15,"Valid", "Invalid-Date")</f>
        <v>Valid</v>
      </c>
      <c r="Y15" s="8" t="str">
        <f t="shared" si="1"/>
        <v>Valid</v>
      </c>
      <c r="Z15" s="8" t="str">
        <f t="shared" si="2"/>
        <v>Pass</v>
      </c>
      <c r="AA15" s="8" t="str">
        <f t="shared" si="3"/>
        <v>Pass</v>
      </c>
      <c r="AB15" s="8" t="str">
        <f>TEXT(B15,"mmmm")</f>
        <v>October</v>
      </c>
      <c r="AC15" s="8" t="str">
        <f>TEXT(B15,"yyyy")</f>
        <v>2025</v>
      </c>
      <c r="AE15">
        <f t="shared" si="4"/>
        <v>27753.039999999997</v>
      </c>
      <c r="AF15" s="11">
        <f t="shared" si="5"/>
        <v>26365.387999999995</v>
      </c>
      <c r="AG15">
        <f t="shared" si="6"/>
        <v>5446.7999999999956</v>
      </c>
      <c r="AH15" s="11">
        <f t="shared" si="7"/>
        <v>0.19625958093239501</v>
      </c>
      <c r="AI15" s="9">
        <f t="shared" si="8"/>
        <v>0.19625958093239501</v>
      </c>
      <c r="AJ15">
        <f t="shared" si="9"/>
        <v>26365.39</v>
      </c>
      <c r="AK15">
        <f t="shared" si="10"/>
        <v>1</v>
      </c>
      <c r="AL15">
        <f t="shared" si="11"/>
        <v>0</v>
      </c>
      <c r="AM15">
        <f t="shared" si="12"/>
        <v>0</v>
      </c>
      <c r="AN15">
        <f t="shared" si="13"/>
        <v>0</v>
      </c>
      <c r="AO15">
        <f t="shared" si="14"/>
        <v>0</v>
      </c>
      <c r="AP15">
        <f t="shared" si="15"/>
        <v>0</v>
      </c>
      <c r="AQ15">
        <f t="shared" si="16"/>
        <v>0</v>
      </c>
    </row>
    <row r="16" spans="1:43">
      <c r="A16" t="s">
        <v>116</v>
      </c>
      <c r="B16" s="5">
        <v>45653</v>
      </c>
      <c r="C16" s="5">
        <v>45654</v>
      </c>
      <c r="D16" s="13">
        <f t="shared" si="0"/>
        <v>1</v>
      </c>
      <c r="E16" t="s">
        <v>117</v>
      </c>
      <c r="F16" t="s">
        <v>118</v>
      </c>
      <c r="G16" t="s">
        <v>24</v>
      </c>
      <c r="H16" t="s">
        <v>63</v>
      </c>
      <c r="I16" t="s">
        <v>26</v>
      </c>
      <c r="J16" t="s">
        <v>109</v>
      </c>
      <c r="K16" t="s">
        <v>74</v>
      </c>
      <c r="L16" t="s">
        <v>80</v>
      </c>
      <c r="M16" t="s">
        <v>119</v>
      </c>
      <c r="N16" t="s">
        <v>59</v>
      </c>
      <c r="O16">
        <v>2</v>
      </c>
      <c r="P16">
        <v>2737.83</v>
      </c>
      <c r="Q16" s="11">
        <v>0.25</v>
      </c>
      <c r="R16">
        <v>4106.74</v>
      </c>
      <c r="S16">
        <v>2666.3</v>
      </c>
      <c r="T16">
        <v>1440.44</v>
      </c>
      <c r="U16" t="s">
        <v>32</v>
      </c>
      <c r="V16" t="s">
        <v>33</v>
      </c>
      <c r="X16" s="8" t="str">
        <f>IF(C16&gt;=B16,"Valid", "Invalid-Date")</f>
        <v>Valid</v>
      </c>
      <c r="Y16" s="8" t="str">
        <f t="shared" si="1"/>
        <v>Valid</v>
      </c>
      <c r="Z16" s="8" t="str">
        <f t="shared" si="2"/>
        <v>Pass</v>
      </c>
      <c r="AA16" s="8" t="str">
        <f t="shared" si="3"/>
        <v>Pass</v>
      </c>
      <c r="AB16" s="8" t="str">
        <f>TEXT(B16,"mmmm")</f>
        <v>December</v>
      </c>
      <c r="AC16" s="8" t="str">
        <f>TEXT(B16,"yyyy")</f>
        <v>2024</v>
      </c>
      <c r="AE16">
        <f t="shared" si="4"/>
        <v>5475.66</v>
      </c>
      <c r="AF16" s="11">
        <f t="shared" si="5"/>
        <v>4106.7449999999999</v>
      </c>
      <c r="AG16">
        <f t="shared" si="6"/>
        <v>2809.3599999999997</v>
      </c>
      <c r="AH16" s="11">
        <f t="shared" si="7"/>
        <v>0.51306326543284275</v>
      </c>
      <c r="AI16" s="9">
        <f t="shared" si="8"/>
        <v>0.51306326543284275</v>
      </c>
      <c r="AJ16">
        <f t="shared" si="9"/>
        <v>4106.74</v>
      </c>
      <c r="AK16">
        <f t="shared" si="10"/>
        <v>1</v>
      </c>
      <c r="AL16">
        <f t="shared" si="11"/>
        <v>0</v>
      </c>
      <c r="AM16">
        <f t="shared" si="12"/>
        <v>0</v>
      </c>
      <c r="AN16">
        <f t="shared" si="13"/>
        <v>0</v>
      </c>
      <c r="AO16">
        <f t="shared" si="14"/>
        <v>0</v>
      </c>
      <c r="AP16">
        <f t="shared" si="15"/>
        <v>0</v>
      </c>
      <c r="AQ16">
        <f t="shared" si="16"/>
        <v>0</v>
      </c>
    </row>
    <row r="17" spans="1:43">
      <c r="A17" t="s">
        <v>120</v>
      </c>
      <c r="B17" s="5">
        <v>45542</v>
      </c>
      <c r="C17" s="5">
        <v>45542</v>
      </c>
      <c r="D17" s="13">
        <f t="shared" si="0"/>
        <v>0</v>
      </c>
      <c r="E17" t="s">
        <v>121</v>
      </c>
      <c r="F17" t="s">
        <v>23</v>
      </c>
      <c r="G17" t="s">
        <v>37</v>
      </c>
      <c r="H17" t="s">
        <v>25</v>
      </c>
      <c r="I17" t="s">
        <v>122</v>
      </c>
      <c r="J17" t="s">
        <v>123</v>
      </c>
      <c r="K17" t="s">
        <v>28</v>
      </c>
      <c r="L17" t="s">
        <v>124</v>
      </c>
      <c r="M17" t="s">
        <v>125</v>
      </c>
      <c r="N17" t="s">
        <v>31</v>
      </c>
      <c r="O17">
        <v>6</v>
      </c>
      <c r="P17">
        <v>3965.76</v>
      </c>
      <c r="Q17" s="11">
        <v>0</v>
      </c>
      <c r="R17">
        <v>23794.560000000001</v>
      </c>
      <c r="S17">
        <v>15698.47</v>
      </c>
      <c r="T17">
        <v>8096.09</v>
      </c>
      <c r="U17" t="s">
        <v>32</v>
      </c>
      <c r="V17" t="s">
        <v>33</v>
      </c>
      <c r="X17" s="8" t="str">
        <f>IF(C17&gt;=B17,"Valid", "Invalid-Date")</f>
        <v>Valid</v>
      </c>
      <c r="Y17" s="8" t="str">
        <f t="shared" si="1"/>
        <v>Valid</v>
      </c>
      <c r="Z17" s="8" t="str">
        <f t="shared" si="2"/>
        <v>Pass</v>
      </c>
      <c r="AA17" s="8" t="str">
        <f t="shared" si="3"/>
        <v>Pass</v>
      </c>
      <c r="AB17" s="8" t="str">
        <f>TEXT(B17,"mmmm")</f>
        <v>September</v>
      </c>
      <c r="AC17" s="8" t="str">
        <f>TEXT(B17,"yyyy")</f>
        <v>2024</v>
      </c>
      <c r="AE17">
        <f t="shared" si="4"/>
        <v>23794.560000000001</v>
      </c>
      <c r="AF17" s="11">
        <f t="shared" si="5"/>
        <v>23794.560000000001</v>
      </c>
      <c r="AG17">
        <f t="shared" si="6"/>
        <v>8096.090000000002</v>
      </c>
      <c r="AH17" s="11">
        <f t="shared" si="7"/>
        <v>0.34024962008122872</v>
      </c>
      <c r="AI17" s="9">
        <f t="shared" si="8"/>
        <v>0.34024962008122872</v>
      </c>
      <c r="AJ17">
        <f t="shared" si="9"/>
        <v>23794.560000000001</v>
      </c>
      <c r="AK17">
        <f t="shared" si="10"/>
        <v>1</v>
      </c>
      <c r="AL17">
        <f t="shared" si="11"/>
        <v>0</v>
      </c>
      <c r="AM17">
        <f t="shared" si="12"/>
        <v>0</v>
      </c>
      <c r="AN17">
        <f t="shared" si="13"/>
        <v>0</v>
      </c>
      <c r="AO17">
        <f t="shared" si="14"/>
        <v>0</v>
      </c>
      <c r="AP17">
        <f t="shared" si="15"/>
        <v>0</v>
      </c>
      <c r="AQ17">
        <f t="shared" si="16"/>
        <v>0</v>
      </c>
    </row>
    <row r="18" spans="1:43">
      <c r="A18" t="s">
        <v>126</v>
      </c>
      <c r="B18" s="5">
        <v>45509</v>
      </c>
      <c r="C18" s="5">
        <v>45427</v>
      </c>
      <c r="D18" s="13">
        <f t="shared" si="0"/>
        <v>-82</v>
      </c>
      <c r="E18" t="s">
        <v>127</v>
      </c>
      <c r="F18" t="s">
        <v>128</v>
      </c>
      <c r="G18" t="s">
        <v>24</v>
      </c>
      <c r="H18" t="s">
        <v>54</v>
      </c>
      <c r="I18" t="s">
        <v>55</v>
      </c>
      <c r="J18" t="s">
        <v>56</v>
      </c>
      <c r="K18" t="s">
        <v>28</v>
      </c>
      <c r="L18" t="s">
        <v>48</v>
      </c>
      <c r="M18" t="s">
        <v>129</v>
      </c>
      <c r="N18" t="s">
        <v>50</v>
      </c>
      <c r="O18">
        <v>4</v>
      </c>
      <c r="P18">
        <v>3323.51</v>
      </c>
      <c r="Q18" s="11">
        <v>0.25</v>
      </c>
      <c r="R18">
        <v>9970.5300000000007</v>
      </c>
      <c r="S18">
        <v>5668.17</v>
      </c>
      <c r="T18">
        <v>4302.3599999999997</v>
      </c>
      <c r="U18" t="s">
        <v>32</v>
      </c>
      <c r="V18" t="s">
        <v>33</v>
      </c>
      <c r="X18" s="8" t="str">
        <f>IF(C18&gt;=B18,"Valid", "Invalid-Date")</f>
        <v>Invalid-Date</v>
      </c>
      <c r="Y18" s="8" t="str">
        <f t="shared" si="1"/>
        <v>Valid</v>
      </c>
      <c r="Z18" s="8" t="str">
        <f t="shared" si="2"/>
        <v>Pass</v>
      </c>
      <c r="AA18" s="8" t="str">
        <f t="shared" si="3"/>
        <v>Pass</v>
      </c>
      <c r="AB18" s="8" t="str">
        <f>TEXT(B18,"mmmm")</f>
        <v>August</v>
      </c>
      <c r="AC18" s="8" t="str">
        <f>TEXT(B18,"yyyy")</f>
        <v>2024</v>
      </c>
      <c r="AE18">
        <f t="shared" si="4"/>
        <v>13294.04</v>
      </c>
      <c r="AF18" s="11">
        <f t="shared" si="5"/>
        <v>9970.5300000000007</v>
      </c>
      <c r="AG18">
        <f t="shared" si="6"/>
        <v>7625.8700000000008</v>
      </c>
      <c r="AH18" s="11">
        <f t="shared" si="7"/>
        <v>0.57363073979016166</v>
      </c>
      <c r="AI18" s="9">
        <f t="shared" si="8"/>
        <v>0.57363073979016166</v>
      </c>
      <c r="AJ18">
        <f t="shared" si="9"/>
        <v>9970.5300000000007</v>
      </c>
      <c r="AK18">
        <f t="shared" si="10"/>
        <v>1</v>
      </c>
      <c r="AL18">
        <f t="shared" si="11"/>
        <v>0</v>
      </c>
      <c r="AM18">
        <f t="shared" si="12"/>
        <v>0</v>
      </c>
      <c r="AN18">
        <f t="shared" si="13"/>
        <v>0</v>
      </c>
      <c r="AO18">
        <f t="shared" si="14"/>
        <v>0</v>
      </c>
      <c r="AP18">
        <f t="shared" si="15"/>
        <v>0</v>
      </c>
      <c r="AQ18">
        <f t="shared" si="16"/>
        <v>0</v>
      </c>
    </row>
    <row r="19" spans="1:43">
      <c r="A19" t="s">
        <v>130</v>
      </c>
      <c r="B19" s="5">
        <v>45474</v>
      </c>
      <c r="C19" s="5">
        <v>45505</v>
      </c>
      <c r="D19" s="13">
        <f t="shared" si="0"/>
        <v>31</v>
      </c>
      <c r="E19" t="s">
        <v>131</v>
      </c>
      <c r="F19" t="s">
        <v>132</v>
      </c>
      <c r="G19" t="s">
        <v>37</v>
      </c>
      <c r="H19" t="s">
        <v>25</v>
      </c>
      <c r="I19" t="s">
        <v>26</v>
      </c>
      <c r="J19" t="s">
        <v>27</v>
      </c>
      <c r="K19" t="s">
        <v>41</v>
      </c>
      <c r="L19" t="s">
        <v>57</v>
      </c>
      <c r="M19" t="s">
        <v>133</v>
      </c>
      <c r="N19" t="s">
        <v>44</v>
      </c>
      <c r="O19">
        <v>5</v>
      </c>
      <c r="P19">
        <v>1526.78</v>
      </c>
      <c r="Q19" s="11">
        <v>0</v>
      </c>
      <c r="R19">
        <v>7633.9</v>
      </c>
      <c r="S19">
        <v>4706.91</v>
      </c>
      <c r="T19">
        <v>2926.99</v>
      </c>
      <c r="U19" t="s">
        <v>32</v>
      </c>
      <c r="V19" t="s">
        <v>33</v>
      </c>
      <c r="X19" s="8" t="str">
        <f>IF(C19&gt;=B19,"Valid", "Invalid-Date")</f>
        <v>Valid</v>
      </c>
      <c r="Y19" s="8" t="str">
        <f t="shared" si="1"/>
        <v>Valid</v>
      </c>
      <c r="Z19" s="8" t="str">
        <f t="shared" si="2"/>
        <v>Pass</v>
      </c>
      <c r="AA19" s="8" t="str">
        <f t="shared" si="3"/>
        <v>Pass</v>
      </c>
      <c r="AB19" s="8" t="str">
        <f>TEXT(B19,"mmmm")</f>
        <v>July</v>
      </c>
      <c r="AC19" s="8" t="str">
        <f>TEXT(B19,"yyyy")</f>
        <v>2024</v>
      </c>
      <c r="AE19">
        <f t="shared" si="4"/>
        <v>7633.9</v>
      </c>
      <c r="AF19" s="11">
        <f t="shared" si="5"/>
        <v>7633.9</v>
      </c>
      <c r="AG19">
        <f t="shared" si="6"/>
        <v>2926.99</v>
      </c>
      <c r="AH19" s="11">
        <f t="shared" si="7"/>
        <v>0.38342000812166782</v>
      </c>
      <c r="AI19" s="9">
        <f t="shared" si="8"/>
        <v>0.38342000812166782</v>
      </c>
      <c r="AJ19">
        <f t="shared" si="9"/>
        <v>7633.9</v>
      </c>
      <c r="AK19">
        <f t="shared" si="10"/>
        <v>1</v>
      </c>
      <c r="AL19">
        <f t="shared" si="11"/>
        <v>0</v>
      </c>
      <c r="AM19">
        <f t="shared" si="12"/>
        <v>0</v>
      </c>
      <c r="AN19">
        <f t="shared" si="13"/>
        <v>0</v>
      </c>
      <c r="AO19">
        <f t="shared" si="14"/>
        <v>0</v>
      </c>
      <c r="AP19">
        <f t="shared" si="15"/>
        <v>0</v>
      </c>
      <c r="AQ19">
        <f t="shared" si="16"/>
        <v>0</v>
      </c>
    </row>
    <row r="20" spans="1:43">
      <c r="A20" t="s">
        <v>134</v>
      </c>
      <c r="B20" s="5">
        <v>45853</v>
      </c>
      <c r="C20" s="5">
        <v>45855</v>
      </c>
      <c r="D20" s="13">
        <f t="shared" si="0"/>
        <v>2</v>
      </c>
      <c r="E20" t="s">
        <v>135</v>
      </c>
      <c r="F20" t="s">
        <v>128</v>
      </c>
      <c r="G20" t="s">
        <v>95</v>
      </c>
      <c r="H20" t="s">
        <v>25</v>
      </c>
      <c r="I20" t="s">
        <v>136</v>
      </c>
      <c r="J20" t="s">
        <v>137</v>
      </c>
      <c r="K20" t="s">
        <v>74</v>
      </c>
      <c r="L20" t="s">
        <v>80</v>
      </c>
      <c r="M20" t="s">
        <v>138</v>
      </c>
      <c r="N20" t="s">
        <v>50</v>
      </c>
      <c r="O20">
        <v>2</v>
      </c>
      <c r="P20">
        <v>1997.99</v>
      </c>
      <c r="Q20" s="11">
        <v>0</v>
      </c>
      <c r="R20">
        <v>3995.98</v>
      </c>
      <c r="S20">
        <v>2633.2</v>
      </c>
      <c r="T20">
        <v>1362.78</v>
      </c>
      <c r="U20" t="s">
        <v>102</v>
      </c>
      <c r="V20" t="s">
        <v>68</v>
      </c>
      <c r="X20" s="8" t="str">
        <f>IF(C20&gt;=B20,"Valid", "Invalid-Date")</f>
        <v>Valid</v>
      </c>
      <c r="Y20" s="8" t="str">
        <f t="shared" si="1"/>
        <v>Valid</v>
      </c>
      <c r="Z20" s="8" t="str">
        <f t="shared" si="2"/>
        <v>Pass</v>
      </c>
      <c r="AA20" s="8" t="str">
        <f t="shared" si="3"/>
        <v>Pass</v>
      </c>
      <c r="AB20" s="8" t="str">
        <f>TEXT(B20,"mmmm")</f>
        <v>July</v>
      </c>
      <c r="AC20" s="8" t="str">
        <f>TEXT(B20,"yyyy")</f>
        <v>2025</v>
      </c>
      <c r="AE20">
        <f t="shared" si="4"/>
        <v>3995.98</v>
      </c>
      <c r="AF20" s="11">
        <f t="shared" si="5"/>
        <v>3995.98</v>
      </c>
      <c r="AG20">
        <f t="shared" si="6"/>
        <v>1362.7800000000002</v>
      </c>
      <c r="AH20" s="11">
        <f t="shared" si="7"/>
        <v>0.34103774293164635</v>
      </c>
      <c r="AI20" s="9">
        <f t="shared" si="8"/>
        <v>0.34103774293164635</v>
      </c>
      <c r="AJ20">
        <f t="shared" si="9"/>
        <v>0</v>
      </c>
      <c r="AK20">
        <f t="shared" si="10"/>
        <v>0</v>
      </c>
      <c r="AL20">
        <f t="shared" si="11"/>
        <v>3995.98</v>
      </c>
      <c r="AM20">
        <f t="shared" si="12"/>
        <v>1</v>
      </c>
      <c r="AN20">
        <f t="shared" si="13"/>
        <v>0</v>
      </c>
      <c r="AO20">
        <f t="shared" si="14"/>
        <v>0</v>
      </c>
      <c r="AP20">
        <f t="shared" si="15"/>
        <v>0</v>
      </c>
      <c r="AQ20">
        <f t="shared" si="16"/>
        <v>0</v>
      </c>
    </row>
    <row r="21" spans="1:43">
      <c r="A21" t="s">
        <v>139</v>
      </c>
      <c r="B21" s="5">
        <v>45500</v>
      </c>
      <c r="C21" s="5">
        <v>45504</v>
      </c>
      <c r="D21" s="13">
        <f t="shared" si="0"/>
        <v>4</v>
      </c>
      <c r="E21" t="s">
        <v>140</v>
      </c>
      <c r="F21" t="s">
        <v>141</v>
      </c>
      <c r="G21" t="s">
        <v>95</v>
      </c>
      <c r="H21" t="s">
        <v>63</v>
      </c>
      <c r="I21" t="s">
        <v>72</v>
      </c>
      <c r="J21" t="s">
        <v>73</v>
      </c>
      <c r="K21" t="s">
        <v>28</v>
      </c>
      <c r="L21" t="s">
        <v>124</v>
      </c>
      <c r="M21" t="s">
        <v>142</v>
      </c>
      <c r="N21" t="s">
        <v>31</v>
      </c>
      <c r="O21">
        <v>3</v>
      </c>
      <c r="P21">
        <v>3887.94</v>
      </c>
      <c r="Q21" s="11">
        <v>-0.19</v>
      </c>
      <c r="R21">
        <v>9331.06</v>
      </c>
      <c r="S21">
        <v>7529.31</v>
      </c>
      <c r="T21">
        <v>1801.75</v>
      </c>
      <c r="U21" t="s">
        <v>32</v>
      </c>
      <c r="V21" t="s">
        <v>33</v>
      </c>
      <c r="X21" s="8" t="str">
        <f>IF(C21&gt;=B21,"Valid", "Invalid-Date")</f>
        <v>Valid</v>
      </c>
      <c r="Y21" s="8" t="str">
        <f t="shared" si="1"/>
        <v>Invalid-Discount</v>
      </c>
      <c r="Z21" s="8" t="str">
        <f t="shared" si="2"/>
        <v>Pass</v>
      </c>
      <c r="AA21" s="8" t="str">
        <f t="shared" si="3"/>
        <v>Pass</v>
      </c>
      <c r="AB21" s="8" t="str">
        <f>TEXT(B21,"mmmm")</f>
        <v>July</v>
      </c>
      <c r="AC21" s="8" t="str">
        <f>TEXT(B21,"yyyy")</f>
        <v>2024</v>
      </c>
      <c r="AE21">
        <f t="shared" si="4"/>
        <v>11663.82</v>
      </c>
      <c r="AF21" s="11">
        <f t="shared" si="5"/>
        <v>13879.9458</v>
      </c>
      <c r="AG21">
        <f t="shared" si="6"/>
        <v>4134.5099999999993</v>
      </c>
      <c r="AH21" s="11">
        <f t="shared" si="7"/>
        <v>0.35447306285590824</v>
      </c>
      <c r="AI21" s="9">
        <f t="shared" si="8"/>
        <v>0.35447306285590824</v>
      </c>
      <c r="AJ21">
        <f t="shared" si="9"/>
        <v>9331.06</v>
      </c>
      <c r="AK21">
        <f t="shared" si="10"/>
        <v>1</v>
      </c>
      <c r="AL21">
        <f t="shared" si="11"/>
        <v>0</v>
      </c>
      <c r="AM21">
        <f t="shared" si="12"/>
        <v>0</v>
      </c>
      <c r="AN21">
        <f t="shared" si="13"/>
        <v>0</v>
      </c>
      <c r="AO21">
        <f t="shared" si="14"/>
        <v>0</v>
      </c>
      <c r="AP21">
        <f t="shared" si="15"/>
        <v>0</v>
      </c>
      <c r="AQ21">
        <f t="shared" si="16"/>
        <v>0</v>
      </c>
    </row>
    <row r="22" spans="1:43">
      <c r="A22" t="s">
        <v>143</v>
      </c>
      <c r="B22" s="5">
        <v>45678</v>
      </c>
      <c r="C22" s="5">
        <v>45680</v>
      </c>
      <c r="D22" s="13">
        <f t="shared" si="0"/>
        <v>2</v>
      </c>
      <c r="E22" t="s">
        <v>144</v>
      </c>
      <c r="F22" t="s">
        <v>89</v>
      </c>
      <c r="G22" t="s">
        <v>95</v>
      </c>
      <c r="H22" t="s">
        <v>38</v>
      </c>
      <c r="I22" t="s">
        <v>145</v>
      </c>
      <c r="J22" t="s">
        <v>146</v>
      </c>
      <c r="K22" t="s">
        <v>74</v>
      </c>
      <c r="L22" t="s">
        <v>80</v>
      </c>
      <c r="M22" t="s">
        <v>147</v>
      </c>
      <c r="N22" t="s">
        <v>50</v>
      </c>
      <c r="O22">
        <v>5</v>
      </c>
      <c r="P22">
        <v>4373.0600000000004</v>
      </c>
      <c r="Q22" s="11">
        <v>0.25</v>
      </c>
      <c r="R22">
        <v>16398.98</v>
      </c>
      <c r="S22">
        <v>9556.52</v>
      </c>
      <c r="T22">
        <v>6842.46</v>
      </c>
      <c r="U22" t="s">
        <v>32</v>
      </c>
      <c r="V22" t="s">
        <v>33</v>
      </c>
      <c r="X22" s="8" t="str">
        <f>IF(C22&gt;=B22,"Valid", "Invalid-Date")</f>
        <v>Valid</v>
      </c>
      <c r="Y22" s="8" t="str">
        <f t="shared" si="1"/>
        <v>Valid</v>
      </c>
      <c r="Z22" s="8" t="str">
        <f t="shared" si="2"/>
        <v>Pass</v>
      </c>
      <c r="AA22" s="8" t="str">
        <f t="shared" si="3"/>
        <v>Pass</v>
      </c>
      <c r="AB22" s="8" t="str">
        <f>TEXT(B22,"mmmm")</f>
        <v>January</v>
      </c>
      <c r="AC22" s="8" t="str">
        <f>TEXT(B22,"yyyy")</f>
        <v>2025</v>
      </c>
      <c r="AE22">
        <f t="shared" si="4"/>
        <v>21865.300000000003</v>
      </c>
      <c r="AF22" s="11">
        <f t="shared" si="5"/>
        <v>16398.975000000002</v>
      </c>
      <c r="AG22">
        <f t="shared" si="6"/>
        <v>12308.780000000002</v>
      </c>
      <c r="AH22" s="11">
        <f t="shared" si="7"/>
        <v>0.5629367079344898</v>
      </c>
      <c r="AI22" s="9">
        <f t="shared" si="8"/>
        <v>0.5629367079344898</v>
      </c>
      <c r="AJ22">
        <f t="shared" si="9"/>
        <v>16398.98</v>
      </c>
      <c r="AK22">
        <f t="shared" si="10"/>
        <v>1</v>
      </c>
      <c r="AL22">
        <f t="shared" si="11"/>
        <v>0</v>
      </c>
      <c r="AM22">
        <f t="shared" si="12"/>
        <v>0</v>
      </c>
      <c r="AN22">
        <f t="shared" si="13"/>
        <v>0</v>
      </c>
      <c r="AO22">
        <f t="shared" si="14"/>
        <v>0</v>
      </c>
      <c r="AP22">
        <f t="shared" si="15"/>
        <v>0</v>
      </c>
      <c r="AQ22">
        <f t="shared" si="16"/>
        <v>0</v>
      </c>
    </row>
    <row r="23" spans="1:43">
      <c r="A23" t="s">
        <v>148</v>
      </c>
      <c r="B23" s="5">
        <v>45681</v>
      </c>
      <c r="C23" s="5">
        <v>45687</v>
      </c>
      <c r="D23" s="13">
        <f t="shared" si="0"/>
        <v>6</v>
      </c>
      <c r="E23" t="s">
        <v>149</v>
      </c>
      <c r="F23" t="s">
        <v>132</v>
      </c>
      <c r="G23" t="s">
        <v>24</v>
      </c>
      <c r="H23" t="s">
        <v>63</v>
      </c>
      <c r="I23" t="s">
        <v>72</v>
      </c>
      <c r="J23" t="s">
        <v>73</v>
      </c>
      <c r="K23" t="s">
        <v>41</v>
      </c>
      <c r="L23" t="s">
        <v>57</v>
      </c>
      <c r="M23" t="s">
        <v>150</v>
      </c>
      <c r="N23" t="s">
        <v>31</v>
      </c>
      <c r="O23">
        <v>4</v>
      </c>
      <c r="P23">
        <v>697.69</v>
      </c>
      <c r="Q23" s="11">
        <v>-0.23</v>
      </c>
      <c r="R23">
        <v>2790.76</v>
      </c>
      <c r="S23">
        <v>2037.71</v>
      </c>
      <c r="T23">
        <v>753.05</v>
      </c>
      <c r="U23" t="s">
        <v>32</v>
      </c>
      <c r="V23" t="s">
        <v>33</v>
      </c>
      <c r="X23" s="8" t="str">
        <f>IF(C23&gt;=B23,"Valid", "Invalid-Date")</f>
        <v>Valid</v>
      </c>
      <c r="Y23" s="8" t="str">
        <f t="shared" si="1"/>
        <v>Invalid-Discount</v>
      </c>
      <c r="Z23" s="8" t="str">
        <f t="shared" si="2"/>
        <v>Pass</v>
      </c>
      <c r="AA23" s="8" t="str">
        <f t="shared" si="3"/>
        <v>Pass</v>
      </c>
      <c r="AB23" s="8" t="str">
        <f>TEXT(B23,"mmmm")</f>
        <v>January</v>
      </c>
      <c r="AC23" s="8" t="str">
        <f>TEXT(B23,"yyyy")</f>
        <v>2025</v>
      </c>
      <c r="AE23">
        <f t="shared" si="4"/>
        <v>2790.76</v>
      </c>
      <c r="AF23" s="11">
        <f t="shared" si="5"/>
        <v>3432.6348000000003</v>
      </c>
      <c r="AG23">
        <f t="shared" si="6"/>
        <v>753.05000000000018</v>
      </c>
      <c r="AH23" s="11">
        <f t="shared" si="7"/>
        <v>0.2698368903094498</v>
      </c>
      <c r="AI23" s="9">
        <f t="shared" si="8"/>
        <v>0.2698368903094498</v>
      </c>
      <c r="AJ23">
        <f t="shared" si="9"/>
        <v>2790.76</v>
      </c>
      <c r="AK23">
        <f t="shared" si="10"/>
        <v>1</v>
      </c>
      <c r="AL23">
        <f t="shared" si="11"/>
        <v>0</v>
      </c>
      <c r="AM23">
        <f t="shared" si="12"/>
        <v>0</v>
      </c>
      <c r="AN23">
        <f t="shared" si="13"/>
        <v>0</v>
      </c>
      <c r="AO23">
        <f t="shared" si="14"/>
        <v>0</v>
      </c>
      <c r="AP23">
        <f t="shared" si="15"/>
        <v>0</v>
      </c>
      <c r="AQ23">
        <f t="shared" si="16"/>
        <v>0</v>
      </c>
    </row>
    <row r="24" spans="1:43">
      <c r="A24" t="s">
        <v>151</v>
      </c>
      <c r="B24" s="5">
        <v>45676</v>
      </c>
      <c r="C24" s="5">
        <v>45678</v>
      </c>
      <c r="D24" s="13">
        <f t="shared" si="0"/>
        <v>2</v>
      </c>
      <c r="E24" t="s">
        <v>152</v>
      </c>
      <c r="F24" t="s">
        <v>36</v>
      </c>
      <c r="G24" t="s">
        <v>24</v>
      </c>
      <c r="H24" t="s">
        <v>54</v>
      </c>
      <c r="I24" t="s">
        <v>55</v>
      </c>
      <c r="J24" t="s">
        <v>56</v>
      </c>
      <c r="K24" t="s">
        <v>28</v>
      </c>
      <c r="L24" t="s">
        <v>153</v>
      </c>
      <c r="M24" t="s">
        <v>154</v>
      </c>
      <c r="N24" t="s">
        <v>59</v>
      </c>
      <c r="O24">
        <v>8</v>
      </c>
      <c r="P24">
        <v>1219.3399999999999</v>
      </c>
      <c r="Q24" s="11">
        <v>0.15</v>
      </c>
      <c r="R24">
        <v>8291.51</v>
      </c>
      <c r="S24">
        <v>6685.03</v>
      </c>
      <c r="T24">
        <v>1606.48</v>
      </c>
      <c r="U24" t="s">
        <v>155</v>
      </c>
      <c r="V24" t="s">
        <v>103</v>
      </c>
      <c r="X24" s="8" t="str">
        <f>IF(C24&gt;=B24,"Valid", "Invalid-Date")</f>
        <v>Valid</v>
      </c>
      <c r="Y24" s="8" t="str">
        <f t="shared" si="1"/>
        <v>Valid</v>
      </c>
      <c r="Z24" s="8" t="str">
        <f t="shared" si="2"/>
        <v>Pass</v>
      </c>
      <c r="AA24" s="8" t="str">
        <f t="shared" si="3"/>
        <v>Pass</v>
      </c>
      <c r="AB24" s="8" t="str">
        <f>TEXT(B24,"mmmm")</f>
        <v>January</v>
      </c>
      <c r="AC24" s="8" t="str">
        <f>TEXT(B24,"yyyy")</f>
        <v>2025</v>
      </c>
      <c r="AE24">
        <f t="shared" si="4"/>
        <v>9754.7199999999993</v>
      </c>
      <c r="AF24" s="11">
        <f t="shared" si="5"/>
        <v>8291.5119999999988</v>
      </c>
      <c r="AG24">
        <f t="shared" si="6"/>
        <v>3069.6899999999996</v>
      </c>
      <c r="AH24" s="11">
        <f t="shared" si="7"/>
        <v>0.31468765889743627</v>
      </c>
      <c r="AI24" s="9">
        <f t="shared" si="8"/>
        <v>0.31468765889743627</v>
      </c>
      <c r="AJ24">
        <f t="shared" si="9"/>
        <v>0</v>
      </c>
      <c r="AK24">
        <f t="shared" si="10"/>
        <v>0</v>
      </c>
      <c r="AL24">
        <f t="shared" si="11"/>
        <v>0</v>
      </c>
      <c r="AM24">
        <f t="shared" si="12"/>
        <v>0</v>
      </c>
      <c r="AN24">
        <f t="shared" si="13"/>
        <v>8291.51</v>
      </c>
      <c r="AO24">
        <f t="shared" si="14"/>
        <v>1</v>
      </c>
      <c r="AP24">
        <f t="shared" si="15"/>
        <v>8291.51</v>
      </c>
      <c r="AQ24">
        <f t="shared" si="16"/>
        <v>1</v>
      </c>
    </row>
    <row r="25" spans="1:43">
      <c r="A25" t="s">
        <v>156</v>
      </c>
      <c r="B25" s="5">
        <v>45898</v>
      </c>
      <c r="C25" s="5">
        <v>45900</v>
      </c>
      <c r="D25" s="13">
        <f t="shared" si="0"/>
        <v>2</v>
      </c>
      <c r="E25" t="s">
        <v>157</v>
      </c>
      <c r="F25" t="s">
        <v>118</v>
      </c>
      <c r="G25" t="s">
        <v>95</v>
      </c>
      <c r="H25" t="s">
        <v>38</v>
      </c>
      <c r="I25" t="s">
        <v>145</v>
      </c>
      <c r="J25" t="s">
        <v>146</v>
      </c>
      <c r="K25" t="s">
        <v>41</v>
      </c>
      <c r="L25" t="s">
        <v>158</v>
      </c>
      <c r="M25" t="s">
        <v>159</v>
      </c>
      <c r="N25" t="s">
        <v>50</v>
      </c>
      <c r="O25">
        <v>4</v>
      </c>
      <c r="P25">
        <v>1958.01</v>
      </c>
      <c r="Q25" s="11">
        <v>0.2</v>
      </c>
      <c r="R25">
        <v>6265.63</v>
      </c>
      <c r="S25">
        <v>4321.8599999999997</v>
      </c>
      <c r="T25">
        <v>1943.77</v>
      </c>
      <c r="U25" t="s">
        <v>32</v>
      </c>
      <c r="V25" t="s">
        <v>33</v>
      </c>
      <c r="X25" s="8" t="str">
        <f>IF(C25&gt;=B25,"Valid", "Invalid-Date")</f>
        <v>Valid</v>
      </c>
      <c r="Y25" s="8" t="str">
        <f t="shared" si="1"/>
        <v>Valid</v>
      </c>
      <c r="Z25" s="8" t="str">
        <f t="shared" si="2"/>
        <v>Pass</v>
      </c>
      <c r="AA25" s="8" t="str">
        <f t="shared" si="3"/>
        <v>Pass</v>
      </c>
      <c r="AB25" s="8" t="str">
        <f>TEXT(B25,"mmmm")</f>
        <v>August</v>
      </c>
      <c r="AC25" s="8" t="str">
        <f>TEXT(B25,"yyyy")</f>
        <v>2025</v>
      </c>
      <c r="AE25">
        <f t="shared" si="4"/>
        <v>7832.04</v>
      </c>
      <c r="AF25" s="11">
        <f t="shared" si="5"/>
        <v>6265.6320000000005</v>
      </c>
      <c r="AG25">
        <f t="shared" si="6"/>
        <v>3510.1800000000003</v>
      </c>
      <c r="AH25" s="11">
        <f t="shared" si="7"/>
        <v>0.4481820828289948</v>
      </c>
      <c r="AI25" s="9">
        <f t="shared" si="8"/>
        <v>0.4481820828289948</v>
      </c>
      <c r="AJ25">
        <f t="shared" si="9"/>
        <v>6265.63</v>
      </c>
      <c r="AK25">
        <f t="shared" si="10"/>
        <v>1</v>
      </c>
      <c r="AL25">
        <f t="shared" si="11"/>
        <v>0</v>
      </c>
      <c r="AM25">
        <f t="shared" si="12"/>
        <v>0</v>
      </c>
      <c r="AN25">
        <f t="shared" si="13"/>
        <v>0</v>
      </c>
      <c r="AO25">
        <f t="shared" si="14"/>
        <v>0</v>
      </c>
      <c r="AP25">
        <f t="shared" si="15"/>
        <v>0</v>
      </c>
      <c r="AQ25">
        <f t="shared" si="16"/>
        <v>0</v>
      </c>
    </row>
    <row r="26" spans="1:43">
      <c r="A26" t="s">
        <v>160</v>
      </c>
      <c r="B26" s="5">
        <v>45355</v>
      </c>
      <c r="C26" s="5">
        <v>45294</v>
      </c>
      <c r="D26" s="13">
        <f t="shared" si="0"/>
        <v>-61</v>
      </c>
      <c r="E26" t="s">
        <v>161</v>
      </c>
      <c r="F26" t="s">
        <v>162</v>
      </c>
      <c r="G26" t="s">
        <v>24</v>
      </c>
      <c r="H26" t="s">
        <v>25</v>
      </c>
      <c r="I26" t="s">
        <v>122</v>
      </c>
      <c r="J26" t="s">
        <v>123</v>
      </c>
      <c r="K26" t="s">
        <v>28</v>
      </c>
      <c r="L26" t="s">
        <v>48</v>
      </c>
      <c r="M26" t="s">
        <v>163</v>
      </c>
      <c r="N26" t="s">
        <v>59</v>
      </c>
      <c r="O26">
        <v>4</v>
      </c>
      <c r="P26">
        <v>4492.9399999999996</v>
      </c>
      <c r="Q26" s="11">
        <v>0.25</v>
      </c>
      <c r="R26">
        <v>13478.82</v>
      </c>
      <c r="S26">
        <v>10937.35</v>
      </c>
      <c r="T26">
        <v>2541.4699999999998</v>
      </c>
      <c r="U26" t="s">
        <v>111</v>
      </c>
      <c r="V26" t="s">
        <v>68</v>
      </c>
      <c r="X26" s="8" t="str">
        <f>IF(C26&gt;=B26,"Valid", "Invalid-Date")</f>
        <v>Invalid-Date</v>
      </c>
      <c r="Y26" s="8" t="str">
        <f t="shared" si="1"/>
        <v>Valid</v>
      </c>
      <c r="Z26" s="8" t="str">
        <f t="shared" si="2"/>
        <v>Pass</v>
      </c>
      <c r="AA26" s="8" t="str">
        <f t="shared" si="3"/>
        <v>Pass</v>
      </c>
      <c r="AB26" s="8" t="str">
        <f>TEXT(B26,"mmmm")</f>
        <v>March</v>
      </c>
      <c r="AC26" s="8" t="str">
        <f>TEXT(B26,"yyyy")</f>
        <v>2024</v>
      </c>
      <c r="AE26">
        <f t="shared" si="4"/>
        <v>17971.759999999998</v>
      </c>
      <c r="AF26" s="11">
        <f t="shared" si="5"/>
        <v>13478.82</v>
      </c>
      <c r="AG26">
        <f t="shared" si="6"/>
        <v>7034.409999999998</v>
      </c>
      <c r="AH26" s="11">
        <f t="shared" si="7"/>
        <v>0.3914146416377694</v>
      </c>
      <c r="AI26" s="9">
        <f t="shared" si="8"/>
        <v>0.3914146416377694</v>
      </c>
      <c r="AJ26">
        <f t="shared" si="9"/>
        <v>0</v>
      </c>
      <c r="AK26">
        <f t="shared" si="10"/>
        <v>0</v>
      </c>
      <c r="AL26">
        <f t="shared" si="11"/>
        <v>13478.82</v>
      </c>
      <c r="AM26">
        <f t="shared" si="12"/>
        <v>1</v>
      </c>
      <c r="AN26">
        <f t="shared" si="13"/>
        <v>0</v>
      </c>
      <c r="AO26">
        <f t="shared" si="14"/>
        <v>0</v>
      </c>
      <c r="AP26">
        <f t="shared" si="15"/>
        <v>0</v>
      </c>
      <c r="AQ26">
        <f t="shared" si="16"/>
        <v>0</v>
      </c>
    </row>
    <row r="27" spans="1:43">
      <c r="A27" t="s">
        <v>164</v>
      </c>
      <c r="B27" s="5">
        <v>45576</v>
      </c>
      <c r="C27" s="5">
        <v>45584</v>
      </c>
      <c r="D27" s="13">
        <f t="shared" si="0"/>
        <v>8</v>
      </c>
      <c r="E27" t="s">
        <v>165</v>
      </c>
      <c r="F27" t="s">
        <v>53</v>
      </c>
      <c r="G27" t="s">
        <v>90</v>
      </c>
      <c r="H27" t="s">
        <v>38</v>
      </c>
      <c r="I27" t="s">
        <v>166</v>
      </c>
      <c r="J27" t="s">
        <v>167</v>
      </c>
      <c r="K27" t="s">
        <v>74</v>
      </c>
      <c r="L27" t="s">
        <v>75</v>
      </c>
      <c r="M27" t="s">
        <v>168</v>
      </c>
      <c r="N27" t="s">
        <v>50</v>
      </c>
      <c r="O27">
        <v>2</v>
      </c>
      <c r="P27">
        <v>4315.2</v>
      </c>
      <c r="Q27" s="11">
        <v>0.15</v>
      </c>
      <c r="R27">
        <v>7335.84</v>
      </c>
      <c r="S27">
        <v>4968.41</v>
      </c>
      <c r="T27">
        <v>2367.4299999999998</v>
      </c>
      <c r="U27" t="s">
        <v>32</v>
      </c>
      <c r="V27" t="s">
        <v>33</v>
      </c>
      <c r="X27" s="8" t="str">
        <f>IF(C27&gt;=B27,"Valid", "Invalid-Date")</f>
        <v>Valid</v>
      </c>
      <c r="Y27" s="8" t="str">
        <f t="shared" si="1"/>
        <v>Valid</v>
      </c>
      <c r="Z27" s="8" t="str">
        <f t="shared" si="2"/>
        <v>Pass</v>
      </c>
      <c r="AA27" s="8" t="str">
        <f t="shared" si="3"/>
        <v>Pass</v>
      </c>
      <c r="AB27" s="8" t="str">
        <f>TEXT(B27,"mmmm")</f>
        <v>October</v>
      </c>
      <c r="AC27" s="8" t="str">
        <f>TEXT(B27,"yyyy")</f>
        <v>2024</v>
      </c>
      <c r="AE27">
        <f t="shared" si="4"/>
        <v>8630.4</v>
      </c>
      <c r="AF27" s="11">
        <f t="shared" si="5"/>
        <v>7335.8399999999992</v>
      </c>
      <c r="AG27">
        <f t="shared" si="6"/>
        <v>3661.99</v>
      </c>
      <c r="AH27" s="11">
        <f t="shared" si="7"/>
        <v>0.42431289395624766</v>
      </c>
      <c r="AI27" s="9">
        <f t="shared" si="8"/>
        <v>0.42431289395624766</v>
      </c>
      <c r="AJ27">
        <f t="shared" si="9"/>
        <v>7335.84</v>
      </c>
      <c r="AK27">
        <f t="shared" si="10"/>
        <v>1</v>
      </c>
      <c r="AL27">
        <f t="shared" si="11"/>
        <v>0</v>
      </c>
      <c r="AM27">
        <f t="shared" si="12"/>
        <v>0</v>
      </c>
      <c r="AN27">
        <f t="shared" si="13"/>
        <v>0</v>
      </c>
      <c r="AO27">
        <f t="shared" si="14"/>
        <v>0</v>
      </c>
      <c r="AP27">
        <f t="shared" si="15"/>
        <v>0</v>
      </c>
      <c r="AQ27">
        <f t="shared" si="16"/>
        <v>0</v>
      </c>
    </row>
    <row r="28" spans="1:43">
      <c r="A28" t="s">
        <v>169</v>
      </c>
      <c r="B28" s="5">
        <v>45619</v>
      </c>
      <c r="C28" s="5">
        <v>45619</v>
      </c>
      <c r="D28" s="13">
        <f t="shared" si="0"/>
        <v>0</v>
      </c>
      <c r="E28" t="s">
        <v>170</v>
      </c>
      <c r="F28" t="s">
        <v>162</v>
      </c>
      <c r="G28" t="s">
        <v>90</v>
      </c>
      <c r="H28" t="s">
        <v>25</v>
      </c>
      <c r="I28" t="s">
        <v>136</v>
      </c>
      <c r="J28" t="s">
        <v>137</v>
      </c>
      <c r="K28" t="s">
        <v>74</v>
      </c>
      <c r="L28" t="s">
        <v>171</v>
      </c>
      <c r="M28" t="s">
        <v>172</v>
      </c>
      <c r="N28" t="s">
        <v>59</v>
      </c>
      <c r="O28">
        <v>4</v>
      </c>
      <c r="P28">
        <v>716.13</v>
      </c>
      <c r="Q28" s="11">
        <v>0.1</v>
      </c>
      <c r="R28">
        <v>2578.0700000000002</v>
      </c>
      <c r="S28">
        <v>1527.55</v>
      </c>
      <c r="T28">
        <v>1050.52</v>
      </c>
      <c r="U28" t="s">
        <v>32</v>
      </c>
      <c r="V28" t="s">
        <v>103</v>
      </c>
      <c r="X28" s="8" t="str">
        <f>IF(C28&gt;=B28,"Valid", "Invalid-Date")</f>
        <v>Valid</v>
      </c>
      <c r="Y28" s="8" t="str">
        <f t="shared" si="1"/>
        <v>Valid</v>
      </c>
      <c r="Z28" s="8" t="str">
        <f t="shared" si="2"/>
        <v>Pass</v>
      </c>
      <c r="AA28" s="8" t="str">
        <f t="shared" si="3"/>
        <v>Pass</v>
      </c>
      <c r="AB28" s="8" t="str">
        <f>TEXT(B28,"mmmm")</f>
        <v>November</v>
      </c>
      <c r="AC28" s="8" t="str">
        <f>TEXT(B28,"yyyy")</f>
        <v>2024</v>
      </c>
      <c r="AE28">
        <f t="shared" si="4"/>
        <v>2864.52</v>
      </c>
      <c r="AF28" s="11">
        <f t="shared" si="5"/>
        <v>2578.0680000000002</v>
      </c>
      <c r="AG28">
        <f t="shared" si="6"/>
        <v>1336.97</v>
      </c>
      <c r="AH28" s="11">
        <f t="shared" si="7"/>
        <v>0.46673439180037146</v>
      </c>
      <c r="AI28" s="9">
        <f t="shared" si="8"/>
        <v>0.46673439180037146</v>
      </c>
      <c r="AJ28">
        <f t="shared" si="9"/>
        <v>0</v>
      </c>
      <c r="AK28">
        <f t="shared" si="10"/>
        <v>0</v>
      </c>
      <c r="AL28">
        <f t="shared" si="11"/>
        <v>0</v>
      </c>
      <c r="AM28">
        <f t="shared" si="12"/>
        <v>0</v>
      </c>
      <c r="AN28">
        <f t="shared" si="13"/>
        <v>0</v>
      </c>
      <c r="AO28">
        <f t="shared" si="14"/>
        <v>0</v>
      </c>
      <c r="AP28">
        <f t="shared" si="15"/>
        <v>2578.0700000000002</v>
      </c>
      <c r="AQ28">
        <f t="shared" si="16"/>
        <v>1</v>
      </c>
    </row>
    <row r="29" spans="1:43">
      <c r="A29" t="s">
        <v>173</v>
      </c>
      <c r="B29" s="5">
        <v>45929</v>
      </c>
      <c r="C29" s="5">
        <v>45935</v>
      </c>
      <c r="D29" s="13">
        <f t="shared" si="0"/>
        <v>6</v>
      </c>
      <c r="E29" t="s">
        <v>174</v>
      </c>
      <c r="F29" t="s">
        <v>53</v>
      </c>
      <c r="G29" t="s">
        <v>37</v>
      </c>
      <c r="H29" t="s">
        <v>54</v>
      </c>
      <c r="I29" t="s">
        <v>175</v>
      </c>
      <c r="J29" t="s">
        <v>176</v>
      </c>
      <c r="K29" t="s">
        <v>28</v>
      </c>
      <c r="L29" t="s">
        <v>29</v>
      </c>
      <c r="M29" t="s">
        <v>177</v>
      </c>
      <c r="N29" t="s">
        <v>31</v>
      </c>
      <c r="O29">
        <v>5</v>
      </c>
      <c r="P29">
        <v>1806.51</v>
      </c>
      <c r="Q29" s="11">
        <v>0.25</v>
      </c>
      <c r="R29">
        <v>6774.41</v>
      </c>
      <c r="S29">
        <v>4710.3599999999997</v>
      </c>
      <c r="T29">
        <v>2064.0500000000002</v>
      </c>
      <c r="U29" t="s">
        <v>155</v>
      </c>
      <c r="V29" t="s">
        <v>103</v>
      </c>
      <c r="X29" s="8" t="str">
        <f>IF(C29&gt;=B29,"Valid", "Invalid-Date")</f>
        <v>Valid</v>
      </c>
      <c r="Y29" s="8" t="str">
        <f t="shared" si="1"/>
        <v>Valid</v>
      </c>
      <c r="Z29" s="8" t="str">
        <f t="shared" si="2"/>
        <v>Pass</v>
      </c>
      <c r="AA29" s="8" t="str">
        <f t="shared" si="3"/>
        <v>Pass</v>
      </c>
      <c r="AB29" s="8" t="str">
        <f>TEXT(B29,"mmmm")</f>
        <v>September</v>
      </c>
      <c r="AC29" s="8" t="str">
        <f>TEXT(B29,"yyyy")</f>
        <v>2025</v>
      </c>
      <c r="AE29">
        <f t="shared" si="4"/>
        <v>9032.5499999999993</v>
      </c>
      <c r="AF29" s="11">
        <f t="shared" si="5"/>
        <v>6774.4124999999995</v>
      </c>
      <c r="AG29">
        <f t="shared" si="6"/>
        <v>4322.1899999999996</v>
      </c>
      <c r="AH29" s="11">
        <f t="shared" si="7"/>
        <v>0.47851271235697562</v>
      </c>
      <c r="AI29" s="9">
        <f t="shared" si="8"/>
        <v>0.47851271235697562</v>
      </c>
      <c r="AJ29">
        <f t="shared" si="9"/>
        <v>0</v>
      </c>
      <c r="AK29">
        <f t="shared" si="10"/>
        <v>0</v>
      </c>
      <c r="AL29">
        <f t="shared" si="11"/>
        <v>0</v>
      </c>
      <c r="AM29">
        <f t="shared" si="12"/>
        <v>0</v>
      </c>
      <c r="AN29">
        <f t="shared" si="13"/>
        <v>6774.41</v>
      </c>
      <c r="AO29">
        <f t="shared" si="14"/>
        <v>1</v>
      </c>
      <c r="AP29">
        <f t="shared" si="15"/>
        <v>6774.41</v>
      </c>
      <c r="AQ29">
        <f t="shared" si="16"/>
        <v>1</v>
      </c>
    </row>
    <row r="30" spans="1:43">
      <c r="A30" t="s">
        <v>178</v>
      </c>
      <c r="B30" s="5">
        <v>45576</v>
      </c>
      <c r="C30" s="5">
        <v>45583</v>
      </c>
      <c r="D30" s="13">
        <f t="shared" si="0"/>
        <v>7</v>
      </c>
      <c r="E30" t="s">
        <v>179</v>
      </c>
      <c r="F30" t="s">
        <v>62</v>
      </c>
      <c r="G30" t="s">
        <v>95</v>
      </c>
      <c r="H30" t="s">
        <v>63</v>
      </c>
      <c r="I30" t="s">
        <v>180</v>
      </c>
      <c r="J30" t="s">
        <v>181</v>
      </c>
      <c r="K30" t="s">
        <v>74</v>
      </c>
      <c r="L30" t="s">
        <v>171</v>
      </c>
      <c r="M30" t="s">
        <v>182</v>
      </c>
      <c r="N30" t="s">
        <v>31</v>
      </c>
      <c r="O30">
        <v>2</v>
      </c>
      <c r="P30">
        <v>1942.22</v>
      </c>
      <c r="Q30" s="11">
        <v>0.25</v>
      </c>
      <c r="R30">
        <v>2913.33</v>
      </c>
      <c r="S30">
        <v>2122.33</v>
      </c>
      <c r="T30">
        <v>791</v>
      </c>
      <c r="U30" t="s">
        <v>102</v>
      </c>
      <c r="V30" t="s">
        <v>68</v>
      </c>
      <c r="X30" s="8" t="str">
        <f>IF(C30&gt;=B30,"Valid", "Invalid-Date")</f>
        <v>Valid</v>
      </c>
      <c r="Y30" s="8" t="str">
        <f t="shared" si="1"/>
        <v>Valid</v>
      </c>
      <c r="Z30" s="8" t="str">
        <f t="shared" si="2"/>
        <v>Pass</v>
      </c>
      <c r="AA30" s="8" t="str">
        <f t="shared" si="3"/>
        <v>Pass</v>
      </c>
      <c r="AB30" s="8" t="str">
        <f>TEXT(B30,"mmmm")</f>
        <v>October</v>
      </c>
      <c r="AC30" s="8" t="str">
        <f>TEXT(B30,"yyyy")</f>
        <v>2024</v>
      </c>
      <c r="AE30">
        <f t="shared" si="4"/>
        <v>3884.44</v>
      </c>
      <c r="AF30" s="11">
        <f t="shared" si="5"/>
        <v>2913.33</v>
      </c>
      <c r="AG30">
        <f t="shared" si="6"/>
        <v>1762.1100000000001</v>
      </c>
      <c r="AH30" s="11">
        <f t="shared" si="7"/>
        <v>0.45363295610178045</v>
      </c>
      <c r="AI30" s="9">
        <f t="shared" si="8"/>
        <v>0.45363295610178045</v>
      </c>
      <c r="AJ30">
        <f t="shared" si="9"/>
        <v>0</v>
      </c>
      <c r="AK30">
        <f t="shared" si="10"/>
        <v>0</v>
      </c>
      <c r="AL30">
        <f t="shared" si="11"/>
        <v>2913.33</v>
      </c>
      <c r="AM30">
        <f t="shared" si="12"/>
        <v>1</v>
      </c>
      <c r="AN30">
        <f t="shared" si="13"/>
        <v>0</v>
      </c>
      <c r="AO30">
        <f t="shared" si="14"/>
        <v>0</v>
      </c>
      <c r="AP30">
        <f t="shared" si="15"/>
        <v>0</v>
      </c>
      <c r="AQ30">
        <f t="shared" si="16"/>
        <v>0</v>
      </c>
    </row>
    <row r="31" spans="1:43">
      <c r="A31" t="s">
        <v>183</v>
      </c>
      <c r="B31" s="5">
        <v>45882</v>
      </c>
      <c r="C31" s="5">
        <v>45882</v>
      </c>
      <c r="D31" s="13">
        <f t="shared" si="0"/>
        <v>0</v>
      </c>
      <c r="E31" t="s">
        <v>184</v>
      </c>
      <c r="F31" t="s">
        <v>141</v>
      </c>
      <c r="G31" t="s">
        <v>95</v>
      </c>
      <c r="H31" t="s">
        <v>54</v>
      </c>
      <c r="I31" t="s">
        <v>185</v>
      </c>
      <c r="J31" t="s">
        <v>186</v>
      </c>
      <c r="K31" t="s">
        <v>74</v>
      </c>
      <c r="L31" t="s">
        <v>171</v>
      </c>
      <c r="M31" t="s">
        <v>187</v>
      </c>
      <c r="N31" t="s">
        <v>59</v>
      </c>
      <c r="O31">
        <v>1</v>
      </c>
      <c r="P31">
        <v>256.01</v>
      </c>
      <c r="Q31" s="11">
        <v>0.15</v>
      </c>
      <c r="R31">
        <v>217.61</v>
      </c>
      <c r="S31">
        <v>119.77</v>
      </c>
      <c r="T31">
        <v>97.84</v>
      </c>
      <c r="U31" t="s">
        <v>32</v>
      </c>
      <c r="V31" t="s">
        <v>33</v>
      </c>
      <c r="X31" s="8" t="str">
        <f>IF(C31&gt;=B31,"Valid", "Invalid-Date")</f>
        <v>Valid</v>
      </c>
      <c r="Y31" s="8" t="str">
        <f t="shared" si="1"/>
        <v>Valid</v>
      </c>
      <c r="Z31" s="8" t="str">
        <f t="shared" si="2"/>
        <v>Pass</v>
      </c>
      <c r="AA31" s="8" t="str">
        <f t="shared" si="3"/>
        <v>Pass</v>
      </c>
      <c r="AB31" s="8" t="str">
        <f>TEXT(B31,"mmmm")</f>
        <v>August</v>
      </c>
      <c r="AC31" s="8" t="str">
        <f>TEXT(B31,"yyyy")</f>
        <v>2025</v>
      </c>
      <c r="AE31">
        <f t="shared" si="4"/>
        <v>256.01</v>
      </c>
      <c r="AF31" s="11">
        <f t="shared" si="5"/>
        <v>217.60849999999999</v>
      </c>
      <c r="AG31">
        <f t="shared" si="6"/>
        <v>136.24</v>
      </c>
      <c r="AH31" s="11">
        <f t="shared" si="7"/>
        <v>0.53216671223780332</v>
      </c>
      <c r="AI31" s="9">
        <f t="shared" si="8"/>
        <v>0.53216671223780332</v>
      </c>
      <c r="AJ31">
        <f t="shared" si="9"/>
        <v>217.61</v>
      </c>
      <c r="AK31">
        <f t="shared" si="10"/>
        <v>1</v>
      </c>
      <c r="AL31">
        <f t="shared" si="11"/>
        <v>0</v>
      </c>
      <c r="AM31">
        <f t="shared" si="12"/>
        <v>0</v>
      </c>
      <c r="AN31">
        <f t="shared" si="13"/>
        <v>0</v>
      </c>
      <c r="AO31">
        <f t="shared" si="14"/>
        <v>0</v>
      </c>
      <c r="AP31">
        <f t="shared" si="15"/>
        <v>0</v>
      </c>
      <c r="AQ31">
        <f t="shared" si="16"/>
        <v>0</v>
      </c>
    </row>
    <row r="32" spans="1:43">
      <c r="A32" t="s">
        <v>188</v>
      </c>
      <c r="B32" s="5">
        <v>45331</v>
      </c>
      <c r="C32" s="5">
        <v>45628</v>
      </c>
      <c r="D32" s="13">
        <f t="shared" si="0"/>
        <v>297</v>
      </c>
      <c r="E32" t="s">
        <v>189</v>
      </c>
      <c r="F32" t="s">
        <v>62</v>
      </c>
      <c r="G32" t="s">
        <v>90</v>
      </c>
      <c r="H32" t="s">
        <v>63</v>
      </c>
      <c r="I32" t="s">
        <v>190</v>
      </c>
      <c r="J32" t="s">
        <v>191</v>
      </c>
      <c r="K32" t="s">
        <v>28</v>
      </c>
      <c r="L32" t="s">
        <v>91</v>
      </c>
      <c r="M32" t="s">
        <v>192</v>
      </c>
      <c r="N32" t="s">
        <v>50</v>
      </c>
      <c r="O32">
        <v>1</v>
      </c>
      <c r="P32">
        <v>3421.77</v>
      </c>
      <c r="Q32" s="11">
        <v>0.1</v>
      </c>
      <c r="R32">
        <v>3079.59</v>
      </c>
      <c r="S32">
        <v>2001.89</v>
      </c>
      <c r="T32">
        <v>1077.7</v>
      </c>
      <c r="U32" t="s">
        <v>32</v>
      </c>
      <c r="V32" t="s">
        <v>33</v>
      </c>
      <c r="X32" s="8" t="str">
        <f>IF(C32&gt;=B32,"Valid", "Invalid-Date")</f>
        <v>Valid</v>
      </c>
      <c r="Y32" s="8" t="str">
        <f t="shared" si="1"/>
        <v>Valid</v>
      </c>
      <c r="Z32" s="8" t="str">
        <f t="shared" si="2"/>
        <v>Pass</v>
      </c>
      <c r="AA32" s="8" t="str">
        <f t="shared" si="3"/>
        <v>Pass</v>
      </c>
      <c r="AB32" s="8" t="str">
        <f>TEXT(B32,"mmmm")</f>
        <v>February</v>
      </c>
      <c r="AC32" s="8" t="str">
        <f>TEXT(B32,"yyyy")</f>
        <v>2024</v>
      </c>
      <c r="AE32">
        <f t="shared" si="4"/>
        <v>3421.77</v>
      </c>
      <c r="AF32" s="11">
        <f t="shared" si="5"/>
        <v>3079.5929999999998</v>
      </c>
      <c r="AG32">
        <f t="shared" si="6"/>
        <v>1419.8799999999999</v>
      </c>
      <c r="AH32" s="11">
        <f t="shared" si="7"/>
        <v>0.41495483331725974</v>
      </c>
      <c r="AI32" s="9">
        <f t="shared" si="8"/>
        <v>0.41495483331725974</v>
      </c>
      <c r="AJ32">
        <f t="shared" si="9"/>
        <v>3079.59</v>
      </c>
      <c r="AK32">
        <f t="shared" si="10"/>
        <v>1</v>
      </c>
      <c r="AL32">
        <f t="shared" si="11"/>
        <v>0</v>
      </c>
      <c r="AM32">
        <f t="shared" si="12"/>
        <v>0</v>
      </c>
      <c r="AN32">
        <f t="shared" si="13"/>
        <v>0</v>
      </c>
      <c r="AO32">
        <f t="shared" si="14"/>
        <v>0</v>
      </c>
      <c r="AP32">
        <f t="shared" si="15"/>
        <v>0</v>
      </c>
      <c r="AQ32">
        <f t="shared" si="16"/>
        <v>0</v>
      </c>
    </row>
    <row r="33" spans="1:43">
      <c r="A33" t="s">
        <v>193</v>
      </c>
      <c r="B33" s="5">
        <v>45823</v>
      </c>
      <c r="C33" s="5">
        <v>45827</v>
      </c>
      <c r="D33" s="13">
        <f t="shared" si="0"/>
        <v>4</v>
      </c>
      <c r="E33" t="s">
        <v>194</v>
      </c>
      <c r="F33" t="s">
        <v>23</v>
      </c>
      <c r="G33" t="s">
        <v>37</v>
      </c>
      <c r="H33" t="s">
        <v>63</v>
      </c>
      <c r="I33" t="s">
        <v>72</v>
      </c>
      <c r="J33" t="s">
        <v>73</v>
      </c>
      <c r="K33" t="s">
        <v>28</v>
      </c>
      <c r="L33" t="s">
        <v>29</v>
      </c>
      <c r="M33" t="s">
        <v>195</v>
      </c>
      <c r="N33" t="s">
        <v>31</v>
      </c>
      <c r="O33">
        <v>9</v>
      </c>
      <c r="P33">
        <v>3092.55</v>
      </c>
      <c r="Q33" s="11">
        <v>0</v>
      </c>
      <c r="R33">
        <v>27832.95</v>
      </c>
      <c r="S33">
        <v>17769.75</v>
      </c>
      <c r="T33">
        <v>10063.200000000001</v>
      </c>
      <c r="U33" t="s">
        <v>155</v>
      </c>
      <c r="V33" t="s">
        <v>103</v>
      </c>
      <c r="X33" s="8" t="str">
        <f>IF(C33&gt;=B33,"Valid", "Invalid-Date")</f>
        <v>Valid</v>
      </c>
      <c r="Y33" s="8" t="str">
        <f t="shared" si="1"/>
        <v>Valid</v>
      </c>
      <c r="Z33" s="8" t="str">
        <f t="shared" si="2"/>
        <v>Pass</v>
      </c>
      <c r="AA33" s="8" t="str">
        <f t="shared" si="3"/>
        <v>Pass</v>
      </c>
      <c r="AB33" s="8" t="str">
        <f>TEXT(B33,"mmmm")</f>
        <v>June</v>
      </c>
      <c r="AC33" s="8" t="str">
        <f>TEXT(B33,"yyyy")</f>
        <v>2025</v>
      </c>
      <c r="AE33">
        <f t="shared" si="4"/>
        <v>27832.95</v>
      </c>
      <c r="AF33" s="11">
        <f t="shared" si="5"/>
        <v>27832.95</v>
      </c>
      <c r="AG33">
        <f t="shared" si="6"/>
        <v>10063.200000000001</v>
      </c>
      <c r="AH33" s="11">
        <f t="shared" si="7"/>
        <v>0.36155707533696574</v>
      </c>
      <c r="AI33" s="9">
        <f t="shared" si="8"/>
        <v>0.36155707533696574</v>
      </c>
      <c r="AJ33">
        <f t="shared" si="9"/>
        <v>0</v>
      </c>
      <c r="AK33">
        <f t="shared" si="10"/>
        <v>0</v>
      </c>
      <c r="AL33">
        <f t="shared" si="11"/>
        <v>0</v>
      </c>
      <c r="AM33">
        <f t="shared" si="12"/>
        <v>0</v>
      </c>
      <c r="AN33">
        <f t="shared" si="13"/>
        <v>27832.95</v>
      </c>
      <c r="AO33">
        <f t="shared" si="14"/>
        <v>1</v>
      </c>
      <c r="AP33">
        <f t="shared" si="15"/>
        <v>27832.95</v>
      </c>
      <c r="AQ33">
        <f t="shared" si="16"/>
        <v>1</v>
      </c>
    </row>
    <row r="34" spans="1:43">
      <c r="A34" t="s">
        <v>196</v>
      </c>
      <c r="B34" s="5">
        <v>45618</v>
      </c>
      <c r="C34" s="5">
        <v>45622</v>
      </c>
      <c r="D34" s="13">
        <f t="shared" si="0"/>
        <v>4</v>
      </c>
      <c r="E34" t="s">
        <v>197</v>
      </c>
      <c r="F34" t="s">
        <v>128</v>
      </c>
      <c r="G34" t="s">
        <v>90</v>
      </c>
      <c r="H34" t="s">
        <v>54</v>
      </c>
      <c r="I34" t="s">
        <v>84</v>
      </c>
      <c r="J34" t="s">
        <v>85</v>
      </c>
      <c r="K34" t="s">
        <v>74</v>
      </c>
      <c r="L34" t="s">
        <v>171</v>
      </c>
      <c r="M34" t="s">
        <v>198</v>
      </c>
      <c r="N34" t="s">
        <v>31</v>
      </c>
      <c r="O34">
        <v>3</v>
      </c>
      <c r="P34">
        <v>4001.25</v>
      </c>
      <c r="Q34" s="11">
        <v>0</v>
      </c>
      <c r="R34">
        <v>9002.81</v>
      </c>
      <c r="S34">
        <v>7529.92</v>
      </c>
      <c r="T34">
        <v>1472.89</v>
      </c>
      <c r="U34" t="s">
        <v>32</v>
      </c>
      <c r="V34" t="s">
        <v>33</v>
      </c>
      <c r="X34" s="8" t="str">
        <f>IF(C34&gt;=B34,"Valid", "Invalid-Date")</f>
        <v>Valid</v>
      </c>
      <c r="Y34" s="8" t="str">
        <f t="shared" si="1"/>
        <v>Valid</v>
      </c>
      <c r="Z34" s="8" t="str">
        <f t="shared" si="2"/>
        <v>Pass</v>
      </c>
      <c r="AA34" s="8" t="str">
        <f t="shared" si="3"/>
        <v>Pass</v>
      </c>
      <c r="AB34" s="8" t="str">
        <f>TEXT(B34,"mmmm")</f>
        <v>November</v>
      </c>
      <c r="AC34" s="8" t="str">
        <f>TEXT(B34,"yyyy")</f>
        <v>2024</v>
      </c>
      <c r="AE34">
        <f t="shared" si="4"/>
        <v>12003.75</v>
      </c>
      <c r="AF34" s="11">
        <f t="shared" si="5"/>
        <v>12003.75</v>
      </c>
      <c r="AG34">
        <f t="shared" si="6"/>
        <v>4473.83</v>
      </c>
      <c r="AH34" s="11">
        <f t="shared" si="7"/>
        <v>0.37270269707383108</v>
      </c>
      <c r="AI34" s="9">
        <f t="shared" si="8"/>
        <v>0.37270269707383108</v>
      </c>
      <c r="AJ34">
        <f t="shared" si="9"/>
        <v>9002.81</v>
      </c>
      <c r="AK34">
        <f t="shared" si="10"/>
        <v>1</v>
      </c>
      <c r="AL34">
        <f t="shared" si="11"/>
        <v>0</v>
      </c>
      <c r="AM34">
        <f t="shared" si="12"/>
        <v>0</v>
      </c>
      <c r="AN34">
        <f t="shared" si="13"/>
        <v>0</v>
      </c>
      <c r="AO34">
        <f t="shared" si="14"/>
        <v>0</v>
      </c>
      <c r="AP34">
        <f t="shared" si="15"/>
        <v>0</v>
      </c>
      <c r="AQ34">
        <f t="shared" si="16"/>
        <v>0</v>
      </c>
    </row>
    <row r="35" spans="1:43">
      <c r="A35" t="s">
        <v>199</v>
      </c>
      <c r="B35" s="5">
        <v>45495</v>
      </c>
      <c r="C35" s="5">
        <v>45500</v>
      </c>
      <c r="D35" s="13">
        <f t="shared" si="0"/>
        <v>5</v>
      </c>
      <c r="E35" t="s">
        <v>200</v>
      </c>
      <c r="F35" t="s">
        <v>114</v>
      </c>
      <c r="G35" t="s">
        <v>95</v>
      </c>
      <c r="H35" t="s">
        <v>63</v>
      </c>
      <c r="I35" t="s">
        <v>190</v>
      </c>
      <c r="J35" t="s">
        <v>191</v>
      </c>
      <c r="K35" t="s">
        <v>41</v>
      </c>
      <c r="L35" t="s">
        <v>42</v>
      </c>
      <c r="M35" t="s">
        <v>201</v>
      </c>
      <c r="N35" t="s">
        <v>44</v>
      </c>
      <c r="O35">
        <v>7</v>
      </c>
      <c r="P35">
        <v>492.41</v>
      </c>
      <c r="Q35" s="11">
        <v>0.25</v>
      </c>
      <c r="R35">
        <v>2585.15</v>
      </c>
      <c r="S35">
        <v>2070.73</v>
      </c>
      <c r="T35">
        <v>514.41999999999996</v>
      </c>
      <c r="U35" t="s">
        <v>32</v>
      </c>
      <c r="V35" t="s">
        <v>33</v>
      </c>
      <c r="X35" s="8" t="str">
        <f>IF(C35&gt;=B35,"Valid", "Invalid-Date")</f>
        <v>Valid</v>
      </c>
      <c r="Y35" s="8" t="str">
        <f t="shared" si="1"/>
        <v>Valid</v>
      </c>
      <c r="Z35" s="8" t="str">
        <f t="shared" si="2"/>
        <v>Pass</v>
      </c>
      <c r="AA35" s="8" t="str">
        <f t="shared" si="3"/>
        <v>Pass</v>
      </c>
      <c r="AB35" s="8" t="str">
        <f>TEXT(B35,"mmmm")</f>
        <v>July</v>
      </c>
      <c r="AC35" s="8" t="str">
        <f>TEXT(B35,"yyyy")</f>
        <v>2024</v>
      </c>
      <c r="AE35">
        <f t="shared" si="4"/>
        <v>3446.8700000000003</v>
      </c>
      <c r="AF35" s="11">
        <f t="shared" si="5"/>
        <v>2585.1525000000001</v>
      </c>
      <c r="AG35">
        <f t="shared" si="6"/>
        <v>1376.1400000000003</v>
      </c>
      <c r="AH35" s="11">
        <f t="shared" si="7"/>
        <v>0.39924337152256983</v>
      </c>
      <c r="AI35" s="9">
        <f t="shared" si="8"/>
        <v>0.39924337152256983</v>
      </c>
      <c r="AJ35">
        <f t="shared" si="9"/>
        <v>2585.15</v>
      </c>
      <c r="AK35">
        <f t="shared" si="10"/>
        <v>1</v>
      </c>
      <c r="AL35">
        <f t="shared" si="11"/>
        <v>0</v>
      </c>
      <c r="AM35">
        <f t="shared" si="12"/>
        <v>0</v>
      </c>
      <c r="AN35">
        <f t="shared" si="13"/>
        <v>0</v>
      </c>
      <c r="AO35">
        <f t="shared" si="14"/>
        <v>0</v>
      </c>
      <c r="AP35">
        <f t="shared" si="15"/>
        <v>0</v>
      </c>
      <c r="AQ35">
        <f t="shared" si="16"/>
        <v>0</v>
      </c>
    </row>
    <row r="36" spans="1:43">
      <c r="A36" t="s">
        <v>202</v>
      </c>
      <c r="B36" s="5">
        <v>45688</v>
      </c>
      <c r="C36" s="5">
        <v>45779</v>
      </c>
      <c r="D36" s="13">
        <f t="shared" si="0"/>
        <v>91</v>
      </c>
      <c r="E36" t="s">
        <v>203</v>
      </c>
      <c r="F36" t="s">
        <v>114</v>
      </c>
      <c r="G36" t="s">
        <v>95</v>
      </c>
      <c r="H36" t="s">
        <v>38</v>
      </c>
      <c r="I36" t="s">
        <v>99</v>
      </c>
      <c r="J36" t="s">
        <v>100</v>
      </c>
      <c r="K36" t="s">
        <v>41</v>
      </c>
      <c r="L36" t="s">
        <v>66</v>
      </c>
      <c r="M36" t="s">
        <v>204</v>
      </c>
      <c r="N36" t="s">
        <v>2785</v>
      </c>
      <c r="O36">
        <v>2</v>
      </c>
      <c r="P36">
        <v>4159.6899999999996</v>
      </c>
      <c r="Q36" s="11">
        <v>0.2</v>
      </c>
      <c r="R36">
        <v>6655.5</v>
      </c>
      <c r="S36">
        <v>4340.21</v>
      </c>
      <c r="T36">
        <v>2607.3200000000002</v>
      </c>
      <c r="U36" t="s">
        <v>32</v>
      </c>
      <c r="V36" t="s">
        <v>33</v>
      </c>
      <c r="X36" s="8" t="str">
        <f>IF(C36&gt;=B36,"Valid", "Invalid-Date")</f>
        <v>Valid</v>
      </c>
      <c r="Y36" s="8" t="str">
        <f t="shared" si="1"/>
        <v>Valid</v>
      </c>
      <c r="Z36" s="8" t="str">
        <f t="shared" si="2"/>
        <v>Flagged</v>
      </c>
      <c r="AA36" s="8" t="str">
        <f t="shared" si="3"/>
        <v>Pass</v>
      </c>
      <c r="AB36" s="8" t="str">
        <f>TEXT(B36,"mmmm")</f>
        <v>January</v>
      </c>
      <c r="AC36" s="8" t="str">
        <f>TEXT(B36,"yyyy")</f>
        <v>2025</v>
      </c>
      <c r="AE36">
        <f t="shared" si="4"/>
        <v>8319.3799999999992</v>
      </c>
      <c r="AF36" s="11">
        <f t="shared" si="5"/>
        <v>6655.5039999999999</v>
      </c>
      <c r="AG36">
        <f t="shared" si="6"/>
        <v>3979.1699999999992</v>
      </c>
      <c r="AH36" s="11">
        <f t="shared" si="7"/>
        <v>0.47830126764254061</v>
      </c>
      <c r="AI36" s="9">
        <f t="shared" si="8"/>
        <v>0.47830126764254061</v>
      </c>
      <c r="AJ36">
        <f t="shared" si="9"/>
        <v>6655.5</v>
      </c>
      <c r="AK36">
        <f t="shared" si="10"/>
        <v>1</v>
      </c>
      <c r="AL36">
        <f t="shared" si="11"/>
        <v>0</v>
      </c>
      <c r="AM36">
        <f t="shared" si="12"/>
        <v>0</v>
      </c>
      <c r="AN36">
        <f t="shared" si="13"/>
        <v>0</v>
      </c>
      <c r="AO36">
        <f t="shared" si="14"/>
        <v>0</v>
      </c>
      <c r="AP36">
        <f t="shared" si="15"/>
        <v>0</v>
      </c>
      <c r="AQ36">
        <f t="shared" si="16"/>
        <v>0</v>
      </c>
    </row>
    <row r="37" spans="1:43">
      <c r="A37" t="s">
        <v>205</v>
      </c>
      <c r="B37" s="5">
        <v>45441</v>
      </c>
      <c r="C37" s="5">
        <v>45441</v>
      </c>
      <c r="D37" s="13">
        <f t="shared" si="0"/>
        <v>0</v>
      </c>
      <c r="E37" t="s">
        <v>206</v>
      </c>
      <c r="F37" t="s">
        <v>132</v>
      </c>
      <c r="G37" t="s">
        <v>37</v>
      </c>
      <c r="H37" t="s">
        <v>63</v>
      </c>
      <c r="I37" t="s">
        <v>180</v>
      </c>
      <c r="J37" t="s">
        <v>181</v>
      </c>
      <c r="K37" t="s">
        <v>41</v>
      </c>
      <c r="L37" t="s">
        <v>158</v>
      </c>
      <c r="M37" t="s">
        <v>207</v>
      </c>
      <c r="N37" t="s">
        <v>31</v>
      </c>
      <c r="O37">
        <v>8</v>
      </c>
      <c r="P37">
        <v>2507.12</v>
      </c>
      <c r="Q37" s="11">
        <v>0.05</v>
      </c>
      <c r="R37">
        <v>19054.11</v>
      </c>
      <c r="S37">
        <v>15313.83</v>
      </c>
      <c r="T37">
        <v>3740.28</v>
      </c>
      <c r="U37" t="s">
        <v>111</v>
      </c>
      <c r="V37" t="s">
        <v>103</v>
      </c>
      <c r="X37" s="8" t="str">
        <f>IF(C37&gt;=B37,"Valid", "Invalid-Date")</f>
        <v>Valid</v>
      </c>
      <c r="Y37" s="8" t="str">
        <f t="shared" si="1"/>
        <v>Valid</v>
      </c>
      <c r="Z37" s="8" t="str">
        <f t="shared" si="2"/>
        <v>Pass</v>
      </c>
      <c r="AA37" s="8" t="str">
        <f t="shared" si="3"/>
        <v>Pass</v>
      </c>
      <c r="AB37" s="8" t="str">
        <f>TEXT(B37,"mmmm")</f>
        <v>May</v>
      </c>
      <c r="AC37" s="8" t="str">
        <f>TEXT(B37,"yyyy")</f>
        <v>2024</v>
      </c>
      <c r="AE37">
        <f t="shared" si="4"/>
        <v>20056.96</v>
      </c>
      <c r="AF37" s="11">
        <f t="shared" si="5"/>
        <v>19054.111999999997</v>
      </c>
      <c r="AG37">
        <f t="shared" si="6"/>
        <v>4743.1299999999992</v>
      </c>
      <c r="AH37" s="11">
        <f t="shared" si="7"/>
        <v>0.2364829964261782</v>
      </c>
      <c r="AI37" s="9">
        <f t="shared" si="8"/>
        <v>0.2364829964261782</v>
      </c>
      <c r="AJ37">
        <f t="shared" si="9"/>
        <v>0</v>
      </c>
      <c r="AK37">
        <f t="shared" si="10"/>
        <v>0</v>
      </c>
      <c r="AL37">
        <f t="shared" si="11"/>
        <v>0</v>
      </c>
      <c r="AM37">
        <f t="shared" si="12"/>
        <v>0</v>
      </c>
      <c r="AN37">
        <f t="shared" si="13"/>
        <v>0</v>
      </c>
      <c r="AO37">
        <f t="shared" si="14"/>
        <v>0</v>
      </c>
      <c r="AP37">
        <f t="shared" si="15"/>
        <v>19054.11</v>
      </c>
      <c r="AQ37">
        <f t="shared" si="16"/>
        <v>1</v>
      </c>
    </row>
    <row r="38" spans="1:43">
      <c r="A38" t="s">
        <v>208</v>
      </c>
      <c r="B38" s="5">
        <v>45590</v>
      </c>
      <c r="C38" s="5">
        <v>45593</v>
      </c>
      <c r="D38" s="13">
        <f t="shared" si="0"/>
        <v>3</v>
      </c>
      <c r="E38" t="s">
        <v>209</v>
      </c>
      <c r="F38" t="s">
        <v>141</v>
      </c>
      <c r="G38" t="s">
        <v>90</v>
      </c>
      <c r="H38" t="s">
        <v>63</v>
      </c>
      <c r="I38" t="s">
        <v>64</v>
      </c>
      <c r="J38" t="s">
        <v>65</v>
      </c>
      <c r="K38" t="s">
        <v>41</v>
      </c>
      <c r="L38" t="s">
        <v>158</v>
      </c>
      <c r="M38" t="s">
        <v>210</v>
      </c>
      <c r="N38" t="s">
        <v>31</v>
      </c>
      <c r="O38">
        <v>3</v>
      </c>
      <c r="P38">
        <v>3126.47</v>
      </c>
      <c r="Q38" s="11">
        <v>0</v>
      </c>
      <c r="R38">
        <v>9379.41</v>
      </c>
      <c r="S38">
        <v>6670.85</v>
      </c>
      <c r="T38">
        <v>2708.56</v>
      </c>
      <c r="U38" t="s">
        <v>32</v>
      </c>
      <c r="V38" t="s">
        <v>103</v>
      </c>
      <c r="X38" s="8" t="str">
        <f>IF(C38&gt;=B38,"Valid", "Invalid-Date")</f>
        <v>Valid</v>
      </c>
      <c r="Y38" s="8" t="str">
        <f t="shared" si="1"/>
        <v>Valid</v>
      </c>
      <c r="Z38" s="8" t="str">
        <f t="shared" si="2"/>
        <v>Pass</v>
      </c>
      <c r="AA38" s="8" t="str">
        <f t="shared" si="3"/>
        <v>Pass</v>
      </c>
      <c r="AB38" s="8" t="str">
        <f>TEXT(B38,"mmmm")</f>
        <v>October</v>
      </c>
      <c r="AC38" s="8" t="str">
        <f>TEXT(B38,"yyyy")</f>
        <v>2024</v>
      </c>
      <c r="AE38">
        <f t="shared" si="4"/>
        <v>9379.41</v>
      </c>
      <c r="AF38" s="11">
        <f t="shared" si="5"/>
        <v>9379.41</v>
      </c>
      <c r="AG38">
        <f t="shared" si="6"/>
        <v>2708.5599999999995</v>
      </c>
      <c r="AH38" s="11">
        <f t="shared" si="7"/>
        <v>0.28877722585962223</v>
      </c>
      <c r="AI38" s="9">
        <f t="shared" si="8"/>
        <v>0.28877722585962223</v>
      </c>
      <c r="AJ38">
        <f t="shared" si="9"/>
        <v>0</v>
      </c>
      <c r="AK38">
        <f t="shared" si="10"/>
        <v>0</v>
      </c>
      <c r="AL38">
        <f t="shared" si="11"/>
        <v>0</v>
      </c>
      <c r="AM38">
        <f t="shared" si="12"/>
        <v>0</v>
      </c>
      <c r="AN38">
        <f t="shared" si="13"/>
        <v>0</v>
      </c>
      <c r="AO38">
        <f t="shared" si="14"/>
        <v>0</v>
      </c>
      <c r="AP38">
        <f t="shared" si="15"/>
        <v>9379.41</v>
      </c>
      <c r="AQ38">
        <f t="shared" si="16"/>
        <v>1</v>
      </c>
    </row>
    <row r="39" spans="1:43">
      <c r="A39" t="s">
        <v>211</v>
      </c>
      <c r="B39" s="5">
        <v>45867</v>
      </c>
      <c r="C39" s="5">
        <v>45867</v>
      </c>
      <c r="D39" s="13">
        <f t="shared" si="0"/>
        <v>0</v>
      </c>
      <c r="E39" t="s">
        <v>212</v>
      </c>
      <c r="F39" t="s">
        <v>162</v>
      </c>
      <c r="G39" t="s">
        <v>24</v>
      </c>
      <c r="H39" t="s">
        <v>63</v>
      </c>
      <c r="I39" t="s">
        <v>64</v>
      </c>
      <c r="J39" t="s">
        <v>65</v>
      </c>
      <c r="K39" t="s">
        <v>74</v>
      </c>
      <c r="L39" t="s">
        <v>80</v>
      </c>
      <c r="M39" t="s">
        <v>213</v>
      </c>
      <c r="N39" t="s">
        <v>59</v>
      </c>
      <c r="O39">
        <v>4</v>
      </c>
      <c r="P39">
        <v>1327.54</v>
      </c>
      <c r="Q39" s="11">
        <v>0.2</v>
      </c>
      <c r="R39">
        <v>4248.13</v>
      </c>
      <c r="S39">
        <v>3321.09</v>
      </c>
      <c r="T39">
        <v>927.04</v>
      </c>
      <c r="U39" t="s">
        <v>32</v>
      </c>
      <c r="V39" t="s">
        <v>33</v>
      </c>
      <c r="X39" s="8" t="str">
        <f>IF(C39&gt;=B39,"Valid", "Invalid-Date")</f>
        <v>Valid</v>
      </c>
      <c r="Y39" s="8" t="str">
        <f t="shared" si="1"/>
        <v>Valid</v>
      </c>
      <c r="Z39" s="8" t="str">
        <f t="shared" si="2"/>
        <v>Pass</v>
      </c>
      <c r="AA39" s="8" t="str">
        <f t="shared" si="3"/>
        <v>Pass</v>
      </c>
      <c r="AB39" s="8" t="str">
        <f>TEXT(B39,"mmmm")</f>
        <v>July</v>
      </c>
      <c r="AC39" s="8" t="str">
        <f>TEXT(B39,"yyyy")</f>
        <v>2025</v>
      </c>
      <c r="AE39">
        <f t="shared" si="4"/>
        <v>5310.16</v>
      </c>
      <c r="AF39" s="11">
        <f t="shared" si="5"/>
        <v>4248.1279999999997</v>
      </c>
      <c r="AG39">
        <f t="shared" si="6"/>
        <v>1989.0699999999997</v>
      </c>
      <c r="AH39" s="11">
        <f t="shared" si="7"/>
        <v>0.37457816713620679</v>
      </c>
      <c r="AI39" s="9">
        <f t="shared" si="8"/>
        <v>0.37457816713620679</v>
      </c>
      <c r="AJ39">
        <f t="shared" si="9"/>
        <v>4248.13</v>
      </c>
      <c r="AK39">
        <f t="shared" si="10"/>
        <v>1</v>
      </c>
      <c r="AL39">
        <f t="shared" si="11"/>
        <v>0</v>
      </c>
      <c r="AM39">
        <f t="shared" si="12"/>
        <v>0</v>
      </c>
      <c r="AN39">
        <f t="shared" si="13"/>
        <v>0</v>
      </c>
      <c r="AO39">
        <f t="shared" si="14"/>
        <v>0</v>
      </c>
      <c r="AP39">
        <f t="shared" si="15"/>
        <v>0</v>
      </c>
      <c r="AQ39">
        <f t="shared" si="16"/>
        <v>0</v>
      </c>
    </row>
    <row r="40" spans="1:43">
      <c r="A40" t="s">
        <v>214</v>
      </c>
      <c r="B40" s="5">
        <v>45460</v>
      </c>
      <c r="C40" s="5">
        <v>45465</v>
      </c>
      <c r="D40" s="13">
        <f t="shared" si="0"/>
        <v>5</v>
      </c>
      <c r="E40" t="s">
        <v>215</v>
      </c>
      <c r="F40" t="s">
        <v>128</v>
      </c>
      <c r="G40" t="s">
        <v>90</v>
      </c>
      <c r="H40" t="s">
        <v>63</v>
      </c>
      <c r="I40" t="s">
        <v>180</v>
      </c>
      <c r="J40" t="s">
        <v>181</v>
      </c>
      <c r="K40" t="s">
        <v>74</v>
      </c>
      <c r="L40" t="s">
        <v>171</v>
      </c>
      <c r="M40" t="s">
        <v>216</v>
      </c>
      <c r="N40" t="s">
        <v>50</v>
      </c>
      <c r="O40">
        <v>7</v>
      </c>
      <c r="P40">
        <v>2210.6799999999998</v>
      </c>
      <c r="Q40" s="11">
        <v>0.1</v>
      </c>
      <c r="R40">
        <v>13927.28</v>
      </c>
      <c r="S40">
        <v>10504.87</v>
      </c>
      <c r="T40">
        <v>3422.41</v>
      </c>
      <c r="U40" t="s">
        <v>32</v>
      </c>
      <c r="V40" t="s">
        <v>33</v>
      </c>
      <c r="X40" s="8" t="str">
        <f>IF(C40&gt;=B40,"Valid", "Invalid-Date")</f>
        <v>Valid</v>
      </c>
      <c r="Y40" s="8" t="str">
        <f t="shared" si="1"/>
        <v>Valid</v>
      </c>
      <c r="Z40" s="8" t="str">
        <f t="shared" si="2"/>
        <v>Pass</v>
      </c>
      <c r="AA40" s="8" t="str">
        <f t="shared" si="3"/>
        <v>Pass</v>
      </c>
      <c r="AB40" s="8" t="str">
        <f>TEXT(B40,"mmmm")</f>
        <v>June</v>
      </c>
      <c r="AC40" s="8" t="str">
        <f>TEXT(B40,"yyyy")</f>
        <v>2024</v>
      </c>
      <c r="AE40">
        <f t="shared" si="4"/>
        <v>15474.759999999998</v>
      </c>
      <c r="AF40" s="11">
        <f t="shared" si="5"/>
        <v>13927.284</v>
      </c>
      <c r="AG40">
        <f t="shared" si="6"/>
        <v>4969.8899999999976</v>
      </c>
      <c r="AH40" s="11">
        <f t="shared" si="7"/>
        <v>0.32116103900803616</v>
      </c>
      <c r="AI40" s="9">
        <f t="shared" si="8"/>
        <v>0.32116103900803616</v>
      </c>
      <c r="AJ40">
        <f t="shared" si="9"/>
        <v>13927.28</v>
      </c>
      <c r="AK40">
        <f t="shared" si="10"/>
        <v>1</v>
      </c>
      <c r="AL40">
        <f t="shared" si="11"/>
        <v>0</v>
      </c>
      <c r="AM40">
        <f t="shared" si="12"/>
        <v>0</v>
      </c>
      <c r="AN40">
        <f t="shared" si="13"/>
        <v>0</v>
      </c>
      <c r="AO40">
        <f t="shared" si="14"/>
        <v>0</v>
      </c>
      <c r="AP40">
        <f t="shared" si="15"/>
        <v>0</v>
      </c>
      <c r="AQ40">
        <f t="shared" si="16"/>
        <v>0</v>
      </c>
    </row>
    <row r="41" spans="1:43">
      <c r="A41" t="s">
        <v>217</v>
      </c>
      <c r="B41" s="5">
        <v>45608</v>
      </c>
      <c r="C41" s="5">
        <v>45608</v>
      </c>
      <c r="D41" s="13">
        <f t="shared" si="0"/>
        <v>0</v>
      </c>
      <c r="E41" t="s">
        <v>218</v>
      </c>
      <c r="F41" t="s">
        <v>36</v>
      </c>
      <c r="G41" t="s">
        <v>37</v>
      </c>
      <c r="H41" t="s">
        <v>63</v>
      </c>
      <c r="I41" t="s">
        <v>72</v>
      </c>
      <c r="J41" t="s">
        <v>73</v>
      </c>
      <c r="K41" t="s">
        <v>74</v>
      </c>
      <c r="L41" t="s">
        <v>80</v>
      </c>
      <c r="M41" t="s">
        <v>219</v>
      </c>
      <c r="N41" t="s">
        <v>50</v>
      </c>
      <c r="O41">
        <v>4</v>
      </c>
      <c r="P41">
        <v>1370.92</v>
      </c>
      <c r="Q41" s="11">
        <v>0.1</v>
      </c>
      <c r="R41">
        <v>4935.3100000000004</v>
      </c>
      <c r="S41">
        <v>3374.77</v>
      </c>
      <c r="T41">
        <v>1560.54</v>
      </c>
      <c r="U41" t="s">
        <v>111</v>
      </c>
      <c r="V41" t="s">
        <v>103</v>
      </c>
      <c r="X41" s="8" t="str">
        <f>IF(C41&gt;=B41,"Valid", "Invalid-Date")</f>
        <v>Valid</v>
      </c>
      <c r="Y41" s="8" t="str">
        <f t="shared" si="1"/>
        <v>Valid</v>
      </c>
      <c r="Z41" s="8" t="str">
        <f t="shared" si="2"/>
        <v>Pass</v>
      </c>
      <c r="AA41" s="8" t="str">
        <f t="shared" si="3"/>
        <v>Pass</v>
      </c>
      <c r="AB41" s="8" t="str">
        <f>TEXT(B41,"mmmm")</f>
        <v>November</v>
      </c>
      <c r="AC41" s="8" t="str">
        <f>TEXT(B41,"yyyy")</f>
        <v>2024</v>
      </c>
      <c r="AE41">
        <f t="shared" si="4"/>
        <v>5483.68</v>
      </c>
      <c r="AF41" s="11">
        <f t="shared" si="5"/>
        <v>4935.3120000000008</v>
      </c>
      <c r="AG41">
        <f t="shared" si="6"/>
        <v>2108.9100000000003</v>
      </c>
      <c r="AH41" s="11">
        <f t="shared" si="7"/>
        <v>0.38457933358620494</v>
      </c>
      <c r="AI41" s="9">
        <f t="shared" si="8"/>
        <v>0.38457933358620494</v>
      </c>
      <c r="AJ41">
        <f t="shared" si="9"/>
        <v>0</v>
      </c>
      <c r="AK41">
        <f t="shared" si="10"/>
        <v>0</v>
      </c>
      <c r="AL41">
        <f t="shared" si="11"/>
        <v>0</v>
      </c>
      <c r="AM41">
        <f t="shared" si="12"/>
        <v>0</v>
      </c>
      <c r="AN41">
        <f t="shared" si="13"/>
        <v>0</v>
      </c>
      <c r="AO41">
        <f t="shared" si="14"/>
        <v>0</v>
      </c>
      <c r="AP41">
        <f t="shared" si="15"/>
        <v>4935.3100000000004</v>
      </c>
      <c r="AQ41">
        <f t="shared" si="16"/>
        <v>1</v>
      </c>
    </row>
    <row r="42" spans="1:43">
      <c r="A42" t="s">
        <v>220</v>
      </c>
      <c r="B42" s="5">
        <v>45575</v>
      </c>
      <c r="C42" s="5">
        <v>45581</v>
      </c>
      <c r="D42" s="13">
        <f t="shared" si="0"/>
        <v>6</v>
      </c>
      <c r="E42" t="s">
        <v>221</v>
      </c>
      <c r="F42" t="s">
        <v>47</v>
      </c>
      <c r="G42" t="s">
        <v>95</v>
      </c>
      <c r="H42" t="s">
        <v>63</v>
      </c>
      <c r="I42" t="s">
        <v>26</v>
      </c>
      <c r="J42" t="s">
        <v>109</v>
      </c>
      <c r="K42" t="s">
        <v>74</v>
      </c>
      <c r="L42" t="s">
        <v>80</v>
      </c>
      <c r="M42" t="s">
        <v>222</v>
      </c>
      <c r="N42" t="s">
        <v>59</v>
      </c>
      <c r="O42">
        <v>7</v>
      </c>
      <c r="P42">
        <v>2509.27</v>
      </c>
      <c r="Q42" s="11">
        <v>0.2</v>
      </c>
      <c r="R42">
        <v>14051.91</v>
      </c>
      <c r="S42">
        <v>11990.37</v>
      </c>
      <c r="T42">
        <v>2061.54</v>
      </c>
      <c r="U42" t="s">
        <v>32</v>
      </c>
      <c r="V42" t="s">
        <v>33</v>
      </c>
      <c r="X42" s="8" t="str">
        <f>IF(C42&gt;=B42,"Valid", "Invalid-Date")</f>
        <v>Valid</v>
      </c>
      <c r="Y42" s="8" t="str">
        <f t="shared" si="1"/>
        <v>Valid</v>
      </c>
      <c r="Z42" s="8" t="str">
        <f t="shared" si="2"/>
        <v>Pass</v>
      </c>
      <c r="AA42" s="8" t="str">
        <f t="shared" si="3"/>
        <v>Pass</v>
      </c>
      <c r="AB42" s="8" t="str">
        <f>TEXT(B42,"mmmm")</f>
        <v>October</v>
      </c>
      <c r="AC42" s="8" t="str">
        <f>TEXT(B42,"yyyy")</f>
        <v>2024</v>
      </c>
      <c r="AE42">
        <f t="shared" si="4"/>
        <v>17564.89</v>
      </c>
      <c r="AF42" s="11">
        <f t="shared" si="5"/>
        <v>14051.912</v>
      </c>
      <c r="AG42">
        <f t="shared" si="6"/>
        <v>5574.5199999999986</v>
      </c>
      <c r="AH42" s="11">
        <f t="shared" si="7"/>
        <v>0.31736720241345084</v>
      </c>
      <c r="AI42" s="9">
        <f t="shared" si="8"/>
        <v>0.31736720241345084</v>
      </c>
      <c r="AJ42">
        <f t="shared" si="9"/>
        <v>14051.91</v>
      </c>
      <c r="AK42">
        <f t="shared" si="10"/>
        <v>1</v>
      </c>
      <c r="AL42">
        <f t="shared" si="11"/>
        <v>0</v>
      </c>
      <c r="AM42">
        <f t="shared" si="12"/>
        <v>0</v>
      </c>
      <c r="AN42">
        <f t="shared" si="13"/>
        <v>0</v>
      </c>
      <c r="AO42">
        <f t="shared" si="14"/>
        <v>0</v>
      </c>
      <c r="AP42">
        <f t="shared" si="15"/>
        <v>0</v>
      </c>
      <c r="AQ42">
        <f t="shared" si="16"/>
        <v>0</v>
      </c>
    </row>
    <row r="43" spans="1:43">
      <c r="A43" t="s">
        <v>223</v>
      </c>
      <c r="B43" s="5">
        <v>45629</v>
      </c>
      <c r="C43" s="5">
        <v>45368</v>
      </c>
      <c r="D43" s="13">
        <f t="shared" si="0"/>
        <v>-261</v>
      </c>
      <c r="E43" t="s">
        <v>224</v>
      </c>
      <c r="F43" t="s">
        <v>128</v>
      </c>
      <c r="G43" t="s">
        <v>37</v>
      </c>
      <c r="H43" t="s">
        <v>38</v>
      </c>
      <c r="I43" t="s">
        <v>39</v>
      </c>
      <c r="J43" t="s">
        <v>40</v>
      </c>
      <c r="K43" t="s">
        <v>41</v>
      </c>
      <c r="L43" t="s">
        <v>158</v>
      </c>
      <c r="M43" t="s">
        <v>225</v>
      </c>
      <c r="N43" t="s">
        <v>44</v>
      </c>
      <c r="O43">
        <v>8</v>
      </c>
      <c r="P43">
        <v>855.81</v>
      </c>
      <c r="Q43" s="11">
        <v>0</v>
      </c>
      <c r="R43">
        <v>6846.48</v>
      </c>
      <c r="S43">
        <v>4239.8900000000003</v>
      </c>
      <c r="T43">
        <v>2606.59</v>
      </c>
      <c r="U43" t="s">
        <v>111</v>
      </c>
      <c r="V43" t="s">
        <v>68</v>
      </c>
      <c r="X43" s="8" t="str">
        <f>IF(C43&gt;=B43,"Valid", "Invalid-Date")</f>
        <v>Invalid-Date</v>
      </c>
      <c r="Y43" s="8" t="str">
        <f t="shared" si="1"/>
        <v>Valid</v>
      </c>
      <c r="Z43" s="8" t="str">
        <f t="shared" si="2"/>
        <v>Pass</v>
      </c>
      <c r="AA43" s="8" t="str">
        <f t="shared" si="3"/>
        <v>Pass</v>
      </c>
      <c r="AB43" s="8" t="str">
        <f>TEXT(B43,"mmmm")</f>
        <v>December</v>
      </c>
      <c r="AC43" s="8" t="str">
        <f>TEXT(B43,"yyyy")</f>
        <v>2024</v>
      </c>
      <c r="AE43">
        <f t="shared" si="4"/>
        <v>6846.48</v>
      </c>
      <c r="AF43" s="11">
        <f t="shared" si="5"/>
        <v>6846.48</v>
      </c>
      <c r="AG43">
        <f t="shared" si="6"/>
        <v>2606.5899999999992</v>
      </c>
      <c r="AH43" s="11">
        <f t="shared" si="7"/>
        <v>0.38071972750961069</v>
      </c>
      <c r="AI43" s="9">
        <f t="shared" si="8"/>
        <v>0.38071972750961069</v>
      </c>
      <c r="AJ43">
        <f t="shared" si="9"/>
        <v>0</v>
      </c>
      <c r="AK43">
        <f t="shared" si="10"/>
        <v>0</v>
      </c>
      <c r="AL43">
        <f t="shared" si="11"/>
        <v>6846.48</v>
      </c>
      <c r="AM43">
        <f t="shared" si="12"/>
        <v>1</v>
      </c>
      <c r="AN43">
        <f t="shared" si="13"/>
        <v>0</v>
      </c>
      <c r="AO43">
        <f t="shared" si="14"/>
        <v>0</v>
      </c>
      <c r="AP43">
        <f t="shared" si="15"/>
        <v>0</v>
      </c>
      <c r="AQ43">
        <f t="shared" si="16"/>
        <v>0</v>
      </c>
    </row>
    <row r="44" spans="1:43">
      <c r="A44" t="s">
        <v>226</v>
      </c>
      <c r="B44" s="5">
        <v>45940</v>
      </c>
      <c r="C44" s="5">
        <v>45945</v>
      </c>
      <c r="D44" s="13">
        <f t="shared" si="0"/>
        <v>5</v>
      </c>
      <c r="E44" t="s">
        <v>227</v>
      </c>
      <c r="F44" t="s">
        <v>53</v>
      </c>
      <c r="G44" t="s">
        <v>90</v>
      </c>
      <c r="H44" t="s">
        <v>38</v>
      </c>
      <c r="I44" t="s">
        <v>228</v>
      </c>
      <c r="J44" t="s">
        <v>229</v>
      </c>
      <c r="K44" t="s">
        <v>74</v>
      </c>
      <c r="L44" t="s">
        <v>171</v>
      </c>
      <c r="M44" t="s">
        <v>230</v>
      </c>
      <c r="N44" t="s">
        <v>59</v>
      </c>
      <c r="O44">
        <v>8</v>
      </c>
      <c r="P44">
        <v>979.87</v>
      </c>
      <c r="Q44" s="11">
        <v>0.05</v>
      </c>
      <c r="R44">
        <v>7447.01</v>
      </c>
      <c r="S44">
        <v>4496.22</v>
      </c>
      <c r="T44">
        <v>2950.79</v>
      </c>
      <c r="U44" t="s">
        <v>32</v>
      </c>
      <c r="V44" t="s">
        <v>33</v>
      </c>
      <c r="X44" s="8" t="str">
        <f>IF(C44&gt;=B44,"Valid", "Invalid-Date")</f>
        <v>Valid</v>
      </c>
      <c r="Y44" s="8" t="str">
        <f t="shared" si="1"/>
        <v>Valid</v>
      </c>
      <c r="Z44" s="8" t="str">
        <f t="shared" si="2"/>
        <v>Pass</v>
      </c>
      <c r="AA44" s="8" t="str">
        <f t="shared" si="3"/>
        <v>Pass</v>
      </c>
      <c r="AB44" s="8" t="str">
        <f>TEXT(B44,"mmmm")</f>
        <v>October</v>
      </c>
      <c r="AC44" s="8" t="str">
        <f>TEXT(B44,"yyyy")</f>
        <v>2025</v>
      </c>
      <c r="AE44">
        <f t="shared" si="4"/>
        <v>7838.96</v>
      </c>
      <c r="AF44" s="11">
        <f t="shared" si="5"/>
        <v>7447.0119999999997</v>
      </c>
      <c r="AG44">
        <f t="shared" si="6"/>
        <v>3342.74</v>
      </c>
      <c r="AH44" s="11">
        <f t="shared" si="7"/>
        <v>0.42642646473511792</v>
      </c>
      <c r="AI44" s="9">
        <f t="shared" si="8"/>
        <v>0.42642646473511792</v>
      </c>
      <c r="AJ44">
        <f t="shared" si="9"/>
        <v>7447.01</v>
      </c>
      <c r="AK44">
        <f t="shared" si="10"/>
        <v>1</v>
      </c>
      <c r="AL44">
        <f t="shared" si="11"/>
        <v>0</v>
      </c>
      <c r="AM44">
        <f t="shared" si="12"/>
        <v>0</v>
      </c>
      <c r="AN44">
        <f t="shared" si="13"/>
        <v>0</v>
      </c>
      <c r="AO44">
        <f t="shared" si="14"/>
        <v>0</v>
      </c>
      <c r="AP44">
        <f t="shared" si="15"/>
        <v>0</v>
      </c>
      <c r="AQ44">
        <f t="shared" si="16"/>
        <v>0</v>
      </c>
    </row>
    <row r="45" spans="1:43">
      <c r="A45" t="s">
        <v>231</v>
      </c>
      <c r="B45" s="5">
        <v>45511</v>
      </c>
      <c r="C45" s="5">
        <v>45487</v>
      </c>
      <c r="D45" s="13">
        <f t="shared" si="0"/>
        <v>-24</v>
      </c>
      <c r="E45" t="s">
        <v>232</v>
      </c>
      <c r="F45" t="s">
        <v>114</v>
      </c>
      <c r="G45" t="s">
        <v>37</v>
      </c>
      <c r="H45" t="s">
        <v>38</v>
      </c>
      <c r="I45" t="s">
        <v>39</v>
      </c>
      <c r="J45" t="s">
        <v>40</v>
      </c>
      <c r="K45" t="s">
        <v>41</v>
      </c>
      <c r="L45" t="s">
        <v>57</v>
      </c>
      <c r="M45" t="s">
        <v>233</v>
      </c>
      <c r="N45" t="s">
        <v>44</v>
      </c>
      <c r="O45">
        <v>3</v>
      </c>
      <c r="P45">
        <v>1010.23</v>
      </c>
      <c r="Q45" s="11">
        <v>0</v>
      </c>
      <c r="R45">
        <v>3030.69</v>
      </c>
      <c r="S45">
        <v>1721.08</v>
      </c>
      <c r="T45">
        <v>1309.6099999999999</v>
      </c>
      <c r="U45" t="s">
        <v>32</v>
      </c>
      <c r="V45" t="s">
        <v>33</v>
      </c>
      <c r="X45" s="8" t="str">
        <f>IF(C45&gt;=B45,"Valid", "Invalid-Date")</f>
        <v>Invalid-Date</v>
      </c>
      <c r="Y45" s="8" t="str">
        <f t="shared" si="1"/>
        <v>Valid</v>
      </c>
      <c r="Z45" s="8" t="str">
        <f t="shared" si="2"/>
        <v>Pass</v>
      </c>
      <c r="AA45" s="8" t="str">
        <f t="shared" si="3"/>
        <v>Pass</v>
      </c>
      <c r="AB45" s="8" t="str">
        <f>TEXT(B45,"mmmm")</f>
        <v>August</v>
      </c>
      <c r="AC45" s="8" t="str">
        <f>TEXT(B45,"yyyy")</f>
        <v>2024</v>
      </c>
      <c r="AE45">
        <f t="shared" si="4"/>
        <v>3030.69</v>
      </c>
      <c r="AF45" s="11">
        <f t="shared" si="5"/>
        <v>3030.69</v>
      </c>
      <c r="AG45">
        <f t="shared" si="6"/>
        <v>1309.6100000000001</v>
      </c>
      <c r="AH45" s="11">
        <f t="shared" si="7"/>
        <v>0.43211611877163292</v>
      </c>
      <c r="AI45" s="9">
        <f t="shared" si="8"/>
        <v>0.43211611877163292</v>
      </c>
      <c r="AJ45">
        <f t="shared" si="9"/>
        <v>3030.69</v>
      </c>
      <c r="AK45">
        <f t="shared" si="10"/>
        <v>1</v>
      </c>
      <c r="AL45">
        <f t="shared" si="11"/>
        <v>0</v>
      </c>
      <c r="AM45">
        <f t="shared" si="12"/>
        <v>0</v>
      </c>
      <c r="AN45">
        <f t="shared" si="13"/>
        <v>0</v>
      </c>
      <c r="AO45">
        <f t="shared" si="14"/>
        <v>0</v>
      </c>
      <c r="AP45">
        <f t="shared" si="15"/>
        <v>0</v>
      </c>
      <c r="AQ45">
        <f t="shared" si="16"/>
        <v>0</v>
      </c>
    </row>
    <row r="46" spans="1:43">
      <c r="A46" t="s">
        <v>234</v>
      </c>
      <c r="B46" s="5">
        <v>45465</v>
      </c>
      <c r="C46" s="5">
        <v>45468</v>
      </c>
      <c r="D46" s="13">
        <f t="shared" si="0"/>
        <v>3</v>
      </c>
      <c r="E46" t="s">
        <v>235</v>
      </c>
      <c r="F46" t="s">
        <v>141</v>
      </c>
      <c r="G46" t="s">
        <v>37</v>
      </c>
      <c r="H46" t="s">
        <v>25</v>
      </c>
      <c r="I46" t="s">
        <v>236</v>
      </c>
      <c r="J46" t="s">
        <v>237</v>
      </c>
      <c r="K46" t="s">
        <v>41</v>
      </c>
      <c r="L46" t="s">
        <v>66</v>
      </c>
      <c r="M46" t="s">
        <v>238</v>
      </c>
      <c r="N46" t="s">
        <v>59</v>
      </c>
      <c r="O46">
        <v>9</v>
      </c>
      <c r="P46">
        <v>3329.77</v>
      </c>
      <c r="Q46" s="11">
        <v>0.1</v>
      </c>
      <c r="R46">
        <v>26971.14</v>
      </c>
      <c r="S46">
        <v>17376.2</v>
      </c>
      <c r="T46">
        <v>9594.94</v>
      </c>
      <c r="U46" t="s">
        <v>32</v>
      </c>
      <c r="V46" t="s">
        <v>33</v>
      </c>
      <c r="X46" s="8" t="str">
        <f>IF(C46&gt;=B46,"Valid", "Invalid-Date")</f>
        <v>Valid</v>
      </c>
      <c r="Y46" s="8" t="str">
        <f t="shared" si="1"/>
        <v>Valid</v>
      </c>
      <c r="Z46" s="8" t="str">
        <f t="shared" si="2"/>
        <v>Pass</v>
      </c>
      <c r="AA46" s="8" t="str">
        <f t="shared" si="3"/>
        <v>Pass</v>
      </c>
      <c r="AB46" s="8" t="str">
        <f>TEXT(B46,"mmmm")</f>
        <v>June</v>
      </c>
      <c r="AC46" s="8" t="str">
        <f>TEXT(B46,"yyyy")</f>
        <v>2024</v>
      </c>
      <c r="AE46">
        <f t="shared" si="4"/>
        <v>29967.93</v>
      </c>
      <c r="AF46" s="11">
        <f t="shared" si="5"/>
        <v>26971.137000000002</v>
      </c>
      <c r="AG46">
        <f t="shared" si="6"/>
        <v>12591.73</v>
      </c>
      <c r="AH46" s="11">
        <f t="shared" si="7"/>
        <v>0.42017349880355431</v>
      </c>
      <c r="AI46" s="9">
        <f t="shared" si="8"/>
        <v>0.42017349880355431</v>
      </c>
      <c r="AJ46">
        <f t="shared" si="9"/>
        <v>26971.14</v>
      </c>
      <c r="AK46">
        <f t="shared" si="10"/>
        <v>1</v>
      </c>
      <c r="AL46">
        <f t="shared" si="11"/>
        <v>0</v>
      </c>
      <c r="AM46">
        <f t="shared" si="12"/>
        <v>0</v>
      </c>
      <c r="AN46">
        <f t="shared" si="13"/>
        <v>0</v>
      </c>
      <c r="AO46">
        <f t="shared" si="14"/>
        <v>0</v>
      </c>
      <c r="AP46">
        <f t="shared" si="15"/>
        <v>0</v>
      </c>
      <c r="AQ46">
        <f t="shared" si="16"/>
        <v>0</v>
      </c>
    </row>
    <row r="47" spans="1:43">
      <c r="A47" t="s">
        <v>239</v>
      </c>
      <c r="B47" s="5">
        <v>45309</v>
      </c>
      <c r="C47" s="5">
        <v>45315</v>
      </c>
      <c r="D47" s="13">
        <f t="shared" si="0"/>
        <v>6</v>
      </c>
      <c r="E47" t="s">
        <v>240</v>
      </c>
      <c r="F47" t="s">
        <v>47</v>
      </c>
      <c r="G47" t="s">
        <v>95</v>
      </c>
      <c r="H47" t="s">
        <v>38</v>
      </c>
      <c r="I47" t="s">
        <v>145</v>
      </c>
      <c r="J47" t="s">
        <v>146</v>
      </c>
      <c r="K47" t="s">
        <v>28</v>
      </c>
      <c r="L47" t="s">
        <v>48</v>
      </c>
      <c r="M47" t="s">
        <v>241</v>
      </c>
      <c r="N47" t="s">
        <v>31</v>
      </c>
      <c r="O47">
        <v>8</v>
      </c>
      <c r="P47">
        <v>3927.82</v>
      </c>
      <c r="Q47" s="11">
        <v>0.05</v>
      </c>
      <c r="R47">
        <v>29851.43</v>
      </c>
      <c r="S47">
        <v>17487.48</v>
      </c>
      <c r="T47">
        <v>12363.95</v>
      </c>
      <c r="U47" t="s">
        <v>111</v>
      </c>
      <c r="V47" t="s">
        <v>103</v>
      </c>
      <c r="X47" s="8" t="str">
        <f>IF(C47&gt;=B47,"Valid", "Invalid-Date")</f>
        <v>Valid</v>
      </c>
      <c r="Y47" s="8" t="str">
        <f t="shared" si="1"/>
        <v>Valid</v>
      </c>
      <c r="Z47" s="8" t="str">
        <f t="shared" si="2"/>
        <v>Pass</v>
      </c>
      <c r="AA47" s="8" t="str">
        <f t="shared" si="3"/>
        <v>Pass</v>
      </c>
      <c r="AB47" s="8" t="str">
        <f>TEXT(B47,"mmmm")</f>
        <v>January</v>
      </c>
      <c r="AC47" s="8" t="str">
        <f>TEXT(B47,"yyyy")</f>
        <v>2024</v>
      </c>
      <c r="AE47">
        <f t="shared" si="4"/>
        <v>31422.560000000001</v>
      </c>
      <c r="AF47" s="11">
        <f t="shared" si="5"/>
        <v>29851.432000000001</v>
      </c>
      <c r="AG47">
        <f t="shared" si="6"/>
        <v>13935.080000000002</v>
      </c>
      <c r="AH47" s="11">
        <f t="shared" si="7"/>
        <v>0.44347373352139358</v>
      </c>
      <c r="AI47" s="9">
        <f t="shared" si="8"/>
        <v>0.44347373352139358</v>
      </c>
      <c r="AJ47">
        <f t="shared" si="9"/>
        <v>0</v>
      </c>
      <c r="AK47">
        <f t="shared" si="10"/>
        <v>0</v>
      </c>
      <c r="AL47">
        <f t="shared" si="11"/>
        <v>0</v>
      </c>
      <c r="AM47">
        <f t="shared" si="12"/>
        <v>0</v>
      </c>
      <c r="AN47">
        <f t="shared" si="13"/>
        <v>0</v>
      </c>
      <c r="AO47">
        <f t="shared" si="14"/>
        <v>0</v>
      </c>
      <c r="AP47">
        <f t="shared" si="15"/>
        <v>29851.43</v>
      </c>
      <c r="AQ47">
        <f t="shared" si="16"/>
        <v>1</v>
      </c>
    </row>
    <row r="48" spans="1:43">
      <c r="A48" t="s">
        <v>242</v>
      </c>
      <c r="B48" s="5">
        <v>45492</v>
      </c>
      <c r="C48" s="5">
        <v>45492</v>
      </c>
      <c r="D48" s="13">
        <f t="shared" si="0"/>
        <v>0</v>
      </c>
      <c r="E48" t="s">
        <v>243</v>
      </c>
      <c r="F48" t="s">
        <v>62</v>
      </c>
      <c r="G48" t="s">
        <v>37</v>
      </c>
      <c r="H48" t="s">
        <v>54</v>
      </c>
      <c r="I48" t="s">
        <v>185</v>
      </c>
      <c r="J48" t="s">
        <v>186</v>
      </c>
      <c r="K48" t="s">
        <v>41</v>
      </c>
      <c r="L48" t="s">
        <v>158</v>
      </c>
      <c r="M48" t="s">
        <v>244</v>
      </c>
      <c r="N48" t="s">
        <v>59</v>
      </c>
      <c r="O48">
        <v>9</v>
      </c>
      <c r="P48">
        <v>2386.79</v>
      </c>
      <c r="Q48" s="11">
        <v>0.25</v>
      </c>
      <c r="R48">
        <v>16110.83</v>
      </c>
      <c r="S48">
        <v>10680.03</v>
      </c>
      <c r="T48">
        <v>5430.8</v>
      </c>
      <c r="U48" t="s">
        <v>102</v>
      </c>
      <c r="V48" t="s">
        <v>103</v>
      </c>
      <c r="X48" s="8" t="str">
        <f>IF(C48&gt;=B48,"Valid", "Invalid-Date")</f>
        <v>Valid</v>
      </c>
      <c r="Y48" s="8" t="str">
        <f t="shared" si="1"/>
        <v>Valid</v>
      </c>
      <c r="Z48" s="8" t="str">
        <f t="shared" si="2"/>
        <v>Pass</v>
      </c>
      <c r="AA48" s="8" t="str">
        <f t="shared" si="3"/>
        <v>Pass</v>
      </c>
      <c r="AB48" s="8" t="str">
        <f>TEXT(B48,"mmmm")</f>
        <v>July</v>
      </c>
      <c r="AC48" s="8" t="str">
        <f>TEXT(B48,"yyyy")</f>
        <v>2024</v>
      </c>
      <c r="AE48">
        <f t="shared" si="4"/>
        <v>21481.11</v>
      </c>
      <c r="AF48" s="11">
        <f t="shared" si="5"/>
        <v>16110.8325</v>
      </c>
      <c r="AG48">
        <f t="shared" si="6"/>
        <v>10801.08</v>
      </c>
      <c r="AH48" s="11">
        <f t="shared" si="7"/>
        <v>0.50281759182835517</v>
      </c>
      <c r="AI48" s="9">
        <f t="shared" si="8"/>
        <v>0.50281759182835517</v>
      </c>
      <c r="AJ48">
        <f t="shared" si="9"/>
        <v>0</v>
      </c>
      <c r="AK48">
        <f t="shared" si="10"/>
        <v>0</v>
      </c>
      <c r="AL48">
        <f t="shared" si="11"/>
        <v>0</v>
      </c>
      <c r="AM48">
        <f t="shared" si="12"/>
        <v>0</v>
      </c>
      <c r="AN48">
        <f t="shared" si="13"/>
        <v>0</v>
      </c>
      <c r="AO48">
        <f t="shared" si="14"/>
        <v>0</v>
      </c>
      <c r="AP48">
        <f t="shared" si="15"/>
        <v>16110.83</v>
      </c>
      <c r="AQ48">
        <f t="shared" si="16"/>
        <v>1</v>
      </c>
    </row>
    <row r="49" spans="1:43">
      <c r="A49" t="s">
        <v>245</v>
      </c>
      <c r="B49" s="5">
        <v>45516</v>
      </c>
      <c r="C49" s="5">
        <v>45634</v>
      </c>
      <c r="D49" s="13">
        <f t="shared" si="0"/>
        <v>118</v>
      </c>
      <c r="E49" t="s">
        <v>246</v>
      </c>
      <c r="F49" t="s">
        <v>118</v>
      </c>
      <c r="G49" t="s">
        <v>90</v>
      </c>
      <c r="H49" t="s">
        <v>54</v>
      </c>
      <c r="I49" t="s">
        <v>247</v>
      </c>
      <c r="J49" t="s">
        <v>248</v>
      </c>
      <c r="K49" t="s">
        <v>28</v>
      </c>
      <c r="L49" t="s">
        <v>124</v>
      </c>
      <c r="M49" t="s">
        <v>249</v>
      </c>
      <c r="N49" t="s">
        <v>59</v>
      </c>
      <c r="O49">
        <v>8</v>
      </c>
      <c r="P49">
        <v>2445.31</v>
      </c>
      <c r="Q49" s="11">
        <v>0.1</v>
      </c>
      <c r="R49">
        <v>17606.23</v>
      </c>
      <c r="S49">
        <v>12438.96</v>
      </c>
      <c r="T49">
        <v>5167.2700000000004</v>
      </c>
      <c r="U49" t="s">
        <v>32</v>
      </c>
      <c r="V49" t="s">
        <v>33</v>
      </c>
      <c r="X49" s="8" t="str">
        <f>IF(C49&gt;=B49,"Valid", "Invalid-Date")</f>
        <v>Valid</v>
      </c>
      <c r="Y49" s="8" t="str">
        <f t="shared" si="1"/>
        <v>Valid</v>
      </c>
      <c r="Z49" s="8" t="str">
        <f t="shared" si="2"/>
        <v>Pass</v>
      </c>
      <c r="AA49" s="8" t="str">
        <f t="shared" si="3"/>
        <v>Pass</v>
      </c>
      <c r="AB49" s="8" t="str">
        <f>TEXT(B49,"mmmm")</f>
        <v>August</v>
      </c>
      <c r="AC49" s="8" t="str">
        <f>TEXT(B49,"yyyy")</f>
        <v>2024</v>
      </c>
      <c r="AE49">
        <f t="shared" si="4"/>
        <v>19562.48</v>
      </c>
      <c r="AF49" s="11">
        <f t="shared" si="5"/>
        <v>17606.232</v>
      </c>
      <c r="AG49">
        <f t="shared" si="6"/>
        <v>7123.52</v>
      </c>
      <c r="AH49" s="11">
        <f t="shared" si="7"/>
        <v>0.36414196972980933</v>
      </c>
      <c r="AI49" s="9">
        <f t="shared" si="8"/>
        <v>0.36414196972980933</v>
      </c>
      <c r="AJ49">
        <f t="shared" si="9"/>
        <v>17606.23</v>
      </c>
      <c r="AK49">
        <f t="shared" si="10"/>
        <v>1</v>
      </c>
      <c r="AL49">
        <f t="shared" si="11"/>
        <v>0</v>
      </c>
      <c r="AM49">
        <f t="shared" si="12"/>
        <v>0</v>
      </c>
      <c r="AN49">
        <f t="shared" si="13"/>
        <v>0</v>
      </c>
      <c r="AO49">
        <f t="shared" si="14"/>
        <v>0</v>
      </c>
      <c r="AP49">
        <f t="shared" si="15"/>
        <v>0</v>
      </c>
      <c r="AQ49">
        <f t="shared" si="16"/>
        <v>0</v>
      </c>
    </row>
    <row r="50" spans="1:43">
      <c r="A50" t="s">
        <v>250</v>
      </c>
      <c r="B50" s="5">
        <v>45687</v>
      </c>
      <c r="C50" s="5">
        <v>45779</v>
      </c>
      <c r="D50" s="13">
        <f t="shared" si="0"/>
        <v>92</v>
      </c>
      <c r="E50" t="s">
        <v>251</v>
      </c>
      <c r="F50" t="s">
        <v>79</v>
      </c>
      <c r="G50" t="s">
        <v>90</v>
      </c>
      <c r="H50" t="s">
        <v>63</v>
      </c>
      <c r="I50" t="s">
        <v>64</v>
      </c>
      <c r="J50" t="s">
        <v>65</v>
      </c>
      <c r="K50" t="s">
        <v>41</v>
      </c>
      <c r="L50" t="s">
        <v>66</v>
      </c>
      <c r="M50" t="s">
        <v>252</v>
      </c>
      <c r="N50" t="s">
        <v>31</v>
      </c>
      <c r="O50">
        <v>7</v>
      </c>
      <c r="P50">
        <v>4063.66</v>
      </c>
      <c r="Q50" s="11">
        <v>0</v>
      </c>
      <c r="R50">
        <v>28445.62</v>
      </c>
      <c r="S50">
        <v>20938.59</v>
      </c>
      <c r="T50">
        <v>7507.03</v>
      </c>
      <c r="U50" t="s">
        <v>32</v>
      </c>
      <c r="V50" t="s">
        <v>33</v>
      </c>
      <c r="X50" s="8" t="str">
        <f>IF(C50&gt;=B50,"Valid", "Invalid-Date")</f>
        <v>Valid</v>
      </c>
      <c r="Y50" s="8" t="str">
        <f t="shared" si="1"/>
        <v>Valid</v>
      </c>
      <c r="Z50" s="8" t="str">
        <f t="shared" si="2"/>
        <v>Pass</v>
      </c>
      <c r="AA50" s="8" t="str">
        <f t="shared" si="3"/>
        <v>Pass</v>
      </c>
      <c r="AB50" s="8" t="str">
        <f>TEXT(B50,"mmmm")</f>
        <v>January</v>
      </c>
      <c r="AC50" s="8" t="str">
        <f>TEXT(B50,"yyyy")</f>
        <v>2025</v>
      </c>
      <c r="AE50">
        <f t="shared" si="4"/>
        <v>28445.62</v>
      </c>
      <c r="AF50" s="11">
        <f t="shared" si="5"/>
        <v>28445.62</v>
      </c>
      <c r="AG50">
        <f t="shared" si="6"/>
        <v>7507.0299999999988</v>
      </c>
      <c r="AH50" s="11">
        <f t="shared" si="7"/>
        <v>0.26390811660986818</v>
      </c>
      <c r="AI50" s="9">
        <f t="shared" si="8"/>
        <v>0.26390811660986818</v>
      </c>
      <c r="AJ50">
        <f t="shared" si="9"/>
        <v>28445.62</v>
      </c>
      <c r="AK50">
        <f t="shared" si="10"/>
        <v>1</v>
      </c>
      <c r="AL50">
        <f t="shared" si="11"/>
        <v>0</v>
      </c>
      <c r="AM50">
        <f t="shared" si="12"/>
        <v>0</v>
      </c>
      <c r="AN50">
        <f t="shared" si="13"/>
        <v>0</v>
      </c>
      <c r="AO50">
        <f t="shared" si="14"/>
        <v>0</v>
      </c>
      <c r="AP50">
        <f t="shared" si="15"/>
        <v>0</v>
      </c>
      <c r="AQ50">
        <f t="shared" si="16"/>
        <v>0</v>
      </c>
    </row>
    <row r="51" spans="1:43">
      <c r="A51" t="s">
        <v>253</v>
      </c>
      <c r="B51" s="5">
        <v>45388</v>
      </c>
      <c r="C51" s="5">
        <v>45395</v>
      </c>
      <c r="D51" s="13">
        <f t="shared" si="0"/>
        <v>7</v>
      </c>
      <c r="E51" t="s">
        <v>254</v>
      </c>
      <c r="F51" t="s">
        <v>128</v>
      </c>
      <c r="G51" t="s">
        <v>95</v>
      </c>
      <c r="H51" t="s">
        <v>25</v>
      </c>
      <c r="I51" t="s">
        <v>136</v>
      </c>
      <c r="J51" t="s">
        <v>137</v>
      </c>
      <c r="K51" t="s">
        <v>74</v>
      </c>
      <c r="L51" t="s">
        <v>80</v>
      </c>
      <c r="M51" t="s">
        <v>255</v>
      </c>
      <c r="N51" t="s">
        <v>31</v>
      </c>
      <c r="O51">
        <v>9</v>
      </c>
      <c r="P51">
        <v>792.11</v>
      </c>
      <c r="Q51" s="11">
        <v>0.05</v>
      </c>
      <c r="R51">
        <v>6772.54</v>
      </c>
      <c r="S51">
        <v>5755.46</v>
      </c>
      <c r="T51">
        <v>1017.08</v>
      </c>
      <c r="U51" t="s">
        <v>32</v>
      </c>
      <c r="V51" t="s">
        <v>33</v>
      </c>
      <c r="X51" s="8" t="str">
        <f>IF(C51&gt;=B51,"Valid", "Invalid-Date")</f>
        <v>Valid</v>
      </c>
      <c r="Y51" s="8" t="str">
        <f t="shared" si="1"/>
        <v>Valid</v>
      </c>
      <c r="Z51" s="8" t="str">
        <f t="shared" si="2"/>
        <v>Pass</v>
      </c>
      <c r="AA51" s="8" t="str">
        <f t="shared" si="3"/>
        <v>Pass</v>
      </c>
      <c r="AB51" s="8" t="str">
        <f>TEXT(B51,"mmmm")</f>
        <v>April</v>
      </c>
      <c r="AC51" s="8" t="str">
        <f>TEXT(B51,"yyyy")</f>
        <v>2024</v>
      </c>
      <c r="AE51">
        <f t="shared" si="4"/>
        <v>7128.99</v>
      </c>
      <c r="AF51" s="11">
        <f t="shared" si="5"/>
        <v>6772.5404999999992</v>
      </c>
      <c r="AG51">
        <f t="shared" si="6"/>
        <v>1373.5299999999997</v>
      </c>
      <c r="AH51" s="11">
        <f t="shared" si="7"/>
        <v>0.19266824613304265</v>
      </c>
      <c r="AI51" s="9">
        <f t="shared" si="8"/>
        <v>0.19266824613304265</v>
      </c>
      <c r="AJ51">
        <f t="shared" si="9"/>
        <v>6772.54</v>
      </c>
      <c r="AK51">
        <f t="shared" si="10"/>
        <v>1</v>
      </c>
      <c r="AL51">
        <f t="shared" si="11"/>
        <v>0</v>
      </c>
      <c r="AM51">
        <f t="shared" si="12"/>
        <v>0</v>
      </c>
      <c r="AN51">
        <f t="shared" si="13"/>
        <v>0</v>
      </c>
      <c r="AO51">
        <f t="shared" si="14"/>
        <v>0</v>
      </c>
      <c r="AP51">
        <f t="shared" si="15"/>
        <v>0</v>
      </c>
      <c r="AQ51">
        <f t="shared" si="16"/>
        <v>0</v>
      </c>
    </row>
    <row r="52" spans="1:43">
      <c r="A52" t="s">
        <v>256</v>
      </c>
      <c r="B52" s="5">
        <v>45966</v>
      </c>
      <c r="C52" s="5">
        <v>45796</v>
      </c>
      <c r="D52" s="13">
        <f t="shared" si="0"/>
        <v>-170</v>
      </c>
      <c r="E52" t="s">
        <v>257</v>
      </c>
      <c r="F52" t="s">
        <v>132</v>
      </c>
      <c r="G52" t="s">
        <v>24</v>
      </c>
      <c r="H52" t="s">
        <v>38</v>
      </c>
      <c r="I52" t="s">
        <v>99</v>
      </c>
      <c r="J52" t="s">
        <v>100</v>
      </c>
      <c r="K52" t="s">
        <v>74</v>
      </c>
      <c r="L52" t="s">
        <v>80</v>
      </c>
      <c r="M52" t="s">
        <v>258</v>
      </c>
      <c r="N52" t="s">
        <v>59</v>
      </c>
      <c r="O52">
        <v>1</v>
      </c>
      <c r="P52">
        <v>2382.8000000000002</v>
      </c>
      <c r="Q52" s="11">
        <v>0.15</v>
      </c>
      <c r="R52">
        <v>2025.38</v>
      </c>
      <c r="S52">
        <v>1140.6500000000001</v>
      </c>
      <c r="T52">
        <v>884.73</v>
      </c>
      <c r="U52" t="s">
        <v>32</v>
      </c>
      <c r="V52" t="s">
        <v>33</v>
      </c>
      <c r="X52" s="8" t="str">
        <f>IF(C52&gt;=B52,"Valid", "Invalid-Date")</f>
        <v>Invalid-Date</v>
      </c>
      <c r="Y52" s="8" t="str">
        <f t="shared" si="1"/>
        <v>Valid</v>
      </c>
      <c r="Z52" s="8" t="str">
        <f t="shared" si="2"/>
        <v>Pass</v>
      </c>
      <c r="AA52" s="8" t="str">
        <f t="shared" si="3"/>
        <v>Pass</v>
      </c>
      <c r="AB52" s="8" t="str">
        <f>TEXT(B52,"mmmm")</f>
        <v>November</v>
      </c>
      <c r="AC52" s="8" t="str">
        <f>TEXT(B52,"yyyy")</f>
        <v>2025</v>
      </c>
      <c r="AE52">
        <f t="shared" si="4"/>
        <v>2382.8000000000002</v>
      </c>
      <c r="AF52" s="11">
        <f t="shared" si="5"/>
        <v>2025.38</v>
      </c>
      <c r="AG52">
        <f t="shared" si="6"/>
        <v>1242.1500000000001</v>
      </c>
      <c r="AH52" s="11">
        <f t="shared" si="7"/>
        <v>0.52129847238542892</v>
      </c>
      <c r="AI52" s="9">
        <f t="shared" si="8"/>
        <v>0.52129847238542892</v>
      </c>
      <c r="AJ52">
        <f t="shared" si="9"/>
        <v>2025.38</v>
      </c>
      <c r="AK52">
        <f t="shared" si="10"/>
        <v>1</v>
      </c>
      <c r="AL52">
        <f t="shared" si="11"/>
        <v>0</v>
      </c>
      <c r="AM52">
        <f t="shared" si="12"/>
        <v>0</v>
      </c>
      <c r="AN52">
        <f t="shared" si="13"/>
        <v>0</v>
      </c>
      <c r="AO52">
        <f t="shared" si="14"/>
        <v>0</v>
      </c>
      <c r="AP52">
        <f t="shared" si="15"/>
        <v>0</v>
      </c>
      <c r="AQ52">
        <f t="shared" si="16"/>
        <v>0</v>
      </c>
    </row>
    <row r="53" spans="1:43">
      <c r="A53" t="s">
        <v>259</v>
      </c>
      <c r="B53" s="5">
        <v>45406</v>
      </c>
      <c r="C53" s="5">
        <v>45411</v>
      </c>
      <c r="D53" s="13">
        <f t="shared" si="0"/>
        <v>5</v>
      </c>
      <c r="E53" t="s">
        <v>260</v>
      </c>
      <c r="F53" t="s">
        <v>62</v>
      </c>
      <c r="G53" t="s">
        <v>90</v>
      </c>
      <c r="H53" t="s">
        <v>54</v>
      </c>
      <c r="I53" t="s">
        <v>55</v>
      </c>
      <c r="J53" t="s">
        <v>56</v>
      </c>
      <c r="K53" t="s">
        <v>28</v>
      </c>
      <c r="L53" t="s">
        <v>48</v>
      </c>
      <c r="M53" t="s">
        <v>261</v>
      </c>
      <c r="N53" t="s">
        <v>59</v>
      </c>
      <c r="O53">
        <v>6</v>
      </c>
      <c r="P53">
        <v>1528.08</v>
      </c>
      <c r="Q53" s="11">
        <v>0</v>
      </c>
      <c r="R53">
        <v>9168.48</v>
      </c>
      <c r="S53">
        <v>7439.77</v>
      </c>
      <c r="T53">
        <v>1728.71</v>
      </c>
      <c r="U53" t="s">
        <v>32</v>
      </c>
      <c r="V53" t="s">
        <v>33</v>
      </c>
      <c r="X53" s="8" t="str">
        <f>IF(C53&gt;=B53,"Valid", "Invalid-Date")</f>
        <v>Valid</v>
      </c>
      <c r="Y53" s="8" t="str">
        <f t="shared" si="1"/>
        <v>Valid</v>
      </c>
      <c r="Z53" s="8" t="str">
        <f t="shared" si="2"/>
        <v>Pass</v>
      </c>
      <c r="AA53" s="8" t="str">
        <f t="shared" si="3"/>
        <v>Pass</v>
      </c>
      <c r="AB53" s="8" t="str">
        <f>TEXT(B53,"mmmm")</f>
        <v>April</v>
      </c>
      <c r="AC53" s="8" t="str">
        <f>TEXT(B53,"yyyy")</f>
        <v>2024</v>
      </c>
      <c r="AE53">
        <f t="shared" si="4"/>
        <v>9168.48</v>
      </c>
      <c r="AF53" s="11">
        <f t="shared" si="5"/>
        <v>9168.48</v>
      </c>
      <c r="AG53">
        <f t="shared" si="6"/>
        <v>1728.7099999999991</v>
      </c>
      <c r="AH53" s="11">
        <f t="shared" si="7"/>
        <v>0.18854924698532355</v>
      </c>
      <c r="AI53" s="9">
        <f t="shared" si="8"/>
        <v>0.18854924698532355</v>
      </c>
      <c r="AJ53">
        <f t="shared" si="9"/>
        <v>9168.48</v>
      </c>
      <c r="AK53">
        <f t="shared" si="10"/>
        <v>1</v>
      </c>
      <c r="AL53">
        <f t="shared" si="11"/>
        <v>0</v>
      </c>
      <c r="AM53">
        <f t="shared" si="12"/>
        <v>0</v>
      </c>
      <c r="AN53">
        <f t="shared" si="13"/>
        <v>0</v>
      </c>
      <c r="AO53">
        <f t="shared" si="14"/>
        <v>0</v>
      </c>
      <c r="AP53">
        <f t="shared" si="15"/>
        <v>0</v>
      </c>
      <c r="AQ53">
        <f t="shared" si="16"/>
        <v>0</v>
      </c>
    </row>
    <row r="54" spans="1:43">
      <c r="A54" t="s">
        <v>262</v>
      </c>
      <c r="B54" s="5">
        <v>45591</v>
      </c>
      <c r="C54" s="5">
        <v>45593</v>
      </c>
      <c r="D54" s="13">
        <f t="shared" si="0"/>
        <v>2</v>
      </c>
      <c r="E54" t="s">
        <v>263</v>
      </c>
      <c r="F54" t="s">
        <v>264</v>
      </c>
      <c r="G54" t="s">
        <v>37</v>
      </c>
      <c r="H54" t="s">
        <v>25</v>
      </c>
      <c r="I54" t="s">
        <v>26</v>
      </c>
      <c r="J54" t="s">
        <v>27</v>
      </c>
      <c r="K54" t="s">
        <v>41</v>
      </c>
      <c r="L54" t="s">
        <v>66</v>
      </c>
      <c r="M54" t="s">
        <v>265</v>
      </c>
      <c r="N54" t="s">
        <v>50</v>
      </c>
      <c r="O54">
        <v>9</v>
      </c>
      <c r="P54">
        <v>1399.63</v>
      </c>
      <c r="Q54" s="11">
        <v>0</v>
      </c>
      <c r="R54">
        <v>12596.67</v>
      </c>
      <c r="S54">
        <v>10603.29</v>
      </c>
      <c r="T54">
        <v>1993.38</v>
      </c>
      <c r="U54" t="s">
        <v>155</v>
      </c>
      <c r="V54" t="s">
        <v>68</v>
      </c>
      <c r="X54" s="8" t="str">
        <f>IF(C54&gt;=B54,"Valid", "Invalid-Date")</f>
        <v>Valid</v>
      </c>
      <c r="Y54" s="8" t="str">
        <f t="shared" si="1"/>
        <v>Valid</v>
      </c>
      <c r="Z54" s="8" t="str">
        <f t="shared" si="2"/>
        <v>Pass</v>
      </c>
      <c r="AA54" s="8" t="str">
        <f t="shared" si="3"/>
        <v>Pass</v>
      </c>
      <c r="AB54" s="8" t="str">
        <f>TEXT(B54,"mmmm")</f>
        <v>October</v>
      </c>
      <c r="AC54" s="8" t="str">
        <f>TEXT(B54,"yyyy")</f>
        <v>2024</v>
      </c>
      <c r="AE54">
        <f t="shared" si="4"/>
        <v>12596.670000000002</v>
      </c>
      <c r="AF54" s="11">
        <f t="shared" si="5"/>
        <v>12596.670000000002</v>
      </c>
      <c r="AG54">
        <f t="shared" si="6"/>
        <v>1993.380000000001</v>
      </c>
      <c r="AH54" s="11">
        <f t="shared" si="7"/>
        <v>0.15824658421630483</v>
      </c>
      <c r="AI54" s="9">
        <f t="shared" si="8"/>
        <v>0.15824658421630483</v>
      </c>
      <c r="AJ54">
        <f t="shared" si="9"/>
        <v>0</v>
      </c>
      <c r="AK54">
        <f t="shared" si="10"/>
        <v>0</v>
      </c>
      <c r="AL54">
        <f t="shared" si="11"/>
        <v>12596.67</v>
      </c>
      <c r="AM54">
        <f t="shared" si="12"/>
        <v>1</v>
      </c>
      <c r="AN54">
        <f t="shared" si="13"/>
        <v>12596.67</v>
      </c>
      <c r="AO54">
        <f t="shared" si="14"/>
        <v>1</v>
      </c>
      <c r="AP54">
        <f t="shared" si="15"/>
        <v>0</v>
      </c>
      <c r="AQ54">
        <f t="shared" si="16"/>
        <v>0</v>
      </c>
    </row>
    <row r="55" spans="1:43">
      <c r="A55" t="s">
        <v>266</v>
      </c>
      <c r="B55" s="5">
        <v>45747</v>
      </c>
      <c r="C55" s="5">
        <v>45747</v>
      </c>
      <c r="D55" s="13">
        <f t="shared" si="0"/>
        <v>0</v>
      </c>
      <c r="E55" t="s">
        <v>267</v>
      </c>
      <c r="F55" t="s">
        <v>264</v>
      </c>
      <c r="G55" t="s">
        <v>95</v>
      </c>
      <c r="H55" t="s">
        <v>63</v>
      </c>
      <c r="I55" t="s">
        <v>180</v>
      </c>
      <c r="J55" t="s">
        <v>181</v>
      </c>
      <c r="K55" t="s">
        <v>28</v>
      </c>
      <c r="L55" t="s">
        <v>124</v>
      </c>
      <c r="M55" t="s">
        <v>268</v>
      </c>
      <c r="N55" t="s">
        <v>50</v>
      </c>
      <c r="O55">
        <v>5</v>
      </c>
      <c r="P55">
        <v>1207.47</v>
      </c>
      <c r="Q55" s="11">
        <v>0.15</v>
      </c>
      <c r="R55">
        <v>5131.75</v>
      </c>
      <c r="S55">
        <v>2838.68</v>
      </c>
      <c r="T55">
        <v>2293.0700000000002</v>
      </c>
      <c r="U55" t="s">
        <v>32</v>
      </c>
      <c r="V55" t="s">
        <v>33</v>
      </c>
      <c r="X55" s="8" t="str">
        <f>IF(C55&gt;=B55,"Valid", "Invalid-Date")</f>
        <v>Valid</v>
      </c>
      <c r="Y55" s="8" t="str">
        <f t="shared" si="1"/>
        <v>Valid</v>
      </c>
      <c r="Z55" s="8" t="str">
        <f t="shared" si="2"/>
        <v>Pass</v>
      </c>
      <c r="AA55" s="8" t="str">
        <f t="shared" si="3"/>
        <v>Pass</v>
      </c>
      <c r="AB55" s="8" t="str">
        <f>TEXT(B55,"mmmm")</f>
        <v>March</v>
      </c>
      <c r="AC55" s="8" t="str">
        <f>TEXT(B55,"yyyy")</f>
        <v>2025</v>
      </c>
      <c r="AE55">
        <f t="shared" si="4"/>
        <v>6037.35</v>
      </c>
      <c r="AF55" s="11">
        <f t="shared" si="5"/>
        <v>5131.7475000000004</v>
      </c>
      <c r="AG55">
        <f t="shared" si="6"/>
        <v>3198.6700000000005</v>
      </c>
      <c r="AH55" s="11">
        <f t="shared" si="7"/>
        <v>0.52981357714891475</v>
      </c>
      <c r="AI55" s="9">
        <f t="shared" si="8"/>
        <v>0.52981357714891475</v>
      </c>
      <c r="AJ55">
        <f t="shared" si="9"/>
        <v>5131.75</v>
      </c>
      <c r="AK55">
        <f t="shared" si="10"/>
        <v>1</v>
      </c>
      <c r="AL55">
        <f t="shared" si="11"/>
        <v>0</v>
      </c>
      <c r="AM55">
        <f t="shared" si="12"/>
        <v>0</v>
      </c>
      <c r="AN55">
        <f t="shared" si="13"/>
        <v>0</v>
      </c>
      <c r="AO55">
        <f t="shared" si="14"/>
        <v>0</v>
      </c>
      <c r="AP55">
        <f t="shared" si="15"/>
        <v>0</v>
      </c>
      <c r="AQ55">
        <f t="shared" si="16"/>
        <v>0</v>
      </c>
    </row>
    <row r="56" spans="1:43">
      <c r="A56" t="s">
        <v>269</v>
      </c>
      <c r="B56" s="5">
        <v>45807</v>
      </c>
      <c r="C56" s="5">
        <v>45694</v>
      </c>
      <c r="D56" s="13">
        <f t="shared" si="0"/>
        <v>-113</v>
      </c>
      <c r="E56" t="s">
        <v>270</v>
      </c>
      <c r="F56" t="s">
        <v>53</v>
      </c>
      <c r="G56" t="s">
        <v>90</v>
      </c>
      <c r="H56" t="s">
        <v>54</v>
      </c>
      <c r="I56" t="s">
        <v>247</v>
      </c>
      <c r="J56" t="s">
        <v>248</v>
      </c>
      <c r="K56" t="s">
        <v>28</v>
      </c>
      <c r="L56" t="s">
        <v>91</v>
      </c>
      <c r="M56" t="s">
        <v>271</v>
      </c>
      <c r="N56" t="s">
        <v>44</v>
      </c>
      <c r="O56">
        <v>8</v>
      </c>
      <c r="P56">
        <v>474.37</v>
      </c>
      <c r="Q56" s="11">
        <v>0.1</v>
      </c>
      <c r="R56">
        <v>3415.46</v>
      </c>
      <c r="S56">
        <v>1993.23</v>
      </c>
      <c r="T56">
        <v>1422.23</v>
      </c>
      <c r="U56" t="s">
        <v>155</v>
      </c>
      <c r="V56" t="s">
        <v>68</v>
      </c>
      <c r="X56" s="8" t="str">
        <f>IF(C56&gt;=B56,"Valid", "Invalid-Date")</f>
        <v>Invalid-Date</v>
      </c>
      <c r="Y56" s="8" t="str">
        <f t="shared" si="1"/>
        <v>Valid</v>
      </c>
      <c r="Z56" s="8" t="str">
        <f t="shared" si="2"/>
        <v>Pass</v>
      </c>
      <c r="AA56" s="8" t="str">
        <f t="shared" si="3"/>
        <v>Pass</v>
      </c>
      <c r="AB56" s="8" t="str">
        <f>TEXT(B56,"mmmm")</f>
        <v>May</v>
      </c>
      <c r="AC56" s="8" t="str">
        <f>TEXT(B56,"yyyy")</f>
        <v>2025</v>
      </c>
      <c r="AE56">
        <f t="shared" si="4"/>
        <v>3794.96</v>
      </c>
      <c r="AF56" s="11">
        <f t="shared" si="5"/>
        <v>3415.4639999999999</v>
      </c>
      <c r="AG56">
        <f t="shared" si="6"/>
        <v>1801.73</v>
      </c>
      <c r="AH56" s="11">
        <f t="shared" si="7"/>
        <v>0.47476916752745746</v>
      </c>
      <c r="AI56" s="9">
        <f t="shared" si="8"/>
        <v>0.47476916752745746</v>
      </c>
      <c r="AJ56">
        <f t="shared" si="9"/>
        <v>0</v>
      </c>
      <c r="AK56">
        <f t="shared" si="10"/>
        <v>0</v>
      </c>
      <c r="AL56">
        <f t="shared" si="11"/>
        <v>3415.46</v>
      </c>
      <c r="AM56">
        <f t="shared" si="12"/>
        <v>1</v>
      </c>
      <c r="AN56">
        <f t="shared" si="13"/>
        <v>3415.46</v>
      </c>
      <c r="AO56">
        <f t="shared" si="14"/>
        <v>1</v>
      </c>
      <c r="AP56">
        <f t="shared" si="15"/>
        <v>0</v>
      </c>
      <c r="AQ56">
        <f t="shared" si="16"/>
        <v>0</v>
      </c>
    </row>
    <row r="57" spans="1:43">
      <c r="A57" t="s">
        <v>272</v>
      </c>
      <c r="B57" s="5">
        <v>45839</v>
      </c>
      <c r="C57" s="5">
        <v>45841</v>
      </c>
      <c r="D57" s="13">
        <f t="shared" si="0"/>
        <v>2</v>
      </c>
      <c r="E57" t="s">
        <v>273</v>
      </c>
      <c r="F57" t="s">
        <v>36</v>
      </c>
      <c r="G57" t="s">
        <v>37</v>
      </c>
      <c r="H57" t="s">
        <v>54</v>
      </c>
      <c r="I57" t="s">
        <v>84</v>
      </c>
      <c r="J57" t="s">
        <v>85</v>
      </c>
      <c r="K57" t="s">
        <v>74</v>
      </c>
      <c r="L57" t="s">
        <v>274</v>
      </c>
      <c r="M57" t="s">
        <v>275</v>
      </c>
      <c r="N57" t="s">
        <v>44</v>
      </c>
      <c r="O57">
        <v>3</v>
      </c>
      <c r="P57">
        <v>1516.24</v>
      </c>
      <c r="Q57" s="11">
        <v>0.25</v>
      </c>
      <c r="R57">
        <v>3411.54</v>
      </c>
      <c r="S57">
        <v>2803.13</v>
      </c>
      <c r="T57">
        <v>608.41</v>
      </c>
      <c r="U57" t="s">
        <v>32</v>
      </c>
      <c r="V57" t="s">
        <v>33</v>
      </c>
      <c r="X57" s="8" t="str">
        <f>IF(C57&gt;=B57,"Valid", "Invalid-Date")</f>
        <v>Valid</v>
      </c>
      <c r="Y57" s="8" t="str">
        <f t="shared" si="1"/>
        <v>Valid</v>
      </c>
      <c r="Z57" s="8" t="str">
        <f t="shared" si="2"/>
        <v>Pass</v>
      </c>
      <c r="AA57" s="8" t="str">
        <f t="shared" si="3"/>
        <v>Pass</v>
      </c>
      <c r="AB57" s="8" t="str">
        <f>TEXT(B57,"mmmm")</f>
        <v>July</v>
      </c>
      <c r="AC57" s="8" t="str">
        <f>TEXT(B57,"yyyy")</f>
        <v>2025</v>
      </c>
      <c r="AE57">
        <f t="shared" si="4"/>
        <v>4548.72</v>
      </c>
      <c r="AF57" s="11">
        <f t="shared" si="5"/>
        <v>3411.54</v>
      </c>
      <c r="AG57">
        <f t="shared" si="6"/>
        <v>1745.5900000000001</v>
      </c>
      <c r="AH57" s="11">
        <f t="shared" si="7"/>
        <v>0.3837541110466241</v>
      </c>
      <c r="AI57" s="9">
        <f t="shared" si="8"/>
        <v>0.3837541110466241</v>
      </c>
      <c r="AJ57">
        <f t="shared" si="9"/>
        <v>3411.54</v>
      </c>
      <c r="AK57">
        <f t="shared" si="10"/>
        <v>1</v>
      </c>
      <c r="AL57">
        <f t="shared" si="11"/>
        <v>0</v>
      </c>
      <c r="AM57">
        <f t="shared" si="12"/>
        <v>0</v>
      </c>
      <c r="AN57">
        <f t="shared" si="13"/>
        <v>0</v>
      </c>
      <c r="AO57">
        <f t="shared" si="14"/>
        <v>0</v>
      </c>
      <c r="AP57">
        <f t="shared" si="15"/>
        <v>0</v>
      </c>
      <c r="AQ57">
        <f t="shared" si="16"/>
        <v>0</v>
      </c>
    </row>
    <row r="58" spans="1:43">
      <c r="A58" t="s">
        <v>276</v>
      </c>
      <c r="B58" s="5">
        <v>45662</v>
      </c>
      <c r="C58" s="5">
        <v>45663</v>
      </c>
      <c r="D58" s="13">
        <f t="shared" si="0"/>
        <v>1</v>
      </c>
      <c r="E58" t="s">
        <v>277</v>
      </c>
      <c r="F58" t="s">
        <v>23</v>
      </c>
      <c r="G58" t="s">
        <v>24</v>
      </c>
      <c r="H58" t="s">
        <v>54</v>
      </c>
      <c r="I58" t="s">
        <v>175</v>
      </c>
      <c r="J58" t="s">
        <v>176</v>
      </c>
      <c r="K58" t="s">
        <v>28</v>
      </c>
      <c r="L58" t="s">
        <v>153</v>
      </c>
      <c r="M58" t="s">
        <v>278</v>
      </c>
      <c r="N58" t="s">
        <v>31</v>
      </c>
      <c r="O58">
        <v>3</v>
      </c>
      <c r="P58">
        <v>3155.61</v>
      </c>
      <c r="Q58" s="11">
        <v>0</v>
      </c>
      <c r="R58">
        <v>9466.83</v>
      </c>
      <c r="S58">
        <v>6557.83</v>
      </c>
      <c r="T58">
        <v>2909</v>
      </c>
      <c r="U58" t="s">
        <v>102</v>
      </c>
      <c r="V58" t="s">
        <v>68</v>
      </c>
      <c r="X58" s="8" t="str">
        <f>IF(C58&gt;=B58,"Valid", "Invalid-Date")</f>
        <v>Valid</v>
      </c>
      <c r="Y58" s="8" t="str">
        <f t="shared" si="1"/>
        <v>Valid</v>
      </c>
      <c r="Z58" s="8" t="str">
        <f t="shared" si="2"/>
        <v>Pass</v>
      </c>
      <c r="AA58" s="8" t="str">
        <f t="shared" si="3"/>
        <v>Pass</v>
      </c>
      <c r="AB58" s="8" t="str">
        <f>TEXT(B58,"mmmm")</f>
        <v>January</v>
      </c>
      <c r="AC58" s="8" t="str">
        <f>TEXT(B58,"yyyy")</f>
        <v>2025</v>
      </c>
      <c r="AE58">
        <f t="shared" si="4"/>
        <v>9466.83</v>
      </c>
      <c r="AF58" s="11">
        <f t="shared" si="5"/>
        <v>9466.83</v>
      </c>
      <c r="AG58">
        <f t="shared" si="6"/>
        <v>2909</v>
      </c>
      <c r="AH58" s="11">
        <f t="shared" si="7"/>
        <v>0.30728343067320318</v>
      </c>
      <c r="AI58" s="9">
        <f t="shared" si="8"/>
        <v>0.30728343067320318</v>
      </c>
      <c r="AJ58">
        <f t="shared" si="9"/>
        <v>0</v>
      </c>
      <c r="AK58">
        <f t="shared" si="10"/>
        <v>0</v>
      </c>
      <c r="AL58">
        <f t="shared" si="11"/>
        <v>9466.83</v>
      </c>
      <c r="AM58">
        <f t="shared" si="12"/>
        <v>1</v>
      </c>
      <c r="AN58">
        <f t="shared" si="13"/>
        <v>0</v>
      </c>
      <c r="AO58">
        <f t="shared" si="14"/>
        <v>0</v>
      </c>
      <c r="AP58">
        <f t="shared" si="15"/>
        <v>0</v>
      </c>
      <c r="AQ58">
        <f t="shared" si="16"/>
        <v>0</v>
      </c>
    </row>
    <row r="59" spans="1:43">
      <c r="A59" t="s">
        <v>279</v>
      </c>
      <c r="B59" s="5">
        <v>45329</v>
      </c>
      <c r="C59" s="5">
        <v>45337</v>
      </c>
      <c r="D59" s="13">
        <f t="shared" si="0"/>
        <v>8</v>
      </c>
      <c r="E59" t="s">
        <v>280</v>
      </c>
      <c r="F59" t="s">
        <v>114</v>
      </c>
      <c r="G59" t="s">
        <v>24</v>
      </c>
      <c r="H59" t="s">
        <v>63</v>
      </c>
      <c r="I59" t="s">
        <v>190</v>
      </c>
      <c r="J59" t="s">
        <v>191</v>
      </c>
      <c r="K59" t="s">
        <v>41</v>
      </c>
      <c r="L59" t="s">
        <v>66</v>
      </c>
      <c r="M59" t="s">
        <v>281</v>
      </c>
      <c r="N59" t="s">
        <v>44</v>
      </c>
      <c r="O59">
        <v>5</v>
      </c>
      <c r="P59">
        <v>255.87</v>
      </c>
      <c r="Q59" s="11">
        <v>0</v>
      </c>
      <c r="R59">
        <v>1279.3499999999999</v>
      </c>
      <c r="S59">
        <v>1091.54</v>
      </c>
      <c r="T59">
        <v>187.81</v>
      </c>
      <c r="U59" t="s">
        <v>32</v>
      </c>
      <c r="V59" t="s">
        <v>33</v>
      </c>
      <c r="X59" s="8" t="str">
        <f>IF(C59&gt;=B59,"Valid", "Invalid-Date")</f>
        <v>Valid</v>
      </c>
      <c r="Y59" s="8" t="str">
        <f t="shared" si="1"/>
        <v>Valid</v>
      </c>
      <c r="Z59" s="8" t="str">
        <f t="shared" si="2"/>
        <v>Pass</v>
      </c>
      <c r="AA59" s="8" t="str">
        <f t="shared" si="3"/>
        <v>Pass</v>
      </c>
      <c r="AB59" s="8" t="str">
        <f>TEXT(B59,"mmmm")</f>
        <v>February</v>
      </c>
      <c r="AC59" s="8" t="str">
        <f>TEXT(B59,"yyyy")</f>
        <v>2024</v>
      </c>
      <c r="AE59">
        <f t="shared" si="4"/>
        <v>1279.3499999999999</v>
      </c>
      <c r="AF59" s="11">
        <f t="shared" si="5"/>
        <v>1279.3499999999999</v>
      </c>
      <c r="AG59">
        <f t="shared" si="6"/>
        <v>187.80999999999995</v>
      </c>
      <c r="AH59" s="11">
        <f t="shared" si="7"/>
        <v>0.14680110993864068</v>
      </c>
      <c r="AI59" s="9">
        <f t="shared" si="8"/>
        <v>0.14680110993864068</v>
      </c>
      <c r="AJ59">
        <f t="shared" si="9"/>
        <v>1279.3499999999999</v>
      </c>
      <c r="AK59">
        <f t="shared" si="10"/>
        <v>1</v>
      </c>
      <c r="AL59">
        <f t="shared" si="11"/>
        <v>0</v>
      </c>
      <c r="AM59">
        <f t="shared" si="12"/>
        <v>0</v>
      </c>
      <c r="AN59">
        <f t="shared" si="13"/>
        <v>0</v>
      </c>
      <c r="AO59">
        <f t="shared" si="14"/>
        <v>0</v>
      </c>
      <c r="AP59">
        <f t="shared" si="15"/>
        <v>0</v>
      </c>
      <c r="AQ59">
        <f t="shared" si="16"/>
        <v>0</v>
      </c>
    </row>
    <row r="60" spans="1:43">
      <c r="A60" t="s">
        <v>282</v>
      </c>
      <c r="B60" s="5">
        <v>45536</v>
      </c>
      <c r="C60" s="5">
        <v>45482</v>
      </c>
      <c r="D60" s="13">
        <f t="shared" si="0"/>
        <v>-54</v>
      </c>
      <c r="E60" t="s">
        <v>283</v>
      </c>
      <c r="F60" t="s">
        <v>47</v>
      </c>
      <c r="G60" t="s">
        <v>95</v>
      </c>
      <c r="H60" t="s">
        <v>25</v>
      </c>
      <c r="I60" t="s">
        <v>26</v>
      </c>
      <c r="J60" t="s">
        <v>27</v>
      </c>
      <c r="K60" t="s">
        <v>28</v>
      </c>
      <c r="L60" t="s">
        <v>124</v>
      </c>
      <c r="M60" t="s">
        <v>284</v>
      </c>
      <c r="N60" t="s">
        <v>2785</v>
      </c>
      <c r="O60">
        <v>9</v>
      </c>
      <c r="P60">
        <v>1389.48</v>
      </c>
      <c r="Q60" s="11">
        <v>0.1</v>
      </c>
      <c r="R60">
        <v>11254.79</v>
      </c>
      <c r="S60">
        <v>6578.06</v>
      </c>
      <c r="T60">
        <v>4676.7299999999996</v>
      </c>
      <c r="U60" t="s">
        <v>111</v>
      </c>
      <c r="V60" t="s">
        <v>103</v>
      </c>
      <c r="X60" s="8" t="str">
        <f>IF(C60&gt;=B60,"Valid", "Invalid-Date")</f>
        <v>Invalid-Date</v>
      </c>
      <c r="Y60" s="8" t="str">
        <f t="shared" si="1"/>
        <v>Valid</v>
      </c>
      <c r="Z60" s="8" t="str">
        <f t="shared" si="2"/>
        <v>Flagged</v>
      </c>
      <c r="AA60" s="8" t="str">
        <f t="shared" si="3"/>
        <v>Pass</v>
      </c>
      <c r="AB60" s="8" t="str">
        <f>TEXT(B60,"mmmm")</f>
        <v>September</v>
      </c>
      <c r="AC60" s="8" t="str">
        <f>TEXT(B60,"yyyy")</f>
        <v>2024</v>
      </c>
      <c r="AE60">
        <f t="shared" si="4"/>
        <v>12505.32</v>
      </c>
      <c r="AF60" s="11">
        <f t="shared" si="5"/>
        <v>11254.788</v>
      </c>
      <c r="AG60">
        <f t="shared" si="6"/>
        <v>5927.2599999999993</v>
      </c>
      <c r="AH60" s="11">
        <f t="shared" si="7"/>
        <v>0.47397907450589027</v>
      </c>
      <c r="AI60" s="9">
        <f t="shared" si="8"/>
        <v>0.47397907450589027</v>
      </c>
      <c r="AJ60">
        <f t="shared" si="9"/>
        <v>0</v>
      </c>
      <c r="AK60">
        <f t="shared" si="10"/>
        <v>0</v>
      </c>
      <c r="AL60">
        <f t="shared" si="11"/>
        <v>0</v>
      </c>
      <c r="AM60">
        <f t="shared" si="12"/>
        <v>0</v>
      </c>
      <c r="AN60">
        <f t="shared" si="13"/>
        <v>0</v>
      </c>
      <c r="AO60">
        <f t="shared" si="14"/>
        <v>0</v>
      </c>
      <c r="AP60">
        <f t="shared" si="15"/>
        <v>11254.79</v>
      </c>
      <c r="AQ60">
        <f t="shared" si="16"/>
        <v>1</v>
      </c>
    </row>
    <row r="61" spans="1:43">
      <c r="A61" t="s">
        <v>285</v>
      </c>
      <c r="B61" s="5">
        <v>45493</v>
      </c>
      <c r="C61" s="5">
        <v>45498</v>
      </c>
      <c r="D61" s="13">
        <f t="shared" si="0"/>
        <v>5</v>
      </c>
      <c r="E61" t="s">
        <v>286</v>
      </c>
      <c r="F61" t="s">
        <v>114</v>
      </c>
      <c r="G61" t="s">
        <v>90</v>
      </c>
      <c r="H61" t="s">
        <v>38</v>
      </c>
      <c r="I61" t="s">
        <v>166</v>
      </c>
      <c r="J61" t="s">
        <v>167</v>
      </c>
      <c r="K61" t="s">
        <v>28</v>
      </c>
      <c r="L61" t="s">
        <v>91</v>
      </c>
      <c r="M61" t="s">
        <v>287</v>
      </c>
      <c r="N61" t="s">
        <v>44</v>
      </c>
      <c r="O61">
        <v>5</v>
      </c>
      <c r="P61">
        <v>4133.8500000000004</v>
      </c>
      <c r="Q61" s="11">
        <v>0.2</v>
      </c>
      <c r="R61">
        <v>16535.400000000001</v>
      </c>
      <c r="S61">
        <v>12990.21</v>
      </c>
      <c r="T61">
        <v>3545.19</v>
      </c>
      <c r="U61" t="s">
        <v>32</v>
      </c>
      <c r="V61" t="s">
        <v>68</v>
      </c>
      <c r="X61" s="8" t="str">
        <f>IF(C61&gt;=B61,"Valid", "Invalid-Date")</f>
        <v>Valid</v>
      </c>
      <c r="Y61" s="8" t="str">
        <f t="shared" si="1"/>
        <v>Valid</v>
      </c>
      <c r="Z61" s="8" t="str">
        <f t="shared" si="2"/>
        <v>Pass</v>
      </c>
      <c r="AA61" s="8" t="str">
        <f t="shared" si="3"/>
        <v>Pass</v>
      </c>
      <c r="AB61" s="8" t="str">
        <f>TEXT(B61,"mmmm")</f>
        <v>July</v>
      </c>
      <c r="AC61" s="8" t="str">
        <f>TEXT(B61,"yyyy")</f>
        <v>2024</v>
      </c>
      <c r="AE61">
        <f t="shared" si="4"/>
        <v>20669.25</v>
      </c>
      <c r="AF61" s="11">
        <f t="shared" si="5"/>
        <v>16535.400000000001</v>
      </c>
      <c r="AG61">
        <f t="shared" si="6"/>
        <v>7679.0400000000009</v>
      </c>
      <c r="AH61" s="11">
        <f t="shared" si="7"/>
        <v>0.37152001161145182</v>
      </c>
      <c r="AI61" s="9">
        <f t="shared" si="8"/>
        <v>0.37152001161145182</v>
      </c>
      <c r="AJ61">
        <f t="shared" si="9"/>
        <v>0</v>
      </c>
      <c r="AK61">
        <f t="shared" si="10"/>
        <v>0</v>
      </c>
      <c r="AL61">
        <f t="shared" si="11"/>
        <v>16535.400000000001</v>
      </c>
      <c r="AM61">
        <f t="shared" si="12"/>
        <v>1</v>
      </c>
      <c r="AN61">
        <f t="shared" si="13"/>
        <v>0</v>
      </c>
      <c r="AO61">
        <f t="shared" si="14"/>
        <v>0</v>
      </c>
      <c r="AP61">
        <f t="shared" si="15"/>
        <v>0</v>
      </c>
      <c r="AQ61">
        <f t="shared" si="16"/>
        <v>0</v>
      </c>
    </row>
    <row r="62" spans="1:43">
      <c r="A62" t="s">
        <v>288</v>
      </c>
      <c r="B62" s="5">
        <v>45486</v>
      </c>
      <c r="C62" s="5">
        <v>45492</v>
      </c>
      <c r="D62" s="13">
        <f t="shared" si="0"/>
        <v>6</v>
      </c>
      <c r="E62" t="s">
        <v>289</v>
      </c>
      <c r="F62" t="s">
        <v>62</v>
      </c>
      <c r="G62" t="s">
        <v>90</v>
      </c>
      <c r="H62" t="s">
        <v>38</v>
      </c>
      <c r="I62" t="s">
        <v>166</v>
      </c>
      <c r="J62" t="s">
        <v>167</v>
      </c>
      <c r="K62" t="s">
        <v>28</v>
      </c>
      <c r="L62" t="s">
        <v>91</v>
      </c>
      <c r="M62" t="s">
        <v>290</v>
      </c>
      <c r="N62" t="s">
        <v>44</v>
      </c>
      <c r="O62">
        <v>3</v>
      </c>
      <c r="P62">
        <v>275.76</v>
      </c>
      <c r="Q62" s="11">
        <v>0.2</v>
      </c>
      <c r="R62">
        <v>661.82</v>
      </c>
      <c r="S62">
        <v>481.47</v>
      </c>
      <c r="T62">
        <v>180.35</v>
      </c>
      <c r="U62" t="s">
        <v>102</v>
      </c>
      <c r="V62" t="s">
        <v>68</v>
      </c>
      <c r="X62" s="8" t="str">
        <f>IF(C62&gt;=B62,"Valid", "Invalid-Date")</f>
        <v>Valid</v>
      </c>
      <c r="Y62" s="8" t="str">
        <f t="shared" si="1"/>
        <v>Valid</v>
      </c>
      <c r="Z62" s="8" t="str">
        <f t="shared" si="2"/>
        <v>Pass</v>
      </c>
      <c r="AA62" s="8" t="str">
        <f t="shared" si="3"/>
        <v>Pass</v>
      </c>
      <c r="AB62" s="8" t="str">
        <f>TEXT(B62,"mmmm")</f>
        <v>July</v>
      </c>
      <c r="AC62" s="8" t="str">
        <f>TEXT(B62,"yyyy")</f>
        <v>2024</v>
      </c>
      <c r="AE62">
        <f t="shared" si="4"/>
        <v>827.28</v>
      </c>
      <c r="AF62" s="11">
        <f t="shared" si="5"/>
        <v>661.82400000000007</v>
      </c>
      <c r="AG62">
        <f t="shared" si="6"/>
        <v>345.80999999999995</v>
      </c>
      <c r="AH62" s="11">
        <f t="shared" si="7"/>
        <v>0.4180084131128517</v>
      </c>
      <c r="AI62" s="9">
        <f t="shared" si="8"/>
        <v>0.4180084131128517</v>
      </c>
      <c r="AJ62">
        <f t="shared" si="9"/>
        <v>0</v>
      </c>
      <c r="AK62">
        <f t="shared" si="10"/>
        <v>0</v>
      </c>
      <c r="AL62">
        <f t="shared" si="11"/>
        <v>661.82</v>
      </c>
      <c r="AM62">
        <f t="shared" si="12"/>
        <v>1</v>
      </c>
      <c r="AN62">
        <f t="shared" si="13"/>
        <v>0</v>
      </c>
      <c r="AO62">
        <f t="shared" si="14"/>
        <v>0</v>
      </c>
      <c r="AP62">
        <f t="shared" si="15"/>
        <v>0</v>
      </c>
      <c r="AQ62">
        <f t="shared" si="16"/>
        <v>0</v>
      </c>
    </row>
    <row r="63" spans="1:43">
      <c r="A63" t="s">
        <v>291</v>
      </c>
      <c r="B63" s="5">
        <v>45398</v>
      </c>
      <c r="C63" s="5">
        <v>45398</v>
      </c>
      <c r="D63" s="13">
        <f t="shared" si="0"/>
        <v>0</v>
      </c>
      <c r="E63" t="s">
        <v>292</v>
      </c>
      <c r="F63" t="s">
        <v>71</v>
      </c>
      <c r="G63" t="s">
        <v>95</v>
      </c>
      <c r="H63" t="s">
        <v>38</v>
      </c>
      <c r="I63" t="s">
        <v>145</v>
      </c>
      <c r="J63" t="s">
        <v>146</v>
      </c>
      <c r="K63" t="s">
        <v>41</v>
      </c>
      <c r="L63" t="s">
        <v>158</v>
      </c>
      <c r="M63" t="s">
        <v>293</v>
      </c>
      <c r="N63" t="s">
        <v>59</v>
      </c>
      <c r="O63">
        <v>1</v>
      </c>
      <c r="P63">
        <v>949.59</v>
      </c>
      <c r="Q63" s="11">
        <v>0</v>
      </c>
      <c r="R63">
        <v>949.59</v>
      </c>
      <c r="S63">
        <v>751.25</v>
      </c>
      <c r="T63">
        <v>198.34</v>
      </c>
      <c r="U63" t="s">
        <v>32</v>
      </c>
      <c r="V63" t="s">
        <v>33</v>
      </c>
      <c r="X63" s="8" t="str">
        <f>IF(C63&gt;=B63,"Valid", "Invalid-Date")</f>
        <v>Valid</v>
      </c>
      <c r="Y63" s="8" t="str">
        <f t="shared" si="1"/>
        <v>Valid</v>
      </c>
      <c r="Z63" s="8" t="str">
        <f t="shared" si="2"/>
        <v>Pass</v>
      </c>
      <c r="AA63" s="8" t="str">
        <f t="shared" si="3"/>
        <v>Pass</v>
      </c>
      <c r="AB63" s="8" t="str">
        <f>TEXT(B63,"mmmm")</f>
        <v>April</v>
      </c>
      <c r="AC63" s="8" t="str">
        <f>TEXT(B63,"yyyy")</f>
        <v>2024</v>
      </c>
      <c r="AE63">
        <f t="shared" si="4"/>
        <v>949.59</v>
      </c>
      <c r="AF63" s="11">
        <f t="shared" si="5"/>
        <v>949.59</v>
      </c>
      <c r="AG63">
        <f t="shared" si="6"/>
        <v>198.34000000000003</v>
      </c>
      <c r="AH63" s="11">
        <f t="shared" si="7"/>
        <v>0.20886909087079689</v>
      </c>
      <c r="AI63" s="9">
        <f t="shared" si="8"/>
        <v>0.20886909087079689</v>
      </c>
      <c r="AJ63">
        <f t="shared" si="9"/>
        <v>949.59</v>
      </c>
      <c r="AK63">
        <f t="shared" si="10"/>
        <v>1</v>
      </c>
      <c r="AL63">
        <f t="shared" si="11"/>
        <v>0</v>
      </c>
      <c r="AM63">
        <f t="shared" si="12"/>
        <v>0</v>
      </c>
      <c r="AN63">
        <f t="shared" si="13"/>
        <v>0</v>
      </c>
      <c r="AO63">
        <f t="shared" si="14"/>
        <v>0</v>
      </c>
      <c r="AP63">
        <f t="shared" si="15"/>
        <v>0</v>
      </c>
      <c r="AQ63">
        <f t="shared" si="16"/>
        <v>0</v>
      </c>
    </row>
    <row r="64" spans="1:43">
      <c r="A64" t="s">
        <v>294</v>
      </c>
      <c r="B64" s="5">
        <v>45595</v>
      </c>
      <c r="C64" s="5">
        <v>45598</v>
      </c>
      <c r="D64" s="13">
        <f t="shared" si="0"/>
        <v>3</v>
      </c>
      <c r="E64" t="s">
        <v>295</v>
      </c>
      <c r="F64" t="s">
        <v>132</v>
      </c>
      <c r="G64" t="s">
        <v>95</v>
      </c>
      <c r="H64" t="s">
        <v>25</v>
      </c>
      <c r="I64" t="s">
        <v>26</v>
      </c>
      <c r="J64" t="s">
        <v>27</v>
      </c>
      <c r="K64" t="s">
        <v>74</v>
      </c>
      <c r="L64" t="s">
        <v>171</v>
      </c>
      <c r="M64" t="s">
        <v>296</v>
      </c>
      <c r="N64" t="s">
        <v>59</v>
      </c>
      <c r="O64">
        <v>9</v>
      </c>
      <c r="P64">
        <v>3042.29</v>
      </c>
      <c r="Q64" s="11">
        <v>0.2</v>
      </c>
      <c r="R64">
        <v>21904.49</v>
      </c>
      <c r="S64">
        <v>13570.55</v>
      </c>
      <c r="T64">
        <v>8333.94</v>
      </c>
      <c r="U64" t="s">
        <v>32</v>
      </c>
      <c r="V64" t="s">
        <v>33</v>
      </c>
      <c r="X64" s="8" t="str">
        <f>IF(C64&gt;=B64,"Valid", "Invalid-Date")</f>
        <v>Valid</v>
      </c>
      <c r="Y64" s="8" t="str">
        <f t="shared" si="1"/>
        <v>Valid</v>
      </c>
      <c r="Z64" s="8" t="str">
        <f t="shared" si="2"/>
        <v>Pass</v>
      </c>
      <c r="AA64" s="8" t="str">
        <f t="shared" si="3"/>
        <v>Pass</v>
      </c>
      <c r="AB64" s="8" t="str">
        <f>TEXT(B64,"mmmm")</f>
        <v>October</v>
      </c>
      <c r="AC64" s="8" t="str">
        <f>TEXT(B64,"yyyy")</f>
        <v>2024</v>
      </c>
      <c r="AE64">
        <f t="shared" si="4"/>
        <v>27380.61</v>
      </c>
      <c r="AF64" s="11">
        <f t="shared" si="5"/>
        <v>21904.488000000001</v>
      </c>
      <c r="AG64">
        <f t="shared" si="6"/>
        <v>13810.060000000001</v>
      </c>
      <c r="AH64" s="11">
        <f t="shared" si="7"/>
        <v>0.50437371556002586</v>
      </c>
      <c r="AI64" s="9">
        <f t="shared" si="8"/>
        <v>0.50437371556002586</v>
      </c>
      <c r="AJ64">
        <f t="shared" si="9"/>
        <v>21904.49</v>
      </c>
      <c r="AK64">
        <f t="shared" si="10"/>
        <v>1</v>
      </c>
      <c r="AL64">
        <f t="shared" si="11"/>
        <v>0</v>
      </c>
      <c r="AM64">
        <f t="shared" si="12"/>
        <v>0</v>
      </c>
      <c r="AN64">
        <f t="shared" si="13"/>
        <v>0</v>
      </c>
      <c r="AO64">
        <f t="shared" si="14"/>
        <v>0</v>
      </c>
      <c r="AP64">
        <f t="shared" si="15"/>
        <v>0</v>
      </c>
      <c r="AQ64">
        <f t="shared" si="16"/>
        <v>0</v>
      </c>
    </row>
    <row r="65" spans="1:43">
      <c r="A65" t="s">
        <v>297</v>
      </c>
      <c r="B65" s="5">
        <v>45316</v>
      </c>
      <c r="C65" s="5">
        <v>45323</v>
      </c>
      <c r="D65" s="13">
        <f t="shared" si="0"/>
        <v>7</v>
      </c>
      <c r="E65" t="s">
        <v>298</v>
      </c>
      <c r="F65" t="s">
        <v>132</v>
      </c>
      <c r="G65" t="s">
        <v>95</v>
      </c>
      <c r="H65" t="s">
        <v>25</v>
      </c>
      <c r="I65" t="s">
        <v>236</v>
      </c>
      <c r="J65" t="s">
        <v>237</v>
      </c>
      <c r="K65" t="s">
        <v>28</v>
      </c>
      <c r="L65" t="s">
        <v>153</v>
      </c>
      <c r="M65" t="s">
        <v>299</v>
      </c>
      <c r="N65" t="s">
        <v>44</v>
      </c>
      <c r="O65">
        <v>2</v>
      </c>
      <c r="P65">
        <v>2832.77</v>
      </c>
      <c r="Q65" s="11">
        <v>0.15</v>
      </c>
      <c r="R65">
        <v>4815.71</v>
      </c>
      <c r="S65">
        <v>3027.75</v>
      </c>
      <c r="T65">
        <v>1917.47</v>
      </c>
      <c r="U65" t="s">
        <v>32</v>
      </c>
      <c r="V65" t="s">
        <v>33</v>
      </c>
      <c r="X65" s="8" t="str">
        <f>IF(C65&gt;=B65,"Valid", "Invalid-Date")</f>
        <v>Valid</v>
      </c>
      <c r="Y65" s="8" t="str">
        <f t="shared" si="1"/>
        <v>Valid</v>
      </c>
      <c r="Z65" s="8" t="str">
        <f t="shared" si="2"/>
        <v>Pass</v>
      </c>
      <c r="AA65" s="8" t="str">
        <f t="shared" si="3"/>
        <v>Pass</v>
      </c>
      <c r="AB65" s="8" t="str">
        <f>TEXT(B65,"mmmm")</f>
        <v>January</v>
      </c>
      <c r="AC65" s="8" t="str">
        <f>TEXT(B65,"yyyy")</f>
        <v>2024</v>
      </c>
      <c r="AE65">
        <f t="shared" si="4"/>
        <v>5665.54</v>
      </c>
      <c r="AF65" s="11">
        <f t="shared" si="5"/>
        <v>4815.7089999999998</v>
      </c>
      <c r="AG65">
        <f t="shared" si="6"/>
        <v>2637.79</v>
      </c>
      <c r="AH65" s="11">
        <f t="shared" si="7"/>
        <v>0.46558492217864494</v>
      </c>
      <c r="AI65" s="9">
        <f t="shared" si="8"/>
        <v>0.46558492217864494</v>
      </c>
      <c r="AJ65">
        <f t="shared" si="9"/>
        <v>4815.71</v>
      </c>
      <c r="AK65">
        <f t="shared" si="10"/>
        <v>1</v>
      </c>
      <c r="AL65">
        <f t="shared" si="11"/>
        <v>0</v>
      </c>
      <c r="AM65">
        <f t="shared" si="12"/>
        <v>0</v>
      </c>
      <c r="AN65">
        <f t="shared" si="13"/>
        <v>0</v>
      </c>
      <c r="AO65">
        <f t="shared" si="14"/>
        <v>0</v>
      </c>
      <c r="AP65">
        <f t="shared" si="15"/>
        <v>0</v>
      </c>
      <c r="AQ65">
        <f t="shared" si="16"/>
        <v>0</v>
      </c>
    </row>
    <row r="66" spans="1:43">
      <c r="A66" t="s">
        <v>300</v>
      </c>
      <c r="B66" s="5">
        <v>45649</v>
      </c>
      <c r="C66" s="5">
        <v>45655</v>
      </c>
      <c r="D66" s="13">
        <f t="shared" si="0"/>
        <v>6</v>
      </c>
      <c r="E66" t="s">
        <v>301</v>
      </c>
      <c r="F66" t="s">
        <v>128</v>
      </c>
      <c r="G66" t="s">
        <v>90</v>
      </c>
      <c r="H66" t="s">
        <v>38</v>
      </c>
      <c r="I66" t="s">
        <v>228</v>
      </c>
      <c r="J66" t="s">
        <v>229</v>
      </c>
      <c r="K66" t="s">
        <v>28</v>
      </c>
      <c r="L66" t="s">
        <v>29</v>
      </c>
      <c r="M66" t="s">
        <v>302</v>
      </c>
      <c r="N66" t="s">
        <v>50</v>
      </c>
      <c r="O66">
        <v>7</v>
      </c>
      <c r="P66">
        <v>447.84</v>
      </c>
      <c r="Q66" s="11">
        <v>0</v>
      </c>
      <c r="R66">
        <v>3134.88</v>
      </c>
      <c r="S66">
        <v>2367.63</v>
      </c>
      <c r="T66">
        <v>767.25</v>
      </c>
      <c r="U66" t="s">
        <v>102</v>
      </c>
      <c r="V66" t="s">
        <v>103</v>
      </c>
      <c r="X66" s="8" t="str">
        <f>IF(C66&gt;=B66,"Valid", "Invalid-Date")</f>
        <v>Valid</v>
      </c>
      <c r="Y66" s="8" t="str">
        <f t="shared" si="1"/>
        <v>Valid</v>
      </c>
      <c r="Z66" s="8" t="str">
        <f t="shared" si="2"/>
        <v>Pass</v>
      </c>
      <c r="AA66" s="8" t="str">
        <f t="shared" si="3"/>
        <v>Pass</v>
      </c>
      <c r="AB66" s="8" t="str">
        <f>TEXT(B66,"mmmm")</f>
        <v>December</v>
      </c>
      <c r="AC66" s="8" t="str">
        <f>TEXT(B66,"yyyy")</f>
        <v>2024</v>
      </c>
      <c r="AE66">
        <f t="shared" si="4"/>
        <v>3134.8799999999997</v>
      </c>
      <c r="AF66" s="11">
        <f t="shared" si="5"/>
        <v>3134.8799999999997</v>
      </c>
      <c r="AG66">
        <f t="shared" si="6"/>
        <v>767.24999999999955</v>
      </c>
      <c r="AH66" s="11">
        <f t="shared" si="7"/>
        <v>0.24474621038125849</v>
      </c>
      <c r="AI66" s="9">
        <f t="shared" si="8"/>
        <v>0.24474621038125849</v>
      </c>
      <c r="AJ66">
        <f t="shared" si="9"/>
        <v>0</v>
      </c>
      <c r="AK66">
        <f t="shared" si="10"/>
        <v>0</v>
      </c>
      <c r="AL66">
        <f t="shared" si="11"/>
        <v>0</v>
      </c>
      <c r="AM66">
        <f t="shared" si="12"/>
        <v>0</v>
      </c>
      <c r="AN66">
        <f t="shared" si="13"/>
        <v>0</v>
      </c>
      <c r="AO66">
        <f t="shared" si="14"/>
        <v>0</v>
      </c>
      <c r="AP66">
        <f t="shared" si="15"/>
        <v>3134.88</v>
      </c>
      <c r="AQ66">
        <f t="shared" si="16"/>
        <v>1</v>
      </c>
    </row>
    <row r="67" spans="1:43">
      <c r="A67" t="s">
        <v>303</v>
      </c>
      <c r="B67" s="5">
        <v>45404</v>
      </c>
      <c r="C67" s="5">
        <v>45409</v>
      </c>
      <c r="D67" s="13">
        <f t="shared" ref="D67:D130" si="17">C67-B67</f>
        <v>5</v>
      </c>
      <c r="E67" t="s">
        <v>304</v>
      </c>
      <c r="F67" t="s">
        <v>36</v>
      </c>
      <c r="G67" t="s">
        <v>95</v>
      </c>
      <c r="H67" t="s">
        <v>63</v>
      </c>
      <c r="I67" t="s">
        <v>64</v>
      </c>
      <c r="J67" t="s">
        <v>65</v>
      </c>
      <c r="K67" t="s">
        <v>28</v>
      </c>
      <c r="L67" t="s">
        <v>29</v>
      </c>
      <c r="M67" t="s">
        <v>305</v>
      </c>
      <c r="N67" t="s">
        <v>31</v>
      </c>
      <c r="O67">
        <v>1</v>
      </c>
      <c r="P67">
        <v>4280.1899999999996</v>
      </c>
      <c r="Q67" s="11">
        <v>0.05</v>
      </c>
      <c r="R67">
        <v>4066.18</v>
      </c>
      <c r="S67">
        <v>2628.92</v>
      </c>
      <c r="T67">
        <v>1437.26</v>
      </c>
      <c r="U67" t="s">
        <v>32</v>
      </c>
      <c r="V67" t="s">
        <v>33</v>
      </c>
      <c r="X67" s="8" t="str">
        <f>IF(C67&gt;=B67,"Valid", "Invalid-Date")</f>
        <v>Valid</v>
      </c>
      <c r="Y67" s="8" t="str">
        <f t="shared" ref="Y67:Y130" si="18">IF(OR(Q67&lt;0, Q67&gt;0.5), "Invalid-Discount", "Valid")</f>
        <v>Valid</v>
      </c>
      <c r="Z67" s="8" t="str">
        <f t="shared" ref="Z67:Z130" si="19">IF(N67="Unknown","Flagged","Pass")</f>
        <v>Pass</v>
      </c>
      <c r="AA67" s="8" t="str">
        <f t="shared" ref="AA67:AA130" si="20">IF(H67="Unknown","Flagged","Pass")</f>
        <v>Pass</v>
      </c>
      <c r="AB67" s="8" t="str">
        <f>TEXT(B67,"mmmm")</f>
        <v>April</v>
      </c>
      <c r="AC67" s="8" t="str">
        <f>TEXT(B67,"yyyy")</f>
        <v>2024</v>
      </c>
      <c r="AE67">
        <f t="shared" ref="AE67:AE130" si="21">O67*P67</f>
        <v>4280.1899999999996</v>
      </c>
      <c r="AF67" s="11">
        <f t="shared" ref="AF67:AF130" si="22">AE67*(1-Q67)</f>
        <v>4066.1804999999995</v>
      </c>
      <c r="AG67">
        <f t="shared" ref="AG67:AG130" si="23">AE67-S67</f>
        <v>1651.2699999999995</v>
      </c>
      <c r="AH67" s="11">
        <f t="shared" ref="AH67:AH130" si="24">AG67/AE67</f>
        <v>0.38579362131120343</v>
      </c>
      <c r="AI67" s="9">
        <f t="shared" ref="AI67:AI130" si="25">AG67/AE67</f>
        <v>0.38579362131120343</v>
      </c>
      <c r="AJ67">
        <f t="shared" ref="AJ67:AJ130" si="26">SUMIFS(R67, V67, "Completed", U67, "Paid")</f>
        <v>4066.18</v>
      </c>
      <c r="AK67">
        <f t="shared" ref="AK67:AK130" si="27">COUNTIFS(V67, "Completed", U67, "Paid")</f>
        <v>1</v>
      </c>
      <c r="AL67">
        <f t="shared" ref="AL67:AL130" si="28">SUMIFS(R67, V67, "Cancelled")</f>
        <v>0</v>
      </c>
      <c r="AM67">
        <f t="shared" ref="AM67:AM130" si="29">COUNTIFS(V67, "Cancelled")</f>
        <v>0</v>
      </c>
      <c r="AN67">
        <f t="shared" ref="AN67:AN130" si="30">SUMIFS(R67, U67, "Failed")</f>
        <v>0</v>
      </c>
      <c r="AO67">
        <f t="shared" ref="AO67:AO130" si="31">COUNTIFS(U67, "Failed")</f>
        <v>0</v>
      </c>
      <c r="AP67">
        <f t="shared" ref="AP67:AP130" si="32">SUMIFS(R67, V67, "Returned")</f>
        <v>0</v>
      </c>
      <c r="AQ67">
        <f t="shared" ref="AQ67:AQ130" si="33">COUNTIFS(V67, "Returned")</f>
        <v>0</v>
      </c>
    </row>
    <row r="68" spans="1:43">
      <c r="A68" t="s">
        <v>306</v>
      </c>
      <c r="B68" s="5">
        <v>45897</v>
      </c>
      <c r="C68" s="5">
        <v>45666</v>
      </c>
      <c r="D68" s="13">
        <f t="shared" si="17"/>
        <v>-231</v>
      </c>
      <c r="E68" t="s">
        <v>307</v>
      </c>
      <c r="F68" t="s">
        <v>23</v>
      </c>
      <c r="G68" t="s">
        <v>37</v>
      </c>
      <c r="H68" t="s">
        <v>54</v>
      </c>
      <c r="I68" t="s">
        <v>247</v>
      </c>
      <c r="J68" t="s">
        <v>248</v>
      </c>
      <c r="K68" t="s">
        <v>74</v>
      </c>
      <c r="L68" t="s">
        <v>75</v>
      </c>
      <c r="M68" t="s">
        <v>308</v>
      </c>
      <c r="N68" t="s">
        <v>44</v>
      </c>
      <c r="O68">
        <v>7</v>
      </c>
      <c r="P68">
        <v>1057.46</v>
      </c>
      <c r="Q68" s="11">
        <v>0.05</v>
      </c>
      <c r="R68">
        <v>7032.11</v>
      </c>
      <c r="S68">
        <v>4610.34</v>
      </c>
      <c r="T68">
        <v>2421.77</v>
      </c>
      <c r="U68" t="s">
        <v>32</v>
      </c>
      <c r="V68" t="s">
        <v>33</v>
      </c>
      <c r="X68" s="8" t="str">
        <f>IF(C68&gt;=B68,"Valid", "Invalid-Date")</f>
        <v>Invalid-Date</v>
      </c>
      <c r="Y68" s="8" t="str">
        <f t="shared" si="18"/>
        <v>Valid</v>
      </c>
      <c r="Z68" s="8" t="str">
        <f t="shared" si="19"/>
        <v>Pass</v>
      </c>
      <c r="AA68" s="8" t="str">
        <f t="shared" si="20"/>
        <v>Pass</v>
      </c>
      <c r="AB68" s="8" t="str">
        <f>TEXT(B68,"mmmm")</f>
        <v>August</v>
      </c>
      <c r="AC68" s="8" t="str">
        <f>TEXT(B68,"yyyy")</f>
        <v>2025</v>
      </c>
      <c r="AE68">
        <f t="shared" si="21"/>
        <v>7402.22</v>
      </c>
      <c r="AF68" s="11">
        <f t="shared" si="22"/>
        <v>7032.1089999999995</v>
      </c>
      <c r="AG68">
        <f t="shared" si="23"/>
        <v>2791.88</v>
      </c>
      <c r="AH68" s="11">
        <f t="shared" si="24"/>
        <v>0.37716793070187055</v>
      </c>
      <c r="AI68" s="9">
        <f t="shared" si="25"/>
        <v>0.37716793070187055</v>
      </c>
      <c r="AJ68">
        <f t="shared" si="26"/>
        <v>7032.11</v>
      </c>
      <c r="AK68">
        <f t="shared" si="27"/>
        <v>1</v>
      </c>
      <c r="AL68">
        <f t="shared" si="28"/>
        <v>0</v>
      </c>
      <c r="AM68">
        <f t="shared" si="29"/>
        <v>0</v>
      </c>
      <c r="AN68">
        <f t="shared" si="30"/>
        <v>0</v>
      </c>
      <c r="AO68">
        <f t="shared" si="31"/>
        <v>0</v>
      </c>
      <c r="AP68">
        <f t="shared" si="32"/>
        <v>0</v>
      </c>
      <c r="AQ68">
        <f t="shared" si="33"/>
        <v>0</v>
      </c>
    </row>
    <row r="69" spans="1:43">
      <c r="A69" t="s">
        <v>309</v>
      </c>
      <c r="B69" s="5">
        <v>45691</v>
      </c>
      <c r="C69" s="5">
        <v>45695</v>
      </c>
      <c r="D69" s="13">
        <f t="shared" si="17"/>
        <v>4</v>
      </c>
      <c r="E69" t="s">
        <v>310</v>
      </c>
      <c r="F69" t="s">
        <v>264</v>
      </c>
      <c r="G69" t="s">
        <v>24</v>
      </c>
      <c r="H69" t="s">
        <v>25</v>
      </c>
      <c r="I69" t="s">
        <v>236</v>
      </c>
      <c r="J69" t="s">
        <v>237</v>
      </c>
      <c r="K69" t="s">
        <v>28</v>
      </c>
      <c r="L69" t="s">
        <v>29</v>
      </c>
      <c r="M69" t="s">
        <v>311</v>
      </c>
      <c r="N69" t="s">
        <v>50</v>
      </c>
      <c r="O69">
        <v>7</v>
      </c>
      <c r="P69">
        <v>3609.34</v>
      </c>
      <c r="Q69" s="11">
        <v>0.05</v>
      </c>
      <c r="R69">
        <v>24002.11</v>
      </c>
      <c r="S69">
        <v>18707.57</v>
      </c>
      <c r="T69">
        <v>5294.54</v>
      </c>
      <c r="U69" t="s">
        <v>32</v>
      </c>
      <c r="V69" t="s">
        <v>33</v>
      </c>
      <c r="X69" s="8" t="str">
        <f>IF(C69&gt;=B69,"Valid", "Invalid-Date")</f>
        <v>Valid</v>
      </c>
      <c r="Y69" s="8" t="str">
        <f t="shared" si="18"/>
        <v>Valid</v>
      </c>
      <c r="Z69" s="8" t="str">
        <f t="shared" si="19"/>
        <v>Pass</v>
      </c>
      <c r="AA69" s="8" t="str">
        <f t="shared" si="20"/>
        <v>Pass</v>
      </c>
      <c r="AB69" s="8" t="str">
        <f>TEXT(B69,"mmmm")</f>
        <v>February</v>
      </c>
      <c r="AC69" s="8" t="str">
        <f>TEXT(B69,"yyyy")</f>
        <v>2025</v>
      </c>
      <c r="AE69">
        <f t="shared" si="21"/>
        <v>25265.38</v>
      </c>
      <c r="AF69" s="11">
        <f t="shared" si="22"/>
        <v>24002.111000000001</v>
      </c>
      <c r="AG69">
        <f t="shared" si="23"/>
        <v>6557.8100000000013</v>
      </c>
      <c r="AH69" s="11">
        <f t="shared" si="24"/>
        <v>0.25955714895244009</v>
      </c>
      <c r="AI69" s="9">
        <f t="shared" si="25"/>
        <v>0.25955714895244009</v>
      </c>
      <c r="AJ69">
        <f t="shared" si="26"/>
        <v>24002.11</v>
      </c>
      <c r="AK69">
        <f t="shared" si="27"/>
        <v>1</v>
      </c>
      <c r="AL69">
        <f t="shared" si="28"/>
        <v>0</v>
      </c>
      <c r="AM69">
        <f t="shared" si="29"/>
        <v>0</v>
      </c>
      <c r="AN69">
        <f t="shared" si="30"/>
        <v>0</v>
      </c>
      <c r="AO69">
        <f t="shared" si="31"/>
        <v>0</v>
      </c>
      <c r="AP69">
        <f t="shared" si="32"/>
        <v>0</v>
      </c>
      <c r="AQ69">
        <f t="shared" si="33"/>
        <v>0</v>
      </c>
    </row>
    <row r="70" spans="1:43">
      <c r="A70" t="s">
        <v>312</v>
      </c>
      <c r="B70" s="5">
        <v>45576</v>
      </c>
      <c r="C70" s="5">
        <v>45609</v>
      </c>
      <c r="D70" s="13">
        <f t="shared" si="17"/>
        <v>33</v>
      </c>
      <c r="E70" t="s">
        <v>313</v>
      </c>
      <c r="F70" t="s">
        <v>47</v>
      </c>
      <c r="G70" t="s">
        <v>90</v>
      </c>
      <c r="H70" t="s">
        <v>38</v>
      </c>
      <c r="I70" t="s">
        <v>228</v>
      </c>
      <c r="J70" t="s">
        <v>229</v>
      </c>
      <c r="K70" t="s">
        <v>28</v>
      </c>
      <c r="L70" t="s">
        <v>124</v>
      </c>
      <c r="M70" t="s">
        <v>314</v>
      </c>
      <c r="N70" t="s">
        <v>31</v>
      </c>
      <c r="O70">
        <v>9</v>
      </c>
      <c r="P70">
        <v>2211.12</v>
      </c>
      <c r="Q70" s="11">
        <v>0</v>
      </c>
      <c r="R70">
        <v>19900.080000000002</v>
      </c>
      <c r="S70">
        <v>10962.66</v>
      </c>
      <c r="T70">
        <v>8937.42</v>
      </c>
      <c r="U70" t="s">
        <v>155</v>
      </c>
      <c r="V70" t="s">
        <v>103</v>
      </c>
      <c r="X70" s="8" t="str">
        <f>IF(C70&gt;=B70,"Valid", "Invalid-Date")</f>
        <v>Valid</v>
      </c>
      <c r="Y70" s="8" t="str">
        <f t="shared" si="18"/>
        <v>Valid</v>
      </c>
      <c r="Z70" s="8" t="str">
        <f t="shared" si="19"/>
        <v>Pass</v>
      </c>
      <c r="AA70" s="8" t="str">
        <f t="shared" si="20"/>
        <v>Pass</v>
      </c>
      <c r="AB70" s="8" t="str">
        <f>TEXT(B70,"mmmm")</f>
        <v>October</v>
      </c>
      <c r="AC70" s="8" t="str">
        <f>TEXT(B70,"yyyy")</f>
        <v>2024</v>
      </c>
      <c r="AE70">
        <f t="shared" si="21"/>
        <v>19900.079999999998</v>
      </c>
      <c r="AF70" s="11">
        <f t="shared" si="22"/>
        <v>19900.079999999998</v>
      </c>
      <c r="AG70">
        <f t="shared" si="23"/>
        <v>8937.4199999999983</v>
      </c>
      <c r="AH70" s="11">
        <f t="shared" si="24"/>
        <v>0.44911477742803041</v>
      </c>
      <c r="AI70" s="9">
        <f t="shared" si="25"/>
        <v>0.44911477742803041</v>
      </c>
      <c r="AJ70">
        <f t="shared" si="26"/>
        <v>0</v>
      </c>
      <c r="AK70">
        <f t="shared" si="27"/>
        <v>0</v>
      </c>
      <c r="AL70">
        <f t="shared" si="28"/>
        <v>0</v>
      </c>
      <c r="AM70">
        <f t="shared" si="29"/>
        <v>0</v>
      </c>
      <c r="AN70">
        <f t="shared" si="30"/>
        <v>19900.080000000002</v>
      </c>
      <c r="AO70">
        <f t="shared" si="31"/>
        <v>1</v>
      </c>
      <c r="AP70">
        <f t="shared" si="32"/>
        <v>19900.080000000002</v>
      </c>
      <c r="AQ70">
        <f t="shared" si="33"/>
        <v>1</v>
      </c>
    </row>
    <row r="71" spans="1:43">
      <c r="A71" t="s">
        <v>315</v>
      </c>
      <c r="B71" s="5">
        <v>45391</v>
      </c>
      <c r="C71" s="5">
        <v>45396</v>
      </c>
      <c r="D71" s="13">
        <f t="shared" si="17"/>
        <v>5</v>
      </c>
      <c r="E71" t="s">
        <v>316</v>
      </c>
      <c r="F71" t="s">
        <v>79</v>
      </c>
      <c r="G71" t="s">
        <v>37</v>
      </c>
      <c r="H71" t="s">
        <v>63</v>
      </c>
      <c r="I71" t="s">
        <v>180</v>
      </c>
      <c r="J71" t="s">
        <v>181</v>
      </c>
      <c r="K71" t="s">
        <v>74</v>
      </c>
      <c r="L71" t="s">
        <v>274</v>
      </c>
      <c r="M71" t="s">
        <v>317</v>
      </c>
      <c r="N71" t="s">
        <v>44</v>
      </c>
      <c r="O71">
        <v>7</v>
      </c>
      <c r="P71">
        <v>3417.09</v>
      </c>
      <c r="Q71" s="11">
        <v>0.1</v>
      </c>
      <c r="R71">
        <v>21527.67</v>
      </c>
      <c r="S71">
        <v>18287.580000000002</v>
      </c>
      <c r="T71">
        <v>3240.09</v>
      </c>
      <c r="U71" t="s">
        <v>102</v>
      </c>
      <c r="V71" t="s">
        <v>103</v>
      </c>
      <c r="X71" s="8" t="str">
        <f>IF(C71&gt;=B71,"Valid", "Invalid-Date")</f>
        <v>Valid</v>
      </c>
      <c r="Y71" s="8" t="str">
        <f t="shared" si="18"/>
        <v>Valid</v>
      </c>
      <c r="Z71" s="8" t="str">
        <f t="shared" si="19"/>
        <v>Pass</v>
      </c>
      <c r="AA71" s="8" t="str">
        <f t="shared" si="20"/>
        <v>Pass</v>
      </c>
      <c r="AB71" s="8" t="str">
        <f>TEXT(B71,"mmmm")</f>
        <v>April</v>
      </c>
      <c r="AC71" s="8" t="str">
        <f>TEXT(B71,"yyyy")</f>
        <v>2024</v>
      </c>
      <c r="AE71">
        <f t="shared" si="21"/>
        <v>23919.63</v>
      </c>
      <c r="AF71" s="11">
        <f t="shared" si="22"/>
        <v>21527.667000000001</v>
      </c>
      <c r="AG71">
        <f t="shared" si="23"/>
        <v>5632.0499999999993</v>
      </c>
      <c r="AH71" s="11">
        <f t="shared" si="24"/>
        <v>0.23545723742382299</v>
      </c>
      <c r="AI71" s="9">
        <f t="shared" si="25"/>
        <v>0.23545723742382299</v>
      </c>
      <c r="AJ71">
        <f t="shared" si="26"/>
        <v>0</v>
      </c>
      <c r="AK71">
        <f t="shared" si="27"/>
        <v>0</v>
      </c>
      <c r="AL71">
        <f t="shared" si="28"/>
        <v>0</v>
      </c>
      <c r="AM71">
        <f t="shared" si="29"/>
        <v>0</v>
      </c>
      <c r="AN71">
        <f t="shared" si="30"/>
        <v>0</v>
      </c>
      <c r="AO71">
        <f t="shared" si="31"/>
        <v>0</v>
      </c>
      <c r="AP71">
        <f t="shared" si="32"/>
        <v>21527.67</v>
      </c>
      <c r="AQ71">
        <f t="shared" si="33"/>
        <v>1</v>
      </c>
    </row>
    <row r="72" spans="1:43">
      <c r="A72" t="s">
        <v>318</v>
      </c>
      <c r="B72" s="5">
        <v>45891</v>
      </c>
      <c r="C72" s="5">
        <v>45896</v>
      </c>
      <c r="D72" s="13">
        <f t="shared" si="17"/>
        <v>5</v>
      </c>
      <c r="E72" t="s">
        <v>319</v>
      </c>
      <c r="F72" t="s">
        <v>23</v>
      </c>
      <c r="G72" t="s">
        <v>90</v>
      </c>
      <c r="H72" t="s">
        <v>54</v>
      </c>
      <c r="I72" t="s">
        <v>84</v>
      </c>
      <c r="J72" t="s">
        <v>85</v>
      </c>
      <c r="K72" t="s">
        <v>74</v>
      </c>
      <c r="L72" t="s">
        <v>171</v>
      </c>
      <c r="M72" t="s">
        <v>320</v>
      </c>
      <c r="N72" t="s">
        <v>50</v>
      </c>
      <c r="O72">
        <v>2</v>
      </c>
      <c r="P72">
        <v>905.87</v>
      </c>
      <c r="Q72" s="11">
        <v>0.15</v>
      </c>
      <c r="R72">
        <v>1539.98</v>
      </c>
      <c r="S72">
        <v>1070.2</v>
      </c>
      <c r="T72">
        <v>469.78</v>
      </c>
      <c r="U72" t="s">
        <v>32</v>
      </c>
      <c r="V72" t="s">
        <v>33</v>
      </c>
      <c r="X72" s="8" t="str">
        <f>IF(C72&gt;=B72,"Valid", "Invalid-Date")</f>
        <v>Valid</v>
      </c>
      <c r="Y72" s="8" t="str">
        <f t="shared" si="18"/>
        <v>Valid</v>
      </c>
      <c r="Z72" s="8" t="str">
        <f t="shared" si="19"/>
        <v>Pass</v>
      </c>
      <c r="AA72" s="8" t="str">
        <f t="shared" si="20"/>
        <v>Pass</v>
      </c>
      <c r="AB72" s="8" t="str">
        <f>TEXT(B72,"mmmm")</f>
        <v>August</v>
      </c>
      <c r="AC72" s="8" t="str">
        <f>TEXT(B72,"yyyy")</f>
        <v>2025</v>
      </c>
      <c r="AE72">
        <f t="shared" si="21"/>
        <v>1811.74</v>
      </c>
      <c r="AF72" s="11">
        <f t="shared" si="22"/>
        <v>1539.979</v>
      </c>
      <c r="AG72">
        <f t="shared" si="23"/>
        <v>741.54</v>
      </c>
      <c r="AH72" s="11">
        <f t="shared" si="24"/>
        <v>0.40929713976619159</v>
      </c>
      <c r="AI72" s="9">
        <f t="shared" si="25"/>
        <v>0.40929713976619159</v>
      </c>
      <c r="AJ72">
        <f t="shared" si="26"/>
        <v>1539.98</v>
      </c>
      <c r="AK72">
        <f t="shared" si="27"/>
        <v>1</v>
      </c>
      <c r="AL72">
        <f t="shared" si="28"/>
        <v>0</v>
      </c>
      <c r="AM72">
        <f t="shared" si="29"/>
        <v>0</v>
      </c>
      <c r="AN72">
        <f t="shared" si="30"/>
        <v>0</v>
      </c>
      <c r="AO72">
        <f t="shared" si="31"/>
        <v>0</v>
      </c>
      <c r="AP72">
        <f t="shared" si="32"/>
        <v>0</v>
      </c>
      <c r="AQ72">
        <f t="shared" si="33"/>
        <v>0</v>
      </c>
    </row>
    <row r="73" spans="1:43">
      <c r="A73" t="s">
        <v>321</v>
      </c>
      <c r="B73" s="5">
        <v>45763</v>
      </c>
      <c r="C73" s="5">
        <v>45770</v>
      </c>
      <c r="D73" s="13">
        <f t="shared" si="17"/>
        <v>7</v>
      </c>
      <c r="E73" t="s">
        <v>322</v>
      </c>
      <c r="F73" t="s">
        <v>36</v>
      </c>
      <c r="G73" t="s">
        <v>37</v>
      </c>
      <c r="H73" t="s">
        <v>63</v>
      </c>
      <c r="I73" t="s">
        <v>190</v>
      </c>
      <c r="J73" t="s">
        <v>191</v>
      </c>
      <c r="K73" t="s">
        <v>74</v>
      </c>
      <c r="L73" t="s">
        <v>274</v>
      </c>
      <c r="M73" t="s">
        <v>323</v>
      </c>
      <c r="N73" t="s">
        <v>59</v>
      </c>
      <c r="O73">
        <v>6</v>
      </c>
      <c r="P73">
        <v>2027.32</v>
      </c>
      <c r="Q73" s="11">
        <v>0.1</v>
      </c>
      <c r="R73">
        <v>10947.53</v>
      </c>
      <c r="S73">
        <v>6447.36</v>
      </c>
      <c r="T73">
        <v>4500.17</v>
      </c>
      <c r="U73" t="s">
        <v>32</v>
      </c>
      <c r="V73" t="s">
        <v>33</v>
      </c>
      <c r="X73" s="8" t="str">
        <f>IF(C73&gt;=B73,"Valid", "Invalid-Date")</f>
        <v>Valid</v>
      </c>
      <c r="Y73" s="8" t="str">
        <f t="shared" si="18"/>
        <v>Valid</v>
      </c>
      <c r="Z73" s="8" t="str">
        <f t="shared" si="19"/>
        <v>Pass</v>
      </c>
      <c r="AA73" s="8" t="str">
        <f t="shared" si="20"/>
        <v>Pass</v>
      </c>
      <c r="AB73" s="8" t="str">
        <f>TEXT(B73,"mmmm")</f>
        <v>April</v>
      </c>
      <c r="AC73" s="8" t="str">
        <f>TEXT(B73,"yyyy")</f>
        <v>2025</v>
      </c>
      <c r="AE73">
        <f t="shared" si="21"/>
        <v>12163.92</v>
      </c>
      <c r="AF73" s="11">
        <f t="shared" si="22"/>
        <v>10947.528</v>
      </c>
      <c r="AG73">
        <f t="shared" si="23"/>
        <v>5716.56</v>
      </c>
      <c r="AH73" s="11">
        <f t="shared" si="24"/>
        <v>0.46996034173194173</v>
      </c>
      <c r="AI73" s="9">
        <f t="shared" si="25"/>
        <v>0.46996034173194173</v>
      </c>
      <c r="AJ73">
        <f t="shared" si="26"/>
        <v>10947.53</v>
      </c>
      <c r="AK73">
        <f t="shared" si="27"/>
        <v>1</v>
      </c>
      <c r="AL73">
        <f t="shared" si="28"/>
        <v>0</v>
      </c>
      <c r="AM73">
        <f t="shared" si="29"/>
        <v>0</v>
      </c>
      <c r="AN73">
        <f t="shared" si="30"/>
        <v>0</v>
      </c>
      <c r="AO73">
        <f t="shared" si="31"/>
        <v>0</v>
      </c>
      <c r="AP73">
        <f t="shared" si="32"/>
        <v>0</v>
      </c>
      <c r="AQ73">
        <f t="shared" si="33"/>
        <v>0</v>
      </c>
    </row>
    <row r="74" spans="1:43">
      <c r="A74" t="s">
        <v>324</v>
      </c>
      <c r="B74" s="5">
        <v>45333</v>
      </c>
      <c r="C74" s="5">
        <v>45475</v>
      </c>
      <c r="D74" s="13">
        <f t="shared" si="17"/>
        <v>142</v>
      </c>
      <c r="E74" t="s">
        <v>325</v>
      </c>
      <c r="F74" t="s">
        <v>23</v>
      </c>
      <c r="G74" t="s">
        <v>95</v>
      </c>
      <c r="H74" t="s">
        <v>54</v>
      </c>
      <c r="I74" t="s">
        <v>247</v>
      </c>
      <c r="J74" t="s">
        <v>248</v>
      </c>
      <c r="K74" t="s">
        <v>41</v>
      </c>
      <c r="L74" t="s">
        <v>42</v>
      </c>
      <c r="M74" t="s">
        <v>326</v>
      </c>
      <c r="N74" t="s">
        <v>50</v>
      </c>
      <c r="O74">
        <v>7</v>
      </c>
      <c r="P74">
        <v>2287.4699999999998</v>
      </c>
      <c r="Q74" s="11">
        <v>0.15</v>
      </c>
      <c r="R74">
        <v>13610.45</v>
      </c>
      <c r="S74">
        <v>10039.049999999999</v>
      </c>
      <c r="T74">
        <v>3571.4</v>
      </c>
      <c r="U74" t="s">
        <v>32</v>
      </c>
      <c r="V74" t="s">
        <v>33</v>
      </c>
      <c r="X74" s="8" t="str">
        <f>IF(C74&gt;=B74,"Valid", "Invalid-Date")</f>
        <v>Valid</v>
      </c>
      <c r="Y74" s="8" t="str">
        <f t="shared" si="18"/>
        <v>Valid</v>
      </c>
      <c r="Z74" s="8" t="str">
        <f t="shared" si="19"/>
        <v>Pass</v>
      </c>
      <c r="AA74" s="8" t="str">
        <f t="shared" si="20"/>
        <v>Pass</v>
      </c>
      <c r="AB74" s="8" t="str">
        <f>TEXT(B74,"mmmm")</f>
        <v>February</v>
      </c>
      <c r="AC74" s="8" t="str">
        <f>TEXT(B74,"yyyy")</f>
        <v>2024</v>
      </c>
      <c r="AE74">
        <f t="shared" si="21"/>
        <v>16012.289999999999</v>
      </c>
      <c r="AF74" s="11">
        <f t="shared" si="22"/>
        <v>13610.446499999998</v>
      </c>
      <c r="AG74">
        <f t="shared" si="23"/>
        <v>5973.24</v>
      </c>
      <c r="AH74" s="11">
        <f t="shared" si="24"/>
        <v>0.37304095791420216</v>
      </c>
      <c r="AI74" s="9">
        <f t="shared" si="25"/>
        <v>0.37304095791420216</v>
      </c>
      <c r="AJ74">
        <f t="shared" si="26"/>
        <v>13610.45</v>
      </c>
      <c r="AK74">
        <f t="shared" si="27"/>
        <v>1</v>
      </c>
      <c r="AL74">
        <f t="shared" si="28"/>
        <v>0</v>
      </c>
      <c r="AM74">
        <f t="shared" si="29"/>
        <v>0</v>
      </c>
      <c r="AN74">
        <f t="shared" si="30"/>
        <v>0</v>
      </c>
      <c r="AO74">
        <f t="shared" si="31"/>
        <v>0</v>
      </c>
      <c r="AP74">
        <f t="shared" si="32"/>
        <v>0</v>
      </c>
      <c r="AQ74">
        <f t="shared" si="33"/>
        <v>0</v>
      </c>
    </row>
    <row r="75" spans="1:43">
      <c r="A75" t="s">
        <v>327</v>
      </c>
      <c r="B75" s="5">
        <v>45745</v>
      </c>
      <c r="C75" s="5">
        <v>45720</v>
      </c>
      <c r="D75" s="13">
        <f t="shared" si="17"/>
        <v>-25</v>
      </c>
      <c r="E75" t="s">
        <v>328</v>
      </c>
      <c r="F75" t="s">
        <v>132</v>
      </c>
      <c r="G75" t="s">
        <v>90</v>
      </c>
      <c r="H75" t="s">
        <v>38</v>
      </c>
      <c r="I75" t="s">
        <v>99</v>
      </c>
      <c r="J75" t="s">
        <v>100</v>
      </c>
      <c r="K75" t="s">
        <v>41</v>
      </c>
      <c r="L75" t="s">
        <v>158</v>
      </c>
      <c r="M75" t="s">
        <v>329</v>
      </c>
      <c r="N75" t="s">
        <v>50</v>
      </c>
      <c r="O75">
        <v>5</v>
      </c>
      <c r="P75">
        <v>1425.74</v>
      </c>
      <c r="Q75" s="11">
        <v>0</v>
      </c>
      <c r="R75">
        <v>7128.7</v>
      </c>
      <c r="S75">
        <v>4382.1499999999996</v>
      </c>
      <c r="T75">
        <v>2746.55</v>
      </c>
      <c r="U75" t="s">
        <v>32</v>
      </c>
      <c r="V75" t="s">
        <v>33</v>
      </c>
      <c r="X75" s="8" t="str">
        <f>IF(C75&gt;=B75,"Valid", "Invalid-Date")</f>
        <v>Invalid-Date</v>
      </c>
      <c r="Y75" s="8" t="str">
        <f t="shared" si="18"/>
        <v>Valid</v>
      </c>
      <c r="Z75" s="8" t="str">
        <f t="shared" si="19"/>
        <v>Pass</v>
      </c>
      <c r="AA75" s="8" t="str">
        <f t="shared" si="20"/>
        <v>Pass</v>
      </c>
      <c r="AB75" s="8" t="str">
        <f>TEXT(B75,"mmmm")</f>
        <v>March</v>
      </c>
      <c r="AC75" s="8" t="str">
        <f>TEXT(B75,"yyyy")</f>
        <v>2025</v>
      </c>
      <c r="AE75">
        <f t="shared" si="21"/>
        <v>7128.7</v>
      </c>
      <c r="AF75" s="11">
        <f t="shared" si="22"/>
        <v>7128.7</v>
      </c>
      <c r="AG75">
        <f t="shared" si="23"/>
        <v>2746.55</v>
      </c>
      <c r="AH75" s="11">
        <f t="shared" si="24"/>
        <v>0.38528062620113068</v>
      </c>
      <c r="AI75" s="9">
        <f t="shared" si="25"/>
        <v>0.38528062620113068</v>
      </c>
      <c r="AJ75">
        <f t="shared" si="26"/>
        <v>7128.7</v>
      </c>
      <c r="AK75">
        <f t="shared" si="27"/>
        <v>1</v>
      </c>
      <c r="AL75">
        <f t="shared" si="28"/>
        <v>0</v>
      </c>
      <c r="AM75">
        <f t="shared" si="29"/>
        <v>0</v>
      </c>
      <c r="AN75">
        <f t="shared" si="30"/>
        <v>0</v>
      </c>
      <c r="AO75">
        <f t="shared" si="31"/>
        <v>0</v>
      </c>
      <c r="AP75">
        <f t="shared" si="32"/>
        <v>0</v>
      </c>
      <c r="AQ75">
        <f t="shared" si="33"/>
        <v>0</v>
      </c>
    </row>
    <row r="76" spans="1:43">
      <c r="A76" t="s">
        <v>330</v>
      </c>
      <c r="B76" s="5">
        <v>45715</v>
      </c>
      <c r="C76" s="5">
        <v>45660</v>
      </c>
      <c r="D76" s="13">
        <f t="shared" si="17"/>
        <v>-55</v>
      </c>
      <c r="E76" t="s">
        <v>331</v>
      </c>
      <c r="F76" t="s">
        <v>71</v>
      </c>
      <c r="G76" t="s">
        <v>37</v>
      </c>
      <c r="H76" t="s">
        <v>38</v>
      </c>
      <c r="I76" t="s">
        <v>99</v>
      </c>
      <c r="J76" t="s">
        <v>100</v>
      </c>
      <c r="K76" t="s">
        <v>41</v>
      </c>
      <c r="L76" t="s">
        <v>66</v>
      </c>
      <c r="M76" t="s">
        <v>332</v>
      </c>
      <c r="N76" t="s">
        <v>59</v>
      </c>
      <c r="O76">
        <v>6</v>
      </c>
      <c r="P76">
        <v>551.64</v>
      </c>
      <c r="Q76" s="11">
        <v>0</v>
      </c>
      <c r="R76">
        <v>3309.84</v>
      </c>
      <c r="S76">
        <v>2671.08</v>
      </c>
      <c r="T76">
        <v>638.76</v>
      </c>
      <c r="U76" t="s">
        <v>32</v>
      </c>
      <c r="V76" t="s">
        <v>33</v>
      </c>
      <c r="X76" s="8" t="str">
        <f>IF(C76&gt;=B76,"Valid", "Invalid-Date")</f>
        <v>Invalid-Date</v>
      </c>
      <c r="Y76" s="8" t="str">
        <f t="shared" si="18"/>
        <v>Valid</v>
      </c>
      <c r="Z76" s="8" t="str">
        <f t="shared" si="19"/>
        <v>Pass</v>
      </c>
      <c r="AA76" s="8" t="str">
        <f t="shared" si="20"/>
        <v>Pass</v>
      </c>
      <c r="AB76" s="8" t="str">
        <f>TEXT(B76,"mmmm")</f>
        <v>February</v>
      </c>
      <c r="AC76" s="8" t="str">
        <f>TEXT(B76,"yyyy")</f>
        <v>2025</v>
      </c>
      <c r="AE76">
        <f t="shared" si="21"/>
        <v>3309.84</v>
      </c>
      <c r="AF76" s="11">
        <f t="shared" si="22"/>
        <v>3309.84</v>
      </c>
      <c r="AG76">
        <f t="shared" si="23"/>
        <v>638.76000000000022</v>
      </c>
      <c r="AH76" s="11">
        <f t="shared" si="24"/>
        <v>0.19298818069755644</v>
      </c>
      <c r="AI76" s="9">
        <f t="shared" si="25"/>
        <v>0.19298818069755644</v>
      </c>
      <c r="AJ76">
        <f t="shared" si="26"/>
        <v>3309.84</v>
      </c>
      <c r="AK76">
        <f t="shared" si="27"/>
        <v>1</v>
      </c>
      <c r="AL76">
        <f t="shared" si="28"/>
        <v>0</v>
      </c>
      <c r="AM76">
        <f t="shared" si="29"/>
        <v>0</v>
      </c>
      <c r="AN76">
        <f t="shared" si="30"/>
        <v>0</v>
      </c>
      <c r="AO76">
        <f t="shared" si="31"/>
        <v>0</v>
      </c>
      <c r="AP76">
        <f t="shared" si="32"/>
        <v>0</v>
      </c>
      <c r="AQ76">
        <f t="shared" si="33"/>
        <v>0</v>
      </c>
    </row>
    <row r="77" spans="1:43">
      <c r="A77" t="s">
        <v>333</v>
      </c>
      <c r="B77" s="5">
        <v>45891</v>
      </c>
      <c r="C77" s="5">
        <v>45896</v>
      </c>
      <c r="D77" s="13">
        <f t="shared" si="17"/>
        <v>5</v>
      </c>
      <c r="E77" t="s">
        <v>334</v>
      </c>
      <c r="F77" t="s">
        <v>114</v>
      </c>
      <c r="G77" t="s">
        <v>37</v>
      </c>
      <c r="H77" t="s">
        <v>38</v>
      </c>
      <c r="I77" t="s">
        <v>39</v>
      </c>
      <c r="J77" t="s">
        <v>40</v>
      </c>
      <c r="K77" t="s">
        <v>28</v>
      </c>
      <c r="L77" t="s">
        <v>91</v>
      </c>
      <c r="M77" t="s">
        <v>335</v>
      </c>
      <c r="N77" t="s">
        <v>50</v>
      </c>
      <c r="O77">
        <v>3</v>
      </c>
      <c r="P77">
        <v>3294.82</v>
      </c>
      <c r="Q77" s="11">
        <v>0.2</v>
      </c>
      <c r="R77">
        <v>7907.57</v>
      </c>
      <c r="S77">
        <v>5391.18</v>
      </c>
      <c r="T77">
        <v>2516.39</v>
      </c>
      <c r="U77" t="s">
        <v>32</v>
      </c>
      <c r="V77" t="s">
        <v>33</v>
      </c>
      <c r="X77" s="8" t="str">
        <f>IF(C77&gt;=B77,"Valid", "Invalid-Date")</f>
        <v>Valid</v>
      </c>
      <c r="Y77" s="8" t="str">
        <f t="shared" si="18"/>
        <v>Valid</v>
      </c>
      <c r="Z77" s="8" t="str">
        <f t="shared" si="19"/>
        <v>Pass</v>
      </c>
      <c r="AA77" s="8" t="str">
        <f t="shared" si="20"/>
        <v>Pass</v>
      </c>
      <c r="AB77" s="8" t="str">
        <f>TEXT(B77,"mmmm")</f>
        <v>August</v>
      </c>
      <c r="AC77" s="8" t="str">
        <f>TEXT(B77,"yyyy")</f>
        <v>2025</v>
      </c>
      <c r="AE77">
        <f t="shared" si="21"/>
        <v>9884.4600000000009</v>
      </c>
      <c r="AF77" s="11">
        <f t="shared" si="22"/>
        <v>7907.5680000000011</v>
      </c>
      <c r="AG77">
        <f t="shared" si="23"/>
        <v>4493.2800000000007</v>
      </c>
      <c r="AH77" s="11">
        <f t="shared" si="24"/>
        <v>0.45458021986026553</v>
      </c>
      <c r="AI77" s="9">
        <f t="shared" si="25"/>
        <v>0.45458021986026553</v>
      </c>
      <c r="AJ77">
        <f t="shared" si="26"/>
        <v>7907.57</v>
      </c>
      <c r="AK77">
        <f t="shared" si="27"/>
        <v>1</v>
      </c>
      <c r="AL77">
        <f t="shared" si="28"/>
        <v>0</v>
      </c>
      <c r="AM77">
        <f t="shared" si="29"/>
        <v>0</v>
      </c>
      <c r="AN77">
        <f t="shared" si="30"/>
        <v>0</v>
      </c>
      <c r="AO77">
        <f t="shared" si="31"/>
        <v>0</v>
      </c>
      <c r="AP77">
        <f t="shared" si="32"/>
        <v>0</v>
      </c>
      <c r="AQ77">
        <f t="shared" si="33"/>
        <v>0</v>
      </c>
    </row>
    <row r="78" spans="1:43">
      <c r="A78" t="s">
        <v>336</v>
      </c>
      <c r="B78" s="5">
        <v>45599</v>
      </c>
      <c r="C78" s="5">
        <v>45607</v>
      </c>
      <c r="D78" s="13">
        <f t="shared" si="17"/>
        <v>8</v>
      </c>
      <c r="E78" t="s">
        <v>337</v>
      </c>
      <c r="F78" t="s">
        <v>62</v>
      </c>
      <c r="G78" t="s">
        <v>90</v>
      </c>
      <c r="H78" t="s">
        <v>38</v>
      </c>
      <c r="I78" t="s">
        <v>228</v>
      </c>
      <c r="J78" t="s">
        <v>229</v>
      </c>
      <c r="K78" t="s">
        <v>28</v>
      </c>
      <c r="L78" t="s">
        <v>91</v>
      </c>
      <c r="M78" t="s">
        <v>338</v>
      </c>
      <c r="N78" t="s">
        <v>31</v>
      </c>
      <c r="O78">
        <v>3</v>
      </c>
      <c r="P78">
        <v>3406.27</v>
      </c>
      <c r="Q78" s="11">
        <v>0</v>
      </c>
      <c r="R78">
        <v>10218.81</v>
      </c>
      <c r="S78">
        <v>7616.97</v>
      </c>
      <c r="T78">
        <v>2601.84</v>
      </c>
      <c r="U78" t="s">
        <v>32</v>
      </c>
      <c r="V78" t="s">
        <v>33</v>
      </c>
      <c r="X78" s="8" t="str">
        <f>IF(C78&gt;=B78,"Valid", "Invalid-Date")</f>
        <v>Valid</v>
      </c>
      <c r="Y78" s="8" t="str">
        <f t="shared" si="18"/>
        <v>Valid</v>
      </c>
      <c r="Z78" s="8" t="str">
        <f t="shared" si="19"/>
        <v>Pass</v>
      </c>
      <c r="AA78" s="8" t="str">
        <f t="shared" si="20"/>
        <v>Pass</v>
      </c>
      <c r="AB78" s="8" t="str">
        <f>TEXT(B78,"mmmm")</f>
        <v>November</v>
      </c>
      <c r="AC78" s="8" t="str">
        <f>TEXT(B78,"yyyy")</f>
        <v>2024</v>
      </c>
      <c r="AE78">
        <f t="shared" si="21"/>
        <v>10218.81</v>
      </c>
      <c r="AF78" s="11">
        <f t="shared" si="22"/>
        <v>10218.81</v>
      </c>
      <c r="AG78">
        <f t="shared" si="23"/>
        <v>2601.8399999999992</v>
      </c>
      <c r="AH78" s="11">
        <f t="shared" si="24"/>
        <v>0.2546128169522674</v>
      </c>
      <c r="AI78" s="9">
        <f t="shared" si="25"/>
        <v>0.2546128169522674</v>
      </c>
      <c r="AJ78">
        <f t="shared" si="26"/>
        <v>10218.81</v>
      </c>
      <c r="AK78">
        <f t="shared" si="27"/>
        <v>1</v>
      </c>
      <c r="AL78">
        <f t="shared" si="28"/>
        <v>0</v>
      </c>
      <c r="AM78">
        <f t="shared" si="29"/>
        <v>0</v>
      </c>
      <c r="AN78">
        <f t="shared" si="30"/>
        <v>0</v>
      </c>
      <c r="AO78">
        <f t="shared" si="31"/>
        <v>0</v>
      </c>
      <c r="AP78">
        <f t="shared" si="32"/>
        <v>0</v>
      </c>
      <c r="AQ78">
        <f t="shared" si="33"/>
        <v>0</v>
      </c>
    </row>
    <row r="79" spans="1:43">
      <c r="A79" t="s">
        <v>339</v>
      </c>
      <c r="B79" s="5">
        <v>45876</v>
      </c>
      <c r="C79" s="5">
        <v>45850</v>
      </c>
      <c r="D79" s="13">
        <f t="shared" si="17"/>
        <v>-26</v>
      </c>
      <c r="E79" t="s">
        <v>340</v>
      </c>
      <c r="F79" t="s">
        <v>141</v>
      </c>
      <c r="G79" t="s">
        <v>95</v>
      </c>
      <c r="H79" t="s">
        <v>25</v>
      </c>
      <c r="I79" t="s">
        <v>136</v>
      </c>
      <c r="J79" t="s">
        <v>137</v>
      </c>
      <c r="K79" t="s">
        <v>41</v>
      </c>
      <c r="L79" t="s">
        <v>57</v>
      </c>
      <c r="M79" t="s">
        <v>341</v>
      </c>
      <c r="N79" t="s">
        <v>59</v>
      </c>
      <c r="O79">
        <v>1</v>
      </c>
      <c r="P79">
        <v>2582.1999999999998</v>
      </c>
      <c r="Q79" s="11">
        <v>0.15</v>
      </c>
      <c r="R79">
        <v>2194.87</v>
      </c>
      <c r="S79">
        <v>1223.17</v>
      </c>
      <c r="T79">
        <v>971.7</v>
      </c>
      <c r="U79" t="s">
        <v>102</v>
      </c>
      <c r="V79" t="s">
        <v>68</v>
      </c>
      <c r="X79" s="8" t="str">
        <f>IF(C79&gt;=B79,"Valid", "Invalid-Date")</f>
        <v>Invalid-Date</v>
      </c>
      <c r="Y79" s="8" t="str">
        <f t="shared" si="18"/>
        <v>Valid</v>
      </c>
      <c r="Z79" s="8" t="str">
        <f t="shared" si="19"/>
        <v>Pass</v>
      </c>
      <c r="AA79" s="8" t="str">
        <f t="shared" si="20"/>
        <v>Pass</v>
      </c>
      <c r="AB79" s="8" t="str">
        <f>TEXT(B79,"mmmm")</f>
        <v>August</v>
      </c>
      <c r="AC79" s="8" t="str">
        <f>TEXT(B79,"yyyy")</f>
        <v>2025</v>
      </c>
      <c r="AE79">
        <f t="shared" si="21"/>
        <v>2582.1999999999998</v>
      </c>
      <c r="AF79" s="11">
        <f t="shared" si="22"/>
        <v>2194.87</v>
      </c>
      <c r="AG79">
        <f t="shared" si="23"/>
        <v>1359.0299999999997</v>
      </c>
      <c r="AH79" s="11">
        <f t="shared" si="24"/>
        <v>0.52630702501742699</v>
      </c>
      <c r="AI79" s="9">
        <f t="shared" si="25"/>
        <v>0.52630702501742699</v>
      </c>
      <c r="AJ79">
        <f t="shared" si="26"/>
        <v>0</v>
      </c>
      <c r="AK79">
        <f t="shared" si="27"/>
        <v>0</v>
      </c>
      <c r="AL79">
        <f t="shared" si="28"/>
        <v>2194.87</v>
      </c>
      <c r="AM79">
        <f t="shared" si="29"/>
        <v>1</v>
      </c>
      <c r="AN79">
        <f t="shared" si="30"/>
        <v>0</v>
      </c>
      <c r="AO79">
        <f t="shared" si="31"/>
        <v>0</v>
      </c>
      <c r="AP79">
        <f t="shared" si="32"/>
        <v>0</v>
      </c>
      <c r="AQ79">
        <f t="shared" si="33"/>
        <v>0</v>
      </c>
    </row>
    <row r="80" spans="1:43">
      <c r="A80" t="s">
        <v>342</v>
      </c>
      <c r="B80" s="5">
        <v>45854</v>
      </c>
      <c r="C80" s="5">
        <v>45859</v>
      </c>
      <c r="D80" s="13">
        <f t="shared" si="17"/>
        <v>5</v>
      </c>
      <c r="E80" t="s">
        <v>343</v>
      </c>
      <c r="F80" t="s">
        <v>132</v>
      </c>
      <c r="G80" t="s">
        <v>90</v>
      </c>
      <c r="H80" t="s">
        <v>38</v>
      </c>
      <c r="I80" t="s">
        <v>99</v>
      </c>
      <c r="J80" t="s">
        <v>100</v>
      </c>
      <c r="K80" t="s">
        <v>41</v>
      </c>
      <c r="L80" t="s">
        <v>42</v>
      </c>
      <c r="M80" t="s">
        <v>344</v>
      </c>
      <c r="N80" t="s">
        <v>50</v>
      </c>
      <c r="O80">
        <v>5</v>
      </c>
      <c r="P80">
        <v>2129.5100000000002</v>
      </c>
      <c r="Q80" s="11">
        <v>0.15</v>
      </c>
      <c r="R80">
        <v>9050.42</v>
      </c>
      <c r="S80">
        <v>6778.85</v>
      </c>
      <c r="T80">
        <v>2271.5700000000002</v>
      </c>
      <c r="U80" t="s">
        <v>32</v>
      </c>
      <c r="V80" t="s">
        <v>33</v>
      </c>
      <c r="X80" s="8" t="str">
        <f>IF(C80&gt;=B80,"Valid", "Invalid-Date")</f>
        <v>Valid</v>
      </c>
      <c r="Y80" s="8" t="str">
        <f t="shared" si="18"/>
        <v>Valid</v>
      </c>
      <c r="Z80" s="8" t="str">
        <f t="shared" si="19"/>
        <v>Pass</v>
      </c>
      <c r="AA80" s="8" t="str">
        <f t="shared" si="20"/>
        <v>Pass</v>
      </c>
      <c r="AB80" s="8" t="str">
        <f>TEXT(B80,"mmmm")</f>
        <v>July</v>
      </c>
      <c r="AC80" s="8" t="str">
        <f>TEXT(B80,"yyyy")</f>
        <v>2025</v>
      </c>
      <c r="AE80">
        <f t="shared" si="21"/>
        <v>10647.550000000001</v>
      </c>
      <c r="AF80" s="11">
        <f t="shared" si="22"/>
        <v>9050.4175000000014</v>
      </c>
      <c r="AG80">
        <f t="shared" si="23"/>
        <v>3868.7000000000007</v>
      </c>
      <c r="AH80" s="11">
        <f t="shared" si="24"/>
        <v>0.36334180163511798</v>
      </c>
      <c r="AI80" s="9">
        <f t="shared" si="25"/>
        <v>0.36334180163511798</v>
      </c>
      <c r="AJ80">
        <f t="shared" si="26"/>
        <v>9050.42</v>
      </c>
      <c r="AK80">
        <f t="shared" si="27"/>
        <v>1</v>
      </c>
      <c r="AL80">
        <f t="shared" si="28"/>
        <v>0</v>
      </c>
      <c r="AM80">
        <f t="shared" si="29"/>
        <v>0</v>
      </c>
      <c r="AN80">
        <f t="shared" si="30"/>
        <v>0</v>
      </c>
      <c r="AO80">
        <f t="shared" si="31"/>
        <v>0</v>
      </c>
      <c r="AP80">
        <f t="shared" si="32"/>
        <v>0</v>
      </c>
      <c r="AQ80">
        <f t="shared" si="33"/>
        <v>0</v>
      </c>
    </row>
    <row r="81" spans="1:43">
      <c r="A81" t="s">
        <v>345</v>
      </c>
      <c r="B81" s="5">
        <v>45927</v>
      </c>
      <c r="C81" s="5">
        <v>45726</v>
      </c>
      <c r="D81" s="13">
        <f t="shared" si="17"/>
        <v>-201</v>
      </c>
      <c r="E81" t="s">
        <v>346</v>
      </c>
      <c r="F81" t="s">
        <v>162</v>
      </c>
      <c r="G81" t="s">
        <v>95</v>
      </c>
      <c r="H81" t="s">
        <v>54</v>
      </c>
      <c r="I81" t="s">
        <v>247</v>
      </c>
      <c r="J81" t="s">
        <v>248</v>
      </c>
      <c r="K81" t="s">
        <v>41</v>
      </c>
      <c r="L81" t="s">
        <v>66</v>
      </c>
      <c r="M81" t="s">
        <v>347</v>
      </c>
      <c r="N81" t="s">
        <v>44</v>
      </c>
      <c r="O81">
        <v>9</v>
      </c>
      <c r="P81">
        <v>4131.5200000000004</v>
      </c>
      <c r="Q81" s="11">
        <v>0.1</v>
      </c>
      <c r="R81">
        <v>33465.31</v>
      </c>
      <c r="S81">
        <v>24781.26</v>
      </c>
      <c r="T81">
        <v>8684.0499999999993</v>
      </c>
      <c r="U81" t="s">
        <v>32</v>
      </c>
      <c r="V81" t="s">
        <v>33</v>
      </c>
      <c r="X81" s="8" t="str">
        <f>IF(C81&gt;=B81,"Valid", "Invalid-Date")</f>
        <v>Invalid-Date</v>
      </c>
      <c r="Y81" s="8" t="str">
        <f t="shared" si="18"/>
        <v>Valid</v>
      </c>
      <c r="Z81" s="8" t="str">
        <f t="shared" si="19"/>
        <v>Pass</v>
      </c>
      <c r="AA81" s="8" t="str">
        <f t="shared" si="20"/>
        <v>Pass</v>
      </c>
      <c r="AB81" s="8" t="str">
        <f>TEXT(B81,"mmmm")</f>
        <v>September</v>
      </c>
      <c r="AC81" s="8" t="str">
        <f>TEXT(B81,"yyyy")</f>
        <v>2025</v>
      </c>
      <c r="AE81">
        <f t="shared" si="21"/>
        <v>37183.680000000008</v>
      </c>
      <c r="AF81" s="11">
        <f t="shared" si="22"/>
        <v>33465.312000000005</v>
      </c>
      <c r="AG81">
        <f t="shared" si="23"/>
        <v>12402.420000000009</v>
      </c>
      <c r="AH81" s="11">
        <f t="shared" si="24"/>
        <v>0.33354471639170752</v>
      </c>
      <c r="AI81" s="9">
        <f t="shared" si="25"/>
        <v>0.33354471639170752</v>
      </c>
      <c r="AJ81">
        <f t="shared" si="26"/>
        <v>33465.31</v>
      </c>
      <c r="AK81">
        <f t="shared" si="27"/>
        <v>1</v>
      </c>
      <c r="AL81">
        <f t="shared" si="28"/>
        <v>0</v>
      </c>
      <c r="AM81">
        <f t="shared" si="29"/>
        <v>0</v>
      </c>
      <c r="AN81">
        <f t="shared" si="30"/>
        <v>0</v>
      </c>
      <c r="AO81">
        <f t="shared" si="31"/>
        <v>0</v>
      </c>
      <c r="AP81">
        <f t="shared" si="32"/>
        <v>0</v>
      </c>
      <c r="AQ81">
        <f t="shared" si="33"/>
        <v>0</v>
      </c>
    </row>
    <row r="82" spans="1:43">
      <c r="A82" t="s">
        <v>348</v>
      </c>
      <c r="B82" s="5">
        <v>45514</v>
      </c>
      <c r="C82" s="5">
        <v>45518</v>
      </c>
      <c r="D82" s="13">
        <f t="shared" si="17"/>
        <v>4</v>
      </c>
      <c r="E82" t="s">
        <v>349</v>
      </c>
      <c r="F82" t="s">
        <v>128</v>
      </c>
      <c r="G82" t="s">
        <v>37</v>
      </c>
      <c r="H82" t="s">
        <v>25</v>
      </c>
      <c r="I82" t="s">
        <v>350</v>
      </c>
      <c r="J82" t="s">
        <v>351</v>
      </c>
      <c r="K82" t="s">
        <v>28</v>
      </c>
      <c r="L82" t="s">
        <v>124</v>
      </c>
      <c r="M82" t="s">
        <v>352</v>
      </c>
      <c r="N82" t="s">
        <v>31</v>
      </c>
      <c r="O82">
        <v>4</v>
      </c>
      <c r="P82">
        <v>1182.32</v>
      </c>
      <c r="Q82" s="11">
        <v>0.1</v>
      </c>
      <c r="R82">
        <v>4256.3500000000004</v>
      </c>
      <c r="S82">
        <v>2495.33</v>
      </c>
      <c r="T82">
        <v>1761.02</v>
      </c>
      <c r="U82" t="s">
        <v>111</v>
      </c>
      <c r="V82" t="s">
        <v>103</v>
      </c>
      <c r="X82" s="8" t="str">
        <f>IF(C82&gt;=B82,"Valid", "Invalid-Date")</f>
        <v>Valid</v>
      </c>
      <c r="Y82" s="8" t="str">
        <f t="shared" si="18"/>
        <v>Valid</v>
      </c>
      <c r="Z82" s="8" t="str">
        <f t="shared" si="19"/>
        <v>Pass</v>
      </c>
      <c r="AA82" s="8" t="str">
        <f t="shared" si="20"/>
        <v>Pass</v>
      </c>
      <c r="AB82" s="8" t="str">
        <f>TEXT(B82,"mmmm")</f>
        <v>August</v>
      </c>
      <c r="AC82" s="8" t="str">
        <f>TEXT(B82,"yyyy")</f>
        <v>2024</v>
      </c>
      <c r="AE82">
        <f t="shared" si="21"/>
        <v>4729.28</v>
      </c>
      <c r="AF82" s="11">
        <f t="shared" si="22"/>
        <v>4256.3519999999999</v>
      </c>
      <c r="AG82">
        <f t="shared" si="23"/>
        <v>2233.9499999999998</v>
      </c>
      <c r="AH82" s="11">
        <f t="shared" si="24"/>
        <v>0.47236577237972799</v>
      </c>
      <c r="AI82" s="9">
        <f t="shared" si="25"/>
        <v>0.47236577237972799</v>
      </c>
      <c r="AJ82">
        <f t="shared" si="26"/>
        <v>0</v>
      </c>
      <c r="AK82">
        <f t="shared" si="27"/>
        <v>0</v>
      </c>
      <c r="AL82">
        <f t="shared" si="28"/>
        <v>0</v>
      </c>
      <c r="AM82">
        <f t="shared" si="29"/>
        <v>0</v>
      </c>
      <c r="AN82">
        <f t="shared" si="30"/>
        <v>0</v>
      </c>
      <c r="AO82">
        <f t="shared" si="31"/>
        <v>0</v>
      </c>
      <c r="AP82">
        <f t="shared" si="32"/>
        <v>4256.3500000000004</v>
      </c>
      <c r="AQ82">
        <f t="shared" si="33"/>
        <v>1</v>
      </c>
    </row>
    <row r="83" spans="1:43">
      <c r="A83" t="s">
        <v>353</v>
      </c>
      <c r="B83" s="5">
        <v>45732</v>
      </c>
      <c r="C83" s="5">
        <v>45733</v>
      </c>
      <c r="D83" s="13">
        <f t="shared" si="17"/>
        <v>1</v>
      </c>
      <c r="E83" t="s">
        <v>354</v>
      </c>
      <c r="F83" t="s">
        <v>23</v>
      </c>
      <c r="G83" t="s">
        <v>95</v>
      </c>
      <c r="H83" t="s">
        <v>63</v>
      </c>
      <c r="I83" t="s">
        <v>190</v>
      </c>
      <c r="J83" t="s">
        <v>191</v>
      </c>
      <c r="K83" t="s">
        <v>28</v>
      </c>
      <c r="L83" t="s">
        <v>91</v>
      </c>
      <c r="M83" t="s">
        <v>355</v>
      </c>
      <c r="N83" t="s">
        <v>44</v>
      </c>
      <c r="O83">
        <v>3</v>
      </c>
      <c r="P83">
        <v>1841.91</v>
      </c>
      <c r="Q83" s="11">
        <v>0</v>
      </c>
      <c r="R83">
        <v>5525.73</v>
      </c>
      <c r="S83">
        <v>3093.42</v>
      </c>
      <c r="T83">
        <v>2432.31</v>
      </c>
      <c r="U83" t="s">
        <v>32</v>
      </c>
      <c r="V83" t="s">
        <v>33</v>
      </c>
      <c r="X83" s="8" t="str">
        <f>IF(C83&gt;=B83,"Valid", "Invalid-Date")</f>
        <v>Valid</v>
      </c>
      <c r="Y83" s="8" t="str">
        <f t="shared" si="18"/>
        <v>Valid</v>
      </c>
      <c r="Z83" s="8" t="str">
        <f t="shared" si="19"/>
        <v>Pass</v>
      </c>
      <c r="AA83" s="8" t="str">
        <f t="shared" si="20"/>
        <v>Pass</v>
      </c>
      <c r="AB83" s="8" t="str">
        <f>TEXT(B83,"mmmm")</f>
        <v>March</v>
      </c>
      <c r="AC83" s="8" t="str">
        <f>TEXT(B83,"yyyy")</f>
        <v>2025</v>
      </c>
      <c r="AE83">
        <f t="shared" si="21"/>
        <v>5525.7300000000005</v>
      </c>
      <c r="AF83" s="11">
        <f t="shared" si="22"/>
        <v>5525.7300000000005</v>
      </c>
      <c r="AG83">
        <f t="shared" si="23"/>
        <v>2432.3100000000004</v>
      </c>
      <c r="AH83" s="11">
        <f t="shared" si="24"/>
        <v>0.44017894468242208</v>
      </c>
      <c r="AI83" s="9">
        <f t="shared" si="25"/>
        <v>0.44017894468242208</v>
      </c>
      <c r="AJ83">
        <f t="shared" si="26"/>
        <v>5525.73</v>
      </c>
      <c r="AK83">
        <f t="shared" si="27"/>
        <v>1</v>
      </c>
      <c r="AL83">
        <f t="shared" si="28"/>
        <v>0</v>
      </c>
      <c r="AM83">
        <f t="shared" si="29"/>
        <v>0</v>
      </c>
      <c r="AN83">
        <f t="shared" si="30"/>
        <v>0</v>
      </c>
      <c r="AO83">
        <f t="shared" si="31"/>
        <v>0</v>
      </c>
      <c r="AP83">
        <f t="shared" si="32"/>
        <v>0</v>
      </c>
      <c r="AQ83">
        <f t="shared" si="33"/>
        <v>0</v>
      </c>
    </row>
    <row r="84" spans="1:43">
      <c r="A84" t="s">
        <v>356</v>
      </c>
      <c r="B84" s="5">
        <v>45507</v>
      </c>
      <c r="C84" s="5">
        <v>45508</v>
      </c>
      <c r="D84" s="13">
        <f t="shared" si="17"/>
        <v>1</v>
      </c>
      <c r="E84" t="s">
        <v>357</v>
      </c>
      <c r="F84" t="s">
        <v>53</v>
      </c>
      <c r="G84" t="s">
        <v>24</v>
      </c>
      <c r="H84" t="s">
        <v>25</v>
      </c>
      <c r="I84" t="s">
        <v>136</v>
      </c>
      <c r="J84" t="s">
        <v>137</v>
      </c>
      <c r="K84" t="s">
        <v>74</v>
      </c>
      <c r="L84" t="s">
        <v>80</v>
      </c>
      <c r="M84" t="s">
        <v>358</v>
      </c>
      <c r="N84" t="s">
        <v>31</v>
      </c>
      <c r="O84">
        <v>6</v>
      </c>
      <c r="P84">
        <v>1001.73</v>
      </c>
      <c r="Q84" s="11">
        <v>0</v>
      </c>
      <c r="R84">
        <v>6010.38</v>
      </c>
      <c r="S84">
        <v>3762.85</v>
      </c>
      <c r="T84">
        <v>2247.5300000000002</v>
      </c>
      <c r="U84" t="s">
        <v>155</v>
      </c>
      <c r="V84" t="s">
        <v>103</v>
      </c>
      <c r="X84" s="8" t="str">
        <f>IF(C84&gt;=B84,"Valid", "Invalid-Date")</f>
        <v>Valid</v>
      </c>
      <c r="Y84" s="8" t="str">
        <f t="shared" si="18"/>
        <v>Valid</v>
      </c>
      <c r="Z84" s="8" t="str">
        <f t="shared" si="19"/>
        <v>Pass</v>
      </c>
      <c r="AA84" s="8" t="str">
        <f t="shared" si="20"/>
        <v>Pass</v>
      </c>
      <c r="AB84" s="8" t="str">
        <f>TEXT(B84,"mmmm")</f>
        <v>August</v>
      </c>
      <c r="AC84" s="8" t="str">
        <f>TEXT(B84,"yyyy")</f>
        <v>2024</v>
      </c>
      <c r="AE84">
        <f t="shared" si="21"/>
        <v>6010.38</v>
      </c>
      <c r="AF84" s="11">
        <f t="shared" si="22"/>
        <v>6010.38</v>
      </c>
      <c r="AG84">
        <f t="shared" si="23"/>
        <v>2247.5300000000002</v>
      </c>
      <c r="AH84" s="11">
        <f t="shared" si="24"/>
        <v>0.37394141468592673</v>
      </c>
      <c r="AI84" s="9">
        <f t="shared" si="25"/>
        <v>0.37394141468592673</v>
      </c>
      <c r="AJ84">
        <f t="shared" si="26"/>
        <v>0</v>
      </c>
      <c r="AK84">
        <f t="shared" si="27"/>
        <v>0</v>
      </c>
      <c r="AL84">
        <f t="shared" si="28"/>
        <v>0</v>
      </c>
      <c r="AM84">
        <f t="shared" si="29"/>
        <v>0</v>
      </c>
      <c r="AN84">
        <f t="shared" si="30"/>
        <v>6010.38</v>
      </c>
      <c r="AO84">
        <f t="shared" si="31"/>
        <v>1</v>
      </c>
      <c r="AP84">
        <f t="shared" si="32"/>
        <v>6010.38</v>
      </c>
      <c r="AQ84">
        <f t="shared" si="33"/>
        <v>1</v>
      </c>
    </row>
    <row r="85" spans="1:43">
      <c r="A85" t="s">
        <v>359</v>
      </c>
      <c r="B85" s="5">
        <v>45591</v>
      </c>
      <c r="C85" s="5">
        <v>45594</v>
      </c>
      <c r="D85" s="13">
        <f t="shared" si="17"/>
        <v>3</v>
      </c>
      <c r="E85" t="s">
        <v>360</v>
      </c>
      <c r="F85" t="s">
        <v>89</v>
      </c>
      <c r="G85" t="s">
        <v>95</v>
      </c>
      <c r="H85" t="s">
        <v>63</v>
      </c>
      <c r="I85" t="s">
        <v>64</v>
      </c>
      <c r="J85" t="s">
        <v>65</v>
      </c>
      <c r="K85" t="s">
        <v>41</v>
      </c>
      <c r="L85" t="s">
        <v>42</v>
      </c>
      <c r="M85" t="s">
        <v>361</v>
      </c>
      <c r="N85" t="s">
        <v>31</v>
      </c>
      <c r="O85">
        <v>9</v>
      </c>
      <c r="P85">
        <v>131.74</v>
      </c>
      <c r="Q85" s="11">
        <v>0.2</v>
      </c>
      <c r="R85">
        <v>948.53</v>
      </c>
      <c r="S85">
        <v>674.62</v>
      </c>
      <c r="T85">
        <v>273.91000000000003</v>
      </c>
      <c r="U85" t="s">
        <v>32</v>
      </c>
      <c r="V85" t="s">
        <v>33</v>
      </c>
      <c r="X85" s="8" t="str">
        <f>IF(C85&gt;=B85,"Valid", "Invalid-Date")</f>
        <v>Valid</v>
      </c>
      <c r="Y85" s="8" t="str">
        <f t="shared" si="18"/>
        <v>Valid</v>
      </c>
      <c r="Z85" s="8" t="str">
        <f t="shared" si="19"/>
        <v>Pass</v>
      </c>
      <c r="AA85" s="8" t="str">
        <f t="shared" si="20"/>
        <v>Pass</v>
      </c>
      <c r="AB85" s="8" t="str">
        <f>TEXT(B85,"mmmm")</f>
        <v>October</v>
      </c>
      <c r="AC85" s="8" t="str">
        <f>TEXT(B85,"yyyy")</f>
        <v>2024</v>
      </c>
      <c r="AE85">
        <f t="shared" si="21"/>
        <v>1185.6600000000001</v>
      </c>
      <c r="AF85" s="11">
        <f t="shared" si="22"/>
        <v>948.52800000000013</v>
      </c>
      <c r="AG85">
        <f t="shared" si="23"/>
        <v>511.04000000000008</v>
      </c>
      <c r="AH85" s="11">
        <f t="shared" si="24"/>
        <v>0.43101732368469886</v>
      </c>
      <c r="AI85" s="9">
        <f t="shared" si="25"/>
        <v>0.43101732368469886</v>
      </c>
      <c r="AJ85">
        <f t="shared" si="26"/>
        <v>948.53</v>
      </c>
      <c r="AK85">
        <f t="shared" si="27"/>
        <v>1</v>
      </c>
      <c r="AL85">
        <f t="shared" si="28"/>
        <v>0</v>
      </c>
      <c r="AM85">
        <f t="shared" si="29"/>
        <v>0</v>
      </c>
      <c r="AN85">
        <f t="shared" si="30"/>
        <v>0</v>
      </c>
      <c r="AO85">
        <f t="shared" si="31"/>
        <v>0</v>
      </c>
      <c r="AP85">
        <f t="shared" si="32"/>
        <v>0</v>
      </c>
      <c r="AQ85">
        <f t="shared" si="33"/>
        <v>0</v>
      </c>
    </row>
    <row r="86" spans="1:43">
      <c r="A86" t="s">
        <v>362</v>
      </c>
      <c r="B86" s="5">
        <v>45566</v>
      </c>
      <c r="C86" s="5">
        <v>45361</v>
      </c>
      <c r="D86" s="13">
        <f t="shared" si="17"/>
        <v>-205</v>
      </c>
      <c r="E86" t="s">
        <v>363</v>
      </c>
      <c r="F86" t="s">
        <v>141</v>
      </c>
      <c r="G86" t="s">
        <v>90</v>
      </c>
      <c r="H86" t="s">
        <v>54</v>
      </c>
      <c r="I86" t="s">
        <v>247</v>
      </c>
      <c r="J86" t="s">
        <v>248</v>
      </c>
      <c r="K86" t="s">
        <v>74</v>
      </c>
      <c r="L86" t="s">
        <v>171</v>
      </c>
      <c r="M86" t="s">
        <v>364</v>
      </c>
      <c r="N86" t="s">
        <v>31</v>
      </c>
      <c r="O86">
        <v>6</v>
      </c>
      <c r="P86">
        <v>570.28</v>
      </c>
      <c r="Q86" s="11">
        <v>0.2</v>
      </c>
      <c r="R86">
        <v>2737.34</v>
      </c>
      <c r="S86">
        <v>2085.44</v>
      </c>
      <c r="T86">
        <v>651.9</v>
      </c>
      <c r="U86" t="s">
        <v>32</v>
      </c>
      <c r="V86" t="s">
        <v>33</v>
      </c>
      <c r="X86" s="8" t="str">
        <f>IF(C86&gt;=B86,"Valid", "Invalid-Date")</f>
        <v>Invalid-Date</v>
      </c>
      <c r="Y86" s="8" t="str">
        <f t="shared" si="18"/>
        <v>Valid</v>
      </c>
      <c r="Z86" s="8" t="str">
        <f t="shared" si="19"/>
        <v>Pass</v>
      </c>
      <c r="AA86" s="8" t="str">
        <f t="shared" si="20"/>
        <v>Pass</v>
      </c>
      <c r="AB86" s="8" t="str">
        <f>TEXT(B86,"mmmm")</f>
        <v>October</v>
      </c>
      <c r="AC86" s="8" t="str">
        <f>TEXT(B86,"yyyy")</f>
        <v>2024</v>
      </c>
      <c r="AE86">
        <f t="shared" si="21"/>
        <v>3421.68</v>
      </c>
      <c r="AF86" s="11">
        <f t="shared" si="22"/>
        <v>2737.3440000000001</v>
      </c>
      <c r="AG86">
        <f t="shared" si="23"/>
        <v>1336.2399999999998</v>
      </c>
      <c r="AH86" s="11">
        <f t="shared" si="24"/>
        <v>0.39052161511304384</v>
      </c>
      <c r="AI86" s="9">
        <f t="shared" si="25"/>
        <v>0.39052161511304384</v>
      </c>
      <c r="AJ86">
        <f t="shared" si="26"/>
        <v>2737.34</v>
      </c>
      <c r="AK86">
        <f t="shared" si="27"/>
        <v>1</v>
      </c>
      <c r="AL86">
        <f t="shared" si="28"/>
        <v>0</v>
      </c>
      <c r="AM86">
        <f t="shared" si="29"/>
        <v>0</v>
      </c>
      <c r="AN86">
        <f t="shared" si="30"/>
        <v>0</v>
      </c>
      <c r="AO86">
        <f t="shared" si="31"/>
        <v>0</v>
      </c>
      <c r="AP86">
        <f t="shared" si="32"/>
        <v>0</v>
      </c>
      <c r="AQ86">
        <f t="shared" si="33"/>
        <v>0</v>
      </c>
    </row>
    <row r="87" spans="1:43">
      <c r="A87" t="s">
        <v>365</v>
      </c>
      <c r="B87" s="5">
        <v>45503</v>
      </c>
      <c r="C87" s="5">
        <v>45420</v>
      </c>
      <c r="D87" s="13">
        <f t="shared" si="17"/>
        <v>-83</v>
      </c>
      <c r="E87" t="s">
        <v>366</v>
      </c>
      <c r="F87" t="s">
        <v>264</v>
      </c>
      <c r="G87" t="s">
        <v>90</v>
      </c>
      <c r="H87" t="s">
        <v>25</v>
      </c>
      <c r="I87" t="s">
        <v>350</v>
      </c>
      <c r="J87" t="s">
        <v>351</v>
      </c>
      <c r="K87" t="s">
        <v>28</v>
      </c>
      <c r="L87" t="s">
        <v>153</v>
      </c>
      <c r="M87" t="s">
        <v>367</v>
      </c>
      <c r="N87" t="s">
        <v>59</v>
      </c>
      <c r="O87">
        <v>1</v>
      </c>
      <c r="P87">
        <v>608.64</v>
      </c>
      <c r="Q87" s="11">
        <v>0</v>
      </c>
      <c r="R87">
        <v>608.64</v>
      </c>
      <c r="S87">
        <v>343.99</v>
      </c>
      <c r="T87">
        <v>264.64999999999998</v>
      </c>
      <c r="U87" t="s">
        <v>32</v>
      </c>
      <c r="V87" t="s">
        <v>68</v>
      </c>
      <c r="X87" s="8" t="str">
        <f>IF(C87&gt;=B87,"Valid", "Invalid-Date")</f>
        <v>Invalid-Date</v>
      </c>
      <c r="Y87" s="8" t="str">
        <f t="shared" si="18"/>
        <v>Valid</v>
      </c>
      <c r="Z87" s="8" t="str">
        <f t="shared" si="19"/>
        <v>Pass</v>
      </c>
      <c r="AA87" s="8" t="str">
        <f t="shared" si="20"/>
        <v>Pass</v>
      </c>
      <c r="AB87" s="8" t="str">
        <f>TEXT(B87,"mmmm")</f>
        <v>July</v>
      </c>
      <c r="AC87" s="8" t="str">
        <f>TEXT(B87,"yyyy")</f>
        <v>2024</v>
      </c>
      <c r="AE87">
        <f t="shared" si="21"/>
        <v>608.64</v>
      </c>
      <c r="AF87" s="11">
        <f t="shared" si="22"/>
        <v>608.64</v>
      </c>
      <c r="AG87">
        <f t="shared" si="23"/>
        <v>264.64999999999998</v>
      </c>
      <c r="AH87" s="11">
        <f t="shared" si="24"/>
        <v>0.43482189800210302</v>
      </c>
      <c r="AI87" s="9">
        <f t="shared" si="25"/>
        <v>0.43482189800210302</v>
      </c>
      <c r="AJ87">
        <f t="shared" si="26"/>
        <v>0</v>
      </c>
      <c r="AK87">
        <f t="shared" si="27"/>
        <v>0</v>
      </c>
      <c r="AL87">
        <f t="shared" si="28"/>
        <v>608.64</v>
      </c>
      <c r="AM87">
        <f t="shared" si="29"/>
        <v>1</v>
      </c>
      <c r="AN87">
        <f t="shared" si="30"/>
        <v>0</v>
      </c>
      <c r="AO87">
        <f t="shared" si="31"/>
        <v>0</v>
      </c>
      <c r="AP87">
        <f t="shared" si="32"/>
        <v>0</v>
      </c>
      <c r="AQ87">
        <f t="shared" si="33"/>
        <v>0</v>
      </c>
    </row>
    <row r="88" spans="1:43">
      <c r="A88" t="s">
        <v>368</v>
      </c>
      <c r="B88" s="5">
        <v>45474</v>
      </c>
      <c r="C88" s="5">
        <v>45298</v>
      </c>
      <c r="D88" s="13">
        <f t="shared" si="17"/>
        <v>-176</v>
      </c>
      <c r="E88" t="s">
        <v>369</v>
      </c>
      <c r="F88" t="s">
        <v>62</v>
      </c>
      <c r="G88" t="s">
        <v>37</v>
      </c>
      <c r="H88" t="s">
        <v>25</v>
      </c>
      <c r="I88" t="s">
        <v>350</v>
      </c>
      <c r="J88" t="s">
        <v>351</v>
      </c>
      <c r="K88" t="s">
        <v>74</v>
      </c>
      <c r="L88" t="s">
        <v>80</v>
      </c>
      <c r="M88" t="s">
        <v>370</v>
      </c>
      <c r="N88" t="s">
        <v>31</v>
      </c>
      <c r="O88">
        <v>3</v>
      </c>
      <c r="P88">
        <v>885.28</v>
      </c>
      <c r="Q88" s="11">
        <v>0.1</v>
      </c>
      <c r="R88">
        <v>2390.2600000000002</v>
      </c>
      <c r="S88">
        <v>1495.94</v>
      </c>
      <c r="T88">
        <v>894.32</v>
      </c>
      <c r="U88" t="s">
        <v>102</v>
      </c>
      <c r="V88" t="s">
        <v>68</v>
      </c>
      <c r="X88" s="8" t="str">
        <f>IF(C88&gt;=B88,"Valid", "Invalid-Date")</f>
        <v>Invalid-Date</v>
      </c>
      <c r="Y88" s="8" t="str">
        <f t="shared" si="18"/>
        <v>Valid</v>
      </c>
      <c r="Z88" s="8" t="str">
        <f t="shared" si="19"/>
        <v>Pass</v>
      </c>
      <c r="AA88" s="8" t="str">
        <f t="shared" si="20"/>
        <v>Pass</v>
      </c>
      <c r="AB88" s="8" t="str">
        <f>TEXT(B88,"mmmm")</f>
        <v>July</v>
      </c>
      <c r="AC88" s="8" t="str">
        <f>TEXT(B88,"yyyy")</f>
        <v>2024</v>
      </c>
      <c r="AE88">
        <f t="shared" si="21"/>
        <v>2655.84</v>
      </c>
      <c r="AF88" s="11">
        <f t="shared" si="22"/>
        <v>2390.2560000000003</v>
      </c>
      <c r="AG88">
        <f t="shared" si="23"/>
        <v>1159.9000000000001</v>
      </c>
      <c r="AH88" s="11">
        <f t="shared" si="24"/>
        <v>0.43673564672570636</v>
      </c>
      <c r="AI88" s="9">
        <f t="shared" si="25"/>
        <v>0.43673564672570636</v>
      </c>
      <c r="AJ88">
        <f t="shared" si="26"/>
        <v>0</v>
      </c>
      <c r="AK88">
        <f t="shared" si="27"/>
        <v>0</v>
      </c>
      <c r="AL88">
        <f t="shared" si="28"/>
        <v>2390.2600000000002</v>
      </c>
      <c r="AM88">
        <f t="shared" si="29"/>
        <v>1</v>
      </c>
      <c r="AN88">
        <f t="shared" si="30"/>
        <v>0</v>
      </c>
      <c r="AO88">
        <f t="shared" si="31"/>
        <v>0</v>
      </c>
      <c r="AP88">
        <f t="shared" si="32"/>
        <v>0</v>
      </c>
      <c r="AQ88">
        <f t="shared" si="33"/>
        <v>0</v>
      </c>
    </row>
    <row r="89" spans="1:43">
      <c r="A89" t="s">
        <v>371</v>
      </c>
      <c r="B89" s="5">
        <v>45506</v>
      </c>
      <c r="C89" s="5">
        <v>45359</v>
      </c>
      <c r="D89" s="13">
        <f t="shared" si="17"/>
        <v>-147</v>
      </c>
      <c r="E89" t="s">
        <v>372</v>
      </c>
      <c r="F89" t="s">
        <v>71</v>
      </c>
      <c r="G89" t="s">
        <v>24</v>
      </c>
      <c r="H89" t="s">
        <v>38</v>
      </c>
      <c r="I89" t="s">
        <v>166</v>
      </c>
      <c r="J89" t="s">
        <v>167</v>
      </c>
      <c r="K89" t="s">
        <v>28</v>
      </c>
      <c r="L89" t="s">
        <v>153</v>
      </c>
      <c r="M89" t="s">
        <v>373</v>
      </c>
      <c r="N89" t="s">
        <v>59</v>
      </c>
      <c r="O89">
        <v>7</v>
      </c>
      <c r="P89">
        <v>3345.22</v>
      </c>
      <c r="Q89" s="11">
        <v>0</v>
      </c>
      <c r="R89">
        <v>23416.54</v>
      </c>
      <c r="S89">
        <v>15490.89</v>
      </c>
      <c r="T89">
        <v>7925.65</v>
      </c>
      <c r="U89" t="s">
        <v>32</v>
      </c>
      <c r="V89" t="s">
        <v>33</v>
      </c>
      <c r="X89" s="8" t="str">
        <f>IF(C89&gt;=B89,"Valid", "Invalid-Date")</f>
        <v>Invalid-Date</v>
      </c>
      <c r="Y89" s="8" t="str">
        <f t="shared" si="18"/>
        <v>Valid</v>
      </c>
      <c r="Z89" s="8" t="str">
        <f t="shared" si="19"/>
        <v>Pass</v>
      </c>
      <c r="AA89" s="8" t="str">
        <f t="shared" si="20"/>
        <v>Pass</v>
      </c>
      <c r="AB89" s="8" t="str">
        <f>TEXT(B89,"mmmm")</f>
        <v>August</v>
      </c>
      <c r="AC89" s="8" t="str">
        <f>TEXT(B89,"yyyy")</f>
        <v>2024</v>
      </c>
      <c r="AE89">
        <f t="shared" si="21"/>
        <v>23416.539999999997</v>
      </c>
      <c r="AF89" s="11">
        <f t="shared" si="22"/>
        <v>23416.539999999997</v>
      </c>
      <c r="AG89">
        <f t="shared" si="23"/>
        <v>7925.6499999999978</v>
      </c>
      <c r="AH89" s="11">
        <f t="shared" si="24"/>
        <v>0.33846375254414185</v>
      </c>
      <c r="AI89" s="9">
        <f t="shared" si="25"/>
        <v>0.33846375254414185</v>
      </c>
      <c r="AJ89">
        <f t="shared" si="26"/>
        <v>23416.54</v>
      </c>
      <c r="AK89">
        <f t="shared" si="27"/>
        <v>1</v>
      </c>
      <c r="AL89">
        <f t="shared" si="28"/>
        <v>0</v>
      </c>
      <c r="AM89">
        <f t="shared" si="29"/>
        <v>0</v>
      </c>
      <c r="AN89">
        <f t="shared" si="30"/>
        <v>0</v>
      </c>
      <c r="AO89">
        <f t="shared" si="31"/>
        <v>0</v>
      </c>
      <c r="AP89">
        <f t="shared" si="32"/>
        <v>0</v>
      </c>
      <c r="AQ89">
        <f t="shared" si="33"/>
        <v>0</v>
      </c>
    </row>
    <row r="90" spans="1:43">
      <c r="A90" t="s">
        <v>374</v>
      </c>
      <c r="B90" s="5">
        <v>45375</v>
      </c>
      <c r="C90" s="5">
        <v>45378</v>
      </c>
      <c r="D90" s="13">
        <f t="shared" si="17"/>
        <v>3</v>
      </c>
      <c r="E90" t="s">
        <v>375</v>
      </c>
      <c r="F90" t="s">
        <v>141</v>
      </c>
      <c r="G90" t="s">
        <v>37</v>
      </c>
      <c r="H90" t="s">
        <v>63</v>
      </c>
      <c r="I90" t="s">
        <v>64</v>
      </c>
      <c r="J90" t="s">
        <v>65</v>
      </c>
      <c r="K90" t="s">
        <v>41</v>
      </c>
      <c r="L90" t="s">
        <v>158</v>
      </c>
      <c r="M90" t="s">
        <v>376</v>
      </c>
      <c r="N90" t="s">
        <v>59</v>
      </c>
      <c r="O90">
        <v>2</v>
      </c>
      <c r="P90">
        <v>3284.75</v>
      </c>
      <c r="Q90" s="11">
        <v>0.05</v>
      </c>
      <c r="R90">
        <v>6241.02</v>
      </c>
      <c r="S90">
        <v>5345.88</v>
      </c>
      <c r="T90">
        <v>895.14</v>
      </c>
      <c r="U90" t="s">
        <v>32</v>
      </c>
      <c r="V90" t="s">
        <v>33</v>
      </c>
      <c r="X90" s="8" t="str">
        <f>IF(C90&gt;=B90,"Valid", "Invalid-Date")</f>
        <v>Valid</v>
      </c>
      <c r="Y90" s="8" t="str">
        <f t="shared" si="18"/>
        <v>Valid</v>
      </c>
      <c r="Z90" s="8" t="str">
        <f t="shared" si="19"/>
        <v>Pass</v>
      </c>
      <c r="AA90" s="8" t="str">
        <f t="shared" si="20"/>
        <v>Pass</v>
      </c>
      <c r="AB90" s="8" t="str">
        <f>TEXT(B90,"mmmm")</f>
        <v>March</v>
      </c>
      <c r="AC90" s="8" t="str">
        <f>TEXT(B90,"yyyy")</f>
        <v>2024</v>
      </c>
      <c r="AE90">
        <f t="shared" si="21"/>
        <v>6569.5</v>
      </c>
      <c r="AF90" s="11">
        <f t="shared" si="22"/>
        <v>6241.0249999999996</v>
      </c>
      <c r="AG90">
        <f t="shared" si="23"/>
        <v>1223.6199999999999</v>
      </c>
      <c r="AH90" s="11">
        <f t="shared" si="24"/>
        <v>0.18625770606591063</v>
      </c>
      <c r="AI90" s="9">
        <f t="shared" si="25"/>
        <v>0.18625770606591063</v>
      </c>
      <c r="AJ90">
        <f t="shared" si="26"/>
        <v>6241.02</v>
      </c>
      <c r="AK90">
        <f t="shared" si="27"/>
        <v>1</v>
      </c>
      <c r="AL90">
        <f t="shared" si="28"/>
        <v>0</v>
      </c>
      <c r="AM90">
        <f t="shared" si="29"/>
        <v>0</v>
      </c>
      <c r="AN90">
        <f t="shared" si="30"/>
        <v>0</v>
      </c>
      <c r="AO90">
        <f t="shared" si="31"/>
        <v>0</v>
      </c>
      <c r="AP90">
        <f t="shared" si="32"/>
        <v>0</v>
      </c>
      <c r="AQ90">
        <f t="shared" si="33"/>
        <v>0</v>
      </c>
    </row>
    <row r="91" spans="1:43">
      <c r="A91" t="s">
        <v>377</v>
      </c>
      <c r="B91" s="5">
        <v>45540</v>
      </c>
      <c r="C91" s="5">
        <v>45421</v>
      </c>
      <c r="D91" s="13">
        <f t="shared" si="17"/>
        <v>-119</v>
      </c>
      <c r="E91" t="s">
        <v>378</v>
      </c>
      <c r="F91" t="s">
        <v>264</v>
      </c>
      <c r="G91" t="s">
        <v>24</v>
      </c>
      <c r="H91" t="s">
        <v>54</v>
      </c>
      <c r="I91" t="s">
        <v>84</v>
      </c>
      <c r="J91" t="s">
        <v>85</v>
      </c>
      <c r="K91" t="s">
        <v>41</v>
      </c>
      <c r="L91" t="s">
        <v>158</v>
      </c>
      <c r="M91" t="s">
        <v>379</v>
      </c>
      <c r="N91" t="s">
        <v>59</v>
      </c>
      <c r="O91">
        <v>7</v>
      </c>
      <c r="P91">
        <v>3761.09</v>
      </c>
      <c r="Q91" s="11">
        <v>0.2</v>
      </c>
      <c r="R91">
        <v>21062.1</v>
      </c>
      <c r="S91">
        <v>12057.13</v>
      </c>
      <c r="T91">
        <v>9004.9699999999993</v>
      </c>
      <c r="U91" t="s">
        <v>111</v>
      </c>
      <c r="V91" t="s">
        <v>68</v>
      </c>
      <c r="X91" s="8" t="str">
        <f>IF(C91&gt;=B91,"Valid", "Invalid-Date")</f>
        <v>Invalid-Date</v>
      </c>
      <c r="Y91" s="8" t="str">
        <f t="shared" si="18"/>
        <v>Valid</v>
      </c>
      <c r="Z91" s="8" t="str">
        <f t="shared" si="19"/>
        <v>Pass</v>
      </c>
      <c r="AA91" s="8" t="str">
        <f t="shared" si="20"/>
        <v>Pass</v>
      </c>
      <c r="AB91" s="8" t="str">
        <f>TEXT(B91,"mmmm")</f>
        <v>September</v>
      </c>
      <c r="AC91" s="8" t="str">
        <f>TEXT(B91,"yyyy")</f>
        <v>2024</v>
      </c>
      <c r="AE91">
        <f t="shared" si="21"/>
        <v>26327.63</v>
      </c>
      <c r="AF91" s="11">
        <f t="shared" si="22"/>
        <v>21062.104000000003</v>
      </c>
      <c r="AG91">
        <f t="shared" si="23"/>
        <v>14270.500000000002</v>
      </c>
      <c r="AH91" s="11">
        <f t="shared" si="24"/>
        <v>0.54203511671958327</v>
      </c>
      <c r="AI91" s="9">
        <f t="shared" si="25"/>
        <v>0.54203511671958327</v>
      </c>
      <c r="AJ91">
        <f t="shared" si="26"/>
        <v>0</v>
      </c>
      <c r="AK91">
        <f t="shared" si="27"/>
        <v>0</v>
      </c>
      <c r="AL91">
        <f t="shared" si="28"/>
        <v>21062.1</v>
      </c>
      <c r="AM91">
        <f t="shared" si="29"/>
        <v>1</v>
      </c>
      <c r="AN91">
        <f t="shared" si="30"/>
        <v>0</v>
      </c>
      <c r="AO91">
        <f t="shared" si="31"/>
        <v>0</v>
      </c>
      <c r="AP91">
        <f t="shared" si="32"/>
        <v>0</v>
      </c>
      <c r="AQ91">
        <f t="shared" si="33"/>
        <v>0</v>
      </c>
    </row>
    <row r="92" spans="1:43" s="15" customFormat="1">
      <c r="A92" s="15" t="s">
        <v>380</v>
      </c>
      <c r="B92" s="16">
        <v>45893</v>
      </c>
      <c r="C92" s="16">
        <v>45898</v>
      </c>
      <c r="D92" s="17">
        <f t="shared" si="17"/>
        <v>5</v>
      </c>
      <c r="E92" s="15" t="s">
        <v>381</v>
      </c>
      <c r="F92" s="15" t="s">
        <v>128</v>
      </c>
      <c r="G92" s="15" t="s">
        <v>37</v>
      </c>
      <c r="H92" s="15" t="s">
        <v>38</v>
      </c>
      <c r="I92" s="15" t="s">
        <v>145</v>
      </c>
      <c r="J92" s="15" t="s">
        <v>146</v>
      </c>
      <c r="K92" s="15" t="s">
        <v>74</v>
      </c>
      <c r="L92" s="15" t="s">
        <v>80</v>
      </c>
      <c r="M92" s="15" t="s">
        <v>382</v>
      </c>
      <c r="N92" s="15" t="s">
        <v>50</v>
      </c>
      <c r="O92" s="15">
        <v>3</v>
      </c>
      <c r="P92" s="15">
        <v>3703.96</v>
      </c>
      <c r="Q92" s="18">
        <v>0.15</v>
      </c>
      <c r="R92" s="15">
        <v>9445.1</v>
      </c>
      <c r="S92" s="15">
        <v>5586.28</v>
      </c>
      <c r="T92" s="15">
        <v>3858.82</v>
      </c>
      <c r="U92" s="15" t="s">
        <v>32</v>
      </c>
      <c r="V92" s="15" t="s">
        <v>33</v>
      </c>
      <c r="W92" s="25"/>
      <c r="X92" s="8" t="str">
        <f>IF(C92&gt;=B92,"Valid", "Invalid-Date")</f>
        <v>Valid</v>
      </c>
      <c r="Y92" s="8" t="str">
        <f t="shared" si="18"/>
        <v>Valid</v>
      </c>
      <c r="Z92" s="19" t="str">
        <f t="shared" si="19"/>
        <v>Pass</v>
      </c>
      <c r="AA92" s="19" t="str">
        <f t="shared" si="20"/>
        <v>Pass</v>
      </c>
      <c r="AB92" s="19" t="str">
        <f>TEXT(B92,"mmmm")</f>
        <v>August</v>
      </c>
      <c r="AC92" s="19" t="str">
        <f>TEXT(B92,"yyyy")</f>
        <v>2025</v>
      </c>
      <c r="AD92" s="20"/>
      <c r="AE92" s="15">
        <f t="shared" si="21"/>
        <v>11111.880000000001</v>
      </c>
      <c r="AF92" s="11">
        <f t="shared" si="22"/>
        <v>9445.098</v>
      </c>
      <c r="AG92" s="15">
        <f t="shared" si="23"/>
        <v>5525.6000000000013</v>
      </c>
      <c r="AH92" s="18">
        <f t="shared" si="24"/>
        <v>0.49726958894444512</v>
      </c>
      <c r="AI92" s="21">
        <f t="shared" si="25"/>
        <v>0.49726958894444512</v>
      </c>
      <c r="AJ92">
        <f t="shared" si="26"/>
        <v>9445.1</v>
      </c>
      <c r="AK92">
        <f t="shared" si="27"/>
        <v>1</v>
      </c>
      <c r="AL92">
        <f t="shared" si="28"/>
        <v>0</v>
      </c>
      <c r="AM92">
        <f t="shared" si="29"/>
        <v>0</v>
      </c>
      <c r="AN92">
        <f t="shared" si="30"/>
        <v>0</v>
      </c>
      <c r="AO92">
        <f t="shared" si="31"/>
        <v>0</v>
      </c>
      <c r="AP92">
        <f t="shared" si="32"/>
        <v>0</v>
      </c>
      <c r="AQ92">
        <f t="shared" si="33"/>
        <v>0</v>
      </c>
    </row>
    <row r="93" spans="1:43">
      <c r="A93" t="s">
        <v>383</v>
      </c>
      <c r="B93" s="5">
        <v>45718</v>
      </c>
      <c r="C93" s="5">
        <v>45872</v>
      </c>
      <c r="D93" s="13">
        <f t="shared" si="17"/>
        <v>154</v>
      </c>
      <c r="E93" t="s">
        <v>384</v>
      </c>
      <c r="F93" t="s">
        <v>132</v>
      </c>
      <c r="G93" t="s">
        <v>90</v>
      </c>
      <c r="H93" t="s">
        <v>63</v>
      </c>
      <c r="I93" t="s">
        <v>72</v>
      </c>
      <c r="J93" t="s">
        <v>73</v>
      </c>
      <c r="K93" t="s">
        <v>74</v>
      </c>
      <c r="L93" t="s">
        <v>80</v>
      </c>
      <c r="M93" t="s">
        <v>385</v>
      </c>
      <c r="N93" t="s">
        <v>31</v>
      </c>
      <c r="O93">
        <v>9</v>
      </c>
      <c r="P93">
        <v>269.68</v>
      </c>
      <c r="Q93" s="11">
        <v>0</v>
      </c>
      <c r="R93">
        <v>2427.12</v>
      </c>
      <c r="S93">
        <v>1538.35</v>
      </c>
      <c r="T93">
        <v>804.53</v>
      </c>
      <c r="U93" t="s">
        <v>32</v>
      </c>
      <c r="V93" t="s">
        <v>33</v>
      </c>
      <c r="X93" s="8" t="str">
        <f>IF(C93&gt;=B93,"Valid", "Invalid-Date")</f>
        <v>Valid</v>
      </c>
      <c r="Y93" s="8" t="str">
        <f t="shared" si="18"/>
        <v>Valid</v>
      </c>
      <c r="Z93" s="8" t="str">
        <f t="shared" si="19"/>
        <v>Pass</v>
      </c>
      <c r="AA93" s="8" t="str">
        <f t="shared" si="20"/>
        <v>Pass</v>
      </c>
      <c r="AB93" s="8" t="str">
        <f>TEXT(B93,"mmmm")</f>
        <v>March</v>
      </c>
      <c r="AC93" s="8" t="str">
        <f>TEXT(B93,"yyyy")</f>
        <v>2025</v>
      </c>
      <c r="AE93">
        <f t="shared" si="21"/>
        <v>2427.12</v>
      </c>
      <c r="AF93" s="11">
        <f t="shared" si="22"/>
        <v>2427.12</v>
      </c>
      <c r="AG93">
        <f t="shared" si="23"/>
        <v>888.77</v>
      </c>
      <c r="AH93" s="11">
        <f t="shared" si="24"/>
        <v>0.36618296581957216</v>
      </c>
      <c r="AI93" s="9">
        <f t="shared" si="25"/>
        <v>0.36618296581957216</v>
      </c>
      <c r="AJ93">
        <f t="shared" si="26"/>
        <v>2427.12</v>
      </c>
      <c r="AK93">
        <f t="shared" si="27"/>
        <v>1</v>
      </c>
      <c r="AL93">
        <f t="shared" si="28"/>
        <v>0</v>
      </c>
      <c r="AM93">
        <f t="shared" si="29"/>
        <v>0</v>
      </c>
      <c r="AN93">
        <f t="shared" si="30"/>
        <v>0</v>
      </c>
      <c r="AO93">
        <f t="shared" si="31"/>
        <v>0</v>
      </c>
      <c r="AP93">
        <f t="shared" si="32"/>
        <v>0</v>
      </c>
      <c r="AQ93">
        <f t="shared" si="33"/>
        <v>0</v>
      </c>
    </row>
    <row r="94" spans="1:43">
      <c r="A94" t="s">
        <v>386</v>
      </c>
      <c r="B94" s="5">
        <v>45680</v>
      </c>
      <c r="C94" s="5">
        <v>45683</v>
      </c>
      <c r="D94" s="13">
        <f t="shared" si="17"/>
        <v>3</v>
      </c>
      <c r="E94" t="s">
        <v>387</v>
      </c>
      <c r="F94" t="s">
        <v>128</v>
      </c>
      <c r="G94" t="s">
        <v>24</v>
      </c>
      <c r="H94" t="s">
        <v>63</v>
      </c>
      <c r="I94" t="s">
        <v>72</v>
      </c>
      <c r="J94" t="s">
        <v>73</v>
      </c>
      <c r="K94" t="s">
        <v>28</v>
      </c>
      <c r="L94" t="s">
        <v>29</v>
      </c>
      <c r="M94" t="s">
        <v>388</v>
      </c>
      <c r="N94" t="s">
        <v>59</v>
      </c>
      <c r="O94">
        <v>9</v>
      </c>
      <c r="P94">
        <v>4458.26</v>
      </c>
      <c r="Q94" s="11">
        <v>0.1</v>
      </c>
      <c r="R94">
        <v>36111.910000000003</v>
      </c>
      <c r="S94">
        <v>29194.5</v>
      </c>
      <c r="T94">
        <v>6917.41</v>
      </c>
      <c r="U94" t="s">
        <v>32</v>
      </c>
      <c r="V94" t="s">
        <v>33</v>
      </c>
      <c r="X94" s="8" t="str">
        <f>IF(C94&gt;=B94,"Valid", "Invalid-Date")</f>
        <v>Valid</v>
      </c>
      <c r="Y94" s="8" t="str">
        <f t="shared" si="18"/>
        <v>Valid</v>
      </c>
      <c r="Z94" s="8" t="str">
        <f t="shared" si="19"/>
        <v>Pass</v>
      </c>
      <c r="AA94" s="8" t="str">
        <f t="shared" si="20"/>
        <v>Pass</v>
      </c>
      <c r="AB94" s="8" t="str">
        <f>TEXT(B94,"mmmm")</f>
        <v>January</v>
      </c>
      <c r="AC94" s="8" t="str">
        <f>TEXT(B94,"yyyy")</f>
        <v>2025</v>
      </c>
      <c r="AE94">
        <f t="shared" si="21"/>
        <v>40124.340000000004</v>
      </c>
      <c r="AF94" s="11">
        <f t="shared" si="22"/>
        <v>36111.906000000003</v>
      </c>
      <c r="AG94">
        <f t="shared" si="23"/>
        <v>10929.840000000004</v>
      </c>
      <c r="AH94" s="11">
        <f t="shared" si="24"/>
        <v>0.27239924694088435</v>
      </c>
      <c r="AI94" s="9">
        <f t="shared" si="25"/>
        <v>0.27239924694088435</v>
      </c>
      <c r="AJ94">
        <f t="shared" si="26"/>
        <v>36111.910000000003</v>
      </c>
      <c r="AK94">
        <f t="shared" si="27"/>
        <v>1</v>
      </c>
      <c r="AL94">
        <f t="shared" si="28"/>
        <v>0</v>
      </c>
      <c r="AM94">
        <f t="shared" si="29"/>
        <v>0</v>
      </c>
      <c r="AN94">
        <f t="shared" si="30"/>
        <v>0</v>
      </c>
      <c r="AO94">
        <f t="shared" si="31"/>
        <v>0</v>
      </c>
      <c r="AP94">
        <f t="shared" si="32"/>
        <v>0</v>
      </c>
      <c r="AQ94">
        <f t="shared" si="33"/>
        <v>0</v>
      </c>
    </row>
    <row r="95" spans="1:43">
      <c r="A95" t="s">
        <v>389</v>
      </c>
      <c r="B95" s="5">
        <v>45474</v>
      </c>
      <c r="C95" s="5">
        <v>45304</v>
      </c>
      <c r="D95" s="13">
        <f t="shared" si="17"/>
        <v>-170</v>
      </c>
      <c r="E95" t="s">
        <v>390</v>
      </c>
      <c r="F95" t="s">
        <v>141</v>
      </c>
      <c r="G95" t="s">
        <v>90</v>
      </c>
      <c r="H95" t="s">
        <v>25</v>
      </c>
      <c r="I95" t="s">
        <v>136</v>
      </c>
      <c r="J95" t="s">
        <v>137</v>
      </c>
      <c r="K95" t="s">
        <v>28</v>
      </c>
      <c r="L95" t="s">
        <v>153</v>
      </c>
      <c r="M95" t="s">
        <v>391</v>
      </c>
      <c r="N95" t="s">
        <v>59</v>
      </c>
      <c r="O95">
        <v>7</v>
      </c>
      <c r="P95">
        <v>2788.97</v>
      </c>
      <c r="Q95" s="11">
        <v>-0.09</v>
      </c>
      <c r="R95">
        <v>19522.79</v>
      </c>
      <c r="S95">
        <v>12455.78</v>
      </c>
      <c r="T95">
        <v>7067.01</v>
      </c>
      <c r="U95" t="s">
        <v>32</v>
      </c>
      <c r="V95" t="s">
        <v>33</v>
      </c>
      <c r="X95" s="8" t="str">
        <f>IF(C95&gt;=B95,"Valid", "Invalid-Date")</f>
        <v>Invalid-Date</v>
      </c>
      <c r="Y95" s="8" t="str">
        <f t="shared" si="18"/>
        <v>Invalid-Discount</v>
      </c>
      <c r="Z95" s="8" t="str">
        <f t="shared" si="19"/>
        <v>Pass</v>
      </c>
      <c r="AA95" s="8" t="str">
        <f t="shared" si="20"/>
        <v>Pass</v>
      </c>
      <c r="AB95" s="8" t="str">
        <f>TEXT(B95,"mmmm")</f>
        <v>July</v>
      </c>
      <c r="AC95" s="8" t="str">
        <f>TEXT(B95,"yyyy")</f>
        <v>2024</v>
      </c>
      <c r="AE95">
        <f t="shared" si="21"/>
        <v>19522.789999999997</v>
      </c>
      <c r="AF95" s="11">
        <f t="shared" si="22"/>
        <v>21279.841099999998</v>
      </c>
      <c r="AG95">
        <f t="shared" si="23"/>
        <v>7067.0099999999966</v>
      </c>
      <c r="AH95" s="11">
        <f t="shared" si="24"/>
        <v>0.36198770769956534</v>
      </c>
      <c r="AI95" s="9">
        <f t="shared" si="25"/>
        <v>0.36198770769956534</v>
      </c>
      <c r="AJ95">
        <f t="shared" si="26"/>
        <v>19522.79</v>
      </c>
      <c r="AK95">
        <f t="shared" si="27"/>
        <v>1</v>
      </c>
      <c r="AL95">
        <f t="shared" si="28"/>
        <v>0</v>
      </c>
      <c r="AM95">
        <f t="shared" si="29"/>
        <v>0</v>
      </c>
      <c r="AN95">
        <f t="shared" si="30"/>
        <v>0</v>
      </c>
      <c r="AO95">
        <f t="shared" si="31"/>
        <v>0</v>
      </c>
      <c r="AP95">
        <f t="shared" si="32"/>
        <v>0</v>
      </c>
      <c r="AQ95">
        <f t="shared" si="33"/>
        <v>0</v>
      </c>
    </row>
    <row r="96" spans="1:43">
      <c r="A96" t="s">
        <v>392</v>
      </c>
      <c r="B96" s="5">
        <v>45452</v>
      </c>
      <c r="C96" s="5">
        <v>45544</v>
      </c>
      <c r="D96" s="13">
        <f t="shared" si="17"/>
        <v>92</v>
      </c>
      <c r="E96" t="s">
        <v>393</v>
      </c>
      <c r="F96" t="s">
        <v>162</v>
      </c>
      <c r="G96" t="s">
        <v>24</v>
      </c>
      <c r="H96" t="s">
        <v>25</v>
      </c>
      <c r="I96" t="s">
        <v>236</v>
      </c>
      <c r="J96" t="s">
        <v>237</v>
      </c>
      <c r="K96" t="s">
        <v>74</v>
      </c>
      <c r="L96" t="s">
        <v>171</v>
      </c>
      <c r="M96" t="s">
        <v>394</v>
      </c>
      <c r="N96" t="s">
        <v>31</v>
      </c>
      <c r="O96">
        <v>7</v>
      </c>
      <c r="P96">
        <v>3781.53</v>
      </c>
      <c r="Q96" s="11">
        <v>0</v>
      </c>
      <c r="R96">
        <v>26470.71</v>
      </c>
      <c r="S96">
        <v>21367.599999999999</v>
      </c>
      <c r="T96">
        <v>5103.1099999999997</v>
      </c>
      <c r="U96" t="s">
        <v>111</v>
      </c>
      <c r="V96" t="s">
        <v>68</v>
      </c>
      <c r="X96" s="8" t="str">
        <f>IF(C96&gt;=B96,"Valid", "Invalid-Date")</f>
        <v>Valid</v>
      </c>
      <c r="Y96" s="8" t="str">
        <f t="shared" si="18"/>
        <v>Valid</v>
      </c>
      <c r="Z96" s="8" t="str">
        <f t="shared" si="19"/>
        <v>Pass</v>
      </c>
      <c r="AA96" s="8" t="str">
        <f t="shared" si="20"/>
        <v>Pass</v>
      </c>
      <c r="AB96" s="8" t="str">
        <f>TEXT(B96,"mmmm")</f>
        <v>June</v>
      </c>
      <c r="AC96" s="8" t="str">
        <f>TEXT(B96,"yyyy")</f>
        <v>2024</v>
      </c>
      <c r="AE96">
        <f t="shared" si="21"/>
        <v>26470.710000000003</v>
      </c>
      <c r="AF96" s="11">
        <f t="shared" si="22"/>
        <v>26470.710000000003</v>
      </c>
      <c r="AG96">
        <f t="shared" si="23"/>
        <v>5103.1100000000042</v>
      </c>
      <c r="AH96" s="11">
        <f t="shared" si="24"/>
        <v>0.19278326875251944</v>
      </c>
      <c r="AI96" s="9">
        <f t="shared" si="25"/>
        <v>0.19278326875251944</v>
      </c>
      <c r="AJ96">
        <f t="shared" si="26"/>
        <v>0</v>
      </c>
      <c r="AK96">
        <f t="shared" si="27"/>
        <v>0</v>
      </c>
      <c r="AL96">
        <f t="shared" si="28"/>
        <v>26470.71</v>
      </c>
      <c r="AM96">
        <f t="shared" si="29"/>
        <v>1</v>
      </c>
      <c r="AN96">
        <f t="shared" si="30"/>
        <v>0</v>
      </c>
      <c r="AO96">
        <f t="shared" si="31"/>
        <v>0</v>
      </c>
      <c r="AP96">
        <f t="shared" si="32"/>
        <v>0</v>
      </c>
      <c r="AQ96">
        <f t="shared" si="33"/>
        <v>0</v>
      </c>
    </row>
    <row r="97" spans="1:43">
      <c r="A97" t="s">
        <v>395</v>
      </c>
      <c r="B97" s="5">
        <v>45905</v>
      </c>
      <c r="C97" s="5">
        <v>45939</v>
      </c>
      <c r="D97" s="13">
        <f t="shared" si="17"/>
        <v>34</v>
      </c>
      <c r="E97" t="s">
        <v>396</v>
      </c>
      <c r="F97" t="s">
        <v>132</v>
      </c>
      <c r="G97" t="s">
        <v>90</v>
      </c>
      <c r="H97" t="s">
        <v>63</v>
      </c>
      <c r="I97" t="s">
        <v>190</v>
      </c>
      <c r="J97" t="s">
        <v>191</v>
      </c>
      <c r="K97" t="s">
        <v>41</v>
      </c>
      <c r="L97" t="s">
        <v>158</v>
      </c>
      <c r="M97" t="s">
        <v>397</v>
      </c>
      <c r="N97" t="s">
        <v>44</v>
      </c>
      <c r="O97">
        <v>6</v>
      </c>
      <c r="P97">
        <v>1754.13</v>
      </c>
      <c r="Q97" s="11">
        <v>0</v>
      </c>
      <c r="R97">
        <v>10524.78</v>
      </c>
      <c r="S97">
        <v>8841.0499999999993</v>
      </c>
      <c r="T97">
        <v>1683.73</v>
      </c>
      <c r="U97" t="s">
        <v>32</v>
      </c>
      <c r="V97" t="s">
        <v>33</v>
      </c>
      <c r="X97" s="8" t="str">
        <f>IF(C97&gt;=B97,"Valid", "Invalid-Date")</f>
        <v>Valid</v>
      </c>
      <c r="Y97" s="8" t="str">
        <f t="shared" si="18"/>
        <v>Valid</v>
      </c>
      <c r="Z97" s="8" t="str">
        <f t="shared" si="19"/>
        <v>Pass</v>
      </c>
      <c r="AA97" s="8" t="str">
        <f t="shared" si="20"/>
        <v>Pass</v>
      </c>
      <c r="AB97" s="8" t="str">
        <f>TEXT(B97,"mmmm")</f>
        <v>September</v>
      </c>
      <c r="AC97" s="8" t="str">
        <f>TEXT(B97,"yyyy")</f>
        <v>2025</v>
      </c>
      <c r="AE97">
        <f t="shared" si="21"/>
        <v>10524.78</v>
      </c>
      <c r="AF97" s="11">
        <f t="shared" si="22"/>
        <v>10524.78</v>
      </c>
      <c r="AG97">
        <f t="shared" si="23"/>
        <v>1683.7300000000014</v>
      </c>
      <c r="AH97" s="11">
        <f t="shared" si="24"/>
        <v>0.15997769074507984</v>
      </c>
      <c r="AI97" s="9">
        <f t="shared" si="25"/>
        <v>0.15997769074507984</v>
      </c>
      <c r="AJ97">
        <f t="shared" si="26"/>
        <v>10524.78</v>
      </c>
      <c r="AK97">
        <f t="shared" si="27"/>
        <v>1</v>
      </c>
      <c r="AL97">
        <f t="shared" si="28"/>
        <v>0</v>
      </c>
      <c r="AM97">
        <f t="shared" si="29"/>
        <v>0</v>
      </c>
      <c r="AN97">
        <f t="shared" si="30"/>
        <v>0</v>
      </c>
      <c r="AO97">
        <f t="shared" si="31"/>
        <v>0</v>
      </c>
      <c r="AP97">
        <f t="shared" si="32"/>
        <v>0</v>
      </c>
      <c r="AQ97">
        <f t="shared" si="33"/>
        <v>0</v>
      </c>
    </row>
    <row r="98" spans="1:43">
      <c r="A98" t="s">
        <v>398</v>
      </c>
      <c r="B98" s="5">
        <v>45448</v>
      </c>
      <c r="C98" s="5">
        <v>45450</v>
      </c>
      <c r="D98" s="13">
        <f t="shared" si="17"/>
        <v>2</v>
      </c>
      <c r="E98" t="s">
        <v>399</v>
      </c>
      <c r="F98" t="s">
        <v>118</v>
      </c>
      <c r="G98" t="s">
        <v>95</v>
      </c>
      <c r="H98" t="s">
        <v>38</v>
      </c>
      <c r="I98" t="s">
        <v>39</v>
      </c>
      <c r="J98" t="s">
        <v>40</v>
      </c>
      <c r="K98" t="s">
        <v>74</v>
      </c>
      <c r="L98" t="s">
        <v>80</v>
      </c>
      <c r="M98" t="s">
        <v>400</v>
      </c>
      <c r="N98" t="s">
        <v>31</v>
      </c>
      <c r="O98">
        <v>2</v>
      </c>
      <c r="P98">
        <v>2259.2399999999998</v>
      </c>
      <c r="Q98" s="11">
        <v>0.15</v>
      </c>
      <c r="R98">
        <v>3840.71</v>
      </c>
      <c r="S98">
        <v>2516.29</v>
      </c>
      <c r="T98">
        <v>1324.42</v>
      </c>
      <c r="U98" t="s">
        <v>32</v>
      </c>
      <c r="V98" t="s">
        <v>33</v>
      </c>
      <c r="X98" s="8" t="str">
        <f>IF(C98&gt;=B98,"Valid", "Invalid-Date")</f>
        <v>Valid</v>
      </c>
      <c r="Y98" s="8" t="str">
        <f t="shared" si="18"/>
        <v>Valid</v>
      </c>
      <c r="Z98" s="8" t="str">
        <f t="shared" si="19"/>
        <v>Pass</v>
      </c>
      <c r="AA98" s="8" t="str">
        <f t="shared" si="20"/>
        <v>Pass</v>
      </c>
      <c r="AB98" s="8" t="str">
        <f>TEXT(B98,"mmmm")</f>
        <v>June</v>
      </c>
      <c r="AC98" s="8" t="str">
        <f>TEXT(B98,"yyyy")</f>
        <v>2024</v>
      </c>
      <c r="AE98">
        <f t="shared" si="21"/>
        <v>4518.4799999999996</v>
      </c>
      <c r="AF98" s="11">
        <f t="shared" si="22"/>
        <v>3840.7079999999996</v>
      </c>
      <c r="AG98">
        <f t="shared" si="23"/>
        <v>2002.1899999999996</v>
      </c>
      <c r="AH98" s="11">
        <f t="shared" si="24"/>
        <v>0.44311140029390411</v>
      </c>
      <c r="AI98" s="9">
        <f t="shared" si="25"/>
        <v>0.44311140029390411</v>
      </c>
      <c r="AJ98">
        <f t="shared" si="26"/>
        <v>3840.71</v>
      </c>
      <c r="AK98">
        <f t="shared" si="27"/>
        <v>1</v>
      </c>
      <c r="AL98">
        <f t="shared" si="28"/>
        <v>0</v>
      </c>
      <c r="AM98">
        <f t="shared" si="29"/>
        <v>0</v>
      </c>
      <c r="AN98">
        <f t="shared" si="30"/>
        <v>0</v>
      </c>
      <c r="AO98">
        <f t="shared" si="31"/>
        <v>0</v>
      </c>
      <c r="AP98">
        <f t="shared" si="32"/>
        <v>0</v>
      </c>
      <c r="AQ98">
        <f t="shared" si="33"/>
        <v>0</v>
      </c>
    </row>
    <row r="99" spans="1:43">
      <c r="A99" t="s">
        <v>401</v>
      </c>
      <c r="B99" s="5">
        <v>45877</v>
      </c>
      <c r="C99" s="5">
        <v>45969</v>
      </c>
      <c r="D99" s="13">
        <f t="shared" si="17"/>
        <v>92</v>
      </c>
      <c r="E99" t="s">
        <v>402</v>
      </c>
      <c r="F99" t="s">
        <v>162</v>
      </c>
      <c r="G99" t="s">
        <v>37</v>
      </c>
      <c r="H99" t="s">
        <v>63</v>
      </c>
      <c r="I99" t="s">
        <v>180</v>
      </c>
      <c r="J99" t="s">
        <v>181</v>
      </c>
      <c r="K99" t="s">
        <v>28</v>
      </c>
      <c r="L99" t="s">
        <v>124</v>
      </c>
      <c r="M99" t="s">
        <v>403</v>
      </c>
      <c r="N99" t="s">
        <v>44</v>
      </c>
      <c r="O99">
        <v>5</v>
      </c>
      <c r="P99">
        <v>3602.36</v>
      </c>
      <c r="Q99" s="11">
        <v>0.2</v>
      </c>
      <c r="R99">
        <v>14409.44</v>
      </c>
      <c r="S99">
        <v>8809.9699999999993</v>
      </c>
      <c r="T99">
        <v>5599.47</v>
      </c>
      <c r="U99" t="s">
        <v>111</v>
      </c>
      <c r="V99" t="s">
        <v>103</v>
      </c>
      <c r="X99" s="8" t="str">
        <f>IF(C99&gt;=B99,"Valid", "Invalid-Date")</f>
        <v>Valid</v>
      </c>
      <c r="Y99" s="8" t="str">
        <f t="shared" si="18"/>
        <v>Valid</v>
      </c>
      <c r="Z99" s="8" t="str">
        <f t="shared" si="19"/>
        <v>Pass</v>
      </c>
      <c r="AA99" s="8" t="str">
        <f t="shared" si="20"/>
        <v>Pass</v>
      </c>
      <c r="AB99" s="8" t="str">
        <f>TEXT(B99,"mmmm")</f>
        <v>August</v>
      </c>
      <c r="AC99" s="8" t="str">
        <f>TEXT(B99,"yyyy")</f>
        <v>2025</v>
      </c>
      <c r="AE99">
        <f t="shared" si="21"/>
        <v>18011.8</v>
      </c>
      <c r="AF99" s="11">
        <f t="shared" si="22"/>
        <v>14409.44</v>
      </c>
      <c r="AG99">
        <f t="shared" si="23"/>
        <v>9201.83</v>
      </c>
      <c r="AH99" s="11">
        <f t="shared" si="24"/>
        <v>0.51087786895257559</v>
      </c>
      <c r="AI99" s="9">
        <f t="shared" si="25"/>
        <v>0.51087786895257559</v>
      </c>
      <c r="AJ99">
        <f t="shared" si="26"/>
        <v>0</v>
      </c>
      <c r="AK99">
        <f t="shared" si="27"/>
        <v>0</v>
      </c>
      <c r="AL99">
        <f t="shared" si="28"/>
        <v>0</v>
      </c>
      <c r="AM99">
        <f t="shared" si="29"/>
        <v>0</v>
      </c>
      <c r="AN99">
        <f t="shared" si="30"/>
        <v>0</v>
      </c>
      <c r="AO99">
        <f t="shared" si="31"/>
        <v>0</v>
      </c>
      <c r="AP99">
        <f t="shared" si="32"/>
        <v>14409.44</v>
      </c>
      <c r="AQ99">
        <f t="shared" si="33"/>
        <v>1</v>
      </c>
    </row>
    <row r="100" spans="1:43">
      <c r="A100" t="s">
        <v>404</v>
      </c>
      <c r="B100" s="5">
        <v>45317</v>
      </c>
      <c r="C100" s="5">
        <v>45293</v>
      </c>
      <c r="D100" s="13">
        <f t="shared" si="17"/>
        <v>-24</v>
      </c>
      <c r="E100" t="s">
        <v>405</v>
      </c>
      <c r="F100" t="s">
        <v>141</v>
      </c>
      <c r="G100" t="s">
        <v>95</v>
      </c>
      <c r="H100" t="s">
        <v>54</v>
      </c>
      <c r="I100" t="s">
        <v>185</v>
      </c>
      <c r="J100" t="s">
        <v>186</v>
      </c>
      <c r="K100" t="s">
        <v>74</v>
      </c>
      <c r="L100" t="s">
        <v>80</v>
      </c>
      <c r="M100" t="s">
        <v>406</v>
      </c>
      <c r="N100" t="s">
        <v>2785</v>
      </c>
      <c r="O100">
        <v>8</v>
      </c>
      <c r="P100">
        <v>2108.9299999999998</v>
      </c>
      <c r="Q100" s="11">
        <v>0.1</v>
      </c>
      <c r="R100">
        <v>15184.3</v>
      </c>
      <c r="S100">
        <v>11270.74</v>
      </c>
      <c r="T100">
        <v>3913.56</v>
      </c>
      <c r="U100" t="s">
        <v>32</v>
      </c>
      <c r="V100" t="s">
        <v>33</v>
      </c>
      <c r="X100" s="8" t="str">
        <f>IF(C100&gt;=B100,"Valid", "Invalid-Date")</f>
        <v>Invalid-Date</v>
      </c>
      <c r="Y100" s="8" t="str">
        <f t="shared" si="18"/>
        <v>Valid</v>
      </c>
      <c r="Z100" s="8" t="str">
        <f t="shared" si="19"/>
        <v>Flagged</v>
      </c>
      <c r="AA100" s="8" t="str">
        <f t="shared" si="20"/>
        <v>Pass</v>
      </c>
      <c r="AB100" s="8" t="str">
        <f>TEXT(B100,"mmmm")</f>
        <v>January</v>
      </c>
      <c r="AC100" s="8" t="str">
        <f>TEXT(B100,"yyyy")</f>
        <v>2024</v>
      </c>
      <c r="AE100">
        <f t="shared" si="21"/>
        <v>16871.439999999999</v>
      </c>
      <c r="AF100" s="11">
        <f t="shared" si="22"/>
        <v>15184.295999999998</v>
      </c>
      <c r="AG100">
        <f t="shared" si="23"/>
        <v>5600.6999999999989</v>
      </c>
      <c r="AH100" s="11">
        <f t="shared" si="24"/>
        <v>0.33196336530847392</v>
      </c>
      <c r="AI100" s="9">
        <f t="shared" si="25"/>
        <v>0.33196336530847392</v>
      </c>
      <c r="AJ100">
        <f t="shared" si="26"/>
        <v>15184.3</v>
      </c>
      <c r="AK100">
        <f t="shared" si="27"/>
        <v>1</v>
      </c>
      <c r="AL100">
        <f t="shared" si="28"/>
        <v>0</v>
      </c>
      <c r="AM100">
        <f t="shared" si="29"/>
        <v>0</v>
      </c>
      <c r="AN100">
        <f t="shared" si="30"/>
        <v>0</v>
      </c>
      <c r="AO100">
        <f t="shared" si="31"/>
        <v>0</v>
      </c>
      <c r="AP100">
        <f t="shared" si="32"/>
        <v>0</v>
      </c>
      <c r="AQ100">
        <f t="shared" si="33"/>
        <v>0</v>
      </c>
    </row>
    <row r="101" spans="1:43">
      <c r="A101" t="s">
        <v>407</v>
      </c>
      <c r="B101" s="5">
        <v>45668</v>
      </c>
      <c r="C101" s="5">
        <v>45668</v>
      </c>
      <c r="D101" s="13">
        <f t="shared" si="17"/>
        <v>0</v>
      </c>
      <c r="E101" t="s">
        <v>408</v>
      </c>
      <c r="F101" t="s">
        <v>89</v>
      </c>
      <c r="G101" t="s">
        <v>37</v>
      </c>
      <c r="H101" t="s">
        <v>63</v>
      </c>
      <c r="I101" t="s">
        <v>26</v>
      </c>
      <c r="J101" t="s">
        <v>109</v>
      </c>
      <c r="K101" t="s">
        <v>74</v>
      </c>
      <c r="L101" t="s">
        <v>75</v>
      </c>
      <c r="M101" t="s">
        <v>409</v>
      </c>
      <c r="N101" t="s">
        <v>44</v>
      </c>
      <c r="O101">
        <v>3</v>
      </c>
      <c r="P101">
        <v>2165.29</v>
      </c>
      <c r="Q101" s="11">
        <v>0</v>
      </c>
      <c r="R101">
        <v>6495.87</v>
      </c>
      <c r="S101">
        <v>4700.8900000000003</v>
      </c>
      <c r="T101">
        <v>1794.98</v>
      </c>
      <c r="U101" t="s">
        <v>32</v>
      </c>
      <c r="V101" t="s">
        <v>33</v>
      </c>
      <c r="X101" s="8" t="str">
        <f>IF(C101&gt;=B101,"Valid", "Invalid-Date")</f>
        <v>Valid</v>
      </c>
      <c r="Y101" s="8" t="str">
        <f t="shared" si="18"/>
        <v>Valid</v>
      </c>
      <c r="Z101" s="8" t="str">
        <f t="shared" si="19"/>
        <v>Pass</v>
      </c>
      <c r="AA101" s="8" t="str">
        <f t="shared" si="20"/>
        <v>Pass</v>
      </c>
      <c r="AB101" s="8" t="str">
        <f>TEXT(B101,"mmmm")</f>
        <v>January</v>
      </c>
      <c r="AC101" s="8" t="str">
        <f>TEXT(B101,"yyyy")</f>
        <v>2025</v>
      </c>
      <c r="AE101">
        <f t="shared" si="21"/>
        <v>6495.87</v>
      </c>
      <c r="AF101" s="11">
        <f t="shared" si="22"/>
        <v>6495.87</v>
      </c>
      <c r="AG101">
        <f t="shared" si="23"/>
        <v>1794.9799999999996</v>
      </c>
      <c r="AH101" s="11">
        <f t="shared" si="24"/>
        <v>0.27632634273777024</v>
      </c>
      <c r="AI101" s="9">
        <f t="shared" si="25"/>
        <v>0.27632634273777024</v>
      </c>
      <c r="AJ101">
        <f t="shared" si="26"/>
        <v>6495.87</v>
      </c>
      <c r="AK101">
        <f t="shared" si="27"/>
        <v>1</v>
      </c>
      <c r="AL101">
        <f t="shared" si="28"/>
        <v>0</v>
      </c>
      <c r="AM101">
        <f t="shared" si="29"/>
        <v>0</v>
      </c>
      <c r="AN101">
        <f t="shared" si="30"/>
        <v>0</v>
      </c>
      <c r="AO101">
        <f t="shared" si="31"/>
        <v>0</v>
      </c>
      <c r="AP101">
        <f t="shared" si="32"/>
        <v>0</v>
      </c>
      <c r="AQ101">
        <f t="shared" si="33"/>
        <v>0</v>
      </c>
    </row>
    <row r="102" spans="1:43">
      <c r="A102" t="s">
        <v>410</v>
      </c>
      <c r="B102" s="5">
        <v>45912</v>
      </c>
      <c r="C102" s="5">
        <v>45918</v>
      </c>
      <c r="D102" s="13">
        <f t="shared" si="17"/>
        <v>6</v>
      </c>
      <c r="E102" t="s">
        <v>411</v>
      </c>
      <c r="F102" t="s">
        <v>128</v>
      </c>
      <c r="G102" t="s">
        <v>95</v>
      </c>
      <c r="H102" t="s">
        <v>54</v>
      </c>
      <c r="I102" t="s">
        <v>185</v>
      </c>
      <c r="J102" t="s">
        <v>186</v>
      </c>
      <c r="K102" t="s">
        <v>28</v>
      </c>
      <c r="L102" t="s">
        <v>124</v>
      </c>
      <c r="M102" t="s">
        <v>412</v>
      </c>
      <c r="N102" t="s">
        <v>59</v>
      </c>
      <c r="O102">
        <v>6</v>
      </c>
      <c r="P102">
        <v>1673.8</v>
      </c>
      <c r="Q102" s="11">
        <v>0.05</v>
      </c>
      <c r="R102">
        <v>9540.66</v>
      </c>
      <c r="S102">
        <v>5561.49</v>
      </c>
      <c r="T102">
        <v>3979.17</v>
      </c>
      <c r="U102" t="s">
        <v>32</v>
      </c>
      <c r="V102" t="s">
        <v>33</v>
      </c>
      <c r="X102" s="8" t="str">
        <f>IF(C102&gt;=B102,"Valid", "Invalid-Date")</f>
        <v>Valid</v>
      </c>
      <c r="Y102" s="8" t="str">
        <f t="shared" si="18"/>
        <v>Valid</v>
      </c>
      <c r="Z102" s="8" t="str">
        <f t="shared" si="19"/>
        <v>Pass</v>
      </c>
      <c r="AA102" s="8" t="str">
        <f t="shared" si="20"/>
        <v>Pass</v>
      </c>
      <c r="AB102" s="8" t="str">
        <f>TEXT(B102,"mmmm")</f>
        <v>September</v>
      </c>
      <c r="AC102" s="8" t="str">
        <f>TEXT(B102,"yyyy")</f>
        <v>2025</v>
      </c>
      <c r="AE102">
        <f t="shared" si="21"/>
        <v>10042.799999999999</v>
      </c>
      <c r="AF102" s="11">
        <f t="shared" si="22"/>
        <v>9540.659999999998</v>
      </c>
      <c r="AG102">
        <f t="shared" si="23"/>
        <v>4481.3099999999995</v>
      </c>
      <c r="AH102" s="11">
        <f t="shared" si="24"/>
        <v>0.44622117337794237</v>
      </c>
      <c r="AI102" s="9">
        <f t="shared" si="25"/>
        <v>0.44622117337794237</v>
      </c>
      <c r="AJ102">
        <f t="shared" si="26"/>
        <v>9540.66</v>
      </c>
      <c r="AK102">
        <f t="shared" si="27"/>
        <v>1</v>
      </c>
      <c r="AL102">
        <f t="shared" si="28"/>
        <v>0</v>
      </c>
      <c r="AM102">
        <f t="shared" si="29"/>
        <v>0</v>
      </c>
      <c r="AN102">
        <f t="shared" si="30"/>
        <v>0</v>
      </c>
      <c r="AO102">
        <f t="shared" si="31"/>
        <v>0</v>
      </c>
      <c r="AP102">
        <f t="shared" si="32"/>
        <v>0</v>
      </c>
      <c r="AQ102">
        <f t="shared" si="33"/>
        <v>0</v>
      </c>
    </row>
    <row r="103" spans="1:43">
      <c r="A103" t="s">
        <v>413</v>
      </c>
      <c r="B103" s="5">
        <v>45465</v>
      </c>
      <c r="C103" s="5">
        <v>45469</v>
      </c>
      <c r="D103" s="13">
        <f t="shared" si="17"/>
        <v>4</v>
      </c>
      <c r="E103" t="s">
        <v>414</v>
      </c>
      <c r="F103" t="s">
        <v>141</v>
      </c>
      <c r="G103" t="s">
        <v>95</v>
      </c>
      <c r="H103" t="s">
        <v>38</v>
      </c>
      <c r="I103" t="s">
        <v>145</v>
      </c>
      <c r="J103" t="s">
        <v>146</v>
      </c>
      <c r="K103" t="s">
        <v>41</v>
      </c>
      <c r="L103" t="s">
        <v>57</v>
      </c>
      <c r="M103" t="s">
        <v>415</v>
      </c>
      <c r="N103" t="s">
        <v>50</v>
      </c>
      <c r="O103">
        <v>5</v>
      </c>
      <c r="P103">
        <v>4396.5200000000004</v>
      </c>
      <c r="Q103" s="11">
        <v>0.25</v>
      </c>
      <c r="R103">
        <v>16486.95</v>
      </c>
      <c r="S103">
        <v>12054.14</v>
      </c>
      <c r="T103">
        <v>4432.8100000000004</v>
      </c>
      <c r="U103" t="s">
        <v>32</v>
      </c>
      <c r="V103" t="s">
        <v>33</v>
      </c>
      <c r="X103" s="8" t="str">
        <f>IF(C103&gt;=B103,"Valid", "Invalid-Date")</f>
        <v>Valid</v>
      </c>
      <c r="Y103" s="8" t="str">
        <f t="shared" si="18"/>
        <v>Valid</v>
      </c>
      <c r="Z103" s="8" t="str">
        <f t="shared" si="19"/>
        <v>Pass</v>
      </c>
      <c r="AA103" s="8" t="str">
        <f t="shared" si="20"/>
        <v>Pass</v>
      </c>
      <c r="AB103" s="8" t="str">
        <f>TEXT(B103,"mmmm")</f>
        <v>June</v>
      </c>
      <c r="AC103" s="8" t="str">
        <f>TEXT(B103,"yyyy")</f>
        <v>2024</v>
      </c>
      <c r="AE103">
        <f t="shared" si="21"/>
        <v>21982.600000000002</v>
      </c>
      <c r="AF103" s="11">
        <f t="shared" si="22"/>
        <v>16486.95</v>
      </c>
      <c r="AG103">
        <f t="shared" si="23"/>
        <v>9928.4600000000028</v>
      </c>
      <c r="AH103" s="11">
        <f t="shared" si="24"/>
        <v>0.4516508511277102</v>
      </c>
      <c r="AI103" s="9">
        <f t="shared" si="25"/>
        <v>0.4516508511277102</v>
      </c>
      <c r="AJ103">
        <f t="shared" si="26"/>
        <v>16486.95</v>
      </c>
      <c r="AK103">
        <f t="shared" si="27"/>
        <v>1</v>
      </c>
      <c r="AL103">
        <f t="shared" si="28"/>
        <v>0</v>
      </c>
      <c r="AM103">
        <f t="shared" si="29"/>
        <v>0</v>
      </c>
      <c r="AN103">
        <f t="shared" si="30"/>
        <v>0</v>
      </c>
      <c r="AO103">
        <f t="shared" si="31"/>
        <v>0</v>
      </c>
      <c r="AP103">
        <f t="shared" si="32"/>
        <v>0</v>
      </c>
      <c r="AQ103">
        <f t="shared" si="33"/>
        <v>0</v>
      </c>
    </row>
    <row r="104" spans="1:43">
      <c r="A104" t="s">
        <v>416</v>
      </c>
      <c r="B104" s="5">
        <v>45850</v>
      </c>
      <c r="C104" s="5">
        <v>45854</v>
      </c>
      <c r="D104" s="13">
        <f t="shared" si="17"/>
        <v>4</v>
      </c>
      <c r="E104" t="s">
        <v>417</v>
      </c>
      <c r="F104" t="s">
        <v>71</v>
      </c>
      <c r="G104" t="s">
        <v>24</v>
      </c>
      <c r="H104" t="s">
        <v>54</v>
      </c>
      <c r="I104" t="s">
        <v>175</v>
      </c>
      <c r="J104" t="s">
        <v>176</v>
      </c>
      <c r="K104" t="s">
        <v>41</v>
      </c>
      <c r="L104" t="s">
        <v>66</v>
      </c>
      <c r="M104" t="s">
        <v>418</v>
      </c>
      <c r="N104" t="s">
        <v>50</v>
      </c>
      <c r="O104">
        <v>4</v>
      </c>
      <c r="P104">
        <v>2865.71</v>
      </c>
      <c r="Q104" s="11">
        <v>0</v>
      </c>
      <c r="R104">
        <v>11462.84</v>
      </c>
      <c r="S104">
        <v>8979.7800000000007</v>
      </c>
      <c r="T104">
        <v>2483.06</v>
      </c>
      <c r="U104" t="s">
        <v>102</v>
      </c>
      <c r="V104" t="s">
        <v>68</v>
      </c>
      <c r="X104" s="8" t="str">
        <f>IF(C104&gt;=B104,"Valid", "Invalid-Date")</f>
        <v>Valid</v>
      </c>
      <c r="Y104" s="8" t="str">
        <f t="shared" si="18"/>
        <v>Valid</v>
      </c>
      <c r="Z104" s="8" t="str">
        <f t="shared" si="19"/>
        <v>Pass</v>
      </c>
      <c r="AA104" s="8" t="str">
        <f t="shared" si="20"/>
        <v>Pass</v>
      </c>
      <c r="AB104" s="8" t="str">
        <f>TEXT(B104,"mmmm")</f>
        <v>July</v>
      </c>
      <c r="AC104" s="8" t="str">
        <f>TEXT(B104,"yyyy")</f>
        <v>2025</v>
      </c>
      <c r="AE104">
        <f t="shared" si="21"/>
        <v>11462.84</v>
      </c>
      <c r="AF104" s="11">
        <f t="shared" si="22"/>
        <v>11462.84</v>
      </c>
      <c r="AG104">
        <f t="shared" si="23"/>
        <v>2483.0599999999995</v>
      </c>
      <c r="AH104" s="11">
        <f t="shared" si="24"/>
        <v>0.21661822026653077</v>
      </c>
      <c r="AI104" s="9">
        <f t="shared" si="25"/>
        <v>0.21661822026653077</v>
      </c>
      <c r="AJ104">
        <f t="shared" si="26"/>
        <v>0</v>
      </c>
      <c r="AK104">
        <f t="shared" si="27"/>
        <v>0</v>
      </c>
      <c r="AL104">
        <f t="shared" si="28"/>
        <v>11462.84</v>
      </c>
      <c r="AM104">
        <f t="shared" si="29"/>
        <v>1</v>
      </c>
      <c r="AN104">
        <f t="shared" si="30"/>
        <v>0</v>
      </c>
      <c r="AO104">
        <f t="shared" si="31"/>
        <v>0</v>
      </c>
      <c r="AP104">
        <f t="shared" si="32"/>
        <v>0</v>
      </c>
      <c r="AQ104">
        <f t="shared" si="33"/>
        <v>0</v>
      </c>
    </row>
    <row r="105" spans="1:43">
      <c r="A105" t="s">
        <v>419</v>
      </c>
      <c r="B105" s="5">
        <v>45693</v>
      </c>
      <c r="C105" s="5">
        <v>45935</v>
      </c>
      <c r="D105" s="13">
        <f t="shared" si="17"/>
        <v>242</v>
      </c>
      <c r="E105" t="s">
        <v>420</v>
      </c>
      <c r="F105" t="s">
        <v>264</v>
      </c>
      <c r="G105" t="s">
        <v>90</v>
      </c>
      <c r="H105" t="s">
        <v>63</v>
      </c>
      <c r="I105" t="s">
        <v>64</v>
      </c>
      <c r="J105" t="s">
        <v>65</v>
      </c>
      <c r="K105" t="s">
        <v>41</v>
      </c>
      <c r="L105" t="s">
        <v>42</v>
      </c>
      <c r="M105" t="s">
        <v>421</v>
      </c>
      <c r="N105" t="s">
        <v>50</v>
      </c>
      <c r="O105">
        <v>4</v>
      </c>
      <c r="P105">
        <v>2440.34</v>
      </c>
      <c r="Q105" s="11">
        <v>0.2</v>
      </c>
      <c r="R105">
        <v>7809.09</v>
      </c>
      <c r="S105">
        <v>6657.75</v>
      </c>
      <c r="T105">
        <v>1151.3399999999999</v>
      </c>
      <c r="U105" t="s">
        <v>32</v>
      </c>
      <c r="V105" t="s">
        <v>33</v>
      </c>
      <c r="X105" s="8" t="str">
        <f>IF(C105&gt;=B105,"Valid", "Invalid-Date")</f>
        <v>Valid</v>
      </c>
      <c r="Y105" s="8" t="str">
        <f t="shared" si="18"/>
        <v>Valid</v>
      </c>
      <c r="Z105" s="8" t="str">
        <f t="shared" si="19"/>
        <v>Pass</v>
      </c>
      <c r="AA105" s="8" t="str">
        <f t="shared" si="20"/>
        <v>Pass</v>
      </c>
      <c r="AB105" s="8" t="str">
        <f>TEXT(B105,"mmmm")</f>
        <v>February</v>
      </c>
      <c r="AC105" s="8" t="str">
        <f>TEXT(B105,"yyyy")</f>
        <v>2025</v>
      </c>
      <c r="AE105">
        <f t="shared" si="21"/>
        <v>9761.36</v>
      </c>
      <c r="AF105" s="11">
        <f t="shared" si="22"/>
        <v>7809.0880000000006</v>
      </c>
      <c r="AG105">
        <f t="shared" si="23"/>
        <v>3103.6100000000006</v>
      </c>
      <c r="AH105" s="11">
        <f t="shared" si="24"/>
        <v>0.31794852356638831</v>
      </c>
      <c r="AI105" s="9">
        <f t="shared" si="25"/>
        <v>0.31794852356638831</v>
      </c>
      <c r="AJ105">
        <f t="shared" si="26"/>
        <v>7809.09</v>
      </c>
      <c r="AK105">
        <f t="shared" si="27"/>
        <v>1</v>
      </c>
      <c r="AL105">
        <f t="shared" si="28"/>
        <v>0</v>
      </c>
      <c r="AM105">
        <f t="shared" si="29"/>
        <v>0</v>
      </c>
      <c r="AN105">
        <f t="shared" si="30"/>
        <v>0</v>
      </c>
      <c r="AO105">
        <f t="shared" si="31"/>
        <v>0</v>
      </c>
      <c r="AP105">
        <f t="shared" si="32"/>
        <v>0</v>
      </c>
      <c r="AQ105">
        <f t="shared" si="33"/>
        <v>0</v>
      </c>
    </row>
    <row r="106" spans="1:43">
      <c r="A106" t="s">
        <v>422</v>
      </c>
      <c r="B106" s="5">
        <v>45689</v>
      </c>
      <c r="C106" s="5">
        <v>45871</v>
      </c>
      <c r="D106" s="13">
        <f t="shared" si="17"/>
        <v>182</v>
      </c>
      <c r="E106" t="s">
        <v>423</v>
      </c>
      <c r="F106" t="s">
        <v>62</v>
      </c>
      <c r="G106" t="s">
        <v>24</v>
      </c>
      <c r="H106" t="s">
        <v>54</v>
      </c>
      <c r="I106" t="s">
        <v>175</v>
      </c>
      <c r="J106" t="s">
        <v>176</v>
      </c>
      <c r="K106" t="s">
        <v>28</v>
      </c>
      <c r="L106" t="s">
        <v>91</v>
      </c>
      <c r="M106" t="s">
        <v>424</v>
      </c>
      <c r="N106" t="s">
        <v>44</v>
      </c>
      <c r="O106">
        <v>5</v>
      </c>
      <c r="P106">
        <v>2112.54</v>
      </c>
      <c r="Q106" s="11">
        <v>0.25</v>
      </c>
      <c r="R106">
        <v>8260.4599999999991</v>
      </c>
      <c r="S106">
        <v>5619.95</v>
      </c>
      <c r="T106">
        <v>2302.08</v>
      </c>
      <c r="U106" t="s">
        <v>32</v>
      </c>
      <c r="V106" t="s">
        <v>68</v>
      </c>
      <c r="X106" s="8" t="str">
        <f>IF(C106&gt;=B106,"Valid", "Invalid-Date")</f>
        <v>Valid</v>
      </c>
      <c r="Y106" s="8" t="str">
        <f t="shared" si="18"/>
        <v>Valid</v>
      </c>
      <c r="Z106" s="8" t="str">
        <f t="shared" si="19"/>
        <v>Pass</v>
      </c>
      <c r="AA106" s="8" t="str">
        <f t="shared" si="20"/>
        <v>Pass</v>
      </c>
      <c r="AB106" s="8" t="str">
        <f>TEXT(B106,"mmmm")</f>
        <v>February</v>
      </c>
      <c r="AC106" s="8" t="str">
        <f>TEXT(B106,"yyyy")</f>
        <v>2025</v>
      </c>
      <c r="AE106">
        <f t="shared" si="21"/>
        <v>10562.7</v>
      </c>
      <c r="AF106" s="11">
        <f t="shared" si="22"/>
        <v>7922.0250000000005</v>
      </c>
      <c r="AG106">
        <f t="shared" si="23"/>
        <v>4942.7500000000009</v>
      </c>
      <c r="AH106" s="11">
        <f t="shared" si="24"/>
        <v>0.46794380224753146</v>
      </c>
      <c r="AI106" s="9">
        <f t="shared" si="25"/>
        <v>0.46794380224753146</v>
      </c>
      <c r="AJ106">
        <f t="shared" si="26"/>
        <v>0</v>
      </c>
      <c r="AK106">
        <f t="shared" si="27"/>
        <v>0</v>
      </c>
      <c r="AL106">
        <f t="shared" si="28"/>
        <v>8260.4599999999991</v>
      </c>
      <c r="AM106">
        <f t="shared" si="29"/>
        <v>1</v>
      </c>
      <c r="AN106">
        <f t="shared" si="30"/>
        <v>0</v>
      </c>
      <c r="AO106">
        <f t="shared" si="31"/>
        <v>0</v>
      </c>
      <c r="AP106">
        <f t="shared" si="32"/>
        <v>0</v>
      </c>
      <c r="AQ106">
        <f t="shared" si="33"/>
        <v>0</v>
      </c>
    </row>
    <row r="107" spans="1:43">
      <c r="A107" t="s">
        <v>425</v>
      </c>
      <c r="B107" s="5">
        <v>45467</v>
      </c>
      <c r="C107" s="5">
        <v>45472</v>
      </c>
      <c r="D107" s="13">
        <f t="shared" si="17"/>
        <v>5</v>
      </c>
      <c r="E107" t="s">
        <v>426</v>
      </c>
      <c r="F107" t="s">
        <v>36</v>
      </c>
      <c r="G107" t="s">
        <v>95</v>
      </c>
      <c r="H107" t="s">
        <v>38</v>
      </c>
      <c r="I107" t="s">
        <v>99</v>
      </c>
      <c r="J107" t="s">
        <v>100</v>
      </c>
      <c r="K107" t="s">
        <v>41</v>
      </c>
      <c r="L107" t="s">
        <v>42</v>
      </c>
      <c r="M107" t="s">
        <v>427</v>
      </c>
      <c r="N107" t="s">
        <v>31</v>
      </c>
      <c r="O107">
        <v>2</v>
      </c>
      <c r="P107">
        <v>685</v>
      </c>
      <c r="Q107" s="11">
        <v>0.1</v>
      </c>
      <c r="R107">
        <v>1233</v>
      </c>
      <c r="S107">
        <v>1006.9</v>
      </c>
      <c r="T107">
        <v>226.1</v>
      </c>
      <c r="U107" t="s">
        <v>32</v>
      </c>
      <c r="V107" t="s">
        <v>33</v>
      </c>
      <c r="X107" s="8" t="str">
        <f>IF(C107&gt;=B107,"Valid", "Invalid-Date")</f>
        <v>Valid</v>
      </c>
      <c r="Y107" s="8" t="str">
        <f t="shared" si="18"/>
        <v>Valid</v>
      </c>
      <c r="Z107" s="8" t="str">
        <f t="shared" si="19"/>
        <v>Pass</v>
      </c>
      <c r="AA107" s="8" t="str">
        <f t="shared" si="20"/>
        <v>Pass</v>
      </c>
      <c r="AB107" s="8" t="str">
        <f>TEXT(B107,"mmmm")</f>
        <v>June</v>
      </c>
      <c r="AC107" s="8" t="str">
        <f>TEXT(B107,"yyyy")</f>
        <v>2024</v>
      </c>
      <c r="AE107">
        <f t="shared" si="21"/>
        <v>1370</v>
      </c>
      <c r="AF107" s="11">
        <f t="shared" si="22"/>
        <v>1233</v>
      </c>
      <c r="AG107">
        <f t="shared" si="23"/>
        <v>363.1</v>
      </c>
      <c r="AH107" s="11">
        <f t="shared" si="24"/>
        <v>0.26503649635036497</v>
      </c>
      <c r="AI107" s="9">
        <f t="shared" si="25"/>
        <v>0.26503649635036497</v>
      </c>
      <c r="AJ107">
        <f t="shared" si="26"/>
        <v>1233</v>
      </c>
      <c r="AK107">
        <f t="shared" si="27"/>
        <v>1</v>
      </c>
      <c r="AL107">
        <f t="shared" si="28"/>
        <v>0</v>
      </c>
      <c r="AM107">
        <f t="shared" si="29"/>
        <v>0</v>
      </c>
      <c r="AN107">
        <f t="shared" si="30"/>
        <v>0</v>
      </c>
      <c r="AO107">
        <f t="shared" si="31"/>
        <v>0</v>
      </c>
      <c r="AP107">
        <f t="shared" si="32"/>
        <v>0</v>
      </c>
      <c r="AQ107">
        <f t="shared" si="33"/>
        <v>0</v>
      </c>
    </row>
    <row r="108" spans="1:43">
      <c r="A108" t="s">
        <v>428</v>
      </c>
      <c r="B108" s="5">
        <v>45342</v>
      </c>
      <c r="C108" s="5">
        <v>45350</v>
      </c>
      <c r="D108" s="13">
        <f t="shared" si="17"/>
        <v>8</v>
      </c>
      <c r="E108" t="s">
        <v>429</v>
      </c>
      <c r="F108" t="s">
        <v>53</v>
      </c>
      <c r="G108" t="s">
        <v>95</v>
      </c>
      <c r="H108" t="s">
        <v>38</v>
      </c>
      <c r="I108" t="s">
        <v>99</v>
      </c>
      <c r="J108" t="s">
        <v>100</v>
      </c>
      <c r="K108" t="s">
        <v>28</v>
      </c>
      <c r="L108" t="s">
        <v>29</v>
      </c>
      <c r="M108" t="s">
        <v>430</v>
      </c>
      <c r="N108" t="s">
        <v>59</v>
      </c>
      <c r="O108">
        <v>2</v>
      </c>
      <c r="P108">
        <v>4004.04</v>
      </c>
      <c r="Q108" s="11">
        <v>0</v>
      </c>
      <c r="R108">
        <v>7207.27</v>
      </c>
      <c r="S108">
        <v>5709.39</v>
      </c>
      <c r="T108">
        <v>1497.88</v>
      </c>
      <c r="U108" t="s">
        <v>32</v>
      </c>
      <c r="V108" t="s">
        <v>68</v>
      </c>
      <c r="X108" s="8" t="str">
        <f>IF(C108&gt;=B108,"Valid", "Invalid-Date")</f>
        <v>Valid</v>
      </c>
      <c r="Y108" s="8" t="str">
        <f t="shared" si="18"/>
        <v>Valid</v>
      </c>
      <c r="Z108" s="8" t="str">
        <f t="shared" si="19"/>
        <v>Pass</v>
      </c>
      <c r="AA108" s="8" t="str">
        <f t="shared" si="20"/>
        <v>Pass</v>
      </c>
      <c r="AB108" s="8" t="str">
        <f>TEXT(B108,"mmmm")</f>
        <v>February</v>
      </c>
      <c r="AC108" s="8" t="str">
        <f>TEXT(B108,"yyyy")</f>
        <v>2024</v>
      </c>
      <c r="AE108">
        <f t="shared" si="21"/>
        <v>8008.08</v>
      </c>
      <c r="AF108" s="11">
        <f t="shared" si="22"/>
        <v>8008.08</v>
      </c>
      <c r="AG108">
        <f t="shared" si="23"/>
        <v>2298.6899999999996</v>
      </c>
      <c r="AH108" s="11">
        <f t="shared" si="24"/>
        <v>0.28704633320346445</v>
      </c>
      <c r="AI108" s="9">
        <f t="shared" si="25"/>
        <v>0.28704633320346445</v>
      </c>
      <c r="AJ108">
        <f t="shared" si="26"/>
        <v>0</v>
      </c>
      <c r="AK108">
        <f t="shared" si="27"/>
        <v>0</v>
      </c>
      <c r="AL108">
        <f t="shared" si="28"/>
        <v>7207.27</v>
      </c>
      <c r="AM108">
        <f t="shared" si="29"/>
        <v>1</v>
      </c>
      <c r="AN108">
        <f t="shared" si="30"/>
        <v>0</v>
      </c>
      <c r="AO108">
        <f t="shared" si="31"/>
        <v>0</v>
      </c>
      <c r="AP108">
        <f t="shared" si="32"/>
        <v>0</v>
      </c>
      <c r="AQ108">
        <f t="shared" si="33"/>
        <v>0</v>
      </c>
    </row>
    <row r="109" spans="1:43">
      <c r="A109" t="s">
        <v>431</v>
      </c>
      <c r="B109" s="5">
        <v>45594</v>
      </c>
      <c r="C109" s="5">
        <v>45393</v>
      </c>
      <c r="D109" s="13">
        <f t="shared" si="17"/>
        <v>-201</v>
      </c>
      <c r="E109" t="s">
        <v>432</v>
      </c>
      <c r="F109" t="s">
        <v>141</v>
      </c>
      <c r="G109" t="s">
        <v>95</v>
      </c>
      <c r="H109" t="s">
        <v>38</v>
      </c>
      <c r="I109" t="s">
        <v>99</v>
      </c>
      <c r="J109" t="s">
        <v>100</v>
      </c>
      <c r="K109" t="s">
        <v>41</v>
      </c>
      <c r="L109" t="s">
        <v>57</v>
      </c>
      <c r="M109" t="s">
        <v>433</v>
      </c>
      <c r="N109" t="s">
        <v>50</v>
      </c>
      <c r="O109">
        <v>3</v>
      </c>
      <c r="P109">
        <v>4302.8900000000003</v>
      </c>
      <c r="Q109" s="11">
        <v>0.05</v>
      </c>
      <c r="R109">
        <v>12263.24</v>
      </c>
      <c r="S109">
        <v>8925.57</v>
      </c>
      <c r="T109">
        <v>3337.67</v>
      </c>
      <c r="U109" t="s">
        <v>32</v>
      </c>
      <c r="V109" t="s">
        <v>33</v>
      </c>
      <c r="X109" s="8" t="str">
        <f>IF(C109&gt;=B109,"Valid", "Invalid-Date")</f>
        <v>Invalid-Date</v>
      </c>
      <c r="Y109" s="8" t="str">
        <f t="shared" si="18"/>
        <v>Valid</v>
      </c>
      <c r="Z109" s="8" t="str">
        <f t="shared" si="19"/>
        <v>Pass</v>
      </c>
      <c r="AA109" s="8" t="str">
        <f t="shared" si="20"/>
        <v>Pass</v>
      </c>
      <c r="AB109" s="8" t="str">
        <f>TEXT(B109,"mmmm")</f>
        <v>October</v>
      </c>
      <c r="AC109" s="8" t="str">
        <f>TEXT(B109,"yyyy")</f>
        <v>2024</v>
      </c>
      <c r="AE109">
        <f t="shared" si="21"/>
        <v>12908.670000000002</v>
      </c>
      <c r="AF109" s="11">
        <f t="shared" si="22"/>
        <v>12263.236500000001</v>
      </c>
      <c r="AG109">
        <f t="shared" si="23"/>
        <v>3983.1000000000022</v>
      </c>
      <c r="AH109" s="11">
        <f t="shared" si="24"/>
        <v>0.30856006079634862</v>
      </c>
      <c r="AI109" s="9">
        <f t="shared" si="25"/>
        <v>0.30856006079634862</v>
      </c>
      <c r="AJ109">
        <f t="shared" si="26"/>
        <v>12263.24</v>
      </c>
      <c r="AK109">
        <f t="shared" si="27"/>
        <v>1</v>
      </c>
      <c r="AL109">
        <f t="shared" si="28"/>
        <v>0</v>
      </c>
      <c r="AM109">
        <f t="shared" si="29"/>
        <v>0</v>
      </c>
      <c r="AN109">
        <f t="shared" si="30"/>
        <v>0</v>
      </c>
      <c r="AO109">
        <f t="shared" si="31"/>
        <v>0</v>
      </c>
      <c r="AP109">
        <f t="shared" si="32"/>
        <v>0</v>
      </c>
      <c r="AQ109">
        <f t="shared" si="33"/>
        <v>0</v>
      </c>
    </row>
    <row r="110" spans="1:43">
      <c r="A110" t="s">
        <v>434</v>
      </c>
      <c r="B110" s="5">
        <v>45519</v>
      </c>
      <c r="C110" s="5">
        <v>45527</v>
      </c>
      <c r="D110" s="13">
        <f t="shared" si="17"/>
        <v>8</v>
      </c>
      <c r="E110" t="s">
        <v>435</v>
      </c>
      <c r="F110" t="s">
        <v>89</v>
      </c>
      <c r="G110" t="s">
        <v>37</v>
      </c>
      <c r="H110" t="s">
        <v>38</v>
      </c>
      <c r="I110" t="s">
        <v>39</v>
      </c>
      <c r="J110" t="s">
        <v>40</v>
      </c>
      <c r="K110" t="s">
        <v>41</v>
      </c>
      <c r="L110" t="s">
        <v>158</v>
      </c>
      <c r="M110" t="s">
        <v>436</v>
      </c>
      <c r="N110" t="s">
        <v>44</v>
      </c>
      <c r="O110">
        <v>2</v>
      </c>
      <c r="P110">
        <v>537.54</v>
      </c>
      <c r="Q110" s="11">
        <v>0.25</v>
      </c>
      <c r="R110">
        <v>806.31</v>
      </c>
      <c r="S110">
        <v>498.5</v>
      </c>
      <c r="T110">
        <v>307.81</v>
      </c>
      <c r="U110" t="s">
        <v>32</v>
      </c>
      <c r="V110" t="s">
        <v>33</v>
      </c>
      <c r="X110" s="8" t="str">
        <f>IF(C110&gt;=B110,"Valid", "Invalid-Date")</f>
        <v>Valid</v>
      </c>
      <c r="Y110" s="8" t="str">
        <f t="shared" si="18"/>
        <v>Valid</v>
      </c>
      <c r="Z110" s="8" t="str">
        <f t="shared" si="19"/>
        <v>Pass</v>
      </c>
      <c r="AA110" s="8" t="str">
        <f t="shared" si="20"/>
        <v>Pass</v>
      </c>
      <c r="AB110" s="8" t="str">
        <f>TEXT(B110,"mmmm")</f>
        <v>August</v>
      </c>
      <c r="AC110" s="8" t="str">
        <f>TEXT(B110,"yyyy")</f>
        <v>2024</v>
      </c>
      <c r="AE110">
        <f t="shared" si="21"/>
        <v>1075.08</v>
      </c>
      <c r="AF110" s="11">
        <f t="shared" si="22"/>
        <v>806.31</v>
      </c>
      <c r="AG110">
        <f t="shared" si="23"/>
        <v>576.57999999999993</v>
      </c>
      <c r="AH110" s="11">
        <f t="shared" si="24"/>
        <v>0.53631357666406221</v>
      </c>
      <c r="AI110" s="9">
        <f t="shared" si="25"/>
        <v>0.53631357666406221</v>
      </c>
      <c r="AJ110">
        <f t="shared" si="26"/>
        <v>806.31</v>
      </c>
      <c r="AK110">
        <f t="shared" si="27"/>
        <v>1</v>
      </c>
      <c r="AL110">
        <f t="shared" si="28"/>
        <v>0</v>
      </c>
      <c r="AM110">
        <f t="shared" si="29"/>
        <v>0</v>
      </c>
      <c r="AN110">
        <f t="shared" si="30"/>
        <v>0</v>
      </c>
      <c r="AO110">
        <f t="shared" si="31"/>
        <v>0</v>
      </c>
      <c r="AP110">
        <f t="shared" si="32"/>
        <v>0</v>
      </c>
      <c r="AQ110">
        <f t="shared" si="33"/>
        <v>0</v>
      </c>
    </row>
    <row r="111" spans="1:43">
      <c r="A111" t="s">
        <v>437</v>
      </c>
      <c r="B111" s="5">
        <v>45892</v>
      </c>
      <c r="C111" s="5">
        <v>45896</v>
      </c>
      <c r="D111" s="13">
        <f t="shared" si="17"/>
        <v>4</v>
      </c>
      <c r="E111" t="s">
        <v>438</v>
      </c>
      <c r="F111" t="s">
        <v>132</v>
      </c>
      <c r="G111" t="s">
        <v>24</v>
      </c>
      <c r="H111" t="s">
        <v>25</v>
      </c>
      <c r="I111" t="s">
        <v>350</v>
      </c>
      <c r="J111" t="s">
        <v>351</v>
      </c>
      <c r="K111" t="s">
        <v>28</v>
      </c>
      <c r="L111" t="s">
        <v>153</v>
      </c>
      <c r="M111" t="s">
        <v>439</v>
      </c>
      <c r="N111" t="s">
        <v>31</v>
      </c>
      <c r="O111">
        <v>1</v>
      </c>
      <c r="P111">
        <v>2788.62</v>
      </c>
      <c r="Q111" s="11">
        <v>0.25</v>
      </c>
      <c r="R111">
        <v>2091.4699999999998</v>
      </c>
      <c r="S111">
        <v>1317.22</v>
      </c>
      <c r="T111">
        <v>774.25</v>
      </c>
      <c r="U111" t="s">
        <v>32</v>
      </c>
      <c r="V111" t="s">
        <v>33</v>
      </c>
      <c r="X111" s="8" t="str">
        <f>IF(C111&gt;=B111,"Valid", "Invalid-Date")</f>
        <v>Valid</v>
      </c>
      <c r="Y111" s="8" t="str">
        <f t="shared" si="18"/>
        <v>Valid</v>
      </c>
      <c r="Z111" s="8" t="str">
        <f t="shared" si="19"/>
        <v>Pass</v>
      </c>
      <c r="AA111" s="8" t="str">
        <f t="shared" si="20"/>
        <v>Pass</v>
      </c>
      <c r="AB111" s="8" t="str">
        <f>TEXT(B111,"mmmm")</f>
        <v>August</v>
      </c>
      <c r="AC111" s="8" t="str">
        <f>TEXT(B111,"yyyy")</f>
        <v>2025</v>
      </c>
      <c r="AE111">
        <f t="shared" si="21"/>
        <v>2788.62</v>
      </c>
      <c r="AF111" s="11">
        <f t="shared" si="22"/>
        <v>2091.4650000000001</v>
      </c>
      <c r="AG111">
        <f t="shared" si="23"/>
        <v>1471.3999999999999</v>
      </c>
      <c r="AH111" s="11">
        <f t="shared" si="24"/>
        <v>0.52764449799542423</v>
      </c>
      <c r="AI111" s="9">
        <f t="shared" si="25"/>
        <v>0.52764449799542423</v>
      </c>
      <c r="AJ111">
        <f t="shared" si="26"/>
        <v>2091.4699999999998</v>
      </c>
      <c r="AK111">
        <f t="shared" si="27"/>
        <v>1</v>
      </c>
      <c r="AL111">
        <f t="shared" si="28"/>
        <v>0</v>
      </c>
      <c r="AM111">
        <f t="shared" si="29"/>
        <v>0</v>
      </c>
      <c r="AN111">
        <f t="shared" si="30"/>
        <v>0</v>
      </c>
      <c r="AO111">
        <f t="shared" si="31"/>
        <v>0</v>
      </c>
      <c r="AP111">
        <f t="shared" si="32"/>
        <v>0</v>
      </c>
      <c r="AQ111">
        <f t="shared" si="33"/>
        <v>0</v>
      </c>
    </row>
    <row r="112" spans="1:43">
      <c r="A112" t="s">
        <v>440</v>
      </c>
      <c r="B112" s="5">
        <v>45583</v>
      </c>
      <c r="C112" s="5">
        <v>45589</v>
      </c>
      <c r="D112" s="13">
        <f t="shared" si="17"/>
        <v>6</v>
      </c>
      <c r="E112" t="s">
        <v>441</v>
      </c>
      <c r="F112" t="s">
        <v>71</v>
      </c>
      <c r="G112" t="s">
        <v>90</v>
      </c>
      <c r="H112" t="s">
        <v>54</v>
      </c>
      <c r="I112" t="s">
        <v>185</v>
      </c>
      <c r="J112" t="s">
        <v>186</v>
      </c>
      <c r="K112" t="s">
        <v>28</v>
      </c>
      <c r="L112" t="s">
        <v>91</v>
      </c>
      <c r="M112" t="s">
        <v>442</v>
      </c>
      <c r="N112" t="s">
        <v>50</v>
      </c>
      <c r="O112">
        <v>2</v>
      </c>
      <c r="P112">
        <v>2250.4699999999998</v>
      </c>
      <c r="Q112" s="11">
        <v>0</v>
      </c>
      <c r="R112">
        <v>4500.9399999999996</v>
      </c>
      <c r="S112">
        <v>2607.73</v>
      </c>
      <c r="T112">
        <v>1893.21</v>
      </c>
      <c r="U112" t="s">
        <v>102</v>
      </c>
      <c r="V112" t="s">
        <v>68</v>
      </c>
      <c r="X112" s="8" t="str">
        <f>IF(C112&gt;=B112,"Valid", "Invalid-Date")</f>
        <v>Valid</v>
      </c>
      <c r="Y112" s="8" t="str">
        <f t="shared" si="18"/>
        <v>Valid</v>
      </c>
      <c r="Z112" s="8" t="str">
        <f t="shared" si="19"/>
        <v>Pass</v>
      </c>
      <c r="AA112" s="8" t="str">
        <f t="shared" si="20"/>
        <v>Pass</v>
      </c>
      <c r="AB112" s="8" t="str">
        <f>TEXT(B112,"mmmm")</f>
        <v>October</v>
      </c>
      <c r="AC112" s="8" t="str">
        <f>TEXT(B112,"yyyy")</f>
        <v>2024</v>
      </c>
      <c r="AE112">
        <f t="shared" si="21"/>
        <v>4500.9399999999996</v>
      </c>
      <c r="AF112" s="11">
        <f t="shared" si="22"/>
        <v>4500.9399999999996</v>
      </c>
      <c r="AG112">
        <f t="shared" si="23"/>
        <v>1893.2099999999996</v>
      </c>
      <c r="AH112" s="11">
        <f t="shared" si="24"/>
        <v>0.42062546934640316</v>
      </c>
      <c r="AI112" s="9">
        <f t="shared" si="25"/>
        <v>0.42062546934640316</v>
      </c>
      <c r="AJ112">
        <f t="shared" si="26"/>
        <v>0</v>
      </c>
      <c r="AK112">
        <f t="shared" si="27"/>
        <v>0</v>
      </c>
      <c r="AL112">
        <f t="shared" si="28"/>
        <v>4500.9399999999996</v>
      </c>
      <c r="AM112">
        <f t="shared" si="29"/>
        <v>1</v>
      </c>
      <c r="AN112">
        <f t="shared" si="30"/>
        <v>0</v>
      </c>
      <c r="AO112">
        <f t="shared" si="31"/>
        <v>0</v>
      </c>
      <c r="AP112">
        <f t="shared" si="32"/>
        <v>0</v>
      </c>
      <c r="AQ112">
        <f t="shared" si="33"/>
        <v>0</v>
      </c>
    </row>
    <row r="113" spans="1:43">
      <c r="A113" t="s">
        <v>443</v>
      </c>
      <c r="B113" s="5">
        <v>45835</v>
      </c>
      <c r="C113" s="5">
        <v>45838</v>
      </c>
      <c r="D113" s="13">
        <f t="shared" si="17"/>
        <v>3</v>
      </c>
      <c r="E113" t="s">
        <v>444</v>
      </c>
      <c r="F113" t="s">
        <v>79</v>
      </c>
      <c r="G113" t="s">
        <v>90</v>
      </c>
      <c r="H113" t="s">
        <v>38</v>
      </c>
      <c r="I113" t="s">
        <v>145</v>
      </c>
      <c r="J113" t="s">
        <v>146</v>
      </c>
      <c r="K113" t="s">
        <v>74</v>
      </c>
      <c r="L113" t="s">
        <v>75</v>
      </c>
      <c r="M113" t="s">
        <v>445</v>
      </c>
      <c r="N113" t="s">
        <v>50</v>
      </c>
      <c r="O113">
        <v>1</v>
      </c>
      <c r="P113">
        <v>1708.44</v>
      </c>
      <c r="Q113" s="11">
        <v>0.05</v>
      </c>
      <c r="R113">
        <v>1623.02</v>
      </c>
      <c r="S113">
        <v>1077.46</v>
      </c>
      <c r="T113">
        <v>545.55999999999995</v>
      </c>
      <c r="U113" t="s">
        <v>111</v>
      </c>
      <c r="V113" t="s">
        <v>68</v>
      </c>
      <c r="X113" s="8" t="str">
        <f>IF(C113&gt;=B113,"Valid", "Invalid-Date")</f>
        <v>Valid</v>
      </c>
      <c r="Y113" s="8" t="str">
        <f t="shared" si="18"/>
        <v>Valid</v>
      </c>
      <c r="Z113" s="8" t="str">
        <f t="shared" si="19"/>
        <v>Pass</v>
      </c>
      <c r="AA113" s="8" t="str">
        <f t="shared" si="20"/>
        <v>Pass</v>
      </c>
      <c r="AB113" s="8" t="str">
        <f>TEXT(B113,"mmmm")</f>
        <v>June</v>
      </c>
      <c r="AC113" s="8" t="str">
        <f>TEXT(B113,"yyyy")</f>
        <v>2025</v>
      </c>
      <c r="AE113">
        <f t="shared" si="21"/>
        <v>1708.44</v>
      </c>
      <c r="AF113" s="11">
        <f t="shared" si="22"/>
        <v>1623.018</v>
      </c>
      <c r="AG113">
        <f t="shared" si="23"/>
        <v>630.98</v>
      </c>
      <c r="AH113" s="11">
        <f t="shared" si="24"/>
        <v>0.36933108566879724</v>
      </c>
      <c r="AI113" s="9">
        <f t="shared" si="25"/>
        <v>0.36933108566879724</v>
      </c>
      <c r="AJ113">
        <f t="shared" si="26"/>
        <v>0</v>
      </c>
      <c r="AK113">
        <f t="shared" si="27"/>
        <v>0</v>
      </c>
      <c r="AL113">
        <f t="shared" si="28"/>
        <v>1623.02</v>
      </c>
      <c r="AM113">
        <f t="shared" si="29"/>
        <v>1</v>
      </c>
      <c r="AN113">
        <f t="shared" si="30"/>
        <v>0</v>
      </c>
      <c r="AO113">
        <f t="shared" si="31"/>
        <v>0</v>
      </c>
      <c r="AP113">
        <f t="shared" si="32"/>
        <v>0</v>
      </c>
      <c r="AQ113">
        <f t="shared" si="33"/>
        <v>0</v>
      </c>
    </row>
    <row r="114" spans="1:43">
      <c r="A114" t="s">
        <v>446</v>
      </c>
      <c r="B114" s="5">
        <v>45301</v>
      </c>
      <c r="C114" s="5">
        <v>45305</v>
      </c>
      <c r="D114" s="13">
        <f t="shared" si="17"/>
        <v>4</v>
      </c>
      <c r="E114" t="s">
        <v>447</v>
      </c>
      <c r="F114" t="s">
        <v>132</v>
      </c>
      <c r="G114" t="s">
        <v>24</v>
      </c>
      <c r="H114" t="s">
        <v>2785</v>
      </c>
      <c r="I114" t="s">
        <v>180</v>
      </c>
      <c r="J114" t="s">
        <v>181</v>
      </c>
      <c r="K114" t="s">
        <v>74</v>
      </c>
      <c r="L114" t="s">
        <v>75</v>
      </c>
      <c r="M114" t="s">
        <v>448</v>
      </c>
      <c r="N114" t="s">
        <v>59</v>
      </c>
      <c r="O114">
        <v>3</v>
      </c>
      <c r="P114">
        <v>3829.48</v>
      </c>
      <c r="Q114" s="11">
        <v>0.05</v>
      </c>
      <c r="R114">
        <v>10914.02</v>
      </c>
      <c r="S114">
        <v>6548.74</v>
      </c>
      <c r="T114">
        <v>4365.28</v>
      </c>
      <c r="U114" t="s">
        <v>32</v>
      </c>
      <c r="V114" t="s">
        <v>33</v>
      </c>
      <c r="X114" s="8" t="str">
        <f>IF(C114&gt;=B114,"Valid", "Invalid-Date")</f>
        <v>Valid</v>
      </c>
      <c r="Y114" s="8" t="str">
        <f t="shared" si="18"/>
        <v>Valid</v>
      </c>
      <c r="Z114" s="8" t="str">
        <f t="shared" si="19"/>
        <v>Pass</v>
      </c>
      <c r="AA114" s="8" t="str">
        <f t="shared" si="20"/>
        <v>Flagged</v>
      </c>
      <c r="AB114" s="8" t="str">
        <f>TEXT(B114,"mmmm")</f>
        <v>January</v>
      </c>
      <c r="AC114" s="8" t="str">
        <f>TEXT(B114,"yyyy")</f>
        <v>2024</v>
      </c>
      <c r="AE114">
        <f t="shared" si="21"/>
        <v>11488.44</v>
      </c>
      <c r="AF114" s="11">
        <f t="shared" si="22"/>
        <v>10914.018</v>
      </c>
      <c r="AG114">
        <f t="shared" si="23"/>
        <v>4939.7000000000007</v>
      </c>
      <c r="AH114" s="11">
        <f t="shared" si="24"/>
        <v>0.42997134510864837</v>
      </c>
      <c r="AI114" s="9">
        <f t="shared" si="25"/>
        <v>0.42997134510864837</v>
      </c>
      <c r="AJ114">
        <f t="shared" si="26"/>
        <v>10914.02</v>
      </c>
      <c r="AK114">
        <f t="shared" si="27"/>
        <v>1</v>
      </c>
      <c r="AL114">
        <f t="shared" si="28"/>
        <v>0</v>
      </c>
      <c r="AM114">
        <f t="shared" si="29"/>
        <v>0</v>
      </c>
      <c r="AN114">
        <f t="shared" si="30"/>
        <v>0</v>
      </c>
      <c r="AO114">
        <f t="shared" si="31"/>
        <v>0</v>
      </c>
      <c r="AP114">
        <f t="shared" si="32"/>
        <v>0</v>
      </c>
      <c r="AQ114">
        <f t="shared" si="33"/>
        <v>0</v>
      </c>
    </row>
    <row r="115" spans="1:43">
      <c r="A115" t="s">
        <v>449</v>
      </c>
      <c r="B115" s="5">
        <v>45334</v>
      </c>
      <c r="C115" s="5">
        <v>45334</v>
      </c>
      <c r="D115" s="13">
        <f t="shared" si="17"/>
        <v>0</v>
      </c>
      <c r="E115" t="s">
        <v>360</v>
      </c>
      <c r="F115" t="s">
        <v>47</v>
      </c>
      <c r="G115" t="s">
        <v>95</v>
      </c>
      <c r="H115" t="s">
        <v>54</v>
      </c>
      <c r="I115" t="s">
        <v>247</v>
      </c>
      <c r="J115" t="s">
        <v>248</v>
      </c>
      <c r="K115" t="s">
        <v>41</v>
      </c>
      <c r="L115" t="s">
        <v>42</v>
      </c>
      <c r="M115" t="s">
        <v>450</v>
      </c>
      <c r="N115" t="s">
        <v>59</v>
      </c>
      <c r="O115">
        <v>3</v>
      </c>
      <c r="P115">
        <v>1089.1500000000001</v>
      </c>
      <c r="Q115" s="11">
        <v>0.25</v>
      </c>
      <c r="R115">
        <v>2450.59</v>
      </c>
      <c r="S115">
        <v>1639.89</v>
      </c>
      <c r="T115">
        <v>810.7</v>
      </c>
      <c r="U115" t="s">
        <v>32</v>
      </c>
      <c r="V115" t="s">
        <v>33</v>
      </c>
      <c r="X115" s="8" t="str">
        <f>IF(C115&gt;=B115,"Valid", "Invalid-Date")</f>
        <v>Valid</v>
      </c>
      <c r="Y115" s="8" t="str">
        <f t="shared" si="18"/>
        <v>Valid</v>
      </c>
      <c r="Z115" s="8" t="str">
        <f t="shared" si="19"/>
        <v>Pass</v>
      </c>
      <c r="AA115" s="8" t="str">
        <f t="shared" si="20"/>
        <v>Pass</v>
      </c>
      <c r="AB115" s="8" t="str">
        <f>TEXT(B115,"mmmm")</f>
        <v>February</v>
      </c>
      <c r="AC115" s="8" t="str">
        <f>TEXT(B115,"yyyy")</f>
        <v>2024</v>
      </c>
      <c r="AE115">
        <f t="shared" si="21"/>
        <v>3267.4500000000003</v>
      </c>
      <c r="AF115" s="11">
        <f t="shared" si="22"/>
        <v>2450.5875000000001</v>
      </c>
      <c r="AG115">
        <f t="shared" si="23"/>
        <v>1627.5600000000002</v>
      </c>
      <c r="AH115" s="11">
        <f t="shared" si="24"/>
        <v>0.49811320754716981</v>
      </c>
      <c r="AI115" s="9">
        <f t="shared" si="25"/>
        <v>0.49811320754716981</v>
      </c>
      <c r="AJ115">
        <f t="shared" si="26"/>
        <v>2450.59</v>
      </c>
      <c r="AK115">
        <f t="shared" si="27"/>
        <v>1</v>
      </c>
      <c r="AL115">
        <f t="shared" si="28"/>
        <v>0</v>
      </c>
      <c r="AM115">
        <f t="shared" si="29"/>
        <v>0</v>
      </c>
      <c r="AN115">
        <f t="shared" si="30"/>
        <v>0</v>
      </c>
      <c r="AO115">
        <f t="shared" si="31"/>
        <v>0</v>
      </c>
      <c r="AP115">
        <f t="shared" si="32"/>
        <v>0</v>
      </c>
      <c r="AQ115">
        <f t="shared" si="33"/>
        <v>0</v>
      </c>
    </row>
    <row r="116" spans="1:43">
      <c r="A116" t="s">
        <v>451</v>
      </c>
      <c r="B116" s="5">
        <v>45560</v>
      </c>
      <c r="C116" s="5">
        <v>45565</v>
      </c>
      <c r="D116" s="13">
        <f t="shared" si="17"/>
        <v>5</v>
      </c>
      <c r="E116" t="s">
        <v>452</v>
      </c>
      <c r="F116" t="s">
        <v>79</v>
      </c>
      <c r="G116" t="s">
        <v>37</v>
      </c>
      <c r="H116" t="s">
        <v>25</v>
      </c>
      <c r="I116" t="s">
        <v>26</v>
      </c>
      <c r="J116" t="s">
        <v>27</v>
      </c>
      <c r="K116" t="s">
        <v>74</v>
      </c>
      <c r="L116" t="s">
        <v>75</v>
      </c>
      <c r="M116" t="s">
        <v>453</v>
      </c>
      <c r="N116" t="s">
        <v>31</v>
      </c>
      <c r="O116">
        <v>1</v>
      </c>
      <c r="P116">
        <v>4388.3999999999996</v>
      </c>
      <c r="Q116" s="11">
        <v>0.1</v>
      </c>
      <c r="R116">
        <v>3949.56</v>
      </c>
      <c r="S116">
        <v>3186.73</v>
      </c>
      <c r="T116">
        <v>762.83</v>
      </c>
      <c r="U116" t="s">
        <v>111</v>
      </c>
      <c r="V116" t="s">
        <v>68</v>
      </c>
      <c r="X116" s="8" t="str">
        <f>IF(C116&gt;=B116,"Valid", "Invalid-Date")</f>
        <v>Valid</v>
      </c>
      <c r="Y116" s="8" t="str">
        <f t="shared" si="18"/>
        <v>Valid</v>
      </c>
      <c r="Z116" s="8" t="str">
        <f t="shared" si="19"/>
        <v>Pass</v>
      </c>
      <c r="AA116" s="8" t="str">
        <f t="shared" si="20"/>
        <v>Pass</v>
      </c>
      <c r="AB116" s="8" t="str">
        <f>TEXT(B116,"mmmm")</f>
        <v>September</v>
      </c>
      <c r="AC116" s="8" t="str">
        <f>TEXT(B116,"yyyy")</f>
        <v>2024</v>
      </c>
      <c r="AE116">
        <f t="shared" si="21"/>
        <v>4388.3999999999996</v>
      </c>
      <c r="AF116" s="11">
        <f t="shared" si="22"/>
        <v>3949.56</v>
      </c>
      <c r="AG116">
        <f t="shared" si="23"/>
        <v>1201.6699999999996</v>
      </c>
      <c r="AH116" s="11">
        <f t="shared" si="24"/>
        <v>0.2738287302889435</v>
      </c>
      <c r="AI116" s="9">
        <f t="shared" si="25"/>
        <v>0.2738287302889435</v>
      </c>
      <c r="AJ116">
        <f t="shared" si="26"/>
        <v>0</v>
      </c>
      <c r="AK116">
        <f t="shared" si="27"/>
        <v>0</v>
      </c>
      <c r="AL116">
        <f t="shared" si="28"/>
        <v>3949.56</v>
      </c>
      <c r="AM116">
        <f t="shared" si="29"/>
        <v>1</v>
      </c>
      <c r="AN116">
        <f t="shared" si="30"/>
        <v>0</v>
      </c>
      <c r="AO116">
        <f t="shared" si="31"/>
        <v>0</v>
      </c>
      <c r="AP116">
        <f t="shared" si="32"/>
        <v>0</v>
      </c>
      <c r="AQ116">
        <f t="shared" si="33"/>
        <v>0</v>
      </c>
    </row>
    <row r="117" spans="1:43">
      <c r="A117" t="s">
        <v>454</v>
      </c>
      <c r="B117" s="5">
        <v>45653</v>
      </c>
      <c r="C117" s="5">
        <v>45658</v>
      </c>
      <c r="D117" s="13">
        <f t="shared" si="17"/>
        <v>5</v>
      </c>
      <c r="E117" t="s">
        <v>455</v>
      </c>
      <c r="F117" t="s">
        <v>264</v>
      </c>
      <c r="G117" t="s">
        <v>90</v>
      </c>
      <c r="H117" t="s">
        <v>54</v>
      </c>
      <c r="I117" t="s">
        <v>247</v>
      </c>
      <c r="J117" t="s">
        <v>248</v>
      </c>
      <c r="K117" t="s">
        <v>28</v>
      </c>
      <c r="L117" t="s">
        <v>153</v>
      </c>
      <c r="M117" t="s">
        <v>456</v>
      </c>
      <c r="N117" t="s">
        <v>44</v>
      </c>
      <c r="O117">
        <v>2</v>
      </c>
      <c r="P117">
        <v>446.34</v>
      </c>
      <c r="Q117" s="11">
        <v>0.15</v>
      </c>
      <c r="R117">
        <v>758.78</v>
      </c>
      <c r="S117">
        <v>490.74</v>
      </c>
      <c r="T117">
        <v>268.04000000000002</v>
      </c>
      <c r="U117" t="s">
        <v>32</v>
      </c>
      <c r="V117" t="s">
        <v>68</v>
      </c>
      <c r="X117" s="8" t="str">
        <f>IF(C117&gt;=B117,"Valid", "Invalid-Date")</f>
        <v>Valid</v>
      </c>
      <c r="Y117" s="8" t="str">
        <f t="shared" si="18"/>
        <v>Valid</v>
      </c>
      <c r="Z117" s="8" t="str">
        <f t="shared" si="19"/>
        <v>Pass</v>
      </c>
      <c r="AA117" s="8" t="str">
        <f t="shared" si="20"/>
        <v>Pass</v>
      </c>
      <c r="AB117" s="8" t="str">
        <f>TEXT(B117,"mmmm")</f>
        <v>December</v>
      </c>
      <c r="AC117" s="8" t="str">
        <f>TEXT(B117,"yyyy")</f>
        <v>2024</v>
      </c>
      <c r="AE117">
        <f t="shared" si="21"/>
        <v>892.68</v>
      </c>
      <c r="AF117" s="11">
        <f t="shared" si="22"/>
        <v>758.77799999999991</v>
      </c>
      <c r="AG117">
        <f t="shared" si="23"/>
        <v>401.93999999999994</v>
      </c>
      <c r="AH117" s="11">
        <f t="shared" si="24"/>
        <v>0.45026213200699017</v>
      </c>
      <c r="AI117" s="9">
        <f t="shared" si="25"/>
        <v>0.45026213200699017</v>
      </c>
      <c r="AJ117">
        <f t="shared" si="26"/>
        <v>0</v>
      </c>
      <c r="AK117">
        <f t="shared" si="27"/>
        <v>0</v>
      </c>
      <c r="AL117">
        <f t="shared" si="28"/>
        <v>758.78</v>
      </c>
      <c r="AM117">
        <f t="shared" si="29"/>
        <v>1</v>
      </c>
      <c r="AN117">
        <f t="shared" si="30"/>
        <v>0</v>
      </c>
      <c r="AO117">
        <f t="shared" si="31"/>
        <v>0</v>
      </c>
      <c r="AP117">
        <f t="shared" si="32"/>
        <v>0</v>
      </c>
      <c r="AQ117">
        <f t="shared" si="33"/>
        <v>0</v>
      </c>
    </row>
    <row r="118" spans="1:43">
      <c r="A118" t="s">
        <v>457</v>
      </c>
      <c r="B118" s="5">
        <v>45703</v>
      </c>
      <c r="C118" s="5">
        <v>45707</v>
      </c>
      <c r="D118" s="13">
        <f t="shared" si="17"/>
        <v>4</v>
      </c>
      <c r="E118" t="s">
        <v>458</v>
      </c>
      <c r="F118" t="s">
        <v>62</v>
      </c>
      <c r="G118" t="s">
        <v>37</v>
      </c>
      <c r="H118" t="s">
        <v>2785</v>
      </c>
      <c r="I118" t="s">
        <v>72</v>
      </c>
      <c r="J118" t="s">
        <v>73</v>
      </c>
      <c r="K118" t="s">
        <v>28</v>
      </c>
      <c r="L118" t="s">
        <v>153</v>
      </c>
      <c r="M118" t="s">
        <v>459</v>
      </c>
      <c r="N118" t="s">
        <v>50</v>
      </c>
      <c r="O118">
        <v>9</v>
      </c>
      <c r="P118">
        <v>531.99</v>
      </c>
      <c r="Q118" s="11">
        <v>0.25</v>
      </c>
      <c r="R118">
        <v>3590.93</v>
      </c>
      <c r="S118">
        <v>3061.39</v>
      </c>
      <c r="T118">
        <v>529.54</v>
      </c>
      <c r="U118" t="s">
        <v>155</v>
      </c>
      <c r="V118" t="s">
        <v>68</v>
      </c>
      <c r="X118" s="8" t="str">
        <f>IF(C118&gt;=B118,"Valid", "Invalid-Date")</f>
        <v>Valid</v>
      </c>
      <c r="Y118" s="8" t="str">
        <f t="shared" si="18"/>
        <v>Valid</v>
      </c>
      <c r="Z118" s="8" t="str">
        <f t="shared" si="19"/>
        <v>Pass</v>
      </c>
      <c r="AA118" s="8" t="str">
        <f t="shared" si="20"/>
        <v>Flagged</v>
      </c>
      <c r="AB118" s="8" t="str">
        <f>TEXT(B118,"mmmm")</f>
        <v>February</v>
      </c>
      <c r="AC118" s="8" t="str">
        <f>TEXT(B118,"yyyy")</f>
        <v>2025</v>
      </c>
      <c r="AE118">
        <f t="shared" si="21"/>
        <v>4787.91</v>
      </c>
      <c r="AF118" s="11">
        <f t="shared" si="22"/>
        <v>3590.9324999999999</v>
      </c>
      <c r="AG118">
        <f t="shared" si="23"/>
        <v>1726.52</v>
      </c>
      <c r="AH118" s="11">
        <f t="shared" si="24"/>
        <v>0.36059992773464833</v>
      </c>
      <c r="AI118" s="9">
        <f t="shared" si="25"/>
        <v>0.36059992773464833</v>
      </c>
      <c r="AJ118">
        <f t="shared" si="26"/>
        <v>0</v>
      </c>
      <c r="AK118">
        <f t="shared" si="27"/>
        <v>0</v>
      </c>
      <c r="AL118">
        <f t="shared" si="28"/>
        <v>3590.93</v>
      </c>
      <c r="AM118">
        <f t="shared" si="29"/>
        <v>1</v>
      </c>
      <c r="AN118">
        <f t="shared" si="30"/>
        <v>3590.93</v>
      </c>
      <c r="AO118">
        <f t="shared" si="31"/>
        <v>1</v>
      </c>
      <c r="AP118">
        <f t="shared" si="32"/>
        <v>0</v>
      </c>
      <c r="AQ118">
        <f t="shared" si="33"/>
        <v>0</v>
      </c>
    </row>
    <row r="119" spans="1:43">
      <c r="A119" t="s">
        <v>460</v>
      </c>
      <c r="B119" s="5">
        <v>45337</v>
      </c>
      <c r="C119" s="5">
        <v>45339</v>
      </c>
      <c r="D119" s="13">
        <f t="shared" si="17"/>
        <v>2</v>
      </c>
      <c r="E119" t="s">
        <v>461</v>
      </c>
      <c r="F119" t="s">
        <v>36</v>
      </c>
      <c r="G119" t="s">
        <v>95</v>
      </c>
      <c r="H119" t="s">
        <v>54</v>
      </c>
      <c r="I119" t="s">
        <v>247</v>
      </c>
      <c r="J119" t="s">
        <v>248</v>
      </c>
      <c r="K119" t="s">
        <v>74</v>
      </c>
      <c r="L119" t="s">
        <v>274</v>
      </c>
      <c r="M119" t="s">
        <v>462</v>
      </c>
      <c r="N119" t="s">
        <v>59</v>
      </c>
      <c r="O119">
        <v>9</v>
      </c>
      <c r="P119">
        <v>3324.55</v>
      </c>
      <c r="Q119" s="10">
        <v>0.7</v>
      </c>
      <c r="R119">
        <v>25432.81</v>
      </c>
      <c r="S119">
        <v>20370.16</v>
      </c>
      <c r="T119">
        <v>5062.6499999999996</v>
      </c>
      <c r="U119" t="s">
        <v>32</v>
      </c>
      <c r="V119" t="s">
        <v>33</v>
      </c>
      <c r="X119" s="8" t="str">
        <f>IF(C119&gt;=B119,"Valid", "Invalid-Date")</f>
        <v>Valid</v>
      </c>
      <c r="Y119" s="8" t="str">
        <f t="shared" si="18"/>
        <v>Invalid-Discount</v>
      </c>
      <c r="Z119" s="8" t="str">
        <f t="shared" si="19"/>
        <v>Pass</v>
      </c>
      <c r="AA119" s="8" t="str">
        <f t="shared" si="20"/>
        <v>Pass</v>
      </c>
      <c r="AB119" s="8" t="str">
        <f>TEXT(B119,"mmmm")</f>
        <v>February</v>
      </c>
      <c r="AC119" s="8" t="str">
        <f>TEXT(B119,"yyyy")</f>
        <v>2024</v>
      </c>
      <c r="AE119">
        <f t="shared" si="21"/>
        <v>29920.95</v>
      </c>
      <c r="AF119" s="11">
        <f t="shared" si="22"/>
        <v>8976.2850000000017</v>
      </c>
      <c r="AG119">
        <f t="shared" si="23"/>
        <v>9550.7900000000009</v>
      </c>
      <c r="AH119" s="11">
        <f t="shared" si="24"/>
        <v>0.31920076067103487</v>
      </c>
      <c r="AI119" s="9">
        <f t="shared" si="25"/>
        <v>0.31920076067103487</v>
      </c>
      <c r="AJ119">
        <f t="shared" si="26"/>
        <v>25432.81</v>
      </c>
      <c r="AK119">
        <f t="shared" si="27"/>
        <v>1</v>
      </c>
      <c r="AL119">
        <f t="shared" si="28"/>
        <v>0</v>
      </c>
      <c r="AM119">
        <f t="shared" si="29"/>
        <v>0</v>
      </c>
      <c r="AN119">
        <f t="shared" si="30"/>
        <v>0</v>
      </c>
      <c r="AO119">
        <f t="shared" si="31"/>
        <v>0</v>
      </c>
      <c r="AP119">
        <f t="shared" si="32"/>
        <v>0</v>
      </c>
      <c r="AQ119">
        <f t="shared" si="33"/>
        <v>0</v>
      </c>
    </row>
    <row r="120" spans="1:43">
      <c r="A120" t="s">
        <v>463</v>
      </c>
      <c r="B120" s="5">
        <v>45571</v>
      </c>
      <c r="C120" s="5">
        <v>45461</v>
      </c>
      <c r="D120" s="13">
        <f t="shared" si="17"/>
        <v>-110</v>
      </c>
      <c r="E120" t="s">
        <v>464</v>
      </c>
      <c r="F120" t="s">
        <v>71</v>
      </c>
      <c r="G120" t="s">
        <v>95</v>
      </c>
      <c r="H120" t="s">
        <v>54</v>
      </c>
      <c r="I120" t="s">
        <v>84</v>
      </c>
      <c r="J120" t="s">
        <v>85</v>
      </c>
      <c r="K120" t="s">
        <v>74</v>
      </c>
      <c r="L120" t="s">
        <v>80</v>
      </c>
      <c r="M120" t="s">
        <v>465</v>
      </c>
      <c r="N120" t="s">
        <v>44</v>
      </c>
      <c r="O120">
        <v>5</v>
      </c>
      <c r="P120">
        <v>1580.27</v>
      </c>
      <c r="Q120" s="11">
        <v>0.2</v>
      </c>
      <c r="R120">
        <v>6321.08</v>
      </c>
      <c r="S120">
        <v>4407.22</v>
      </c>
      <c r="T120">
        <v>1913.86</v>
      </c>
      <c r="U120" t="s">
        <v>32</v>
      </c>
      <c r="V120" t="s">
        <v>33</v>
      </c>
      <c r="X120" s="8" t="str">
        <f>IF(C120&gt;=B120,"Valid", "Invalid-Date")</f>
        <v>Invalid-Date</v>
      </c>
      <c r="Y120" s="8" t="str">
        <f t="shared" si="18"/>
        <v>Valid</v>
      </c>
      <c r="Z120" s="8" t="str">
        <f t="shared" si="19"/>
        <v>Pass</v>
      </c>
      <c r="AA120" s="8" t="str">
        <f t="shared" si="20"/>
        <v>Pass</v>
      </c>
      <c r="AB120" s="8" t="str">
        <f>TEXT(B120,"mmmm")</f>
        <v>October</v>
      </c>
      <c r="AC120" s="8" t="str">
        <f>TEXT(B120,"yyyy")</f>
        <v>2024</v>
      </c>
      <c r="AE120">
        <f t="shared" si="21"/>
        <v>7901.35</v>
      </c>
      <c r="AF120" s="11">
        <f t="shared" si="22"/>
        <v>6321.0800000000008</v>
      </c>
      <c r="AG120">
        <f t="shared" si="23"/>
        <v>3494.13</v>
      </c>
      <c r="AH120" s="11">
        <f t="shared" si="24"/>
        <v>0.44221936757642683</v>
      </c>
      <c r="AI120" s="9">
        <f t="shared" si="25"/>
        <v>0.44221936757642683</v>
      </c>
      <c r="AJ120">
        <f t="shared" si="26"/>
        <v>6321.08</v>
      </c>
      <c r="AK120">
        <f t="shared" si="27"/>
        <v>1</v>
      </c>
      <c r="AL120">
        <f t="shared" si="28"/>
        <v>0</v>
      </c>
      <c r="AM120">
        <f t="shared" si="29"/>
        <v>0</v>
      </c>
      <c r="AN120">
        <f t="shared" si="30"/>
        <v>0</v>
      </c>
      <c r="AO120">
        <f t="shared" si="31"/>
        <v>0</v>
      </c>
      <c r="AP120">
        <f t="shared" si="32"/>
        <v>0</v>
      </c>
      <c r="AQ120">
        <f t="shared" si="33"/>
        <v>0</v>
      </c>
    </row>
    <row r="121" spans="1:43">
      <c r="A121" t="s">
        <v>466</v>
      </c>
      <c r="B121" s="5">
        <v>45455</v>
      </c>
      <c r="C121" s="5">
        <v>45462</v>
      </c>
      <c r="D121" s="13">
        <f t="shared" si="17"/>
        <v>7</v>
      </c>
      <c r="E121" t="s">
        <v>467</v>
      </c>
      <c r="F121" t="s">
        <v>89</v>
      </c>
      <c r="G121" t="s">
        <v>37</v>
      </c>
      <c r="H121" t="s">
        <v>54</v>
      </c>
      <c r="I121" t="s">
        <v>185</v>
      </c>
      <c r="J121" t="s">
        <v>186</v>
      </c>
      <c r="K121" t="s">
        <v>41</v>
      </c>
      <c r="L121" t="s">
        <v>66</v>
      </c>
      <c r="M121" t="s">
        <v>468</v>
      </c>
      <c r="N121" t="s">
        <v>59</v>
      </c>
      <c r="O121">
        <v>8</v>
      </c>
      <c r="P121">
        <v>314.05</v>
      </c>
      <c r="Q121" s="11">
        <v>0.25</v>
      </c>
      <c r="R121">
        <v>1884.3</v>
      </c>
      <c r="S121">
        <v>1517.69</v>
      </c>
      <c r="T121">
        <v>366.61</v>
      </c>
      <c r="U121" t="s">
        <v>102</v>
      </c>
      <c r="V121" t="s">
        <v>103</v>
      </c>
      <c r="X121" s="8" t="str">
        <f>IF(C121&gt;=B121,"Valid", "Invalid-Date")</f>
        <v>Valid</v>
      </c>
      <c r="Y121" s="8" t="str">
        <f t="shared" si="18"/>
        <v>Valid</v>
      </c>
      <c r="Z121" s="8" t="str">
        <f t="shared" si="19"/>
        <v>Pass</v>
      </c>
      <c r="AA121" s="8" t="str">
        <f t="shared" si="20"/>
        <v>Pass</v>
      </c>
      <c r="AB121" s="8" t="str">
        <f>TEXT(B121,"mmmm")</f>
        <v>June</v>
      </c>
      <c r="AC121" s="8" t="str">
        <f>TEXT(B121,"yyyy")</f>
        <v>2024</v>
      </c>
      <c r="AE121">
        <f t="shared" si="21"/>
        <v>2512.4</v>
      </c>
      <c r="AF121" s="11">
        <f t="shared" si="22"/>
        <v>1884.3000000000002</v>
      </c>
      <c r="AG121">
        <f t="shared" si="23"/>
        <v>994.71</v>
      </c>
      <c r="AH121" s="11">
        <f t="shared" si="24"/>
        <v>0.39592023563126888</v>
      </c>
      <c r="AI121" s="9">
        <f t="shared" si="25"/>
        <v>0.39592023563126888</v>
      </c>
      <c r="AJ121">
        <f t="shared" si="26"/>
        <v>0</v>
      </c>
      <c r="AK121">
        <f t="shared" si="27"/>
        <v>0</v>
      </c>
      <c r="AL121">
        <f t="shared" si="28"/>
        <v>0</v>
      </c>
      <c r="AM121">
        <f t="shared" si="29"/>
        <v>0</v>
      </c>
      <c r="AN121">
        <f t="shared" si="30"/>
        <v>0</v>
      </c>
      <c r="AO121">
        <f t="shared" si="31"/>
        <v>0</v>
      </c>
      <c r="AP121">
        <f t="shared" si="32"/>
        <v>1884.3</v>
      </c>
      <c r="AQ121">
        <f t="shared" si="33"/>
        <v>1</v>
      </c>
    </row>
    <row r="122" spans="1:43">
      <c r="A122" t="s">
        <v>469</v>
      </c>
      <c r="B122" s="5">
        <v>45514</v>
      </c>
      <c r="C122" s="5">
        <v>45522</v>
      </c>
      <c r="D122" s="13">
        <f t="shared" si="17"/>
        <v>8</v>
      </c>
      <c r="E122" t="s">
        <v>470</v>
      </c>
      <c r="F122" t="s">
        <v>132</v>
      </c>
      <c r="G122" t="s">
        <v>37</v>
      </c>
      <c r="H122" t="s">
        <v>38</v>
      </c>
      <c r="I122" t="s">
        <v>145</v>
      </c>
      <c r="J122" t="s">
        <v>146</v>
      </c>
      <c r="K122" t="s">
        <v>74</v>
      </c>
      <c r="L122" t="s">
        <v>171</v>
      </c>
      <c r="M122" t="s">
        <v>471</v>
      </c>
      <c r="N122" t="s">
        <v>59</v>
      </c>
      <c r="O122">
        <v>1</v>
      </c>
      <c r="P122">
        <v>1823.67</v>
      </c>
      <c r="Q122" s="11">
        <v>0.2</v>
      </c>
      <c r="R122">
        <v>1458.94</v>
      </c>
      <c r="S122">
        <v>893.2</v>
      </c>
      <c r="T122">
        <v>565.74</v>
      </c>
      <c r="U122" t="s">
        <v>32</v>
      </c>
      <c r="V122" t="s">
        <v>103</v>
      </c>
      <c r="X122" s="8" t="str">
        <f>IF(C122&gt;=B122,"Valid", "Invalid-Date")</f>
        <v>Valid</v>
      </c>
      <c r="Y122" s="8" t="str">
        <f t="shared" si="18"/>
        <v>Valid</v>
      </c>
      <c r="Z122" s="8" t="str">
        <f t="shared" si="19"/>
        <v>Pass</v>
      </c>
      <c r="AA122" s="8" t="str">
        <f t="shared" si="20"/>
        <v>Pass</v>
      </c>
      <c r="AB122" s="8" t="str">
        <f>TEXT(B122,"mmmm")</f>
        <v>August</v>
      </c>
      <c r="AC122" s="8" t="str">
        <f>TEXT(B122,"yyyy")</f>
        <v>2024</v>
      </c>
      <c r="AE122">
        <f t="shared" si="21"/>
        <v>1823.67</v>
      </c>
      <c r="AF122" s="11">
        <f t="shared" si="22"/>
        <v>1458.9360000000001</v>
      </c>
      <c r="AG122">
        <f t="shared" si="23"/>
        <v>930.47</v>
      </c>
      <c r="AH122" s="11">
        <f t="shared" si="24"/>
        <v>0.51021840574226696</v>
      </c>
      <c r="AI122" s="9">
        <f t="shared" si="25"/>
        <v>0.51021840574226696</v>
      </c>
      <c r="AJ122">
        <f t="shared" si="26"/>
        <v>0</v>
      </c>
      <c r="AK122">
        <f t="shared" si="27"/>
        <v>0</v>
      </c>
      <c r="AL122">
        <f t="shared" si="28"/>
        <v>0</v>
      </c>
      <c r="AM122">
        <f t="shared" si="29"/>
        <v>0</v>
      </c>
      <c r="AN122">
        <f t="shared" si="30"/>
        <v>0</v>
      </c>
      <c r="AO122">
        <f t="shared" si="31"/>
        <v>0</v>
      </c>
      <c r="AP122">
        <f t="shared" si="32"/>
        <v>1458.94</v>
      </c>
      <c r="AQ122">
        <f t="shared" si="33"/>
        <v>1</v>
      </c>
    </row>
    <row r="123" spans="1:43">
      <c r="A123" t="s">
        <v>472</v>
      </c>
      <c r="B123" s="5">
        <v>45891</v>
      </c>
      <c r="C123" s="5">
        <v>45895</v>
      </c>
      <c r="D123" s="13">
        <f t="shared" si="17"/>
        <v>4</v>
      </c>
      <c r="E123" t="s">
        <v>473</v>
      </c>
      <c r="F123" t="s">
        <v>264</v>
      </c>
      <c r="G123" t="s">
        <v>37</v>
      </c>
      <c r="H123" t="s">
        <v>54</v>
      </c>
      <c r="I123" t="s">
        <v>84</v>
      </c>
      <c r="J123" t="s">
        <v>85</v>
      </c>
      <c r="K123" t="s">
        <v>74</v>
      </c>
      <c r="L123" t="s">
        <v>274</v>
      </c>
      <c r="M123" t="s">
        <v>474</v>
      </c>
      <c r="N123" t="s">
        <v>31</v>
      </c>
      <c r="O123">
        <v>5</v>
      </c>
      <c r="P123">
        <v>3482.92</v>
      </c>
      <c r="Q123" s="11">
        <v>0</v>
      </c>
      <c r="R123">
        <v>17414.599999999999</v>
      </c>
      <c r="S123">
        <v>11760.91</v>
      </c>
      <c r="T123">
        <v>5653.69</v>
      </c>
      <c r="U123" t="s">
        <v>102</v>
      </c>
      <c r="V123" t="s">
        <v>68</v>
      </c>
      <c r="X123" s="8" t="str">
        <f>IF(C123&gt;=B123,"Valid", "Invalid-Date")</f>
        <v>Valid</v>
      </c>
      <c r="Y123" s="8" t="str">
        <f t="shared" si="18"/>
        <v>Valid</v>
      </c>
      <c r="Z123" s="8" t="str">
        <f t="shared" si="19"/>
        <v>Pass</v>
      </c>
      <c r="AA123" s="8" t="str">
        <f t="shared" si="20"/>
        <v>Pass</v>
      </c>
      <c r="AB123" s="8" t="str">
        <f>TEXT(B123,"mmmm")</f>
        <v>August</v>
      </c>
      <c r="AC123" s="8" t="str">
        <f>TEXT(B123,"yyyy")</f>
        <v>2025</v>
      </c>
      <c r="AE123">
        <f t="shared" si="21"/>
        <v>17414.599999999999</v>
      </c>
      <c r="AF123" s="11">
        <f t="shared" si="22"/>
        <v>17414.599999999999</v>
      </c>
      <c r="AG123">
        <f t="shared" si="23"/>
        <v>5653.6899999999987</v>
      </c>
      <c r="AH123" s="11">
        <f t="shared" si="24"/>
        <v>0.3246523032398102</v>
      </c>
      <c r="AI123" s="9">
        <f t="shared" si="25"/>
        <v>0.3246523032398102</v>
      </c>
      <c r="AJ123">
        <f t="shared" si="26"/>
        <v>0</v>
      </c>
      <c r="AK123">
        <f t="shared" si="27"/>
        <v>0</v>
      </c>
      <c r="AL123">
        <f t="shared" si="28"/>
        <v>17414.599999999999</v>
      </c>
      <c r="AM123">
        <f t="shared" si="29"/>
        <v>1</v>
      </c>
      <c r="AN123">
        <f t="shared" si="30"/>
        <v>0</v>
      </c>
      <c r="AO123">
        <f t="shared" si="31"/>
        <v>0</v>
      </c>
      <c r="AP123">
        <f t="shared" si="32"/>
        <v>0</v>
      </c>
      <c r="AQ123">
        <f t="shared" si="33"/>
        <v>0</v>
      </c>
    </row>
    <row r="124" spans="1:43">
      <c r="A124" t="s">
        <v>475</v>
      </c>
      <c r="B124" s="5">
        <v>45626</v>
      </c>
      <c r="C124" s="5">
        <v>45630</v>
      </c>
      <c r="D124" s="13">
        <f t="shared" si="17"/>
        <v>4</v>
      </c>
      <c r="E124" t="s">
        <v>476</v>
      </c>
      <c r="F124" t="s">
        <v>62</v>
      </c>
      <c r="G124" t="s">
        <v>37</v>
      </c>
      <c r="H124" t="s">
        <v>38</v>
      </c>
      <c r="I124" t="s">
        <v>166</v>
      </c>
      <c r="J124" t="s">
        <v>167</v>
      </c>
      <c r="K124" t="s">
        <v>41</v>
      </c>
      <c r="L124" t="s">
        <v>66</v>
      </c>
      <c r="M124" t="s">
        <v>477</v>
      </c>
      <c r="N124" t="s">
        <v>31</v>
      </c>
      <c r="O124">
        <v>3</v>
      </c>
      <c r="P124">
        <v>170.35</v>
      </c>
      <c r="Q124" s="11">
        <v>0</v>
      </c>
      <c r="R124">
        <v>511.05</v>
      </c>
      <c r="S124">
        <v>367.18</v>
      </c>
      <c r="T124">
        <v>143.87</v>
      </c>
      <c r="U124" t="s">
        <v>32</v>
      </c>
      <c r="V124" t="s">
        <v>33</v>
      </c>
      <c r="X124" s="8" t="str">
        <f>IF(C124&gt;=B124,"Valid", "Invalid-Date")</f>
        <v>Valid</v>
      </c>
      <c r="Y124" s="8" t="str">
        <f t="shared" si="18"/>
        <v>Valid</v>
      </c>
      <c r="Z124" s="8" t="str">
        <f t="shared" si="19"/>
        <v>Pass</v>
      </c>
      <c r="AA124" s="8" t="str">
        <f t="shared" si="20"/>
        <v>Pass</v>
      </c>
      <c r="AB124" s="8" t="str">
        <f>TEXT(B124,"mmmm")</f>
        <v>November</v>
      </c>
      <c r="AC124" s="8" t="str">
        <f>TEXT(B124,"yyyy")</f>
        <v>2024</v>
      </c>
      <c r="AE124">
        <f t="shared" si="21"/>
        <v>511.04999999999995</v>
      </c>
      <c r="AF124" s="11">
        <f t="shared" si="22"/>
        <v>511.04999999999995</v>
      </c>
      <c r="AG124">
        <f t="shared" si="23"/>
        <v>143.86999999999995</v>
      </c>
      <c r="AH124" s="11">
        <f t="shared" si="24"/>
        <v>0.28151844242246349</v>
      </c>
      <c r="AI124" s="9">
        <f t="shared" si="25"/>
        <v>0.28151844242246349</v>
      </c>
      <c r="AJ124">
        <f t="shared" si="26"/>
        <v>511.05</v>
      </c>
      <c r="AK124">
        <f t="shared" si="27"/>
        <v>1</v>
      </c>
      <c r="AL124">
        <f t="shared" si="28"/>
        <v>0</v>
      </c>
      <c r="AM124">
        <f t="shared" si="29"/>
        <v>0</v>
      </c>
      <c r="AN124">
        <f t="shared" si="30"/>
        <v>0</v>
      </c>
      <c r="AO124">
        <f t="shared" si="31"/>
        <v>0</v>
      </c>
      <c r="AP124">
        <f t="shared" si="32"/>
        <v>0</v>
      </c>
      <c r="AQ124">
        <f t="shared" si="33"/>
        <v>0</v>
      </c>
    </row>
    <row r="125" spans="1:43" s="15" customFormat="1">
      <c r="A125" s="15" t="s">
        <v>478</v>
      </c>
      <c r="B125" s="16">
        <v>45436</v>
      </c>
      <c r="C125" s="16">
        <v>45437</v>
      </c>
      <c r="D125" s="17">
        <f t="shared" si="17"/>
        <v>1</v>
      </c>
      <c r="E125" s="15" t="s">
        <v>479</v>
      </c>
      <c r="F125" s="15" t="s">
        <v>132</v>
      </c>
      <c r="G125" s="15" t="s">
        <v>37</v>
      </c>
      <c r="H125" s="15" t="s">
        <v>25</v>
      </c>
      <c r="I125" s="15" t="s">
        <v>122</v>
      </c>
      <c r="J125" s="15" t="s">
        <v>123</v>
      </c>
      <c r="K125" s="15" t="s">
        <v>74</v>
      </c>
      <c r="L125" s="15" t="s">
        <v>80</v>
      </c>
      <c r="M125" s="15" t="s">
        <v>480</v>
      </c>
      <c r="N125" s="15" t="s">
        <v>44</v>
      </c>
      <c r="O125" s="15">
        <v>1</v>
      </c>
      <c r="P125" s="15">
        <v>634.13</v>
      </c>
      <c r="Q125" s="18">
        <v>0</v>
      </c>
      <c r="R125" s="15">
        <v>634.13</v>
      </c>
      <c r="S125" s="15">
        <v>453.35</v>
      </c>
      <c r="T125" s="15">
        <v>180.78</v>
      </c>
      <c r="U125" s="15" t="s">
        <v>102</v>
      </c>
      <c r="V125" s="15" t="s">
        <v>68</v>
      </c>
      <c r="W125" s="25"/>
      <c r="X125" s="8" t="str">
        <f>IF(C125&gt;=B125,"Valid", "Invalid-Date")</f>
        <v>Valid</v>
      </c>
      <c r="Y125" s="8" t="str">
        <f t="shared" si="18"/>
        <v>Valid</v>
      </c>
      <c r="Z125" s="19" t="str">
        <f t="shared" si="19"/>
        <v>Pass</v>
      </c>
      <c r="AA125" s="19" t="str">
        <f t="shared" si="20"/>
        <v>Pass</v>
      </c>
      <c r="AB125" s="19" t="str">
        <f>TEXT(B125,"mmmm")</f>
        <v>May</v>
      </c>
      <c r="AC125" s="19" t="str">
        <f>TEXT(B125,"yyyy")</f>
        <v>2024</v>
      </c>
      <c r="AD125" s="20"/>
      <c r="AE125" s="15">
        <f t="shared" si="21"/>
        <v>634.13</v>
      </c>
      <c r="AF125" s="11">
        <f t="shared" si="22"/>
        <v>634.13</v>
      </c>
      <c r="AG125" s="15">
        <f t="shared" si="23"/>
        <v>180.77999999999997</v>
      </c>
      <c r="AH125" s="18">
        <f t="shared" si="24"/>
        <v>0.28508350022865969</v>
      </c>
      <c r="AI125" s="21">
        <f t="shared" si="25"/>
        <v>0.28508350022865969</v>
      </c>
      <c r="AJ125">
        <f t="shared" si="26"/>
        <v>0</v>
      </c>
      <c r="AK125">
        <f t="shared" si="27"/>
        <v>0</v>
      </c>
      <c r="AL125">
        <f t="shared" si="28"/>
        <v>634.13</v>
      </c>
      <c r="AM125">
        <f t="shared" si="29"/>
        <v>1</v>
      </c>
      <c r="AN125">
        <f t="shared" si="30"/>
        <v>0</v>
      </c>
      <c r="AO125">
        <f t="shared" si="31"/>
        <v>0</v>
      </c>
      <c r="AP125">
        <f t="shared" si="32"/>
        <v>0</v>
      </c>
      <c r="AQ125">
        <f t="shared" si="33"/>
        <v>0</v>
      </c>
    </row>
    <row r="126" spans="1:43">
      <c r="A126" t="s">
        <v>481</v>
      </c>
      <c r="B126" s="5">
        <v>45494</v>
      </c>
      <c r="C126" s="5">
        <v>45497</v>
      </c>
      <c r="D126" s="13">
        <f t="shared" si="17"/>
        <v>3</v>
      </c>
      <c r="E126" t="s">
        <v>482</v>
      </c>
      <c r="F126" t="s">
        <v>47</v>
      </c>
      <c r="G126" t="s">
        <v>90</v>
      </c>
      <c r="H126" t="s">
        <v>54</v>
      </c>
      <c r="I126" t="s">
        <v>175</v>
      </c>
      <c r="J126" t="s">
        <v>176</v>
      </c>
      <c r="K126" t="s">
        <v>74</v>
      </c>
      <c r="L126" t="s">
        <v>80</v>
      </c>
      <c r="M126" t="s">
        <v>483</v>
      </c>
      <c r="N126" t="s">
        <v>59</v>
      </c>
      <c r="O126">
        <v>9</v>
      </c>
      <c r="P126">
        <v>465.06</v>
      </c>
      <c r="Q126" s="11">
        <v>-0.15</v>
      </c>
      <c r="R126">
        <v>4185.54</v>
      </c>
      <c r="S126">
        <v>3443.74</v>
      </c>
      <c r="T126">
        <v>741.8</v>
      </c>
      <c r="U126" t="s">
        <v>32</v>
      </c>
      <c r="V126" t="s">
        <v>33</v>
      </c>
      <c r="X126" s="8" t="str">
        <f>IF(C126&gt;=B126,"Valid", "Invalid-Date")</f>
        <v>Valid</v>
      </c>
      <c r="Y126" s="8" t="str">
        <f t="shared" si="18"/>
        <v>Invalid-Discount</v>
      </c>
      <c r="Z126" s="8" t="str">
        <f t="shared" si="19"/>
        <v>Pass</v>
      </c>
      <c r="AA126" s="8" t="str">
        <f t="shared" si="20"/>
        <v>Pass</v>
      </c>
      <c r="AB126" s="8" t="str">
        <f>TEXT(B126,"mmmm")</f>
        <v>July</v>
      </c>
      <c r="AC126" s="8" t="str">
        <f>TEXT(B126,"yyyy")</f>
        <v>2024</v>
      </c>
      <c r="AE126">
        <f t="shared" si="21"/>
        <v>4185.54</v>
      </c>
      <c r="AF126" s="11">
        <f t="shared" si="22"/>
        <v>4813.3709999999992</v>
      </c>
      <c r="AG126">
        <f t="shared" si="23"/>
        <v>741.80000000000018</v>
      </c>
      <c r="AH126" s="11">
        <f t="shared" si="24"/>
        <v>0.17722922251370199</v>
      </c>
      <c r="AI126" s="9">
        <f t="shared" si="25"/>
        <v>0.17722922251370199</v>
      </c>
      <c r="AJ126">
        <f t="shared" si="26"/>
        <v>4185.54</v>
      </c>
      <c r="AK126">
        <f t="shared" si="27"/>
        <v>1</v>
      </c>
      <c r="AL126">
        <f t="shared" si="28"/>
        <v>0</v>
      </c>
      <c r="AM126">
        <f t="shared" si="29"/>
        <v>0</v>
      </c>
      <c r="AN126">
        <f t="shared" si="30"/>
        <v>0</v>
      </c>
      <c r="AO126">
        <f t="shared" si="31"/>
        <v>0</v>
      </c>
      <c r="AP126">
        <f t="shared" si="32"/>
        <v>0</v>
      </c>
      <c r="AQ126">
        <f t="shared" si="33"/>
        <v>0</v>
      </c>
    </row>
    <row r="127" spans="1:43">
      <c r="A127" t="s">
        <v>484</v>
      </c>
      <c r="B127" s="5">
        <v>45855</v>
      </c>
      <c r="C127" s="5">
        <v>45856</v>
      </c>
      <c r="D127" s="13">
        <f t="shared" si="17"/>
        <v>1</v>
      </c>
      <c r="E127" t="s">
        <v>485</v>
      </c>
      <c r="F127" t="s">
        <v>79</v>
      </c>
      <c r="G127" t="s">
        <v>37</v>
      </c>
      <c r="H127" t="s">
        <v>63</v>
      </c>
      <c r="I127" t="s">
        <v>26</v>
      </c>
      <c r="J127" t="s">
        <v>109</v>
      </c>
      <c r="K127" t="s">
        <v>41</v>
      </c>
      <c r="L127" t="s">
        <v>42</v>
      </c>
      <c r="M127" t="s">
        <v>486</v>
      </c>
      <c r="N127" t="s">
        <v>44</v>
      </c>
      <c r="O127">
        <v>6</v>
      </c>
      <c r="P127">
        <v>3235.27</v>
      </c>
      <c r="Q127" s="11">
        <v>0.25</v>
      </c>
      <c r="R127">
        <v>14558.72</v>
      </c>
      <c r="S127">
        <v>9591.48</v>
      </c>
      <c r="T127">
        <v>4967.24</v>
      </c>
      <c r="U127" t="s">
        <v>102</v>
      </c>
      <c r="V127" t="s">
        <v>103</v>
      </c>
      <c r="X127" s="8" t="str">
        <f>IF(C127&gt;=B127,"Valid", "Invalid-Date")</f>
        <v>Valid</v>
      </c>
      <c r="Y127" s="8" t="str">
        <f t="shared" si="18"/>
        <v>Valid</v>
      </c>
      <c r="Z127" s="8" t="str">
        <f t="shared" si="19"/>
        <v>Pass</v>
      </c>
      <c r="AA127" s="8" t="str">
        <f t="shared" si="20"/>
        <v>Pass</v>
      </c>
      <c r="AB127" s="8" t="str">
        <f>TEXT(B127,"mmmm")</f>
        <v>July</v>
      </c>
      <c r="AC127" s="8" t="str">
        <f>TEXT(B127,"yyyy")</f>
        <v>2025</v>
      </c>
      <c r="AE127">
        <f t="shared" si="21"/>
        <v>19411.62</v>
      </c>
      <c r="AF127" s="11">
        <f t="shared" si="22"/>
        <v>14558.715</v>
      </c>
      <c r="AG127">
        <f t="shared" si="23"/>
        <v>9820.14</v>
      </c>
      <c r="AH127" s="11">
        <f t="shared" si="24"/>
        <v>0.50588977117829426</v>
      </c>
      <c r="AI127" s="9">
        <f t="shared" si="25"/>
        <v>0.50588977117829426</v>
      </c>
      <c r="AJ127">
        <f t="shared" si="26"/>
        <v>0</v>
      </c>
      <c r="AK127">
        <f t="shared" si="27"/>
        <v>0</v>
      </c>
      <c r="AL127">
        <f t="shared" si="28"/>
        <v>0</v>
      </c>
      <c r="AM127">
        <f t="shared" si="29"/>
        <v>0</v>
      </c>
      <c r="AN127">
        <f t="shared" si="30"/>
        <v>0</v>
      </c>
      <c r="AO127">
        <f t="shared" si="31"/>
        <v>0</v>
      </c>
      <c r="AP127">
        <f t="shared" si="32"/>
        <v>14558.72</v>
      </c>
      <c r="AQ127">
        <f t="shared" si="33"/>
        <v>1</v>
      </c>
    </row>
    <row r="128" spans="1:43">
      <c r="A128" t="s">
        <v>487</v>
      </c>
      <c r="B128" s="5">
        <v>45924</v>
      </c>
      <c r="C128" s="5">
        <v>45926</v>
      </c>
      <c r="D128" s="13">
        <f t="shared" si="17"/>
        <v>2</v>
      </c>
      <c r="E128" t="s">
        <v>488</v>
      </c>
      <c r="F128" t="s">
        <v>114</v>
      </c>
      <c r="G128" t="s">
        <v>90</v>
      </c>
      <c r="H128" t="s">
        <v>25</v>
      </c>
      <c r="I128" t="s">
        <v>350</v>
      </c>
      <c r="J128" t="s">
        <v>351</v>
      </c>
      <c r="K128" t="s">
        <v>74</v>
      </c>
      <c r="L128" t="s">
        <v>80</v>
      </c>
      <c r="M128" t="s">
        <v>489</v>
      </c>
      <c r="N128" t="s">
        <v>59</v>
      </c>
      <c r="O128">
        <v>3</v>
      </c>
      <c r="P128">
        <v>1593.86</v>
      </c>
      <c r="Q128" s="11">
        <v>0.1</v>
      </c>
      <c r="R128">
        <v>4303.42</v>
      </c>
      <c r="S128">
        <v>2568.5700000000002</v>
      </c>
      <c r="T128">
        <v>1734.85</v>
      </c>
      <c r="U128" t="s">
        <v>32</v>
      </c>
      <c r="V128" t="s">
        <v>33</v>
      </c>
      <c r="X128" s="8" t="str">
        <f>IF(C128&gt;=B128,"Valid", "Invalid-Date")</f>
        <v>Valid</v>
      </c>
      <c r="Y128" s="8" t="str">
        <f t="shared" si="18"/>
        <v>Valid</v>
      </c>
      <c r="Z128" s="8" t="str">
        <f t="shared" si="19"/>
        <v>Pass</v>
      </c>
      <c r="AA128" s="8" t="str">
        <f t="shared" si="20"/>
        <v>Pass</v>
      </c>
      <c r="AB128" s="8" t="str">
        <f>TEXT(B128,"mmmm")</f>
        <v>September</v>
      </c>
      <c r="AC128" s="8" t="str">
        <f>TEXT(B128,"yyyy")</f>
        <v>2025</v>
      </c>
      <c r="AE128">
        <f t="shared" si="21"/>
        <v>4781.58</v>
      </c>
      <c r="AF128" s="11">
        <f t="shared" si="22"/>
        <v>4303.4220000000005</v>
      </c>
      <c r="AG128">
        <f t="shared" si="23"/>
        <v>2213.0099999999998</v>
      </c>
      <c r="AH128" s="11">
        <f t="shared" si="24"/>
        <v>0.46281982106333047</v>
      </c>
      <c r="AI128" s="9">
        <f t="shared" si="25"/>
        <v>0.46281982106333047</v>
      </c>
      <c r="AJ128">
        <f t="shared" si="26"/>
        <v>4303.42</v>
      </c>
      <c r="AK128">
        <f t="shared" si="27"/>
        <v>1</v>
      </c>
      <c r="AL128">
        <f t="shared" si="28"/>
        <v>0</v>
      </c>
      <c r="AM128">
        <f t="shared" si="29"/>
        <v>0</v>
      </c>
      <c r="AN128">
        <f t="shared" si="30"/>
        <v>0</v>
      </c>
      <c r="AO128">
        <f t="shared" si="31"/>
        <v>0</v>
      </c>
      <c r="AP128">
        <f t="shared" si="32"/>
        <v>0</v>
      </c>
      <c r="AQ128">
        <f t="shared" si="33"/>
        <v>0</v>
      </c>
    </row>
    <row r="129" spans="1:43" s="15" customFormat="1">
      <c r="A129" s="15" t="s">
        <v>490</v>
      </c>
      <c r="B129" s="16">
        <v>45687</v>
      </c>
      <c r="C129" s="16">
        <v>45683</v>
      </c>
      <c r="D129" s="17">
        <f t="shared" si="17"/>
        <v>-4</v>
      </c>
      <c r="E129" s="15" t="s">
        <v>491</v>
      </c>
      <c r="F129" s="15" t="s">
        <v>114</v>
      </c>
      <c r="G129" s="15" t="s">
        <v>90</v>
      </c>
      <c r="H129" s="15" t="s">
        <v>63</v>
      </c>
      <c r="I129" s="15" t="s">
        <v>72</v>
      </c>
      <c r="J129" s="15" t="s">
        <v>73</v>
      </c>
      <c r="K129" s="15" t="s">
        <v>28</v>
      </c>
      <c r="L129" s="15" t="s">
        <v>124</v>
      </c>
      <c r="M129" s="15" t="s">
        <v>492</v>
      </c>
      <c r="N129" s="15" t="s">
        <v>31</v>
      </c>
      <c r="O129" s="22">
        <v>2</v>
      </c>
      <c r="P129" s="22">
        <v>3039.3</v>
      </c>
      <c r="Q129" s="18">
        <v>0.05</v>
      </c>
      <c r="R129" s="15">
        <v>5774.67</v>
      </c>
      <c r="S129" s="15">
        <v>3518.36</v>
      </c>
      <c r="T129" s="15">
        <v>2256.31</v>
      </c>
      <c r="U129" s="15" t="s">
        <v>32</v>
      </c>
      <c r="V129" s="15" t="s">
        <v>33</v>
      </c>
      <c r="W129" s="25"/>
      <c r="X129" s="8" t="str">
        <f>IF(C129&gt;=B129,"Valid", "Invalid-Date")</f>
        <v>Invalid-Date</v>
      </c>
      <c r="Y129" s="8" t="str">
        <f t="shared" si="18"/>
        <v>Valid</v>
      </c>
      <c r="Z129" s="19" t="str">
        <f t="shared" si="19"/>
        <v>Pass</v>
      </c>
      <c r="AA129" s="19" t="str">
        <f t="shared" si="20"/>
        <v>Pass</v>
      </c>
      <c r="AB129" s="19" t="str">
        <f>TEXT(B129,"mmmm")</f>
        <v>January</v>
      </c>
      <c r="AC129" s="19" t="str">
        <f>TEXT(B129,"yyyy")</f>
        <v>2025</v>
      </c>
      <c r="AD129" s="20"/>
      <c r="AE129" s="15">
        <f t="shared" si="21"/>
        <v>6078.6</v>
      </c>
      <c r="AF129" s="11">
        <f t="shared" si="22"/>
        <v>5774.67</v>
      </c>
      <c r="AG129" s="15">
        <f t="shared" si="23"/>
        <v>2560.2400000000002</v>
      </c>
      <c r="AH129" s="18">
        <f t="shared" si="24"/>
        <v>0.42118908959299839</v>
      </c>
      <c r="AI129" s="21">
        <f t="shared" si="25"/>
        <v>0.42118908959299839</v>
      </c>
      <c r="AJ129">
        <f t="shared" si="26"/>
        <v>5774.67</v>
      </c>
      <c r="AK129">
        <f t="shared" si="27"/>
        <v>1</v>
      </c>
      <c r="AL129">
        <f t="shared" si="28"/>
        <v>0</v>
      </c>
      <c r="AM129">
        <f t="shared" si="29"/>
        <v>0</v>
      </c>
      <c r="AN129">
        <f t="shared" si="30"/>
        <v>0</v>
      </c>
      <c r="AO129">
        <f t="shared" si="31"/>
        <v>0</v>
      </c>
      <c r="AP129">
        <f t="shared" si="32"/>
        <v>0</v>
      </c>
      <c r="AQ129">
        <f t="shared" si="33"/>
        <v>0</v>
      </c>
    </row>
    <row r="130" spans="1:43">
      <c r="A130" t="s">
        <v>493</v>
      </c>
      <c r="B130" s="5">
        <v>45639</v>
      </c>
      <c r="C130" s="5">
        <v>45642</v>
      </c>
      <c r="D130" s="13">
        <f t="shared" si="17"/>
        <v>3</v>
      </c>
      <c r="E130" t="s">
        <v>494</v>
      </c>
      <c r="F130" t="s">
        <v>79</v>
      </c>
      <c r="G130" t="s">
        <v>37</v>
      </c>
      <c r="H130" t="s">
        <v>38</v>
      </c>
      <c r="I130" t="s">
        <v>39</v>
      </c>
      <c r="J130" t="s">
        <v>40</v>
      </c>
      <c r="K130" t="s">
        <v>41</v>
      </c>
      <c r="L130" t="s">
        <v>57</v>
      </c>
      <c r="M130" t="s">
        <v>495</v>
      </c>
      <c r="N130" t="s">
        <v>59</v>
      </c>
      <c r="O130">
        <v>5</v>
      </c>
      <c r="P130">
        <v>923.45</v>
      </c>
      <c r="Q130" s="11">
        <v>0.05</v>
      </c>
      <c r="R130">
        <v>4386.3900000000003</v>
      </c>
      <c r="S130">
        <v>3366.88</v>
      </c>
      <c r="T130">
        <v>1019.51</v>
      </c>
      <c r="U130" t="s">
        <v>32</v>
      </c>
      <c r="V130" t="s">
        <v>103</v>
      </c>
      <c r="X130" s="8" t="str">
        <f>IF(C130&gt;=B130,"Valid", "Invalid-Date")</f>
        <v>Valid</v>
      </c>
      <c r="Y130" s="8" t="str">
        <f t="shared" si="18"/>
        <v>Valid</v>
      </c>
      <c r="Z130" s="8" t="str">
        <f t="shared" si="19"/>
        <v>Pass</v>
      </c>
      <c r="AA130" s="8" t="str">
        <f t="shared" si="20"/>
        <v>Pass</v>
      </c>
      <c r="AB130" s="8" t="str">
        <f>TEXT(B130,"mmmm")</f>
        <v>December</v>
      </c>
      <c r="AC130" s="8" t="str">
        <f>TEXT(B130,"yyyy")</f>
        <v>2024</v>
      </c>
      <c r="AE130">
        <f t="shared" si="21"/>
        <v>4617.25</v>
      </c>
      <c r="AF130" s="11">
        <f t="shared" si="22"/>
        <v>4386.3874999999998</v>
      </c>
      <c r="AG130">
        <f t="shared" si="23"/>
        <v>1250.3699999999999</v>
      </c>
      <c r="AH130" s="11">
        <f t="shared" si="24"/>
        <v>0.27080405002977959</v>
      </c>
      <c r="AI130" s="9">
        <f t="shared" si="25"/>
        <v>0.27080405002977959</v>
      </c>
      <c r="AJ130">
        <f t="shared" si="26"/>
        <v>0</v>
      </c>
      <c r="AK130">
        <f t="shared" si="27"/>
        <v>0</v>
      </c>
      <c r="AL130">
        <f t="shared" si="28"/>
        <v>0</v>
      </c>
      <c r="AM130">
        <f t="shared" si="29"/>
        <v>0</v>
      </c>
      <c r="AN130">
        <f t="shared" si="30"/>
        <v>0</v>
      </c>
      <c r="AO130">
        <f t="shared" si="31"/>
        <v>0</v>
      </c>
      <c r="AP130">
        <f t="shared" si="32"/>
        <v>4386.3900000000003</v>
      </c>
      <c r="AQ130">
        <f t="shared" si="33"/>
        <v>1</v>
      </c>
    </row>
    <row r="131" spans="1:43">
      <c r="A131" t="s">
        <v>496</v>
      </c>
      <c r="B131" s="5">
        <v>45492</v>
      </c>
      <c r="C131" s="5">
        <v>45498</v>
      </c>
      <c r="D131" s="13">
        <f t="shared" ref="D131:D194" si="34">C131-B131</f>
        <v>6</v>
      </c>
      <c r="E131" t="s">
        <v>497</v>
      </c>
      <c r="F131" t="s">
        <v>47</v>
      </c>
      <c r="G131" t="s">
        <v>37</v>
      </c>
      <c r="H131" t="s">
        <v>63</v>
      </c>
      <c r="I131" t="s">
        <v>190</v>
      </c>
      <c r="J131" t="s">
        <v>191</v>
      </c>
      <c r="K131" t="s">
        <v>28</v>
      </c>
      <c r="L131" t="s">
        <v>153</v>
      </c>
      <c r="M131" t="s">
        <v>498</v>
      </c>
      <c r="N131" t="s">
        <v>59</v>
      </c>
      <c r="O131">
        <v>7</v>
      </c>
      <c r="P131">
        <v>2741.29</v>
      </c>
      <c r="Q131" s="11">
        <v>0.05</v>
      </c>
      <c r="R131">
        <v>18229.580000000002</v>
      </c>
      <c r="S131">
        <v>15139.15</v>
      </c>
      <c r="T131">
        <v>3090.43</v>
      </c>
      <c r="U131" t="s">
        <v>32</v>
      </c>
      <c r="V131" t="s">
        <v>33</v>
      </c>
      <c r="X131" s="8" t="str">
        <f>IF(C131&gt;=B131,"Valid", "Invalid-Date")</f>
        <v>Valid</v>
      </c>
      <c r="Y131" s="8" t="str">
        <f t="shared" ref="Y131:Y194" si="35">IF(OR(Q131&lt;0, Q131&gt;0.5), "Invalid-Discount", "Valid")</f>
        <v>Valid</v>
      </c>
      <c r="Z131" s="8" t="str">
        <f t="shared" ref="Z131:Z194" si="36">IF(N131="Unknown","Flagged","Pass")</f>
        <v>Pass</v>
      </c>
      <c r="AA131" s="8" t="str">
        <f t="shared" ref="AA131:AA194" si="37">IF(H131="Unknown","Flagged","Pass")</f>
        <v>Pass</v>
      </c>
      <c r="AB131" s="8" t="str">
        <f>TEXT(B131,"mmmm")</f>
        <v>July</v>
      </c>
      <c r="AC131" s="8" t="str">
        <f>TEXT(B131,"yyyy")</f>
        <v>2024</v>
      </c>
      <c r="AE131">
        <f t="shared" ref="AE131:AE194" si="38">O131*P131</f>
        <v>19189.03</v>
      </c>
      <c r="AF131" s="11">
        <f t="shared" ref="AF131:AF194" si="39">AE131*(1-Q131)</f>
        <v>18229.5785</v>
      </c>
      <c r="AG131">
        <f t="shared" ref="AG131:AG194" si="40">AE131-S131</f>
        <v>4049.8799999999992</v>
      </c>
      <c r="AH131" s="11">
        <f t="shared" ref="AH131:AH194" si="41">AG131/AE131</f>
        <v>0.21105183534550728</v>
      </c>
      <c r="AI131" s="9">
        <f t="shared" ref="AI131:AI194" si="42">AG131/AE131</f>
        <v>0.21105183534550728</v>
      </c>
      <c r="AJ131">
        <f t="shared" ref="AJ131:AJ194" si="43">SUMIFS(R131, V131, "Completed", U131, "Paid")</f>
        <v>18229.580000000002</v>
      </c>
      <c r="AK131">
        <f t="shared" ref="AK131:AK194" si="44">COUNTIFS(V131, "Completed", U131, "Paid")</f>
        <v>1</v>
      </c>
      <c r="AL131">
        <f t="shared" ref="AL131:AL194" si="45">SUMIFS(R131, V131, "Cancelled")</f>
        <v>0</v>
      </c>
      <c r="AM131">
        <f t="shared" ref="AM131:AM194" si="46">COUNTIFS(V131, "Cancelled")</f>
        <v>0</v>
      </c>
      <c r="AN131">
        <f t="shared" ref="AN131:AN194" si="47">SUMIFS(R131, U131, "Failed")</f>
        <v>0</v>
      </c>
      <c r="AO131">
        <f t="shared" ref="AO131:AO194" si="48">COUNTIFS(U131, "Failed")</f>
        <v>0</v>
      </c>
      <c r="AP131">
        <f t="shared" ref="AP131:AP194" si="49">SUMIFS(R131, V131, "Returned")</f>
        <v>0</v>
      </c>
      <c r="AQ131">
        <f t="shared" ref="AQ131:AQ194" si="50">COUNTIFS(V131, "Returned")</f>
        <v>0</v>
      </c>
    </row>
    <row r="132" spans="1:43">
      <c r="A132" t="s">
        <v>499</v>
      </c>
      <c r="B132" s="5">
        <v>45318</v>
      </c>
      <c r="C132" s="5">
        <v>45324</v>
      </c>
      <c r="D132" s="13">
        <f t="shared" si="34"/>
        <v>6</v>
      </c>
      <c r="E132" t="s">
        <v>500</v>
      </c>
      <c r="F132" t="s">
        <v>53</v>
      </c>
      <c r="G132" t="s">
        <v>24</v>
      </c>
      <c r="H132" t="s">
        <v>63</v>
      </c>
      <c r="I132" t="s">
        <v>180</v>
      </c>
      <c r="J132" t="s">
        <v>181</v>
      </c>
      <c r="K132" t="s">
        <v>28</v>
      </c>
      <c r="L132" t="s">
        <v>91</v>
      </c>
      <c r="M132" t="s">
        <v>501</v>
      </c>
      <c r="N132" t="s">
        <v>44</v>
      </c>
      <c r="O132">
        <v>5</v>
      </c>
      <c r="P132">
        <v>218.42</v>
      </c>
      <c r="Q132" s="11">
        <v>0.2</v>
      </c>
      <c r="R132">
        <v>873.68</v>
      </c>
      <c r="S132">
        <v>661.72</v>
      </c>
      <c r="T132">
        <v>211.96</v>
      </c>
      <c r="U132" t="s">
        <v>111</v>
      </c>
      <c r="V132" t="s">
        <v>68</v>
      </c>
      <c r="X132" s="8" t="str">
        <f>IF(C132&gt;=B132,"Valid", "Invalid-Date")</f>
        <v>Valid</v>
      </c>
      <c r="Y132" s="8" t="str">
        <f t="shared" si="35"/>
        <v>Valid</v>
      </c>
      <c r="Z132" s="8" t="str">
        <f t="shared" si="36"/>
        <v>Pass</v>
      </c>
      <c r="AA132" s="8" t="str">
        <f t="shared" si="37"/>
        <v>Pass</v>
      </c>
      <c r="AB132" s="8" t="str">
        <f>TEXT(B132,"mmmm")</f>
        <v>January</v>
      </c>
      <c r="AC132" s="8" t="str">
        <f>TEXT(B132,"yyyy")</f>
        <v>2024</v>
      </c>
      <c r="AE132">
        <f t="shared" si="38"/>
        <v>1092.0999999999999</v>
      </c>
      <c r="AF132" s="11">
        <f t="shared" si="39"/>
        <v>873.68</v>
      </c>
      <c r="AG132">
        <f t="shared" si="40"/>
        <v>430.37999999999988</v>
      </c>
      <c r="AH132" s="11">
        <f t="shared" si="41"/>
        <v>0.39408479077007591</v>
      </c>
      <c r="AI132" s="9">
        <f t="shared" si="42"/>
        <v>0.39408479077007591</v>
      </c>
      <c r="AJ132">
        <f t="shared" si="43"/>
        <v>0</v>
      </c>
      <c r="AK132">
        <f t="shared" si="44"/>
        <v>0</v>
      </c>
      <c r="AL132">
        <f t="shared" si="45"/>
        <v>873.68</v>
      </c>
      <c r="AM132">
        <f t="shared" si="46"/>
        <v>1</v>
      </c>
      <c r="AN132">
        <f t="shared" si="47"/>
        <v>0</v>
      </c>
      <c r="AO132">
        <f t="shared" si="48"/>
        <v>0</v>
      </c>
      <c r="AP132">
        <f t="shared" si="49"/>
        <v>0</v>
      </c>
      <c r="AQ132">
        <f t="shared" si="50"/>
        <v>0</v>
      </c>
    </row>
    <row r="133" spans="1:43">
      <c r="A133" t="s">
        <v>502</v>
      </c>
      <c r="B133" s="5">
        <v>45929</v>
      </c>
      <c r="C133" s="5">
        <v>45757</v>
      </c>
      <c r="D133" s="13">
        <f t="shared" si="34"/>
        <v>-172</v>
      </c>
      <c r="E133" t="s">
        <v>503</v>
      </c>
      <c r="F133" t="s">
        <v>62</v>
      </c>
      <c r="G133" t="s">
        <v>95</v>
      </c>
      <c r="H133" t="s">
        <v>38</v>
      </c>
      <c r="I133" t="s">
        <v>228</v>
      </c>
      <c r="J133" t="s">
        <v>229</v>
      </c>
      <c r="K133" t="s">
        <v>28</v>
      </c>
      <c r="L133" t="s">
        <v>29</v>
      </c>
      <c r="M133" t="s">
        <v>504</v>
      </c>
      <c r="N133" t="s">
        <v>44</v>
      </c>
      <c r="O133">
        <v>9</v>
      </c>
      <c r="P133">
        <v>373.91</v>
      </c>
      <c r="Q133" s="11">
        <v>0.2</v>
      </c>
      <c r="R133">
        <v>2692.15</v>
      </c>
      <c r="S133">
        <v>2044.49</v>
      </c>
      <c r="T133">
        <v>647.66</v>
      </c>
      <c r="U133" t="s">
        <v>32</v>
      </c>
      <c r="V133" t="s">
        <v>33</v>
      </c>
      <c r="X133" s="8" t="str">
        <f>IF(C133&gt;=B133,"Valid", "Invalid-Date")</f>
        <v>Invalid-Date</v>
      </c>
      <c r="Y133" s="8" t="str">
        <f t="shared" si="35"/>
        <v>Valid</v>
      </c>
      <c r="Z133" s="8" t="str">
        <f t="shared" si="36"/>
        <v>Pass</v>
      </c>
      <c r="AA133" s="8" t="str">
        <f t="shared" si="37"/>
        <v>Pass</v>
      </c>
      <c r="AB133" s="8" t="str">
        <f>TEXT(B133,"mmmm")</f>
        <v>September</v>
      </c>
      <c r="AC133" s="8" t="str">
        <f>TEXT(B133,"yyyy")</f>
        <v>2025</v>
      </c>
      <c r="AE133">
        <f t="shared" si="38"/>
        <v>3365.19</v>
      </c>
      <c r="AF133" s="11">
        <f t="shared" si="39"/>
        <v>2692.152</v>
      </c>
      <c r="AG133">
        <f t="shared" si="40"/>
        <v>1320.7</v>
      </c>
      <c r="AH133" s="11">
        <f t="shared" si="41"/>
        <v>0.39245926678731363</v>
      </c>
      <c r="AI133" s="9">
        <f t="shared" si="42"/>
        <v>0.39245926678731363</v>
      </c>
      <c r="AJ133">
        <f t="shared" si="43"/>
        <v>2692.15</v>
      </c>
      <c r="AK133">
        <f t="shared" si="44"/>
        <v>1</v>
      </c>
      <c r="AL133">
        <f t="shared" si="45"/>
        <v>0</v>
      </c>
      <c r="AM133">
        <f t="shared" si="46"/>
        <v>0</v>
      </c>
      <c r="AN133">
        <f t="shared" si="47"/>
        <v>0</v>
      </c>
      <c r="AO133">
        <f t="shared" si="48"/>
        <v>0</v>
      </c>
      <c r="AP133">
        <f t="shared" si="49"/>
        <v>0</v>
      </c>
      <c r="AQ133">
        <f t="shared" si="50"/>
        <v>0</v>
      </c>
    </row>
    <row r="134" spans="1:43">
      <c r="A134" t="s">
        <v>505</v>
      </c>
      <c r="B134" s="5">
        <v>45600</v>
      </c>
      <c r="C134" s="5">
        <v>45393</v>
      </c>
      <c r="D134" s="13">
        <f t="shared" si="34"/>
        <v>-207</v>
      </c>
      <c r="E134" t="s">
        <v>506</v>
      </c>
      <c r="F134" t="s">
        <v>264</v>
      </c>
      <c r="G134" t="s">
        <v>90</v>
      </c>
      <c r="H134" t="s">
        <v>38</v>
      </c>
      <c r="I134" t="s">
        <v>166</v>
      </c>
      <c r="J134" t="s">
        <v>167</v>
      </c>
      <c r="K134" t="s">
        <v>74</v>
      </c>
      <c r="L134" t="s">
        <v>274</v>
      </c>
      <c r="M134" t="s">
        <v>507</v>
      </c>
      <c r="N134" t="s">
        <v>50</v>
      </c>
      <c r="O134">
        <v>2</v>
      </c>
      <c r="P134">
        <v>533.08000000000004</v>
      </c>
      <c r="Q134" s="11">
        <v>0</v>
      </c>
      <c r="R134">
        <v>1066.1600000000001</v>
      </c>
      <c r="S134">
        <v>656.3</v>
      </c>
      <c r="T134">
        <v>409.86</v>
      </c>
      <c r="U134" t="s">
        <v>155</v>
      </c>
      <c r="V134" t="s">
        <v>68</v>
      </c>
      <c r="X134" s="8" t="str">
        <f>IF(C134&gt;=B134,"Valid", "Invalid-Date")</f>
        <v>Invalid-Date</v>
      </c>
      <c r="Y134" s="8" t="str">
        <f t="shared" si="35"/>
        <v>Valid</v>
      </c>
      <c r="Z134" s="8" t="str">
        <f t="shared" si="36"/>
        <v>Pass</v>
      </c>
      <c r="AA134" s="8" t="str">
        <f t="shared" si="37"/>
        <v>Pass</v>
      </c>
      <c r="AB134" s="8" t="str">
        <f>TEXT(B134,"mmmm")</f>
        <v>November</v>
      </c>
      <c r="AC134" s="8" t="str">
        <f>TEXT(B134,"yyyy")</f>
        <v>2024</v>
      </c>
      <c r="AE134">
        <f t="shared" si="38"/>
        <v>1066.1600000000001</v>
      </c>
      <c r="AF134" s="11">
        <f t="shared" si="39"/>
        <v>1066.1600000000001</v>
      </c>
      <c r="AG134">
        <f t="shared" si="40"/>
        <v>409.86000000000013</v>
      </c>
      <c r="AH134" s="11">
        <f t="shared" si="41"/>
        <v>0.38442635251744589</v>
      </c>
      <c r="AI134" s="9">
        <f t="shared" si="42"/>
        <v>0.38442635251744589</v>
      </c>
      <c r="AJ134">
        <f t="shared" si="43"/>
        <v>0</v>
      </c>
      <c r="AK134">
        <f t="shared" si="44"/>
        <v>0</v>
      </c>
      <c r="AL134">
        <f t="shared" si="45"/>
        <v>1066.1600000000001</v>
      </c>
      <c r="AM134">
        <f t="shared" si="46"/>
        <v>1</v>
      </c>
      <c r="AN134">
        <f t="shared" si="47"/>
        <v>1066.1600000000001</v>
      </c>
      <c r="AO134">
        <f t="shared" si="48"/>
        <v>1</v>
      </c>
      <c r="AP134">
        <f t="shared" si="49"/>
        <v>0</v>
      </c>
      <c r="AQ134">
        <f t="shared" si="50"/>
        <v>0</v>
      </c>
    </row>
    <row r="135" spans="1:43" s="15" customFormat="1">
      <c r="A135" s="15" t="s">
        <v>508</v>
      </c>
      <c r="B135" s="16">
        <v>45639</v>
      </c>
      <c r="C135" s="16">
        <v>45644</v>
      </c>
      <c r="D135" s="17">
        <f t="shared" si="34"/>
        <v>5</v>
      </c>
      <c r="E135" s="15" t="s">
        <v>509</v>
      </c>
      <c r="F135" s="15" t="s">
        <v>23</v>
      </c>
      <c r="G135" s="15" t="s">
        <v>24</v>
      </c>
      <c r="H135" s="15" t="s">
        <v>63</v>
      </c>
      <c r="I135" s="15" t="s">
        <v>190</v>
      </c>
      <c r="J135" s="15" t="s">
        <v>191</v>
      </c>
      <c r="K135" s="15" t="s">
        <v>74</v>
      </c>
      <c r="L135" s="15" t="s">
        <v>171</v>
      </c>
      <c r="M135" s="15" t="s">
        <v>510</v>
      </c>
      <c r="N135" s="15" t="s">
        <v>31</v>
      </c>
      <c r="O135" s="15">
        <v>8</v>
      </c>
      <c r="P135" s="15">
        <v>3372.15</v>
      </c>
      <c r="Q135" s="18">
        <v>0.15</v>
      </c>
      <c r="R135" s="15">
        <v>22930.62</v>
      </c>
      <c r="S135" s="15">
        <v>16875.55</v>
      </c>
      <c r="T135" s="15">
        <v>6055.07</v>
      </c>
      <c r="U135" s="15" t="s">
        <v>32</v>
      </c>
      <c r="V135" s="15" t="s">
        <v>33</v>
      </c>
      <c r="W135" s="25"/>
      <c r="X135" s="8" t="str">
        <f>IF(C135&gt;=B135,"Valid", "Invalid-Date")</f>
        <v>Valid</v>
      </c>
      <c r="Y135" s="8" t="str">
        <f t="shared" si="35"/>
        <v>Valid</v>
      </c>
      <c r="Z135" s="19" t="str">
        <f t="shared" si="36"/>
        <v>Pass</v>
      </c>
      <c r="AA135" s="19" t="str">
        <f t="shared" si="37"/>
        <v>Pass</v>
      </c>
      <c r="AB135" s="19" t="str">
        <f>TEXT(B135,"mmmm")</f>
        <v>December</v>
      </c>
      <c r="AC135" s="19" t="str">
        <f>TEXT(B135,"yyyy")</f>
        <v>2024</v>
      </c>
      <c r="AD135" s="20"/>
      <c r="AE135" s="15">
        <f t="shared" si="38"/>
        <v>26977.200000000001</v>
      </c>
      <c r="AF135" s="11">
        <f t="shared" si="39"/>
        <v>22930.62</v>
      </c>
      <c r="AG135" s="15">
        <f t="shared" si="40"/>
        <v>10101.650000000001</v>
      </c>
      <c r="AH135" s="18">
        <f t="shared" si="41"/>
        <v>0.37445138857998611</v>
      </c>
      <c r="AI135" s="21">
        <f t="shared" si="42"/>
        <v>0.37445138857998611</v>
      </c>
      <c r="AJ135">
        <f t="shared" si="43"/>
        <v>22930.62</v>
      </c>
      <c r="AK135">
        <f t="shared" si="44"/>
        <v>1</v>
      </c>
      <c r="AL135">
        <f t="shared" si="45"/>
        <v>0</v>
      </c>
      <c r="AM135">
        <f t="shared" si="46"/>
        <v>0</v>
      </c>
      <c r="AN135">
        <f t="shared" si="47"/>
        <v>0</v>
      </c>
      <c r="AO135">
        <f t="shared" si="48"/>
        <v>0</v>
      </c>
      <c r="AP135">
        <f t="shared" si="49"/>
        <v>0</v>
      </c>
      <c r="AQ135">
        <f t="shared" si="50"/>
        <v>0</v>
      </c>
    </row>
    <row r="136" spans="1:43">
      <c r="A136" t="s">
        <v>511</v>
      </c>
      <c r="B136" s="5">
        <v>45852</v>
      </c>
      <c r="C136" s="5">
        <v>45852</v>
      </c>
      <c r="D136" s="13">
        <f t="shared" si="34"/>
        <v>0</v>
      </c>
      <c r="E136" t="s">
        <v>512</v>
      </c>
      <c r="F136" t="s">
        <v>71</v>
      </c>
      <c r="G136" t="s">
        <v>95</v>
      </c>
      <c r="H136" t="s">
        <v>38</v>
      </c>
      <c r="I136" t="s">
        <v>99</v>
      </c>
      <c r="J136" t="s">
        <v>100</v>
      </c>
      <c r="K136" t="s">
        <v>41</v>
      </c>
      <c r="L136" t="s">
        <v>158</v>
      </c>
      <c r="M136" t="s">
        <v>513</v>
      </c>
      <c r="N136" t="s">
        <v>2785</v>
      </c>
      <c r="O136">
        <v>5</v>
      </c>
      <c r="P136">
        <v>383.1</v>
      </c>
      <c r="Q136" s="11">
        <v>0.25</v>
      </c>
      <c r="R136">
        <v>1436.62</v>
      </c>
      <c r="S136">
        <v>912.52</v>
      </c>
      <c r="T136">
        <v>524.1</v>
      </c>
      <c r="U136" t="s">
        <v>111</v>
      </c>
      <c r="V136" t="s">
        <v>68</v>
      </c>
      <c r="X136" s="8" t="str">
        <f>IF(C136&gt;=B136,"Valid", "Invalid-Date")</f>
        <v>Valid</v>
      </c>
      <c r="Y136" s="8" t="str">
        <f t="shared" si="35"/>
        <v>Valid</v>
      </c>
      <c r="Z136" s="8" t="str">
        <f t="shared" si="36"/>
        <v>Flagged</v>
      </c>
      <c r="AA136" s="8" t="str">
        <f t="shared" si="37"/>
        <v>Pass</v>
      </c>
      <c r="AB136" s="8" t="str">
        <f>TEXT(B136,"mmmm")</f>
        <v>July</v>
      </c>
      <c r="AC136" s="8" t="str">
        <f>TEXT(B136,"yyyy")</f>
        <v>2025</v>
      </c>
      <c r="AE136">
        <f t="shared" si="38"/>
        <v>1915.5</v>
      </c>
      <c r="AF136" s="11">
        <f t="shared" si="39"/>
        <v>1436.625</v>
      </c>
      <c r="AG136">
        <f t="shared" si="40"/>
        <v>1002.98</v>
      </c>
      <c r="AH136" s="11">
        <f t="shared" si="41"/>
        <v>0.52361263377708167</v>
      </c>
      <c r="AI136" s="9">
        <f t="shared" si="42"/>
        <v>0.52361263377708167</v>
      </c>
      <c r="AJ136">
        <f t="shared" si="43"/>
        <v>0</v>
      </c>
      <c r="AK136">
        <f t="shared" si="44"/>
        <v>0</v>
      </c>
      <c r="AL136">
        <f t="shared" si="45"/>
        <v>1436.62</v>
      </c>
      <c r="AM136">
        <f t="shared" si="46"/>
        <v>1</v>
      </c>
      <c r="AN136">
        <f t="shared" si="47"/>
        <v>0</v>
      </c>
      <c r="AO136">
        <f t="shared" si="48"/>
        <v>0</v>
      </c>
      <c r="AP136">
        <f t="shared" si="49"/>
        <v>0</v>
      </c>
      <c r="AQ136">
        <f t="shared" si="50"/>
        <v>0</v>
      </c>
    </row>
    <row r="137" spans="1:43">
      <c r="A137" t="s">
        <v>514</v>
      </c>
      <c r="B137" s="5">
        <v>45893</v>
      </c>
      <c r="C137" s="5">
        <v>45893</v>
      </c>
      <c r="D137" s="13">
        <f t="shared" si="34"/>
        <v>0</v>
      </c>
      <c r="E137" t="s">
        <v>515</v>
      </c>
      <c r="F137" t="s">
        <v>162</v>
      </c>
      <c r="G137" t="s">
        <v>37</v>
      </c>
      <c r="H137" t="s">
        <v>54</v>
      </c>
      <c r="I137" t="s">
        <v>185</v>
      </c>
      <c r="J137" t="s">
        <v>186</v>
      </c>
      <c r="K137" t="s">
        <v>41</v>
      </c>
      <c r="L137" t="s">
        <v>158</v>
      </c>
      <c r="M137" t="s">
        <v>516</v>
      </c>
      <c r="N137" t="s">
        <v>59</v>
      </c>
      <c r="O137">
        <v>1</v>
      </c>
      <c r="P137">
        <v>3424.78</v>
      </c>
      <c r="Q137" s="11">
        <v>0</v>
      </c>
      <c r="R137">
        <v>3424.78</v>
      </c>
      <c r="S137">
        <v>1951.45</v>
      </c>
      <c r="T137">
        <v>1473.33</v>
      </c>
      <c r="U137" t="s">
        <v>32</v>
      </c>
      <c r="V137" t="s">
        <v>33</v>
      </c>
      <c r="X137" s="8" t="str">
        <f>IF(C137&gt;=B137,"Valid", "Invalid-Date")</f>
        <v>Valid</v>
      </c>
      <c r="Y137" s="8" t="str">
        <f t="shared" si="35"/>
        <v>Valid</v>
      </c>
      <c r="Z137" s="8" t="str">
        <f t="shared" si="36"/>
        <v>Pass</v>
      </c>
      <c r="AA137" s="8" t="str">
        <f t="shared" si="37"/>
        <v>Pass</v>
      </c>
      <c r="AB137" s="8" t="str">
        <f>TEXT(B137,"mmmm")</f>
        <v>August</v>
      </c>
      <c r="AC137" s="8" t="str">
        <f>TEXT(B137,"yyyy")</f>
        <v>2025</v>
      </c>
      <c r="AE137">
        <f t="shared" si="38"/>
        <v>3424.78</v>
      </c>
      <c r="AF137" s="11">
        <f t="shared" si="39"/>
        <v>3424.78</v>
      </c>
      <c r="AG137">
        <f t="shared" si="40"/>
        <v>1473.3300000000002</v>
      </c>
      <c r="AH137" s="11">
        <f t="shared" si="41"/>
        <v>0.43019697615613267</v>
      </c>
      <c r="AI137" s="9">
        <f t="shared" si="42"/>
        <v>0.43019697615613267</v>
      </c>
      <c r="AJ137">
        <f t="shared" si="43"/>
        <v>3424.78</v>
      </c>
      <c r="AK137">
        <f t="shared" si="44"/>
        <v>1</v>
      </c>
      <c r="AL137">
        <f t="shared" si="45"/>
        <v>0</v>
      </c>
      <c r="AM137">
        <f t="shared" si="46"/>
        <v>0</v>
      </c>
      <c r="AN137">
        <f t="shared" si="47"/>
        <v>0</v>
      </c>
      <c r="AO137">
        <f t="shared" si="48"/>
        <v>0</v>
      </c>
      <c r="AP137">
        <f t="shared" si="49"/>
        <v>0</v>
      </c>
      <c r="AQ137">
        <f t="shared" si="50"/>
        <v>0</v>
      </c>
    </row>
    <row r="138" spans="1:43">
      <c r="A138" t="s">
        <v>517</v>
      </c>
      <c r="B138" s="5">
        <v>45697</v>
      </c>
      <c r="C138" s="5">
        <v>45703</v>
      </c>
      <c r="D138" s="13">
        <f t="shared" si="34"/>
        <v>6</v>
      </c>
      <c r="E138" t="s">
        <v>518</v>
      </c>
      <c r="F138" t="s">
        <v>36</v>
      </c>
      <c r="G138" t="s">
        <v>95</v>
      </c>
      <c r="H138" t="s">
        <v>38</v>
      </c>
      <c r="I138" t="s">
        <v>228</v>
      </c>
      <c r="J138" t="s">
        <v>229</v>
      </c>
      <c r="K138" t="s">
        <v>28</v>
      </c>
      <c r="L138" t="s">
        <v>153</v>
      </c>
      <c r="M138" t="s">
        <v>519</v>
      </c>
      <c r="N138" t="s">
        <v>59</v>
      </c>
      <c r="O138">
        <v>9</v>
      </c>
      <c r="P138">
        <v>4330.33</v>
      </c>
      <c r="Q138" s="11">
        <v>0.2</v>
      </c>
      <c r="R138">
        <v>31178.38</v>
      </c>
      <c r="S138">
        <v>21421.09</v>
      </c>
      <c r="T138">
        <v>9757.2900000000009</v>
      </c>
      <c r="U138" t="s">
        <v>32</v>
      </c>
      <c r="V138" t="s">
        <v>33</v>
      </c>
      <c r="X138" s="8" t="str">
        <f>IF(C138&gt;=B138,"Valid", "Invalid-Date")</f>
        <v>Valid</v>
      </c>
      <c r="Y138" s="8" t="str">
        <f t="shared" si="35"/>
        <v>Valid</v>
      </c>
      <c r="Z138" s="8" t="str">
        <f t="shared" si="36"/>
        <v>Pass</v>
      </c>
      <c r="AA138" s="8" t="str">
        <f t="shared" si="37"/>
        <v>Pass</v>
      </c>
      <c r="AB138" s="8" t="str">
        <f>TEXT(B138,"mmmm")</f>
        <v>February</v>
      </c>
      <c r="AC138" s="8" t="str">
        <f>TEXT(B138,"yyyy")</f>
        <v>2025</v>
      </c>
      <c r="AE138">
        <f t="shared" si="38"/>
        <v>38972.97</v>
      </c>
      <c r="AF138" s="11">
        <f t="shared" si="39"/>
        <v>31178.376000000004</v>
      </c>
      <c r="AG138">
        <f t="shared" si="40"/>
        <v>17551.88</v>
      </c>
      <c r="AH138" s="11">
        <f t="shared" si="41"/>
        <v>0.45036033948657239</v>
      </c>
      <c r="AI138" s="9">
        <f t="shared" si="42"/>
        <v>0.45036033948657239</v>
      </c>
      <c r="AJ138">
        <f t="shared" si="43"/>
        <v>31178.38</v>
      </c>
      <c r="AK138">
        <f t="shared" si="44"/>
        <v>1</v>
      </c>
      <c r="AL138">
        <f t="shared" si="45"/>
        <v>0</v>
      </c>
      <c r="AM138">
        <f t="shared" si="46"/>
        <v>0</v>
      </c>
      <c r="AN138">
        <f t="shared" si="47"/>
        <v>0</v>
      </c>
      <c r="AO138">
        <f t="shared" si="48"/>
        <v>0</v>
      </c>
      <c r="AP138">
        <f t="shared" si="49"/>
        <v>0</v>
      </c>
      <c r="AQ138">
        <f t="shared" si="50"/>
        <v>0</v>
      </c>
    </row>
    <row r="139" spans="1:43">
      <c r="A139" t="s">
        <v>520</v>
      </c>
      <c r="B139" s="5">
        <v>45901</v>
      </c>
      <c r="C139" s="5">
        <v>45901</v>
      </c>
      <c r="D139" s="13">
        <f t="shared" si="34"/>
        <v>0</v>
      </c>
      <c r="E139" t="s">
        <v>521</v>
      </c>
      <c r="F139" t="s">
        <v>132</v>
      </c>
      <c r="G139" t="s">
        <v>37</v>
      </c>
      <c r="H139" t="s">
        <v>25</v>
      </c>
      <c r="I139" t="s">
        <v>26</v>
      </c>
      <c r="J139" t="s">
        <v>27</v>
      </c>
      <c r="K139" t="s">
        <v>41</v>
      </c>
      <c r="L139" t="s">
        <v>66</v>
      </c>
      <c r="M139" t="s">
        <v>522</v>
      </c>
      <c r="N139" t="s">
        <v>44</v>
      </c>
      <c r="O139">
        <v>8</v>
      </c>
      <c r="P139">
        <v>2667.07</v>
      </c>
      <c r="Q139" s="11">
        <v>0.1</v>
      </c>
      <c r="R139">
        <v>19202.900000000001</v>
      </c>
      <c r="S139">
        <v>15526.62</v>
      </c>
      <c r="T139">
        <v>3676.28</v>
      </c>
      <c r="U139" t="s">
        <v>32</v>
      </c>
      <c r="V139" t="s">
        <v>33</v>
      </c>
      <c r="X139" s="8" t="str">
        <f>IF(C139&gt;=B139,"Valid", "Invalid-Date")</f>
        <v>Valid</v>
      </c>
      <c r="Y139" s="8" t="str">
        <f t="shared" si="35"/>
        <v>Valid</v>
      </c>
      <c r="Z139" s="8" t="str">
        <f t="shared" si="36"/>
        <v>Pass</v>
      </c>
      <c r="AA139" s="8" t="str">
        <f t="shared" si="37"/>
        <v>Pass</v>
      </c>
      <c r="AB139" s="8" t="str">
        <f>TEXT(B139,"mmmm")</f>
        <v>September</v>
      </c>
      <c r="AC139" s="8" t="str">
        <f>TEXT(B139,"yyyy")</f>
        <v>2025</v>
      </c>
      <c r="AE139">
        <f t="shared" si="38"/>
        <v>21336.560000000001</v>
      </c>
      <c r="AF139" s="11">
        <f t="shared" si="39"/>
        <v>19202.904000000002</v>
      </c>
      <c r="AG139">
        <f t="shared" si="40"/>
        <v>5809.9400000000005</v>
      </c>
      <c r="AH139" s="11">
        <f t="shared" si="41"/>
        <v>0.27229975216248542</v>
      </c>
      <c r="AI139" s="9">
        <f t="shared" si="42"/>
        <v>0.27229975216248542</v>
      </c>
      <c r="AJ139">
        <f t="shared" si="43"/>
        <v>19202.900000000001</v>
      </c>
      <c r="AK139">
        <f t="shared" si="44"/>
        <v>1</v>
      </c>
      <c r="AL139">
        <f t="shared" si="45"/>
        <v>0</v>
      </c>
      <c r="AM139">
        <f t="shared" si="46"/>
        <v>0</v>
      </c>
      <c r="AN139">
        <f t="shared" si="47"/>
        <v>0</v>
      </c>
      <c r="AO139">
        <f t="shared" si="48"/>
        <v>0</v>
      </c>
      <c r="AP139">
        <f t="shared" si="49"/>
        <v>0</v>
      </c>
      <c r="AQ139">
        <f t="shared" si="50"/>
        <v>0</v>
      </c>
    </row>
    <row r="140" spans="1:43">
      <c r="A140" t="s">
        <v>523</v>
      </c>
      <c r="B140" s="5">
        <v>45311</v>
      </c>
      <c r="C140" s="5">
        <v>45317</v>
      </c>
      <c r="D140" s="13">
        <f t="shared" si="34"/>
        <v>6</v>
      </c>
      <c r="E140" t="s">
        <v>524</v>
      </c>
      <c r="F140" t="s">
        <v>162</v>
      </c>
      <c r="G140" t="s">
        <v>95</v>
      </c>
      <c r="H140" t="s">
        <v>38</v>
      </c>
      <c r="I140" t="s">
        <v>228</v>
      </c>
      <c r="J140" t="s">
        <v>229</v>
      </c>
      <c r="K140" t="s">
        <v>74</v>
      </c>
      <c r="L140" t="s">
        <v>274</v>
      </c>
      <c r="M140" t="s">
        <v>525</v>
      </c>
      <c r="N140" t="s">
        <v>59</v>
      </c>
      <c r="O140">
        <v>8</v>
      </c>
      <c r="P140">
        <v>4003.05</v>
      </c>
      <c r="Q140" s="11">
        <v>0.25</v>
      </c>
      <c r="R140">
        <v>24018.3</v>
      </c>
      <c r="S140">
        <v>14070.78</v>
      </c>
      <c r="T140">
        <v>9947.52</v>
      </c>
      <c r="U140" t="s">
        <v>32</v>
      </c>
      <c r="V140" t="s">
        <v>33</v>
      </c>
      <c r="X140" s="8" t="str">
        <f>IF(C140&gt;=B140,"Valid", "Invalid-Date")</f>
        <v>Valid</v>
      </c>
      <c r="Y140" s="8" t="str">
        <f t="shared" si="35"/>
        <v>Valid</v>
      </c>
      <c r="Z140" s="8" t="str">
        <f t="shared" si="36"/>
        <v>Pass</v>
      </c>
      <c r="AA140" s="8" t="str">
        <f t="shared" si="37"/>
        <v>Pass</v>
      </c>
      <c r="AB140" s="8" t="str">
        <f>TEXT(B140,"mmmm")</f>
        <v>January</v>
      </c>
      <c r="AC140" s="8" t="str">
        <f>TEXT(B140,"yyyy")</f>
        <v>2024</v>
      </c>
      <c r="AE140">
        <f t="shared" si="38"/>
        <v>32024.400000000001</v>
      </c>
      <c r="AF140" s="11">
        <f t="shared" si="39"/>
        <v>24018.300000000003</v>
      </c>
      <c r="AG140">
        <f t="shared" si="40"/>
        <v>17953.620000000003</v>
      </c>
      <c r="AH140" s="11">
        <f t="shared" si="41"/>
        <v>0.5606231498482408</v>
      </c>
      <c r="AI140" s="9">
        <f t="shared" si="42"/>
        <v>0.5606231498482408</v>
      </c>
      <c r="AJ140">
        <f t="shared" si="43"/>
        <v>24018.3</v>
      </c>
      <c r="AK140">
        <f t="shared" si="44"/>
        <v>1</v>
      </c>
      <c r="AL140">
        <f t="shared" si="45"/>
        <v>0</v>
      </c>
      <c r="AM140">
        <f t="shared" si="46"/>
        <v>0</v>
      </c>
      <c r="AN140">
        <f t="shared" si="47"/>
        <v>0</v>
      </c>
      <c r="AO140">
        <f t="shared" si="48"/>
        <v>0</v>
      </c>
      <c r="AP140">
        <f t="shared" si="49"/>
        <v>0</v>
      </c>
      <c r="AQ140">
        <f t="shared" si="50"/>
        <v>0</v>
      </c>
    </row>
    <row r="141" spans="1:43">
      <c r="A141" t="s">
        <v>526</v>
      </c>
      <c r="B141" s="5">
        <v>45691</v>
      </c>
      <c r="C141" s="5">
        <v>45723</v>
      </c>
      <c r="D141" s="13">
        <f t="shared" si="34"/>
        <v>32</v>
      </c>
      <c r="E141" t="s">
        <v>527</v>
      </c>
      <c r="F141" t="s">
        <v>79</v>
      </c>
      <c r="G141" t="s">
        <v>95</v>
      </c>
      <c r="H141" t="s">
        <v>54</v>
      </c>
      <c r="I141" t="s">
        <v>175</v>
      </c>
      <c r="J141" t="s">
        <v>176</v>
      </c>
      <c r="K141" t="s">
        <v>28</v>
      </c>
      <c r="L141" t="s">
        <v>91</v>
      </c>
      <c r="M141" t="s">
        <v>528</v>
      </c>
      <c r="N141" t="s">
        <v>59</v>
      </c>
      <c r="O141">
        <v>8</v>
      </c>
      <c r="P141">
        <v>1287.6300000000001</v>
      </c>
      <c r="Q141" s="11">
        <v>0</v>
      </c>
      <c r="R141">
        <v>10301.040000000001</v>
      </c>
      <c r="S141">
        <v>6564.06</v>
      </c>
      <c r="T141">
        <v>3736.98</v>
      </c>
      <c r="U141" t="s">
        <v>32</v>
      </c>
      <c r="V141" t="s">
        <v>33</v>
      </c>
      <c r="X141" s="8" t="str">
        <f>IF(C141&gt;=B141,"Valid", "Invalid-Date")</f>
        <v>Valid</v>
      </c>
      <c r="Y141" s="8" t="str">
        <f t="shared" si="35"/>
        <v>Valid</v>
      </c>
      <c r="Z141" s="8" t="str">
        <f t="shared" si="36"/>
        <v>Pass</v>
      </c>
      <c r="AA141" s="8" t="str">
        <f t="shared" si="37"/>
        <v>Pass</v>
      </c>
      <c r="AB141" s="8" t="str">
        <f>TEXT(B141,"mmmm")</f>
        <v>February</v>
      </c>
      <c r="AC141" s="8" t="str">
        <f>TEXT(B141,"yyyy")</f>
        <v>2025</v>
      </c>
      <c r="AE141">
        <f t="shared" si="38"/>
        <v>10301.040000000001</v>
      </c>
      <c r="AF141" s="11">
        <f t="shared" si="39"/>
        <v>10301.040000000001</v>
      </c>
      <c r="AG141">
        <f t="shared" si="40"/>
        <v>3736.9800000000005</v>
      </c>
      <c r="AH141" s="11">
        <f t="shared" si="41"/>
        <v>0.3627769623261341</v>
      </c>
      <c r="AI141" s="9">
        <f t="shared" si="42"/>
        <v>0.3627769623261341</v>
      </c>
      <c r="AJ141">
        <f t="shared" si="43"/>
        <v>10301.040000000001</v>
      </c>
      <c r="AK141">
        <f t="shared" si="44"/>
        <v>1</v>
      </c>
      <c r="AL141">
        <f t="shared" si="45"/>
        <v>0</v>
      </c>
      <c r="AM141">
        <f t="shared" si="46"/>
        <v>0</v>
      </c>
      <c r="AN141">
        <f t="shared" si="47"/>
        <v>0</v>
      </c>
      <c r="AO141">
        <f t="shared" si="48"/>
        <v>0</v>
      </c>
      <c r="AP141">
        <f t="shared" si="49"/>
        <v>0</v>
      </c>
      <c r="AQ141">
        <f t="shared" si="50"/>
        <v>0</v>
      </c>
    </row>
    <row r="142" spans="1:43">
      <c r="A142" t="s">
        <v>529</v>
      </c>
      <c r="B142" s="5">
        <v>45443</v>
      </c>
      <c r="C142" s="5">
        <v>45297</v>
      </c>
      <c r="D142" s="13">
        <f t="shared" si="34"/>
        <v>-146</v>
      </c>
      <c r="E142" t="s">
        <v>530</v>
      </c>
      <c r="F142" t="s">
        <v>36</v>
      </c>
      <c r="G142" t="s">
        <v>90</v>
      </c>
      <c r="H142" t="s">
        <v>54</v>
      </c>
      <c r="I142" t="s">
        <v>175</v>
      </c>
      <c r="J142" t="s">
        <v>176</v>
      </c>
      <c r="K142" t="s">
        <v>41</v>
      </c>
      <c r="L142" t="s">
        <v>158</v>
      </c>
      <c r="M142" t="s">
        <v>531</v>
      </c>
      <c r="N142" t="s">
        <v>44</v>
      </c>
      <c r="O142">
        <v>3</v>
      </c>
      <c r="P142">
        <v>2914.55</v>
      </c>
      <c r="Q142" s="11">
        <v>0</v>
      </c>
      <c r="R142">
        <v>8743.65</v>
      </c>
      <c r="S142">
        <v>6603.76</v>
      </c>
      <c r="T142">
        <v>2139.89</v>
      </c>
      <c r="U142" t="s">
        <v>32</v>
      </c>
      <c r="V142" t="s">
        <v>33</v>
      </c>
      <c r="X142" s="8" t="str">
        <f>IF(C142&gt;=B142,"Valid", "Invalid-Date")</f>
        <v>Invalid-Date</v>
      </c>
      <c r="Y142" s="8" t="str">
        <f t="shared" si="35"/>
        <v>Valid</v>
      </c>
      <c r="Z142" s="8" t="str">
        <f t="shared" si="36"/>
        <v>Pass</v>
      </c>
      <c r="AA142" s="8" t="str">
        <f t="shared" si="37"/>
        <v>Pass</v>
      </c>
      <c r="AB142" s="8" t="str">
        <f>TEXT(B142,"mmmm")</f>
        <v>May</v>
      </c>
      <c r="AC142" s="8" t="str">
        <f>TEXT(B142,"yyyy")</f>
        <v>2024</v>
      </c>
      <c r="AE142">
        <f t="shared" si="38"/>
        <v>8743.6500000000015</v>
      </c>
      <c r="AF142" s="11">
        <f t="shared" si="39"/>
        <v>8743.6500000000015</v>
      </c>
      <c r="AG142">
        <f t="shared" si="40"/>
        <v>2139.8900000000012</v>
      </c>
      <c r="AH142" s="11">
        <f t="shared" si="41"/>
        <v>0.24473646589239059</v>
      </c>
      <c r="AI142" s="9">
        <f t="shared" si="42"/>
        <v>0.24473646589239059</v>
      </c>
      <c r="AJ142">
        <f t="shared" si="43"/>
        <v>8743.65</v>
      </c>
      <c r="AK142">
        <f t="shared" si="44"/>
        <v>1</v>
      </c>
      <c r="AL142">
        <f t="shared" si="45"/>
        <v>0</v>
      </c>
      <c r="AM142">
        <f t="shared" si="46"/>
        <v>0</v>
      </c>
      <c r="AN142">
        <f t="shared" si="47"/>
        <v>0</v>
      </c>
      <c r="AO142">
        <f t="shared" si="48"/>
        <v>0</v>
      </c>
      <c r="AP142">
        <f t="shared" si="49"/>
        <v>0</v>
      </c>
      <c r="AQ142">
        <f t="shared" si="50"/>
        <v>0</v>
      </c>
    </row>
    <row r="143" spans="1:43">
      <c r="A143" t="s">
        <v>532</v>
      </c>
      <c r="B143" s="5">
        <v>45374</v>
      </c>
      <c r="C143" s="5">
        <v>45380</v>
      </c>
      <c r="D143" s="13">
        <f t="shared" si="34"/>
        <v>6</v>
      </c>
      <c r="E143" t="s">
        <v>533</v>
      </c>
      <c r="F143" t="s">
        <v>114</v>
      </c>
      <c r="G143" t="s">
        <v>90</v>
      </c>
      <c r="H143" t="s">
        <v>25</v>
      </c>
      <c r="I143" t="s">
        <v>350</v>
      </c>
      <c r="J143" t="s">
        <v>351</v>
      </c>
      <c r="K143" t="s">
        <v>41</v>
      </c>
      <c r="L143" t="s">
        <v>158</v>
      </c>
      <c r="M143" t="s">
        <v>534</v>
      </c>
      <c r="N143" t="s">
        <v>44</v>
      </c>
      <c r="O143">
        <v>7</v>
      </c>
      <c r="P143">
        <v>634.29</v>
      </c>
      <c r="Q143" s="11">
        <v>0.1</v>
      </c>
      <c r="R143">
        <v>3996.03</v>
      </c>
      <c r="S143">
        <v>2859.51</v>
      </c>
      <c r="T143">
        <v>1136.52</v>
      </c>
      <c r="U143" t="s">
        <v>32</v>
      </c>
      <c r="V143" t="s">
        <v>103</v>
      </c>
      <c r="X143" s="8" t="str">
        <f>IF(C143&gt;=B143,"Valid", "Invalid-Date")</f>
        <v>Valid</v>
      </c>
      <c r="Y143" s="8" t="str">
        <f t="shared" si="35"/>
        <v>Valid</v>
      </c>
      <c r="Z143" s="8" t="str">
        <f t="shared" si="36"/>
        <v>Pass</v>
      </c>
      <c r="AA143" s="8" t="str">
        <f t="shared" si="37"/>
        <v>Pass</v>
      </c>
      <c r="AB143" s="8" t="str">
        <f>TEXT(B143,"mmmm")</f>
        <v>March</v>
      </c>
      <c r="AC143" s="8" t="str">
        <f>TEXT(B143,"yyyy")</f>
        <v>2024</v>
      </c>
      <c r="AE143">
        <f t="shared" si="38"/>
        <v>4440.03</v>
      </c>
      <c r="AF143" s="11">
        <f t="shared" si="39"/>
        <v>3996.027</v>
      </c>
      <c r="AG143">
        <f t="shared" si="40"/>
        <v>1580.5199999999995</v>
      </c>
      <c r="AH143" s="11">
        <f t="shared" si="41"/>
        <v>0.35597056776643393</v>
      </c>
      <c r="AI143" s="9">
        <f t="shared" si="42"/>
        <v>0.35597056776643393</v>
      </c>
      <c r="AJ143">
        <f t="shared" si="43"/>
        <v>0</v>
      </c>
      <c r="AK143">
        <f t="shared" si="44"/>
        <v>0</v>
      </c>
      <c r="AL143">
        <f t="shared" si="45"/>
        <v>0</v>
      </c>
      <c r="AM143">
        <f t="shared" si="46"/>
        <v>0</v>
      </c>
      <c r="AN143">
        <f t="shared" si="47"/>
        <v>0</v>
      </c>
      <c r="AO143">
        <f t="shared" si="48"/>
        <v>0</v>
      </c>
      <c r="AP143">
        <f t="shared" si="49"/>
        <v>3996.03</v>
      </c>
      <c r="AQ143">
        <f t="shared" si="50"/>
        <v>1</v>
      </c>
    </row>
    <row r="144" spans="1:43" s="15" customFormat="1">
      <c r="A144" s="15" t="s">
        <v>535</v>
      </c>
      <c r="B144" s="16">
        <v>45381</v>
      </c>
      <c r="C144" s="16">
        <v>45377</v>
      </c>
      <c r="D144" s="17">
        <f t="shared" si="34"/>
        <v>-4</v>
      </c>
      <c r="E144" s="15" t="s">
        <v>536</v>
      </c>
      <c r="F144" s="15" t="s">
        <v>89</v>
      </c>
      <c r="G144" s="15" t="s">
        <v>95</v>
      </c>
      <c r="H144" s="15" t="s">
        <v>25</v>
      </c>
      <c r="I144" s="15" t="s">
        <v>26</v>
      </c>
      <c r="J144" s="15" t="s">
        <v>27</v>
      </c>
      <c r="K144" s="15" t="s">
        <v>74</v>
      </c>
      <c r="L144" s="15" t="s">
        <v>171</v>
      </c>
      <c r="M144" s="15" t="s">
        <v>537</v>
      </c>
      <c r="N144" s="15" t="s">
        <v>31</v>
      </c>
      <c r="O144" s="15">
        <v>5</v>
      </c>
      <c r="P144" s="15">
        <v>907.54</v>
      </c>
      <c r="Q144" s="18">
        <v>0.15</v>
      </c>
      <c r="R144" s="15">
        <v>3857.04</v>
      </c>
      <c r="S144" s="15">
        <v>2769.26</v>
      </c>
      <c r="T144" s="15">
        <v>1087.78</v>
      </c>
      <c r="U144" s="15" t="s">
        <v>32</v>
      </c>
      <c r="V144" s="15" t="s">
        <v>33</v>
      </c>
      <c r="W144" s="25"/>
      <c r="X144" s="8" t="str">
        <f>IF(C144&gt;=B144,"Valid", "Invalid-Date")</f>
        <v>Invalid-Date</v>
      </c>
      <c r="Y144" s="8" t="str">
        <f t="shared" si="35"/>
        <v>Valid</v>
      </c>
      <c r="Z144" s="19" t="str">
        <f t="shared" si="36"/>
        <v>Pass</v>
      </c>
      <c r="AA144" s="19" t="str">
        <f t="shared" si="37"/>
        <v>Pass</v>
      </c>
      <c r="AB144" s="19" t="str">
        <f>TEXT(B144,"mmmm")</f>
        <v>March</v>
      </c>
      <c r="AC144" s="19" t="str">
        <f>TEXT(B144,"yyyy")</f>
        <v>2024</v>
      </c>
      <c r="AD144" s="20"/>
      <c r="AE144" s="15">
        <f t="shared" si="38"/>
        <v>4537.7</v>
      </c>
      <c r="AF144" s="11">
        <f t="shared" si="39"/>
        <v>3857.0449999999996</v>
      </c>
      <c r="AG144" s="15">
        <f t="shared" si="40"/>
        <v>1768.4399999999996</v>
      </c>
      <c r="AH144" s="18">
        <f t="shared" si="41"/>
        <v>0.38972166516076417</v>
      </c>
      <c r="AI144" s="21">
        <f t="shared" si="42"/>
        <v>0.38972166516076417</v>
      </c>
      <c r="AJ144">
        <f t="shared" si="43"/>
        <v>3857.04</v>
      </c>
      <c r="AK144">
        <f t="shared" si="44"/>
        <v>1</v>
      </c>
      <c r="AL144">
        <f t="shared" si="45"/>
        <v>0</v>
      </c>
      <c r="AM144">
        <f t="shared" si="46"/>
        <v>0</v>
      </c>
      <c r="AN144">
        <f t="shared" si="47"/>
        <v>0</v>
      </c>
      <c r="AO144">
        <f t="shared" si="48"/>
        <v>0</v>
      </c>
      <c r="AP144">
        <f t="shared" si="49"/>
        <v>0</v>
      </c>
      <c r="AQ144">
        <f t="shared" si="50"/>
        <v>0</v>
      </c>
    </row>
    <row r="145" spans="1:43">
      <c r="A145" t="s">
        <v>538</v>
      </c>
      <c r="B145" s="5">
        <v>45375</v>
      </c>
      <c r="C145" s="5">
        <v>45377</v>
      </c>
      <c r="D145" s="13">
        <f t="shared" si="34"/>
        <v>2</v>
      </c>
      <c r="E145" t="s">
        <v>539</v>
      </c>
      <c r="F145" t="s">
        <v>114</v>
      </c>
      <c r="G145" t="s">
        <v>24</v>
      </c>
      <c r="H145" t="s">
        <v>63</v>
      </c>
      <c r="I145" t="s">
        <v>180</v>
      </c>
      <c r="J145" t="s">
        <v>181</v>
      </c>
      <c r="K145" t="s">
        <v>28</v>
      </c>
      <c r="L145" t="s">
        <v>29</v>
      </c>
      <c r="M145" t="s">
        <v>540</v>
      </c>
      <c r="N145" t="s">
        <v>31</v>
      </c>
      <c r="O145">
        <v>1</v>
      </c>
      <c r="P145">
        <v>3409.5</v>
      </c>
      <c r="Q145" s="11">
        <v>0.1</v>
      </c>
      <c r="R145">
        <v>3068.55</v>
      </c>
      <c r="S145">
        <v>1916.16</v>
      </c>
      <c r="T145">
        <v>1152.3900000000001</v>
      </c>
      <c r="U145" t="s">
        <v>32</v>
      </c>
      <c r="V145" t="s">
        <v>103</v>
      </c>
      <c r="X145" s="8" t="str">
        <f>IF(C145&gt;=B145,"Valid", "Invalid-Date")</f>
        <v>Valid</v>
      </c>
      <c r="Y145" s="8" t="str">
        <f t="shared" si="35"/>
        <v>Valid</v>
      </c>
      <c r="Z145" s="8" t="str">
        <f t="shared" si="36"/>
        <v>Pass</v>
      </c>
      <c r="AA145" s="8" t="str">
        <f t="shared" si="37"/>
        <v>Pass</v>
      </c>
      <c r="AB145" s="8" t="str">
        <f>TEXT(B145,"mmmm")</f>
        <v>March</v>
      </c>
      <c r="AC145" s="8" t="str">
        <f>TEXT(B145,"yyyy")</f>
        <v>2024</v>
      </c>
      <c r="AE145">
        <f t="shared" si="38"/>
        <v>3409.5</v>
      </c>
      <c r="AF145" s="11">
        <f t="shared" si="39"/>
        <v>3068.55</v>
      </c>
      <c r="AG145">
        <f t="shared" si="40"/>
        <v>1493.34</v>
      </c>
      <c r="AH145" s="11">
        <f t="shared" si="41"/>
        <v>0.4379938407391113</v>
      </c>
      <c r="AI145" s="9">
        <f t="shared" si="42"/>
        <v>0.4379938407391113</v>
      </c>
      <c r="AJ145">
        <f t="shared" si="43"/>
        <v>0</v>
      </c>
      <c r="AK145">
        <f t="shared" si="44"/>
        <v>0</v>
      </c>
      <c r="AL145">
        <f t="shared" si="45"/>
        <v>0</v>
      </c>
      <c r="AM145">
        <f t="shared" si="46"/>
        <v>0</v>
      </c>
      <c r="AN145">
        <f t="shared" si="47"/>
        <v>0</v>
      </c>
      <c r="AO145">
        <f t="shared" si="48"/>
        <v>0</v>
      </c>
      <c r="AP145">
        <f t="shared" si="49"/>
        <v>3068.55</v>
      </c>
      <c r="AQ145">
        <f t="shared" si="50"/>
        <v>1</v>
      </c>
    </row>
    <row r="146" spans="1:43">
      <c r="A146" t="s">
        <v>541</v>
      </c>
      <c r="B146" s="5">
        <v>45450</v>
      </c>
      <c r="C146" s="5">
        <v>45458</v>
      </c>
      <c r="D146" s="13">
        <f t="shared" si="34"/>
        <v>8</v>
      </c>
      <c r="E146" t="s">
        <v>542</v>
      </c>
      <c r="F146" t="s">
        <v>264</v>
      </c>
      <c r="G146" t="s">
        <v>37</v>
      </c>
      <c r="H146" t="s">
        <v>54</v>
      </c>
      <c r="I146" t="s">
        <v>55</v>
      </c>
      <c r="J146" t="s">
        <v>56</v>
      </c>
      <c r="K146" t="s">
        <v>74</v>
      </c>
      <c r="L146" t="s">
        <v>75</v>
      </c>
      <c r="M146" t="s">
        <v>543</v>
      </c>
      <c r="N146" t="s">
        <v>50</v>
      </c>
      <c r="O146">
        <v>7</v>
      </c>
      <c r="P146">
        <v>2147.9899999999998</v>
      </c>
      <c r="Q146" s="11">
        <v>0.25</v>
      </c>
      <c r="R146">
        <v>11276.95</v>
      </c>
      <c r="S146">
        <v>6908.76</v>
      </c>
      <c r="T146">
        <v>4368.1899999999996</v>
      </c>
      <c r="U146" t="s">
        <v>102</v>
      </c>
      <c r="V146" t="s">
        <v>103</v>
      </c>
      <c r="X146" s="8" t="str">
        <f>IF(C146&gt;=B146,"Valid", "Invalid-Date")</f>
        <v>Valid</v>
      </c>
      <c r="Y146" s="8" t="str">
        <f t="shared" si="35"/>
        <v>Valid</v>
      </c>
      <c r="Z146" s="8" t="str">
        <f t="shared" si="36"/>
        <v>Pass</v>
      </c>
      <c r="AA146" s="8" t="str">
        <f t="shared" si="37"/>
        <v>Pass</v>
      </c>
      <c r="AB146" s="8" t="str">
        <f>TEXT(B146,"mmmm")</f>
        <v>June</v>
      </c>
      <c r="AC146" s="8" t="str">
        <f>TEXT(B146,"yyyy")</f>
        <v>2024</v>
      </c>
      <c r="AE146">
        <f t="shared" si="38"/>
        <v>15035.929999999998</v>
      </c>
      <c r="AF146" s="11">
        <f t="shared" si="39"/>
        <v>11276.947499999998</v>
      </c>
      <c r="AG146">
        <f t="shared" si="40"/>
        <v>8127.1699999999983</v>
      </c>
      <c r="AH146" s="11">
        <f t="shared" si="41"/>
        <v>0.54051661586612865</v>
      </c>
      <c r="AI146" s="9">
        <f t="shared" si="42"/>
        <v>0.54051661586612865</v>
      </c>
      <c r="AJ146">
        <f t="shared" si="43"/>
        <v>0</v>
      </c>
      <c r="AK146">
        <f t="shared" si="44"/>
        <v>0</v>
      </c>
      <c r="AL146">
        <f t="shared" si="45"/>
        <v>0</v>
      </c>
      <c r="AM146">
        <f t="shared" si="46"/>
        <v>0</v>
      </c>
      <c r="AN146">
        <f t="shared" si="47"/>
        <v>0</v>
      </c>
      <c r="AO146">
        <f t="shared" si="48"/>
        <v>0</v>
      </c>
      <c r="AP146">
        <f t="shared" si="49"/>
        <v>11276.95</v>
      </c>
      <c r="AQ146">
        <f t="shared" si="50"/>
        <v>1</v>
      </c>
    </row>
    <row r="147" spans="1:43">
      <c r="A147" t="s">
        <v>544</v>
      </c>
      <c r="B147" s="5">
        <v>45758</v>
      </c>
      <c r="C147" s="5">
        <v>45760</v>
      </c>
      <c r="D147" s="13">
        <f t="shared" si="34"/>
        <v>2</v>
      </c>
      <c r="E147" t="s">
        <v>545</v>
      </c>
      <c r="F147" t="s">
        <v>36</v>
      </c>
      <c r="G147" t="s">
        <v>37</v>
      </c>
      <c r="H147" t="s">
        <v>63</v>
      </c>
      <c r="I147" t="s">
        <v>190</v>
      </c>
      <c r="J147" t="s">
        <v>191</v>
      </c>
      <c r="K147" t="s">
        <v>28</v>
      </c>
      <c r="L147" t="s">
        <v>29</v>
      </c>
      <c r="M147" t="s">
        <v>546</v>
      </c>
      <c r="N147" t="s">
        <v>59</v>
      </c>
      <c r="O147">
        <v>4</v>
      </c>
      <c r="P147">
        <v>4182.1499999999996</v>
      </c>
      <c r="Q147" s="11">
        <v>0.1</v>
      </c>
      <c r="R147">
        <v>15055.74</v>
      </c>
      <c r="S147">
        <v>9808.83</v>
      </c>
      <c r="T147">
        <v>5246.91</v>
      </c>
      <c r="U147" t="s">
        <v>32</v>
      </c>
      <c r="V147" t="s">
        <v>33</v>
      </c>
      <c r="X147" s="8" t="str">
        <f>IF(C147&gt;=B147,"Valid", "Invalid-Date")</f>
        <v>Valid</v>
      </c>
      <c r="Y147" s="8" t="str">
        <f t="shared" si="35"/>
        <v>Valid</v>
      </c>
      <c r="Z147" s="8" t="str">
        <f t="shared" si="36"/>
        <v>Pass</v>
      </c>
      <c r="AA147" s="8" t="str">
        <f t="shared" si="37"/>
        <v>Pass</v>
      </c>
      <c r="AB147" s="8" t="str">
        <f>TEXT(B147,"mmmm")</f>
        <v>April</v>
      </c>
      <c r="AC147" s="8" t="str">
        <f>TEXT(B147,"yyyy")</f>
        <v>2025</v>
      </c>
      <c r="AE147">
        <f t="shared" si="38"/>
        <v>16728.599999999999</v>
      </c>
      <c r="AF147" s="11">
        <f t="shared" si="39"/>
        <v>15055.74</v>
      </c>
      <c r="AG147">
        <f t="shared" si="40"/>
        <v>6919.7699999999986</v>
      </c>
      <c r="AH147" s="11">
        <f t="shared" si="41"/>
        <v>0.41364908001865064</v>
      </c>
      <c r="AI147" s="9">
        <f t="shared" si="42"/>
        <v>0.41364908001865064</v>
      </c>
      <c r="AJ147">
        <f t="shared" si="43"/>
        <v>15055.74</v>
      </c>
      <c r="AK147">
        <f t="shared" si="44"/>
        <v>1</v>
      </c>
      <c r="AL147">
        <f t="shared" si="45"/>
        <v>0</v>
      </c>
      <c r="AM147">
        <f t="shared" si="46"/>
        <v>0</v>
      </c>
      <c r="AN147">
        <f t="shared" si="47"/>
        <v>0</v>
      </c>
      <c r="AO147">
        <f t="shared" si="48"/>
        <v>0</v>
      </c>
      <c r="AP147">
        <f t="shared" si="49"/>
        <v>0</v>
      </c>
      <c r="AQ147">
        <f t="shared" si="50"/>
        <v>0</v>
      </c>
    </row>
    <row r="148" spans="1:43">
      <c r="A148" t="s">
        <v>547</v>
      </c>
      <c r="B148" s="5">
        <v>45868</v>
      </c>
      <c r="C148" s="5">
        <v>45665</v>
      </c>
      <c r="D148" s="13">
        <f t="shared" si="34"/>
        <v>-203</v>
      </c>
      <c r="E148" t="s">
        <v>548</v>
      </c>
      <c r="F148" t="s">
        <v>132</v>
      </c>
      <c r="G148" t="s">
        <v>37</v>
      </c>
      <c r="H148" t="s">
        <v>54</v>
      </c>
      <c r="I148" t="s">
        <v>247</v>
      </c>
      <c r="J148" t="s">
        <v>248</v>
      </c>
      <c r="K148" t="s">
        <v>28</v>
      </c>
      <c r="L148" t="s">
        <v>124</v>
      </c>
      <c r="M148" t="s">
        <v>549</v>
      </c>
      <c r="N148" t="s">
        <v>44</v>
      </c>
      <c r="O148">
        <v>9</v>
      </c>
      <c r="P148">
        <v>3165.43</v>
      </c>
      <c r="Q148" s="11">
        <v>0.1</v>
      </c>
      <c r="R148">
        <v>25639.98</v>
      </c>
      <c r="S148">
        <v>21635.08</v>
      </c>
      <c r="T148">
        <v>4004.9</v>
      </c>
      <c r="U148" t="s">
        <v>32</v>
      </c>
      <c r="V148" t="s">
        <v>33</v>
      </c>
      <c r="X148" s="8" t="str">
        <f>IF(C148&gt;=B148,"Valid", "Invalid-Date")</f>
        <v>Invalid-Date</v>
      </c>
      <c r="Y148" s="8" t="str">
        <f t="shared" si="35"/>
        <v>Valid</v>
      </c>
      <c r="Z148" s="8" t="str">
        <f t="shared" si="36"/>
        <v>Pass</v>
      </c>
      <c r="AA148" s="8" t="str">
        <f t="shared" si="37"/>
        <v>Pass</v>
      </c>
      <c r="AB148" s="8" t="str">
        <f>TEXT(B148,"mmmm")</f>
        <v>July</v>
      </c>
      <c r="AC148" s="8" t="str">
        <f>TEXT(B148,"yyyy")</f>
        <v>2025</v>
      </c>
      <c r="AE148">
        <f t="shared" si="38"/>
        <v>28488.87</v>
      </c>
      <c r="AF148" s="11">
        <f t="shared" si="39"/>
        <v>25639.983</v>
      </c>
      <c r="AG148">
        <f t="shared" si="40"/>
        <v>6853.7899999999972</v>
      </c>
      <c r="AH148" s="11">
        <f t="shared" si="41"/>
        <v>0.24057781161555364</v>
      </c>
      <c r="AI148" s="9">
        <f t="shared" si="42"/>
        <v>0.24057781161555364</v>
      </c>
      <c r="AJ148">
        <f t="shared" si="43"/>
        <v>25639.98</v>
      </c>
      <c r="AK148">
        <f t="shared" si="44"/>
        <v>1</v>
      </c>
      <c r="AL148">
        <f t="shared" si="45"/>
        <v>0</v>
      </c>
      <c r="AM148">
        <f t="shared" si="46"/>
        <v>0</v>
      </c>
      <c r="AN148">
        <f t="shared" si="47"/>
        <v>0</v>
      </c>
      <c r="AO148">
        <f t="shared" si="48"/>
        <v>0</v>
      </c>
      <c r="AP148">
        <f t="shared" si="49"/>
        <v>0</v>
      </c>
      <c r="AQ148">
        <f t="shared" si="50"/>
        <v>0</v>
      </c>
    </row>
    <row r="149" spans="1:43">
      <c r="A149" t="s">
        <v>550</v>
      </c>
      <c r="B149" s="5">
        <v>45649</v>
      </c>
      <c r="C149" s="5">
        <v>45656</v>
      </c>
      <c r="D149" s="13">
        <f t="shared" si="34"/>
        <v>7</v>
      </c>
      <c r="E149" t="s">
        <v>551</v>
      </c>
      <c r="F149" t="s">
        <v>114</v>
      </c>
      <c r="G149" t="s">
        <v>95</v>
      </c>
      <c r="H149" t="s">
        <v>63</v>
      </c>
      <c r="I149" t="s">
        <v>190</v>
      </c>
      <c r="J149" t="s">
        <v>191</v>
      </c>
      <c r="K149" t="s">
        <v>41</v>
      </c>
      <c r="L149" t="s">
        <v>57</v>
      </c>
      <c r="M149" t="s">
        <v>552</v>
      </c>
      <c r="N149" t="s">
        <v>50</v>
      </c>
      <c r="O149">
        <v>8</v>
      </c>
      <c r="P149">
        <v>386.1</v>
      </c>
      <c r="Q149" s="11">
        <v>0.1</v>
      </c>
      <c r="R149">
        <v>2779.92</v>
      </c>
      <c r="S149">
        <v>1744.05</v>
      </c>
      <c r="T149">
        <v>1035.8699999999999</v>
      </c>
      <c r="U149" t="s">
        <v>32</v>
      </c>
      <c r="V149" t="s">
        <v>33</v>
      </c>
      <c r="X149" s="8" t="str">
        <f>IF(C149&gt;=B149,"Valid", "Invalid-Date")</f>
        <v>Valid</v>
      </c>
      <c r="Y149" s="8" t="str">
        <f t="shared" si="35"/>
        <v>Valid</v>
      </c>
      <c r="Z149" s="8" t="str">
        <f t="shared" si="36"/>
        <v>Pass</v>
      </c>
      <c r="AA149" s="8" t="str">
        <f t="shared" si="37"/>
        <v>Pass</v>
      </c>
      <c r="AB149" s="8" t="str">
        <f>TEXT(B149,"mmmm")</f>
        <v>December</v>
      </c>
      <c r="AC149" s="8" t="str">
        <f>TEXT(B149,"yyyy")</f>
        <v>2024</v>
      </c>
      <c r="AE149">
        <f t="shared" si="38"/>
        <v>3088.8</v>
      </c>
      <c r="AF149" s="11">
        <f t="shared" si="39"/>
        <v>2779.92</v>
      </c>
      <c r="AG149">
        <f t="shared" si="40"/>
        <v>1344.7500000000002</v>
      </c>
      <c r="AH149" s="11">
        <f t="shared" si="41"/>
        <v>0.43536324786324793</v>
      </c>
      <c r="AI149" s="9">
        <f t="shared" si="42"/>
        <v>0.43536324786324793</v>
      </c>
      <c r="AJ149">
        <f t="shared" si="43"/>
        <v>2779.92</v>
      </c>
      <c r="AK149">
        <f t="shared" si="44"/>
        <v>1</v>
      </c>
      <c r="AL149">
        <f t="shared" si="45"/>
        <v>0</v>
      </c>
      <c r="AM149">
        <f t="shared" si="46"/>
        <v>0</v>
      </c>
      <c r="AN149">
        <f t="shared" si="47"/>
        <v>0</v>
      </c>
      <c r="AO149">
        <f t="shared" si="48"/>
        <v>0</v>
      </c>
      <c r="AP149">
        <f t="shared" si="49"/>
        <v>0</v>
      </c>
      <c r="AQ149">
        <f t="shared" si="50"/>
        <v>0</v>
      </c>
    </row>
    <row r="150" spans="1:43">
      <c r="A150" t="s">
        <v>553</v>
      </c>
      <c r="B150" s="5">
        <v>45697</v>
      </c>
      <c r="C150" s="5">
        <v>45701</v>
      </c>
      <c r="D150" s="13">
        <f t="shared" si="34"/>
        <v>4</v>
      </c>
      <c r="E150" t="s">
        <v>554</v>
      </c>
      <c r="F150" t="s">
        <v>36</v>
      </c>
      <c r="G150" t="s">
        <v>95</v>
      </c>
      <c r="H150" t="s">
        <v>63</v>
      </c>
      <c r="I150" t="s">
        <v>72</v>
      </c>
      <c r="J150" t="s">
        <v>73</v>
      </c>
      <c r="K150" t="s">
        <v>74</v>
      </c>
      <c r="L150" t="s">
        <v>171</v>
      </c>
      <c r="M150" t="s">
        <v>555</v>
      </c>
      <c r="N150" t="s">
        <v>2785</v>
      </c>
      <c r="O150">
        <v>8</v>
      </c>
      <c r="P150">
        <v>1696.07</v>
      </c>
      <c r="Q150" s="11">
        <v>0.25</v>
      </c>
      <c r="R150">
        <v>10176.42</v>
      </c>
      <c r="S150">
        <v>7604.47</v>
      </c>
      <c r="T150">
        <v>2571.9499999999998</v>
      </c>
      <c r="U150" t="s">
        <v>32</v>
      </c>
      <c r="V150" t="s">
        <v>33</v>
      </c>
      <c r="X150" s="8" t="str">
        <f>IF(C150&gt;=B150,"Valid", "Invalid-Date")</f>
        <v>Valid</v>
      </c>
      <c r="Y150" s="8" t="str">
        <f t="shared" si="35"/>
        <v>Valid</v>
      </c>
      <c r="Z150" s="8" t="str">
        <f t="shared" si="36"/>
        <v>Flagged</v>
      </c>
      <c r="AA150" s="8" t="str">
        <f t="shared" si="37"/>
        <v>Pass</v>
      </c>
      <c r="AB150" s="8" t="str">
        <f>TEXT(B150,"mmmm")</f>
        <v>February</v>
      </c>
      <c r="AC150" s="8" t="str">
        <f>TEXT(B150,"yyyy")</f>
        <v>2025</v>
      </c>
      <c r="AE150">
        <f t="shared" si="38"/>
        <v>13568.56</v>
      </c>
      <c r="AF150" s="11">
        <f t="shared" si="39"/>
        <v>10176.42</v>
      </c>
      <c r="AG150">
        <f t="shared" si="40"/>
        <v>5964.0899999999992</v>
      </c>
      <c r="AH150" s="11">
        <f t="shared" si="41"/>
        <v>0.43955217060616597</v>
      </c>
      <c r="AI150" s="9">
        <f t="shared" si="42"/>
        <v>0.43955217060616597</v>
      </c>
      <c r="AJ150">
        <f t="shared" si="43"/>
        <v>10176.42</v>
      </c>
      <c r="AK150">
        <f t="shared" si="44"/>
        <v>1</v>
      </c>
      <c r="AL150">
        <f t="shared" si="45"/>
        <v>0</v>
      </c>
      <c r="AM150">
        <f t="shared" si="46"/>
        <v>0</v>
      </c>
      <c r="AN150">
        <f t="shared" si="47"/>
        <v>0</v>
      </c>
      <c r="AO150">
        <f t="shared" si="48"/>
        <v>0</v>
      </c>
      <c r="AP150">
        <f t="shared" si="49"/>
        <v>0</v>
      </c>
      <c r="AQ150">
        <f t="shared" si="50"/>
        <v>0</v>
      </c>
    </row>
    <row r="151" spans="1:43">
      <c r="A151" t="s">
        <v>556</v>
      </c>
      <c r="B151" s="5">
        <v>45321</v>
      </c>
      <c r="C151" s="5">
        <v>45321</v>
      </c>
      <c r="D151" s="13">
        <f t="shared" si="34"/>
        <v>0</v>
      </c>
      <c r="E151" t="s">
        <v>557</v>
      </c>
      <c r="F151" t="s">
        <v>128</v>
      </c>
      <c r="G151" t="s">
        <v>37</v>
      </c>
      <c r="H151" t="s">
        <v>63</v>
      </c>
      <c r="I151" t="s">
        <v>26</v>
      </c>
      <c r="J151" t="s">
        <v>109</v>
      </c>
      <c r="K151" t="s">
        <v>74</v>
      </c>
      <c r="L151" t="s">
        <v>80</v>
      </c>
      <c r="M151" t="s">
        <v>558</v>
      </c>
      <c r="N151" t="s">
        <v>44</v>
      </c>
      <c r="O151">
        <v>7</v>
      </c>
      <c r="P151">
        <v>2527.61</v>
      </c>
      <c r="Q151" s="11">
        <v>0.25</v>
      </c>
      <c r="R151">
        <v>13269.95</v>
      </c>
      <c r="S151">
        <v>8977.1</v>
      </c>
      <c r="T151">
        <v>4292.8500000000004</v>
      </c>
      <c r="U151" t="s">
        <v>32</v>
      </c>
      <c r="V151" t="s">
        <v>33</v>
      </c>
      <c r="X151" s="8" t="str">
        <f>IF(C151&gt;=B151,"Valid", "Invalid-Date")</f>
        <v>Valid</v>
      </c>
      <c r="Y151" s="8" t="str">
        <f t="shared" si="35"/>
        <v>Valid</v>
      </c>
      <c r="Z151" s="8" t="str">
        <f t="shared" si="36"/>
        <v>Pass</v>
      </c>
      <c r="AA151" s="8" t="str">
        <f t="shared" si="37"/>
        <v>Pass</v>
      </c>
      <c r="AB151" s="8" t="str">
        <f>TEXT(B151,"mmmm")</f>
        <v>January</v>
      </c>
      <c r="AC151" s="8" t="str">
        <f>TEXT(B151,"yyyy")</f>
        <v>2024</v>
      </c>
      <c r="AE151">
        <f t="shared" si="38"/>
        <v>17693.27</v>
      </c>
      <c r="AF151" s="11">
        <f t="shared" si="39"/>
        <v>13269.952499999999</v>
      </c>
      <c r="AG151">
        <f t="shared" si="40"/>
        <v>8716.17</v>
      </c>
      <c r="AH151" s="11">
        <f t="shared" si="41"/>
        <v>0.49262629236992372</v>
      </c>
      <c r="AI151" s="9">
        <f t="shared" si="42"/>
        <v>0.49262629236992372</v>
      </c>
      <c r="AJ151">
        <f t="shared" si="43"/>
        <v>13269.95</v>
      </c>
      <c r="AK151">
        <f t="shared" si="44"/>
        <v>1</v>
      </c>
      <c r="AL151">
        <f t="shared" si="45"/>
        <v>0</v>
      </c>
      <c r="AM151">
        <f t="shared" si="46"/>
        <v>0</v>
      </c>
      <c r="AN151">
        <f t="shared" si="47"/>
        <v>0</v>
      </c>
      <c r="AO151">
        <f t="shared" si="48"/>
        <v>0</v>
      </c>
      <c r="AP151">
        <f t="shared" si="49"/>
        <v>0</v>
      </c>
      <c r="AQ151">
        <f t="shared" si="50"/>
        <v>0</v>
      </c>
    </row>
    <row r="152" spans="1:43">
      <c r="A152" t="s">
        <v>559</v>
      </c>
      <c r="B152" s="5">
        <v>45355</v>
      </c>
      <c r="C152" s="5">
        <v>45629</v>
      </c>
      <c r="D152" s="13">
        <f t="shared" si="34"/>
        <v>274</v>
      </c>
      <c r="E152" t="s">
        <v>560</v>
      </c>
      <c r="F152" t="s">
        <v>53</v>
      </c>
      <c r="G152" t="s">
        <v>24</v>
      </c>
      <c r="H152" t="s">
        <v>2785</v>
      </c>
      <c r="I152" t="s">
        <v>180</v>
      </c>
      <c r="J152" t="s">
        <v>181</v>
      </c>
      <c r="K152" t="s">
        <v>41</v>
      </c>
      <c r="L152" t="s">
        <v>158</v>
      </c>
      <c r="M152" t="s">
        <v>561</v>
      </c>
      <c r="N152" t="s">
        <v>50</v>
      </c>
      <c r="O152">
        <v>1</v>
      </c>
      <c r="P152">
        <v>1554.12</v>
      </c>
      <c r="Q152" s="11">
        <v>0.1</v>
      </c>
      <c r="R152">
        <v>1398.71</v>
      </c>
      <c r="S152">
        <v>1056.92</v>
      </c>
      <c r="T152">
        <v>341.79</v>
      </c>
      <c r="U152" t="s">
        <v>32</v>
      </c>
      <c r="V152" t="s">
        <v>33</v>
      </c>
      <c r="X152" s="8" t="str">
        <f>IF(C152&gt;=B152,"Valid", "Invalid-Date")</f>
        <v>Valid</v>
      </c>
      <c r="Y152" s="8" t="str">
        <f t="shared" si="35"/>
        <v>Valid</v>
      </c>
      <c r="Z152" s="8" t="str">
        <f t="shared" si="36"/>
        <v>Pass</v>
      </c>
      <c r="AA152" s="8" t="str">
        <f t="shared" si="37"/>
        <v>Flagged</v>
      </c>
      <c r="AB152" s="8" t="str">
        <f>TEXT(B152,"mmmm")</f>
        <v>March</v>
      </c>
      <c r="AC152" s="8" t="str">
        <f>TEXT(B152,"yyyy")</f>
        <v>2024</v>
      </c>
      <c r="AE152">
        <f t="shared" si="38"/>
        <v>1554.12</v>
      </c>
      <c r="AF152" s="11">
        <f t="shared" si="39"/>
        <v>1398.7079999999999</v>
      </c>
      <c r="AG152">
        <f t="shared" si="40"/>
        <v>497.19999999999982</v>
      </c>
      <c r="AH152" s="11">
        <f t="shared" si="41"/>
        <v>0.3199238154067896</v>
      </c>
      <c r="AI152" s="9">
        <f t="shared" si="42"/>
        <v>0.3199238154067896</v>
      </c>
      <c r="AJ152">
        <f t="shared" si="43"/>
        <v>1398.71</v>
      </c>
      <c r="AK152">
        <f t="shared" si="44"/>
        <v>1</v>
      </c>
      <c r="AL152">
        <f t="shared" si="45"/>
        <v>0</v>
      </c>
      <c r="AM152">
        <f t="shared" si="46"/>
        <v>0</v>
      </c>
      <c r="AN152">
        <f t="shared" si="47"/>
        <v>0</v>
      </c>
      <c r="AO152">
        <f t="shared" si="48"/>
        <v>0</v>
      </c>
      <c r="AP152">
        <f t="shared" si="49"/>
        <v>0</v>
      </c>
      <c r="AQ152">
        <f t="shared" si="50"/>
        <v>0</v>
      </c>
    </row>
    <row r="153" spans="1:43">
      <c r="A153" t="s">
        <v>562</v>
      </c>
      <c r="B153" s="5">
        <v>45470</v>
      </c>
      <c r="C153" s="5">
        <v>45470</v>
      </c>
      <c r="D153" s="13">
        <f t="shared" si="34"/>
        <v>0</v>
      </c>
      <c r="E153" t="s">
        <v>563</v>
      </c>
      <c r="F153" t="s">
        <v>79</v>
      </c>
      <c r="G153" t="s">
        <v>95</v>
      </c>
      <c r="H153" t="s">
        <v>2785</v>
      </c>
      <c r="I153" t="s">
        <v>72</v>
      </c>
      <c r="J153" t="s">
        <v>73</v>
      </c>
      <c r="K153" t="s">
        <v>74</v>
      </c>
      <c r="L153" t="s">
        <v>80</v>
      </c>
      <c r="M153" t="s">
        <v>564</v>
      </c>
      <c r="N153" t="s">
        <v>59</v>
      </c>
      <c r="O153">
        <v>2</v>
      </c>
      <c r="P153">
        <v>3859.11</v>
      </c>
      <c r="Q153" s="11">
        <v>0</v>
      </c>
      <c r="R153">
        <v>7718.22</v>
      </c>
      <c r="S153">
        <v>5355.93</v>
      </c>
      <c r="T153">
        <v>2362.29</v>
      </c>
      <c r="U153" t="s">
        <v>111</v>
      </c>
      <c r="V153" t="s">
        <v>103</v>
      </c>
      <c r="X153" s="8" t="str">
        <f>IF(C153&gt;=B153,"Valid", "Invalid-Date")</f>
        <v>Valid</v>
      </c>
      <c r="Y153" s="8" t="str">
        <f t="shared" si="35"/>
        <v>Valid</v>
      </c>
      <c r="Z153" s="8" t="str">
        <f t="shared" si="36"/>
        <v>Pass</v>
      </c>
      <c r="AA153" s="8" t="str">
        <f t="shared" si="37"/>
        <v>Flagged</v>
      </c>
      <c r="AB153" s="8" t="str">
        <f>TEXT(B153,"mmmm")</f>
        <v>June</v>
      </c>
      <c r="AC153" s="8" t="str">
        <f>TEXT(B153,"yyyy")</f>
        <v>2024</v>
      </c>
      <c r="AE153">
        <f t="shared" si="38"/>
        <v>7718.22</v>
      </c>
      <c r="AF153" s="11">
        <f t="shared" si="39"/>
        <v>7718.22</v>
      </c>
      <c r="AG153">
        <f t="shared" si="40"/>
        <v>2362.29</v>
      </c>
      <c r="AH153" s="11">
        <f t="shared" si="41"/>
        <v>0.30606668376905555</v>
      </c>
      <c r="AI153" s="9">
        <f t="shared" si="42"/>
        <v>0.30606668376905555</v>
      </c>
      <c r="AJ153">
        <f t="shared" si="43"/>
        <v>0</v>
      </c>
      <c r="AK153">
        <f t="shared" si="44"/>
        <v>0</v>
      </c>
      <c r="AL153">
        <f t="shared" si="45"/>
        <v>0</v>
      </c>
      <c r="AM153">
        <f t="shared" si="46"/>
        <v>0</v>
      </c>
      <c r="AN153">
        <f t="shared" si="47"/>
        <v>0</v>
      </c>
      <c r="AO153">
        <f t="shared" si="48"/>
        <v>0</v>
      </c>
      <c r="AP153">
        <f t="shared" si="49"/>
        <v>7718.22</v>
      </c>
      <c r="AQ153">
        <f t="shared" si="50"/>
        <v>1</v>
      </c>
    </row>
    <row r="154" spans="1:43">
      <c r="A154" t="s">
        <v>565</v>
      </c>
      <c r="B154" s="5">
        <v>45457</v>
      </c>
      <c r="C154" s="5">
        <v>45460</v>
      </c>
      <c r="D154" s="13">
        <f t="shared" si="34"/>
        <v>3</v>
      </c>
      <c r="E154" t="s">
        <v>566</v>
      </c>
      <c r="F154" t="s">
        <v>264</v>
      </c>
      <c r="G154" t="s">
        <v>37</v>
      </c>
      <c r="H154" t="s">
        <v>54</v>
      </c>
      <c r="I154" t="s">
        <v>185</v>
      </c>
      <c r="J154" t="s">
        <v>186</v>
      </c>
      <c r="K154" t="s">
        <v>41</v>
      </c>
      <c r="L154" t="s">
        <v>42</v>
      </c>
      <c r="M154" t="s">
        <v>567</v>
      </c>
      <c r="N154" t="s">
        <v>31</v>
      </c>
      <c r="O154">
        <v>6</v>
      </c>
      <c r="P154">
        <v>1088.04</v>
      </c>
      <c r="Q154" s="11">
        <v>0.1</v>
      </c>
      <c r="R154">
        <v>5875.42</v>
      </c>
      <c r="S154">
        <v>4380.55</v>
      </c>
      <c r="T154">
        <v>1494.87</v>
      </c>
      <c r="U154" t="s">
        <v>111</v>
      </c>
      <c r="V154" t="s">
        <v>103</v>
      </c>
      <c r="X154" s="8" t="str">
        <f>IF(C154&gt;=B154,"Valid", "Invalid-Date")</f>
        <v>Valid</v>
      </c>
      <c r="Y154" s="8" t="str">
        <f t="shared" si="35"/>
        <v>Valid</v>
      </c>
      <c r="Z154" s="8" t="str">
        <f t="shared" si="36"/>
        <v>Pass</v>
      </c>
      <c r="AA154" s="8" t="str">
        <f t="shared" si="37"/>
        <v>Pass</v>
      </c>
      <c r="AB154" s="8" t="str">
        <f>TEXT(B154,"mmmm")</f>
        <v>June</v>
      </c>
      <c r="AC154" s="8" t="str">
        <f>TEXT(B154,"yyyy")</f>
        <v>2024</v>
      </c>
      <c r="AE154">
        <f t="shared" si="38"/>
        <v>6528.24</v>
      </c>
      <c r="AF154" s="11">
        <f t="shared" si="39"/>
        <v>5875.4160000000002</v>
      </c>
      <c r="AG154">
        <f t="shared" si="40"/>
        <v>2147.6899999999996</v>
      </c>
      <c r="AH154" s="11">
        <f t="shared" si="41"/>
        <v>0.32898453488229595</v>
      </c>
      <c r="AI154" s="9">
        <f t="shared" si="42"/>
        <v>0.32898453488229595</v>
      </c>
      <c r="AJ154">
        <f t="shared" si="43"/>
        <v>0</v>
      </c>
      <c r="AK154">
        <f t="shared" si="44"/>
        <v>0</v>
      </c>
      <c r="AL154">
        <f t="shared" si="45"/>
        <v>0</v>
      </c>
      <c r="AM154">
        <f t="shared" si="46"/>
        <v>0</v>
      </c>
      <c r="AN154">
        <f t="shared" si="47"/>
        <v>0</v>
      </c>
      <c r="AO154">
        <f t="shared" si="48"/>
        <v>0</v>
      </c>
      <c r="AP154">
        <f t="shared" si="49"/>
        <v>5875.42</v>
      </c>
      <c r="AQ154">
        <f t="shared" si="50"/>
        <v>1</v>
      </c>
    </row>
    <row r="155" spans="1:43">
      <c r="A155" t="s">
        <v>568</v>
      </c>
      <c r="B155" s="5">
        <v>45923</v>
      </c>
      <c r="C155" s="5">
        <v>45925</v>
      </c>
      <c r="D155" s="13">
        <f t="shared" si="34"/>
        <v>2</v>
      </c>
      <c r="E155" t="s">
        <v>569</v>
      </c>
      <c r="F155" t="s">
        <v>89</v>
      </c>
      <c r="G155" t="s">
        <v>24</v>
      </c>
      <c r="H155" t="s">
        <v>38</v>
      </c>
      <c r="I155" t="s">
        <v>39</v>
      </c>
      <c r="J155" t="s">
        <v>40</v>
      </c>
      <c r="K155" t="s">
        <v>28</v>
      </c>
      <c r="L155" t="s">
        <v>91</v>
      </c>
      <c r="M155" t="s">
        <v>570</v>
      </c>
      <c r="N155" t="s">
        <v>59</v>
      </c>
      <c r="O155">
        <v>7</v>
      </c>
      <c r="P155">
        <v>3280.31</v>
      </c>
      <c r="Q155" s="11">
        <v>0</v>
      </c>
      <c r="R155">
        <v>22962.17</v>
      </c>
      <c r="S155">
        <v>15716.5</v>
      </c>
      <c r="T155">
        <v>7245.67</v>
      </c>
      <c r="U155" t="s">
        <v>102</v>
      </c>
      <c r="V155" t="s">
        <v>103</v>
      </c>
      <c r="X155" s="8" t="str">
        <f>IF(C155&gt;=B155,"Valid", "Invalid-Date")</f>
        <v>Valid</v>
      </c>
      <c r="Y155" s="8" t="str">
        <f t="shared" si="35"/>
        <v>Valid</v>
      </c>
      <c r="Z155" s="8" t="str">
        <f t="shared" si="36"/>
        <v>Pass</v>
      </c>
      <c r="AA155" s="8" t="str">
        <f t="shared" si="37"/>
        <v>Pass</v>
      </c>
      <c r="AB155" s="8" t="str">
        <f>TEXT(B155,"mmmm")</f>
        <v>September</v>
      </c>
      <c r="AC155" s="8" t="str">
        <f>TEXT(B155,"yyyy")</f>
        <v>2025</v>
      </c>
      <c r="AE155">
        <f t="shared" si="38"/>
        <v>22962.17</v>
      </c>
      <c r="AF155" s="11">
        <f t="shared" si="39"/>
        <v>22962.17</v>
      </c>
      <c r="AG155">
        <f t="shared" si="40"/>
        <v>7245.6699999999983</v>
      </c>
      <c r="AH155" s="11">
        <f t="shared" si="41"/>
        <v>0.31554813852523517</v>
      </c>
      <c r="AI155" s="9">
        <f t="shared" si="42"/>
        <v>0.31554813852523517</v>
      </c>
      <c r="AJ155">
        <f t="shared" si="43"/>
        <v>0</v>
      </c>
      <c r="AK155">
        <f t="shared" si="44"/>
        <v>0</v>
      </c>
      <c r="AL155">
        <f t="shared" si="45"/>
        <v>0</v>
      </c>
      <c r="AM155">
        <f t="shared" si="46"/>
        <v>0</v>
      </c>
      <c r="AN155">
        <f t="shared" si="47"/>
        <v>0</v>
      </c>
      <c r="AO155">
        <f t="shared" si="48"/>
        <v>0</v>
      </c>
      <c r="AP155">
        <f t="shared" si="49"/>
        <v>22962.17</v>
      </c>
      <c r="AQ155">
        <f t="shared" si="50"/>
        <v>1</v>
      </c>
    </row>
    <row r="156" spans="1:43">
      <c r="A156" t="s">
        <v>571</v>
      </c>
      <c r="B156" s="5">
        <v>45334</v>
      </c>
      <c r="C156" s="5">
        <v>45598</v>
      </c>
      <c r="D156" s="13">
        <f t="shared" si="34"/>
        <v>264</v>
      </c>
      <c r="E156" t="s">
        <v>455</v>
      </c>
      <c r="F156" t="s">
        <v>114</v>
      </c>
      <c r="G156" t="s">
        <v>24</v>
      </c>
      <c r="H156" t="s">
        <v>54</v>
      </c>
      <c r="I156" t="s">
        <v>247</v>
      </c>
      <c r="J156" t="s">
        <v>248</v>
      </c>
      <c r="K156" t="s">
        <v>41</v>
      </c>
      <c r="L156" t="s">
        <v>158</v>
      </c>
      <c r="M156" t="s">
        <v>572</v>
      </c>
      <c r="N156" t="s">
        <v>44</v>
      </c>
      <c r="O156">
        <v>1</v>
      </c>
      <c r="P156">
        <v>2599.12</v>
      </c>
      <c r="Q156" s="11">
        <v>0.15</v>
      </c>
      <c r="R156">
        <v>2209.25</v>
      </c>
      <c r="S156">
        <v>1523.78</v>
      </c>
      <c r="T156">
        <v>685.47</v>
      </c>
      <c r="U156" t="s">
        <v>32</v>
      </c>
      <c r="V156" t="s">
        <v>33</v>
      </c>
      <c r="X156" s="8" t="str">
        <f>IF(C156&gt;=B156,"Valid", "Invalid-Date")</f>
        <v>Valid</v>
      </c>
      <c r="Y156" s="8" t="str">
        <f t="shared" si="35"/>
        <v>Valid</v>
      </c>
      <c r="Z156" s="8" t="str">
        <f t="shared" si="36"/>
        <v>Pass</v>
      </c>
      <c r="AA156" s="8" t="str">
        <f t="shared" si="37"/>
        <v>Pass</v>
      </c>
      <c r="AB156" s="8" t="str">
        <f>TEXT(B156,"mmmm")</f>
        <v>February</v>
      </c>
      <c r="AC156" s="8" t="str">
        <f>TEXT(B156,"yyyy")</f>
        <v>2024</v>
      </c>
      <c r="AE156">
        <f t="shared" si="38"/>
        <v>2599.12</v>
      </c>
      <c r="AF156" s="11">
        <f t="shared" si="39"/>
        <v>2209.252</v>
      </c>
      <c r="AG156">
        <f t="shared" si="40"/>
        <v>1075.3399999999999</v>
      </c>
      <c r="AH156" s="11">
        <f t="shared" si="41"/>
        <v>0.41373234017667515</v>
      </c>
      <c r="AI156" s="9">
        <f t="shared" si="42"/>
        <v>0.41373234017667515</v>
      </c>
      <c r="AJ156">
        <f t="shared" si="43"/>
        <v>2209.25</v>
      </c>
      <c r="AK156">
        <f t="shared" si="44"/>
        <v>1</v>
      </c>
      <c r="AL156">
        <f t="shared" si="45"/>
        <v>0</v>
      </c>
      <c r="AM156">
        <f t="shared" si="46"/>
        <v>0</v>
      </c>
      <c r="AN156">
        <f t="shared" si="47"/>
        <v>0</v>
      </c>
      <c r="AO156">
        <f t="shared" si="48"/>
        <v>0</v>
      </c>
      <c r="AP156">
        <f t="shared" si="49"/>
        <v>0</v>
      </c>
      <c r="AQ156">
        <f t="shared" si="50"/>
        <v>0</v>
      </c>
    </row>
    <row r="157" spans="1:43">
      <c r="A157" t="s">
        <v>573</v>
      </c>
      <c r="B157" s="5">
        <v>45683</v>
      </c>
      <c r="C157" s="5">
        <v>45718</v>
      </c>
      <c r="D157" s="13">
        <f t="shared" si="34"/>
        <v>35</v>
      </c>
      <c r="E157" t="s">
        <v>574</v>
      </c>
      <c r="F157" t="s">
        <v>23</v>
      </c>
      <c r="G157" t="s">
        <v>90</v>
      </c>
      <c r="H157" t="s">
        <v>63</v>
      </c>
      <c r="I157" t="s">
        <v>26</v>
      </c>
      <c r="J157" t="s">
        <v>109</v>
      </c>
      <c r="K157" t="s">
        <v>41</v>
      </c>
      <c r="L157" t="s">
        <v>57</v>
      </c>
      <c r="M157" t="s">
        <v>575</v>
      </c>
      <c r="N157" t="s">
        <v>44</v>
      </c>
      <c r="O157">
        <v>3</v>
      </c>
      <c r="P157">
        <v>2859.32</v>
      </c>
      <c r="Q157" s="11">
        <v>0.1</v>
      </c>
      <c r="R157">
        <v>7720.16</v>
      </c>
      <c r="S157">
        <v>5881</v>
      </c>
      <c r="T157">
        <v>1839.16</v>
      </c>
      <c r="U157" t="s">
        <v>102</v>
      </c>
      <c r="V157" t="s">
        <v>103</v>
      </c>
      <c r="X157" s="8" t="str">
        <f>IF(C157&gt;=B157,"Valid", "Invalid-Date")</f>
        <v>Valid</v>
      </c>
      <c r="Y157" s="8" t="str">
        <f t="shared" si="35"/>
        <v>Valid</v>
      </c>
      <c r="Z157" s="8" t="str">
        <f t="shared" si="36"/>
        <v>Pass</v>
      </c>
      <c r="AA157" s="8" t="str">
        <f t="shared" si="37"/>
        <v>Pass</v>
      </c>
      <c r="AB157" s="8" t="str">
        <f>TEXT(B157,"mmmm")</f>
        <v>January</v>
      </c>
      <c r="AC157" s="8" t="str">
        <f>TEXT(B157,"yyyy")</f>
        <v>2025</v>
      </c>
      <c r="AE157">
        <f t="shared" si="38"/>
        <v>8577.9600000000009</v>
      </c>
      <c r="AF157" s="11">
        <f t="shared" si="39"/>
        <v>7720.1640000000007</v>
      </c>
      <c r="AG157">
        <f t="shared" si="40"/>
        <v>2696.9600000000009</v>
      </c>
      <c r="AH157" s="11">
        <f t="shared" si="41"/>
        <v>0.31440575614714927</v>
      </c>
      <c r="AI157" s="9">
        <f t="shared" si="42"/>
        <v>0.31440575614714927</v>
      </c>
      <c r="AJ157">
        <f t="shared" si="43"/>
        <v>0</v>
      </c>
      <c r="AK157">
        <f t="shared" si="44"/>
        <v>0</v>
      </c>
      <c r="AL157">
        <f t="shared" si="45"/>
        <v>0</v>
      </c>
      <c r="AM157">
        <f t="shared" si="46"/>
        <v>0</v>
      </c>
      <c r="AN157">
        <f t="shared" si="47"/>
        <v>0</v>
      </c>
      <c r="AO157">
        <f t="shared" si="48"/>
        <v>0</v>
      </c>
      <c r="AP157">
        <f t="shared" si="49"/>
        <v>7720.16</v>
      </c>
      <c r="AQ157">
        <f t="shared" si="50"/>
        <v>1</v>
      </c>
    </row>
    <row r="158" spans="1:43">
      <c r="A158" t="s">
        <v>576</v>
      </c>
      <c r="B158" s="5">
        <v>45743</v>
      </c>
      <c r="C158" s="5">
        <v>45743</v>
      </c>
      <c r="D158" s="13">
        <f t="shared" si="34"/>
        <v>0</v>
      </c>
      <c r="E158" t="s">
        <v>577</v>
      </c>
      <c r="F158" t="s">
        <v>71</v>
      </c>
      <c r="G158" t="s">
        <v>37</v>
      </c>
      <c r="H158" t="s">
        <v>38</v>
      </c>
      <c r="I158" t="s">
        <v>145</v>
      </c>
      <c r="J158" t="s">
        <v>146</v>
      </c>
      <c r="K158" t="s">
        <v>74</v>
      </c>
      <c r="L158" t="s">
        <v>274</v>
      </c>
      <c r="M158" t="s">
        <v>578</v>
      </c>
      <c r="N158" t="s">
        <v>31</v>
      </c>
      <c r="O158">
        <v>7</v>
      </c>
      <c r="P158">
        <v>2305.37</v>
      </c>
      <c r="Q158" s="11">
        <v>0.25</v>
      </c>
      <c r="R158">
        <v>12103.19</v>
      </c>
      <c r="S158">
        <v>6717.87</v>
      </c>
      <c r="T158">
        <v>5385.32</v>
      </c>
      <c r="U158" t="s">
        <v>32</v>
      </c>
      <c r="V158" t="s">
        <v>33</v>
      </c>
      <c r="X158" s="8" t="str">
        <f>IF(C158&gt;=B158,"Valid", "Invalid-Date")</f>
        <v>Valid</v>
      </c>
      <c r="Y158" s="8" t="str">
        <f t="shared" si="35"/>
        <v>Valid</v>
      </c>
      <c r="Z158" s="8" t="str">
        <f t="shared" si="36"/>
        <v>Pass</v>
      </c>
      <c r="AA158" s="8" t="str">
        <f t="shared" si="37"/>
        <v>Pass</v>
      </c>
      <c r="AB158" s="8" t="str">
        <f>TEXT(B158,"mmmm")</f>
        <v>March</v>
      </c>
      <c r="AC158" s="8" t="str">
        <f>TEXT(B158,"yyyy")</f>
        <v>2025</v>
      </c>
      <c r="AE158">
        <f t="shared" si="38"/>
        <v>16137.59</v>
      </c>
      <c r="AF158" s="11">
        <f t="shared" si="39"/>
        <v>12103.192500000001</v>
      </c>
      <c r="AG158">
        <f t="shared" si="40"/>
        <v>9419.7200000000012</v>
      </c>
      <c r="AH158" s="11">
        <f t="shared" si="41"/>
        <v>0.58371293359169496</v>
      </c>
      <c r="AI158" s="9">
        <f t="shared" si="42"/>
        <v>0.58371293359169496</v>
      </c>
      <c r="AJ158">
        <f t="shared" si="43"/>
        <v>12103.19</v>
      </c>
      <c r="AK158">
        <f t="shared" si="44"/>
        <v>1</v>
      </c>
      <c r="AL158">
        <f t="shared" si="45"/>
        <v>0</v>
      </c>
      <c r="AM158">
        <f t="shared" si="46"/>
        <v>0</v>
      </c>
      <c r="AN158">
        <f t="shared" si="47"/>
        <v>0</v>
      </c>
      <c r="AO158">
        <f t="shared" si="48"/>
        <v>0</v>
      </c>
      <c r="AP158">
        <f t="shared" si="49"/>
        <v>0</v>
      </c>
      <c r="AQ158">
        <f t="shared" si="50"/>
        <v>0</v>
      </c>
    </row>
    <row r="159" spans="1:43">
      <c r="A159" t="s">
        <v>579</v>
      </c>
      <c r="B159" s="5">
        <v>45587</v>
      </c>
      <c r="C159" s="5">
        <v>45589</v>
      </c>
      <c r="D159" s="13">
        <f t="shared" si="34"/>
        <v>2</v>
      </c>
      <c r="E159" t="s">
        <v>580</v>
      </c>
      <c r="F159" t="s">
        <v>141</v>
      </c>
      <c r="G159" t="s">
        <v>37</v>
      </c>
      <c r="H159" t="s">
        <v>54</v>
      </c>
      <c r="I159" t="s">
        <v>84</v>
      </c>
      <c r="J159" t="s">
        <v>85</v>
      </c>
      <c r="K159" t="s">
        <v>41</v>
      </c>
      <c r="L159" t="s">
        <v>158</v>
      </c>
      <c r="M159" t="s">
        <v>581</v>
      </c>
      <c r="N159" t="s">
        <v>59</v>
      </c>
      <c r="O159">
        <v>3</v>
      </c>
      <c r="P159">
        <v>915.84</v>
      </c>
      <c r="Q159" s="11">
        <v>0.15</v>
      </c>
      <c r="R159">
        <v>2335.39</v>
      </c>
      <c r="S159">
        <v>1466.15</v>
      </c>
      <c r="T159">
        <v>869.24</v>
      </c>
      <c r="U159" t="s">
        <v>32</v>
      </c>
      <c r="V159" t="s">
        <v>33</v>
      </c>
      <c r="X159" s="8" t="str">
        <f>IF(C159&gt;=B159,"Valid", "Invalid-Date")</f>
        <v>Valid</v>
      </c>
      <c r="Y159" s="8" t="str">
        <f t="shared" si="35"/>
        <v>Valid</v>
      </c>
      <c r="Z159" s="8" t="str">
        <f t="shared" si="36"/>
        <v>Pass</v>
      </c>
      <c r="AA159" s="8" t="str">
        <f t="shared" si="37"/>
        <v>Pass</v>
      </c>
      <c r="AB159" s="8" t="str">
        <f>TEXT(B159,"mmmm")</f>
        <v>October</v>
      </c>
      <c r="AC159" s="8" t="str">
        <f>TEXT(B159,"yyyy")</f>
        <v>2024</v>
      </c>
      <c r="AE159">
        <f t="shared" si="38"/>
        <v>2747.52</v>
      </c>
      <c r="AF159" s="11">
        <f t="shared" si="39"/>
        <v>2335.3919999999998</v>
      </c>
      <c r="AG159">
        <f t="shared" si="40"/>
        <v>1281.3699999999999</v>
      </c>
      <c r="AH159" s="11">
        <f t="shared" si="41"/>
        <v>0.46637331120428599</v>
      </c>
      <c r="AI159" s="9">
        <f t="shared" si="42"/>
        <v>0.46637331120428599</v>
      </c>
      <c r="AJ159">
        <f t="shared" si="43"/>
        <v>2335.39</v>
      </c>
      <c r="AK159">
        <f t="shared" si="44"/>
        <v>1</v>
      </c>
      <c r="AL159">
        <f t="shared" si="45"/>
        <v>0</v>
      </c>
      <c r="AM159">
        <f t="shared" si="46"/>
        <v>0</v>
      </c>
      <c r="AN159">
        <f t="shared" si="47"/>
        <v>0</v>
      </c>
      <c r="AO159">
        <f t="shared" si="48"/>
        <v>0</v>
      </c>
      <c r="AP159">
        <f t="shared" si="49"/>
        <v>0</v>
      </c>
      <c r="AQ159">
        <f t="shared" si="50"/>
        <v>0</v>
      </c>
    </row>
    <row r="160" spans="1:43">
      <c r="A160" t="s">
        <v>582</v>
      </c>
      <c r="B160" s="5">
        <v>45544</v>
      </c>
      <c r="C160" s="5">
        <v>45605</v>
      </c>
      <c r="D160" s="13">
        <f t="shared" si="34"/>
        <v>61</v>
      </c>
      <c r="E160" t="s">
        <v>583</v>
      </c>
      <c r="F160" t="s">
        <v>79</v>
      </c>
      <c r="G160" t="s">
        <v>95</v>
      </c>
      <c r="H160" t="s">
        <v>54</v>
      </c>
      <c r="I160" t="s">
        <v>55</v>
      </c>
      <c r="J160" t="s">
        <v>56</v>
      </c>
      <c r="K160" t="s">
        <v>41</v>
      </c>
      <c r="L160" t="s">
        <v>158</v>
      </c>
      <c r="M160" t="s">
        <v>584</v>
      </c>
      <c r="N160" t="s">
        <v>50</v>
      </c>
      <c r="O160">
        <v>1</v>
      </c>
      <c r="P160">
        <v>4199.54</v>
      </c>
      <c r="Q160" s="11">
        <v>0.05</v>
      </c>
      <c r="R160">
        <v>3989.56</v>
      </c>
      <c r="S160">
        <v>2381.38</v>
      </c>
      <c r="T160">
        <v>1608.18</v>
      </c>
      <c r="U160" t="s">
        <v>32</v>
      </c>
      <c r="V160" t="s">
        <v>33</v>
      </c>
      <c r="X160" s="8" t="str">
        <f>IF(C160&gt;=B160,"Valid", "Invalid-Date")</f>
        <v>Valid</v>
      </c>
      <c r="Y160" s="8" t="str">
        <f t="shared" si="35"/>
        <v>Valid</v>
      </c>
      <c r="Z160" s="8" t="str">
        <f t="shared" si="36"/>
        <v>Pass</v>
      </c>
      <c r="AA160" s="8" t="str">
        <f t="shared" si="37"/>
        <v>Pass</v>
      </c>
      <c r="AB160" s="8" t="str">
        <f>TEXT(B160,"mmmm")</f>
        <v>September</v>
      </c>
      <c r="AC160" s="8" t="str">
        <f>TEXT(B160,"yyyy")</f>
        <v>2024</v>
      </c>
      <c r="AE160">
        <f t="shared" si="38"/>
        <v>4199.54</v>
      </c>
      <c r="AF160" s="11">
        <f t="shared" si="39"/>
        <v>3989.5629999999996</v>
      </c>
      <c r="AG160">
        <f t="shared" si="40"/>
        <v>1818.1599999999999</v>
      </c>
      <c r="AH160" s="11">
        <f t="shared" si="41"/>
        <v>0.43294265562418738</v>
      </c>
      <c r="AI160" s="9">
        <f t="shared" si="42"/>
        <v>0.43294265562418738</v>
      </c>
      <c r="AJ160">
        <f t="shared" si="43"/>
        <v>3989.56</v>
      </c>
      <c r="AK160">
        <f t="shared" si="44"/>
        <v>1</v>
      </c>
      <c r="AL160">
        <f t="shared" si="45"/>
        <v>0</v>
      </c>
      <c r="AM160">
        <f t="shared" si="46"/>
        <v>0</v>
      </c>
      <c r="AN160">
        <f t="shared" si="47"/>
        <v>0</v>
      </c>
      <c r="AO160">
        <f t="shared" si="48"/>
        <v>0</v>
      </c>
      <c r="AP160">
        <f t="shared" si="49"/>
        <v>0</v>
      </c>
      <c r="AQ160">
        <f t="shared" si="50"/>
        <v>0</v>
      </c>
    </row>
    <row r="161" spans="1:43">
      <c r="A161" t="s">
        <v>585</v>
      </c>
      <c r="B161" s="5">
        <v>45687</v>
      </c>
      <c r="C161" s="5">
        <v>45692</v>
      </c>
      <c r="D161" s="13">
        <f t="shared" si="34"/>
        <v>5</v>
      </c>
      <c r="E161" t="s">
        <v>586</v>
      </c>
      <c r="F161" t="s">
        <v>114</v>
      </c>
      <c r="G161" t="s">
        <v>90</v>
      </c>
      <c r="H161" t="s">
        <v>25</v>
      </c>
      <c r="I161" t="s">
        <v>236</v>
      </c>
      <c r="J161" t="s">
        <v>237</v>
      </c>
      <c r="K161" t="s">
        <v>41</v>
      </c>
      <c r="L161" t="s">
        <v>66</v>
      </c>
      <c r="M161" t="s">
        <v>587</v>
      </c>
      <c r="N161" t="s">
        <v>44</v>
      </c>
      <c r="O161">
        <v>9</v>
      </c>
      <c r="P161">
        <v>4430.5</v>
      </c>
      <c r="Q161" s="11">
        <v>0.15</v>
      </c>
      <c r="R161">
        <v>33893.32</v>
      </c>
      <c r="S161">
        <v>25750.35</v>
      </c>
      <c r="T161">
        <v>8142.97</v>
      </c>
      <c r="U161" t="s">
        <v>111</v>
      </c>
      <c r="V161" t="s">
        <v>68</v>
      </c>
      <c r="X161" s="8" t="str">
        <f>IF(C161&gt;=B161,"Valid", "Invalid-Date")</f>
        <v>Valid</v>
      </c>
      <c r="Y161" s="8" t="str">
        <f t="shared" si="35"/>
        <v>Valid</v>
      </c>
      <c r="Z161" s="8" t="str">
        <f t="shared" si="36"/>
        <v>Pass</v>
      </c>
      <c r="AA161" s="8" t="str">
        <f t="shared" si="37"/>
        <v>Pass</v>
      </c>
      <c r="AB161" s="8" t="str">
        <f>TEXT(B161,"mmmm")</f>
        <v>January</v>
      </c>
      <c r="AC161" s="8" t="str">
        <f>TEXT(B161,"yyyy")</f>
        <v>2025</v>
      </c>
      <c r="AE161">
        <f t="shared" si="38"/>
        <v>39874.5</v>
      </c>
      <c r="AF161" s="11">
        <f t="shared" si="39"/>
        <v>33893.324999999997</v>
      </c>
      <c r="AG161">
        <f t="shared" si="40"/>
        <v>14124.150000000001</v>
      </c>
      <c r="AH161" s="11">
        <f t="shared" si="41"/>
        <v>0.35421509987586053</v>
      </c>
      <c r="AI161" s="9">
        <f t="shared" si="42"/>
        <v>0.35421509987586053</v>
      </c>
      <c r="AJ161">
        <f t="shared" si="43"/>
        <v>0</v>
      </c>
      <c r="AK161">
        <f t="shared" si="44"/>
        <v>0</v>
      </c>
      <c r="AL161">
        <f t="shared" si="45"/>
        <v>33893.32</v>
      </c>
      <c r="AM161">
        <f t="shared" si="46"/>
        <v>1</v>
      </c>
      <c r="AN161">
        <f t="shared" si="47"/>
        <v>0</v>
      </c>
      <c r="AO161">
        <f t="shared" si="48"/>
        <v>0</v>
      </c>
      <c r="AP161">
        <f t="shared" si="49"/>
        <v>0</v>
      </c>
      <c r="AQ161">
        <f t="shared" si="50"/>
        <v>0</v>
      </c>
    </row>
    <row r="162" spans="1:43">
      <c r="A162" t="s">
        <v>588</v>
      </c>
      <c r="B162" s="5">
        <v>45938</v>
      </c>
      <c r="C162" s="5">
        <v>45818</v>
      </c>
      <c r="D162" s="13">
        <f t="shared" si="34"/>
        <v>-120</v>
      </c>
      <c r="E162" t="s">
        <v>589</v>
      </c>
      <c r="F162" t="s">
        <v>71</v>
      </c>
      <c r="G162" t="s">
        <v>37</v>
      </c>
      <c r="H162" t="s">
        <v>63</v>
      </c>
      <c r="I162" t="s">
        <v>64</v>
      </c>
      <c r="J162" t="s">
        <v>65</v>
      </c>
      <c r="K162" t="s">
        <v>28</v>
      </c>
      <c r="L162" t="s">
        <v>29</v>
      </c>
      <c r="M162" t="s">
        <v>590</v>
      </c>
      <c r="N162" t="s">
        <v>31</v>
      </c>
      <c r="O162">
        <v>4</v>
      </c>
      <c r="P162">
        <v>1260.42</v>
      </c>
      <c r="Q162" s="11">
        <v>0.05</v>
      </c>
      <c r="R162">
        <v>4789.6000000000004</v>
      </c>
      <c r="S162">
        <v>4037.64</v>
      </c>
      <c r="T162">
        <v>751.96</v>
      </c>
      <c r="U162" t="s">
        <v>111</v>
      </c>
      <c r="V162" t="s">
        <v>68</v>
      </c>
      <c r="X162" s="8" t="str">
        <f>IF(C162&gt;=B162,"Valid", "Invalid-Date")</f>
        <v>Invalid-Date</v>
      </c>
      <c r="Y162" s="8" t="str">
        <f t="shared" si="35"/>
        <v>Valid</v>
      </c>
      <c r="Z162" s="8" t="str">
        <f t="shared" si="36"/>
        <v>Pass</v>
      </c>
      <c r="AA162" s="8" t="str">
        <f t="shared" si="37"/>
        <v>Pass</v>
      </c>
      <c r="AB162" s="8" t="str">
        <f>TEXT(B162,"mmmm")</f>
        <v>October</v>
      </c>
      <c r="AC162" s="8" t="str">
        <f>TEXT(B162,"yyyy")</f>
        <v>2025</v>
      </c>
      <c r="AE162">
        <f t="shared" si="38"/>
        <v>5041.68</v>
      </c>
      <c r="AF162" s="11">
        <f t="shared" si="39"/>
        <v>4789.5960000000005</v>
      </c>
      <c r="AG162">
        <f t="shared" si="40"/>
        <v>1004.0400000000004</v>
      </c>
      <c r="AH162" s="11">
        <f t="shared" si="41"/>
        <v>0.1991479030799258</v>
      </c>
      <c r="AI162" s="9">
        <f t="shared" si="42"/>
        <v>0.1991479030799258</v>
      </c>
      <c r="AJ162">
        <f t="shared" si="43"/>
        <v>0</v>
      </c>
      <c r="AK162">
        <f t="shared" si="44"/>
        <v>0</v>
      </c>
      <c r="AL162">
        <f t="shared" si="45"/>
        <v>4789.6000000000004</v>
      </c>
      <c r="AM162">
        <f t="shared" si="46"/>
        <v>1</v>
      </c>
      <c r="AN162">
        <f t="shared" si="47"/>
        <v>0</v>
      </c>
      <c r="AO162">
        <f t="shared" si="48"/>
        <v>0</v>
      </c>
      <c r="AP162">
        <f t="shared" si="49"/>
        <v>0</v>
      </c>
      <c r="AQ162">
        <f t="shared" si="50"/>
        <v>0</v>
      </c>
    </row>
    <row r="163" spans="1:43">
      <c r="A163" t="s">
        <v>591</v>
      </c>
      <c r="B163" s="5">
        <v>45862</v>
      </c>
      <c r="C163" s="5">
        <v>45868</v>
      </c>
      <c r="D163" s="13">
        <f t="shared" si="34"/>
        <v>6</v>
      </c>
      <c r="E163" t="s">
        <v>592</v>
      </c>
      <c r="F163" t="s">
        <v>53</v>
      </c>
      <c r="G163" t="s">
        <v>24</v>
      </c>
      <c r="H163" t="s">
        <v>63</v>
      </c>
      <c r="I163" t="s">
        <v>26</v>
      </c>
      <c r="J163" t="s">
        <v>109</v>
      </c>
      <c r="K163" t="s">
        <v>28</v>
      </c>
      <c r="L163" t="s">
        <v>153</v>
      </c>
      <c r="M163" t="s">
        <v>593</v>
      </c>
      <c r="N163" t="s">
        <v>59</v>
      </c>
      <c r="O163">
        <v>1</v>
      </c>
      <c r="P163">
        <v>1643.41</v>
      </c>
      <c r="Q163" s="11">
        <v>0</v>
      </c>
      <c r="R163">
        <v>1643.41</v>
      </c>
      <c r="S163">
        <v>907.4</v>
      </c>
      <c r="T163">
        <v>736.01</v>
      </c>
      <c r="U163" t="s">
        <v>111</v>
      </c>
      <c r="V163" t="s">
        <v>68</v>
      </c>
      <c r="X163" s="8" t="str">
        <f>IF(C163&gt;=B163,"Valid", "Invalid-Date")</f>
        <v>Valid</v>
      </c>
      <c r="Y163" s="8" t="str">
        <f t="shared" si="35"/>
        <v>Valid</v>
      </c>
      <c r="Z163" s="8" t="str">
        <f t="shared" si="36"/>
        <v>Pass</v>
      </c>
      <c r="AA163" s="8" t="str">
        <f t="shared" si="37"/>
        <v>Pass</v>
      </c>
      <c r="AB163" s="8" t="str">
        <f>TEXT(B163,"mmmm")</f>
        <v>July</v>
      </c>
      <c r="AC163" s="8" t="str">
        <f>TEXT(B163,"yyyy")</f>
        <v>2025</v>
      </c>
      <c r="AE163">
        <f t="shared" si="38"/>
        <v>1643.41</v>
      </c>
      <c r="AF163" s="11">
        <f t="shared" si="39"/>
        <v>1643.41</v>
      </c>
      <c r="AG163">
        <f t="shared" si="40"/>
        <v>736.0100000000001</v>
      </c>
      <c r="AH163" s="11">
        <f t="shared" si="41"/>
        <v>0.44785537388722235</v>
      </c>
      <c r="AI163" s="9">
        <f t="shared" si="42"/>
        <v>0.44785537388722235</v>
      </c>
      <c r="AJ163">
        <f t="shared" si="43"/>
        <v>0</v>
      </c>
      <c r="AK163">
        <f t="shared" si="44"/>
        <v>0</v>
      </c>
      <c r="AL163">
        <f t="shared" si="45"/>
        <v>1643.41</v>
      </c>
      <c r="AM163">
        <f t="shared" si="46"/>
        <v>1</v>
      </c>
      <c r="AN163">
        <f t="shared" si="47"/>
        <v>0</v>
      </c>
      <c r="AO163">
        <f t="shared" si="48"/>
        <v>0</v>
      </c>
      <c r="AP163">
        <f t="shared" si="49"/>
        <v>0</v>
      </c>
      <c r="AQ163">
        <f t="shared" si="50"/>
        <v>0</v>
      </c>
    </row>
    <row r="164" spans="1:43">
      <c r="A164" t="s">
        <v>594</v>
      </c>
      <c r="B164" s="5">
        <v>45360</v>
      </c>
      <c r="C164" s="5">
        <v>45365</v>
      </c>
      <c r="D164" s="13">
        <f t="shared" si="34"/>
        <v>5</v>
      </c>
      <c r="E164" t="s">
        <v>595</v>
      </c>
      <c r="F164" t="s">
        <v>79</v>
      </c>
      <c r="G164" t="s">
        <v>37</v>
      </c>
      <c r="H164" t="s">
        <v>63</v>
      </c>
      <c r="I164" t="s">
        <v>190</v>
      </c>
      <c r="J164" t="s">
        <v>191</v>
      </c>
      <c r="K164" t="s">
        <v>41</v>
      </c>
      <c r="L164" t="s">
        <v>57</v>
      </c>
      <c r="M164" t="s">
        <v>596</v>
      </c>
      <c r="N164" t="s">
        <v>31</v>
      </c>
      <c r="O164">
        <v>8</v>
      </c>
      <c r="P164">
        <v>4472.84</v>
      </c>
      <c r="Q164" s="11">
        <v>0</v>
      </c>
      <c r="R164">
        <v>35997.620000000003</v>
      </c>
      <c r="S164">
        <v>26424.41</v>
      </c>
      <c r="T164">
        <v>9358.31</v>
      </c>
      <c r="U164" t="s">
        <v>111</v>
      </c>
      <c r="V164" t="s">
        <v>103</v>
      </c>
      <c r="X164" s="8" t="str">
        <f>IF(C164&gt;=B164,"Valid", "Invalid-Date")</f>
        <v>Valid</v>
      </c>
      <c r="Y164" s="8" t="str">
        <f t="shared" si="35"/>
        <v>Valid</v>
      </c>
      <c r="Z164" s="8" t="str">
        <f t="shared" si="36"/>
        <v>Pass</v>
      </c>
      <c r="AA164" s="8" t="str">
        <f t="shared" si="37"/>
        <v>Pass</v>
      </c>
      <c r="AB164" s="8" t="str">
        <f>TEXT(B164,"mmmm")</f>
        <v>March</v>
      </c>
      <c r="AC164" s="8" t="str">
        <f>TEXT(B164,"yyyy")</f>
        <v>2024</v>
      </c>
      <c r="AE164">
        <f t="shared" si="38"/>
        <v>35782.720000000001</v>
      </c>
      <c r="AF164" s="11">
        <f t="shared" si="39"/>
        <v>35782.720000000001</v>
      </c>
      <c r="AG164">
        <f t="shared" si="40"/>
        <v>9358.3100000000013</v>
      </c>
      <c r="AH164" s="11">
        <f t="shared" si="41"/>
        <v>0.2615315437171909</v>
      </c>
      <c r="AI164" s="9">
        <f t="shared" si="42"/>
        <v>0.2615315437171909</v>
      </c>
      <c r="AJ164">
        <f t="shared" si="43"/>
        <v>0</v>
      </c>
      <c r="AK164">
        <f t="shared" si="44"/>
        <v>0</v>
      </c>
      <c r="AL164">
        <f t="shared" si="45"/>
        <v>0</v>
      </c>
      <c r="AM164">
        <f t="shared" si="46"/>
        <v>0</v>
      </c>
      <c r="AN164">
        <f t="shared" si="47"/>
        <v>0</v>
      </c>
      <c r="AO164">
        <f t="shared" si="48"/>
        <v>0</v>
      </c>
      <c r="AP164">
        <f t="shared" si="49"/>
        <v>35997.620000000003</v>
      </c>
      <c r="AQ164">
        <f t="shared" si="50"/>
        <v>1</v>
      </c>
    </row>
    <row r="165" spans="1:43">
      <c r="A165" t="s">
        <v>597</v>
      </c>
      <c r="B165" s="5">
        <v>45921</v>
      </c>
      <c r="C165" s="5">
        <v>45926</v>
      </c>
      <c r="D165" s="13">
        <f t="shared" si="34"/>
        <v>5</v>
      </c>
      <c r="E165" t="s">
        <v>598</v>
      </c>
      <c r="F165" t="s">
        <v>141</v>
      </c>
      <c r="G165" t="s">
        <v>95</v>
      </c>
      <c r="H165" t="s">
        <v>63</v>
      </c>
      <c r="I165" t="s">
        <v>180</v>
      </c>
      <c r="J165" t="s">
        <v>181</v>
      </c>
      <c r="K165" t="s">
        <v>41</v>
      </c>
      <c r="L165" t="s">
        <v>42</v>
      </c>
      <c r="M165" t="s">
        <v>599</v>
      </c>
      <c r="N165" t="s">
        <v>2785</v>
      </c>
      <c r="O165">
        <v>6</v>
      </c>
      <c r="P165">
        <v>2903.58</v>
      </c>
      <c r="Q165" s="11">
        <v>0.1</v>
      </c>
      <c r="R165">
        <v>15679.33</v>
      </c>
      <c r="S165">
        <v>12477.82</v>
      </c>
      <c r="T165">
        <v>3201.51</v>
      </c>
      <c r="U165" t="s">
        <v>111</v>
      </c>
      <c r="V165" t="s">
        <v>103</v>
      </c>
      <c r="X165" s="8" t="str">
        <f>IF(C165&gt;=B165,"Valid", "Invalid-Date")</f>
        <v>Valid</v>
      </c>
      <c r="Y165" s="8" t="str">
        <f t="shared" si="35"/>
        <v>Valid</v>
      </c>
      <c r="Z165" s="8" t="str">
        <f t="shared" si="36"/>
        <v>Flagged</v>
      </c>
      <c r="AA165" s="8" t="str">
        <f t="shared" si="37"/>
        <v>Pass</v>
      </c>
      <c r="AB165" s="8" t="str">
        <f>TEXT(B165,"mmmm")</f>
        <v>September</v>
      </c>
      <c r="AC165" s="8" t="str">
        <f>TEXT(B165,"yyyy")</f>
        <v>2025</v>
      </c>
      <c r="AE165">
        <f t="shared" si="38"/>
        <v>17421.48</v>
      </c>
      <c r="AF165" s="11">
        <f t="shared" si="39"/>
        <v>15679.332</v>
      </c>
      <c r="AG165">
        <f t="shared" si="40"/>
        <v>4943.66</v>
      </c>
      <c r="AH165" s="11">
        <f t="shared" si="41"/>
        <v>0.28376808399745601</v>
      </c>
      <c r="AI165" s="9">
        <f t="shared" si="42"/>
        <v>0.28376808399745601</v>
      </c>
      <c r="AJ165">
        <f t="shared" si="43"/>
        <v>0</v>
      </c>
      <c r="AK165">
        <f t="shared" si="44"/>
        <v>0</v>
      </c>
      <c r="AL165">
        <f t="shared" si="45"/>
        <v>0</v>
      </c>
      <c r="AM165">
        <f t="shared" si="46"/>
        <v>0</v>
      </c>
      <c r="AN165">
        <f t="shared" si="47"/>
        <v>0</v>
      </c>
      <c r="AO165">
        <f t="shared" si="48"/>
        <v>0</v>
      </c>
      <c r="AP165">
        <f t="shared" si="49"/>
        <v>15679.33</v>
      </c>
      <c r="AQ165">
        <f t="shared" si="50"/>
        <v>1</v>
      </c>
    </row>
    <row r="166" spans="1:43">
      <c r="A166" t="s">
        <v>600</v>
      </c>
      <c r="B166" s="5">
        <v>45909</v>
      </c>
      <c r="C166" s="5">
        <v>45914</v>
      </c>
      <c r="D166" s="13">
        <f t="shared" si="34"/>
        <v>5</v>
      </c>
      <c r="E166" t="s">
        <v>601</v>
      </c>
      <c r="F166" t="s">
        <v>118</v>
      </c>
      <c r="G166" t="s">
        <v>37</v>
      </c>
      <c r="H166" t="s">
        <v>38</v>
      </c>
      <c r="I166" t="s">
        <v>99</v>
      </c>
      <c r="J166" t="s">
        <v>100</v>
      </c>
      <c r="K166" t="s">
        <v>41</v>
      </c>
      <c r="L166" t="s">
        <v>158</v>
      </c>
      <c r="M166" t="s">
        <v>602</v>
      </c>
      <c r="N166" t="s">
        <v>31</v>
      </c>
      <c r="O166">
        <v>1</v>
      </c>
      <c r="P166">
        <v>3154.42</v>
      </c>
      <c r="Q166" s="11">
        <v>0.25</v>
      </c>
      <c r="R166">
        <v>2365.8200000000002</v>
      </c>
      <c r="S166">
        <v>1547.99</v>
      </c>
      <c r="T166">
        <v>817.83</v>
      </c>
      <c r="U166" t="s">
        <v>32</v>
      </c>
      <c r="V166" t="s">
        <v>33</v>
      </c>
      <c r="X166" s="8" t="str">
        <f>IF(C166&gt;=B166,"Valid", "Invalid-Date")</f>
        <v>Valid</v>
      </c>
      <c r="Y166" s="8" t="str">
        <f t="shared" si="35"/>
        <v>Valid</v>
      </c>
      <c r="Z166" s="8" t="str">
        <f t="shared" si="36"/>
        <v>Pass</v>
      </c>
      <c r="AA166" s="8" t="str">
        <f t="shared" si="37"/>
        <v>Pass</v>
      </c>
      <c r="AB166" s="8" t="str">
        <f>TEXT(B166,"mmmm")</f>
        <v>September</v>
      </c>
      <c r="AC166" s="8" t="str">
        <f>TEXT(B166,"yyyy")</f>
        <v>2025</v>
      </c>
      <c r="AE166">
        <f t="shared" si="38"/>
        <v>3154.42</v>
      </c>
      <c r="AF166" s="11">
        <f t="shared" si="39"/>
        <v>2365.8150000000001</v>
      </c>
      <c r="AG166">
        <f t="shared" si="40"/>
        <v>1606.43</v>
      </c>
      <c r="AH166" s="11">
        <f t="shared" si="41"/>
        <v>0.50926319259959041</v>
      </c>
      <c r="AI166" s="9">
        <f t="shared" si="42"/>
        <v>0.50926319259959041</v>
      </c>
      <c r="AJ166">
        <f t="shared" si="43"/>
        <v>2365.8200000000002</v>
      </c>
      <c r="AK166">
        <f t="shared" si="44"/>
        <v>1</v>
      </c>
      <c r="AL166">
        <f t="shared" si="45"/>
        <v>0</v>
      </c>
      <c r="AM166">
        <f t="shared" si="46"/>
        <v>0</v>
      </c>
      <c r="AN166">
        <f t="shared" si="47"/>
        <v>0</v>
      </c>
      <c r="AO166">
        <f t="shared" si="48"/>
        <v>0</v>
      </c>
      <c r="AP166">
        <f t="shared" si="49"/>
        <v>0</v>
      </c>
      <c r="AQ166">
        <f t="shared" si="50"/>
        <v>0</v>
      </c>
    </row>
    <row r="167" spans="1:43">
      <c r="A167" t="s">
        <v>603</v>
      </c>
      <c r="B167" s="5">
        <v>45618</v>
      </c>
      <c r="C167" s="5">
        <v>45625</v>
      </c>
      <c r="D167" s="13">
        <f t="shared" si="34"/>
        <v>7</v>
      </c>
      <c r="E167" t="s">
        <v>604</v>
      </c>
      <c r="F167" t="s">
        <v>36</v>
      </c>
      <c r="G167" t="s">
        <v>95</v>
      </c>
      <c r="H167" t="s">
        <v>38</v>
      </c>
      <c r="I167" t="s">
        <v>145</v>
      </c>
      <c r="J167" t="s">
        <v>146</v>
      </c>
      <c r="K167" t="s">
        <v>41</v>
      </c>
      <c r="L167" t="s">
        <v>66</v>
      </c>
      <c r="M167" t="s">
        <v>605</v>
      </c>
      <c r="N167" t="s">
        <v>59</v>
      </c>
      <c r="O167">
        <v>4</v>
      </c>
      <c r="P167">
        <v>3422.99</v>
      </c>
      <c r="Q167" s="11">
        <v>0.25</v>
      </c>
      <c r="R167">
        <v>10268.969999999999</v>
      </c>
      <c r="S167">
        <v>6470.92</v>
      </c>
      <c r="T167">
        <v>3798.05</v>
      </c>
      <c r="U167" t="s">
        <v>32</v>
      </c>
      <c r="V167" t="s">
        <v>33</v>
      </c>
      <c r="X167" s="8" t="str">
        <f>IF(C167&gt;=B167,"Valid", "Invalid-Date")</f>
        <v>Valid</v>
      </c>
      <c r="Y167" s="8" t="str">
        <f t="shared" si="35"/>
        <v>Valid</v>
      </c>
      <c r="Z167" s="8" t="str">
        <f t="shared" si="36"/>
        <v>Pass</v>
      </c>
      <c r="AA167" s="8" t="str">
        <f t="shared" si="37"/>
        <v>Pass</v>
      </c>
      <c r="AB167" s="8" t="str">
        <f>TEXT(B167,"mmmm")</f>
        <v>November</v>
      </c>
      <c r="AC167" s="8" t="str">
        <f>TEXT(B167,"yyyy")</f>
        <v>2024</v>
      </c>
      <c r="AE167">
        <f t="shared" si="38"/>
        <v>13691.96</v>
      </c>
      <c r="AF167" s="11">
        <f t="shared" si="39"/>
        <v>10268.969999999999</v>
      </c>
      <c r="AG167">
        <f t="shared" si="40"/>
        <v>7221.0399999999991</v>
      </c>
      <c r="AH167" s="11">
        <f t="shared" si="41"/>
        <v>0.52739271806227883</v>
      </c>
      <c r="AI167" s="9">
        <f t="shared" si="42"/>
        <v>0.52739271806227883</v>
      </c>
      <c r="AJ167">
        <f t="shared" si="43"/>
        <v>10268.969999999999</v>
      </c>
      <c r="AK167">
        <f t="shared" si="44"/>
        <v>1</v>
      </c>
      <c r="AL167">
        <f t="shared" si="45"/>
        <v>0</v>
      </c>
      <c r="AM167">
        <f t="shared" si="46"/>
        <v>0</v>
      </c>
      <c r="AN167">
        <f t="shared" si="47"/>
        <v>0</v>
      </c>
      <c r="AO167">
        <f t="shared" si="48"/>
        <v>0</v>
      </c>
      <c r="AP167">
        <f t="shared" si="49"/>
        <v>0</v>
      </c>
      <c r="AQ167">
        <f t="shared" si="50"/>
        <v>0</v>
      </c>
    </row>
    <row r="168" spans="1:43">
      <c r="A168" t="s">
        <v>606</v>
      </c>
      <c r="B168" s="5">
        <v>45708</v>
      </c>
      <c r="C168" s="5">
        <v>45714</v>
      </c>
      <c r="D168" s="13">
        <f t="shared" si="34"/>
        <v>6</v>
      </c>
      <c r="E168" t="s">
        <v>607</v>
      </c>
      <c r="F168" t="s">
        <v>23</v>
      </c>
      <c r="G168" t="s">
        <v>37</v>
      </c>
      <c r="H168" t="s">
        <v>63</v>
      </c>
      <c r="I168" t="s">
        <v>180</v>
      </c>
      <c r="J168" t="s">
        <v>181</v>
      </c>
      <c r="K168" t="s">
        <v>28</v>
      </c>
      <c r="L168" t="s">
        <v>91</v>
      </c>
      <c r="M168" t="s">
        <v>608</v>
      </c>
      <c r="N168" t="s">
        <v>50</v>
      </c>
      <c r="O168">
        <v>1</v>
      </c>
      <c r="P168">
        <v>2557.85</v>
      </c>
      <c r="Q168" s="11">
        <v>0.2</v>
      </c>
      <c r="R168">
        <v>2046.28</v>
      </c>
      <c r="S168">
        <v>1449.54</v>
      </c>
      <c r="T168">
        <v>596.74</v>
      </c>
      <c r="U168" t="s">
        <v>32</v>
      </c>
      <c r="V168" t="s">
        <v>33</v>
      </c>
      <c r="X168" s="8" t="str">
        <f>IF(C168&gt;=B168,"Valid", "Invalid-Date")</f>
        <v>Valid</v>
      </c>
      <c r="Y168" s="8" t="str">
        <f t="shared" si="35"/>
        <v>Valid</v>
      </c>
      <c r="Z168" s="8" t="str">
        <f t="shared" si="36"/>
        <v>Pass</v>
      </c>
      <c r="AA168" s="8" t="str">
        <f t="shared" si="37"/>
        <v>Pass</v>
      </c>
      <c r="AB168" s="8" t="str">
        <f>TEXT(B168,"mmmm")</f>
        <v>February</v>
      </c>
      <c r="AC168" s="8" t="str">
        <f>TEXT(B168,"yyyy")</f>
        <v>2025</v>
      </c>
      <c r="AE168">
        <f t="shared" si="38"/>
        <v>2557.85</v>
      </c>
      <c r="AF168" s="11">
        <f t="shared" si="39"/>
        <v>2046.28</v>
      </c>
      <c r="AG168">
        <f t="shared" si="40"/>
        <v>1108.31</v>
      </c>
      <c r="AH168" s="11">
        <f t="shared" si="41"/>
        <v>0.43329749594385908</v>
      </c>
      <c r="AI168" s="9">
        <f t="shared" si="42"/>
        <v>0.43329749594385908</v>
      </c>
      <c r="AJ168">
        <f t="shared" si="43"/>
        <v>2046.28</v>
      </c>
      <c r="AK168">
        <f t="shared" si="44"/>
        <v>1</v>
      </c>
      <c r="AL168">
        <f t="shared" si="45"/>
        <v>0</v>
      </c>
      <c r="AM168">
        <f t="shared" si="46"/>
        <v>0</v>
      </c>
      <c r="AN168">
        <f t="shared" si="47"/>
        <v>0</v>
      </c>
      <c r="AO168">
        <f t="shared" si="48"/>
        <v>0</v>
      </c>
      <c r="AP168">
        <f t="shared" si="49"/>
        <v>0</v>
      </c>
      <c r="AQ168">
        <f t="shared" si="50"/>
        <v>0</v>
      </c>
    </row>
    <row r="169" spans="1:43">
      <c r="A169" t="s">
        <v>609</v>
      </c>
      <c r="B169" s="5">
        <v>45887</v>
      </c>
      <c r="C169" s="5">
        <v>45887</v>
      </c>
      <c r="D169" s="13">
        <f t="shared" si="34"/>
        <v>0</v>
      </c>
      <c r="E169" t="s">
        <v>610</v>
      </c>
      <c r="F169" t="s">
        <v>53</v>
      </c>
      <c r="G169" t="s">
        <v>95</v>
      </c>
      <c r="H169" t="s">
        <v>54</v>
      </c>
      <c r="I169" t="s">
        <v>175</v>
      </c>
      <c r="J169" t="s">
        <v>176</v>
      </c>
      <c r="K169" t="s">
        <v>28</v>
      </c>
      <c r="L169" t="s">
        <v>124</v>
      </c>
      <c r="M169" t="s">
        <v>611</v>
      </c>
      <c r="N169" t="s">
        <v>50</v>
      </c>
      <c r="O169">
        <v>9</v>
      </c>
      <c r="P169">
        <v>3030.93</v>
      </c>
      <c r="Q169" s="11">
        <v>0.15</v>
      </c>
      <c r="R169">
        <v>23186.61</v>
      </c>
      <c r="S169">
        <v>17906.54</v>
      </c>
      <c r="T169">
        <v>5280.07</v>
      </c>
      <c r="U169" t="s">
        <v>32</v>
      </c>
      <c r="V169" t="s">
        <v>103</v>
      </c>
      <c r="X169" s="8" t="str">
        <f>IF(C169&gt;=B169,"Valid", "Invalid-Date")</f>
        <v>Valid</v>
      </c>
      <c r="Y169" s="8" t="str">
        <f t="shared" si="35"/>
        <v>Valid</v>
      </c>
      <c r="Z169" s="8" t="str">
        <f t="shared" si="36"/>
        <v>Pass</v>
      </c>
      <c r="AA169" s="8" t="str">
        <f t="shared" si="37"/>
        <v>Pass</v>
      </c>
      <c r="AB169" s="8" t="str">
        <f>TEXT(B169,"mmmm")</f>
        <v>August</v>
      </c>
      <c r="AC169" s="8" t="str">
        <f>TEXT(B169,"yyyy")</f>
        <v>2025</v>
      </c>
      <c r="AE169">
        <f t="shared" si="38"/>
        <v>27278.37</v>
      </c>
      <c r="AF169" s="11">
        <f t="shared" si="39"/>
        <v>23186.6145</v>
      </c>
      <c r="AG169">
        <f t="shared" si="40"/>
        <v>9371.8299999999981</v>
      </c>
      <c r="AH169" s="11">
        <f t="shared" si="41"/>
        <v>0.34356268354744063</v>
      </c>
      <c r="AI169" s="9">
        <f t="shared" si="42"/>
        <v>0.34356268354744063</v>
      </c>
      <c r="AJ169">
        <f t="shared" si="43"/>
        <v>0</v>
      </c>
      <c r="AK169">
        <f t="shared" si="44"/>
        <v>0</v>
      </c>
      <c r="AL169">
        <f t="shared" si="45"/>
        <v>0</v>
      </c>
      <c r="AM169">
        <f t="shared" si="46"/>
        <v>0</v>
      </c>
      <c r="AN169">
        <f t="shared" si="47"/>
        <v>0</v>
      </c>
      <c r="AO169">
        <f t="shared" si="48"/>
        <v>0</v>
      </c>
      <c r="AP169">
        <f t="shared" si="49"/>
        <v>23186.61</v>
      </c>
      <c r="AQ169">
        <f t="shared" si="50"/>
        <v>1</v>
      </c>
    </row>
    <row r="170" spans="1:43">
      <c r="A170" t="s">
        <v>612</v>
      </c>
      <c r="B170" s="5">
        <v>45677</v>
      </c>
      <c r="C170" s="5">
        <v>45680</v>
      </c>
      <c r="D170" s="13">
        <f t="shared" si="34"/>
        <v>3</v>
      </c>
      <c r="E170" t="s">
        <v>613</v>
      </c>
      <c r="F170" t="s">
        <v>264</v>
      </c>
      <c r="G170" t="s">
        <v>24</v>
      </c>
      <c r="H170" t="s">
        <v>63</v>
      </c>
      <c r="I170" t="s">
        <v>64</v>
      </c>
      <c r="J170" t="s">
        <v>65</v>
      </c>
      <c r="K170" t="s">
        <v>74</v>
      </c>
      <c r="L170" t="s">
        <v>75</v>
      </c>
      <c r="M170" t="s">
        <v>614</v>
      </c>
      <c r="N170" t="s">
        <v>44</v>
      </c>
      <c r="O170">
        <v>5</v>
      </c>
      <c r="P170">
        <v>639.27</v>
      </c>
      <c r="Q170" s="11">
        <v>0.2</v>
      </c>
      <c r="R170">
        <v>2557.08</v>
      </c>
      <c r="S170">
        <v>2025.69</v>
      </c>
      <c r="T170">
        <v>531.39</v>
      </c>
      <c r="U170" t="s">
        <v>32</v>
      </c>
      <c r="V170" t="s">
        <v>68</v>
      </c>
      <c r="X170" s="8" t="str">
        <f>IF(C170&gt;=B170,"Valid", "Invalid-Date")</f>
        <v>Valid</v>
      </c>
      <c r="Y170" s="8" t="str">
        <f t="shared" si="35"/>
        <v>Valid</v>
      </c>
      <c r="Z170" s="8" t="str">
        <f t="shared" si="36"/>
        <v>Pass</v>
      </c>
      <c r="AA170" s="8" t="str">
        <f t="shared" si="37"/>
        <v>Pass</v>
      </c>
      <c r="AB170" s="8" t="str">
        <f>TEXT(B170,"mmmm")</f>
        <v>January</v>
      </c>
      <c r="AC170" s="8" t="str">
        <f>TEXT(B170,"yyyy")</f>
        <v>2025</v>
      </c>
      <c r="AE170">
        <f t="shared" si="38"/>
        <v>3196.35</v>
      </c>
      <c r="AF170" s="11">
        <f t="shared" si="39"/>
        <v>2557.08</v>
      </c>
      <c r="AG170">
        <f t="shared" si="40"/>
        <v>1170.6599999999999</v>
      </c>
      <c r="AH170" s="11">
        <f t="shared" si="41"/>
        <v>0.36624900276878308</v>
      </c>
      <c r="AI170" s="9">
        <f t="shared" si="42"/>
        <v>0.36624900276878308</v>
      </c>
      <c r="AJ170">
        <f t="shared" si="43"/>
        <v>0</v>
      </c>
      <c r="AK170">
        <f t="shared" si="44"/>
        <v>0</v>
      </c>
      <c r="AL170">
        <f t="shared" si="45"/>
        <v>2557.08</v>
      </c>
      <c r="AM170">
        <f t="shared" si="46"/>
        <v>1</v>
      </c>
      <c r="AN170">
        <f t="shared" si="47"/>
        <v>0</v>
      </c>
      <c r="AO170">
        <f t="shared" si="48"/>
        <v>0</v>
      </c>
      <c r="AP170">
        <f t="shared" si="49"/>
        <v>0</v>
      </c>
      <c r="AQ170">
        <f t="shared" si="50"/>
        <v>0</v>
      </c>
    </row>
    <row r="171" spans="1:43">
      <c r="A171" t="s">
        <v>615</v>
      </c>
      <c r="B171" s="5">
        <v>45913</v>
      </c>
      <c r="C171" s="5">
        <v>45913</v>
      </c>
      <c r="D171" s="13">
        <f t="shared" si="34"/>
        <v>0</v>
      </c>
      <c r="E171" t="s">
        <v>616</v>
      </c>
      <c r="F171" t="s">
        <v>162</v>
      </c>
      <c r="G171" t="s">
        <v>24</v>
      </c>
      <c r="H171" t="s">
        <v>38</v>
      </c>
      <c r="I171" t="s">
        <v>166</v>
      </c>
      <c r="J171" t="s">
        <v>167</v>
      </c>
      <c r="K171" t="s">
        <v>28</v>
      </c>
      <c r="L171" t="s">
        <v>48</v>
      </c>
      <c r="M171" t="s">
        <v>617</v>
      </c>
      <c r="N171" t="s">
        <v>59</v>
      </c>
      <c r="O171">
        <v>8</v>
      </c>
      <c r="P171">
        <v>733.9</v>
      </c>
      <c r="Q171" s="11">
        <v>0.05</v>
      </c>
      <c r="R171">
        <v>5577.64</v>
      </c>
      <c r="S171">
        <v>3541.29</v>
      </c>
      <c r="T171">
        <v>2036.35</v>
      </c>
      <c r="U171" t="s">
        <v>111</v>
      </c>
      <c r="V171" t="s">
        <v>103</v>
      </c>
      <c r="X171" s="8" t="str">
        <f>IF(C171&gt;=B171,"Valid", "Invalid-Date")</f>
        <v>Valid</v>
      </c>
      <c r="Y171" s="8" t="str">
        <f t="shared" si="35"/>
        <v>Valid</v>
      </c>
      <c r="Z171" s="8" t="str">
        <f t="shared" si="36"/>
        <v>Pass</v>
      </c>
      <c r="AA171" s="8" t="str">
        <f t="shared" si="37"/>
        <v>Pass</v>
      </c>
      <c r="AB171" s="8" t="str">
        <f>TEXT(B171,"mmmm")</f>
        <v>September</v>
      </c>
      <c r="AC171" s="8" t="str">
        <f>TEXT(B171,"yyyy")</f>
        <v>2025</v>
      </c>
      <c r="AE171">
        <f t="shared" si="38"/>
        <v>5871.2</v>
      </c>
      <c r="AF171" s="11">
        <f t="shared" si="39"/>
        <v>5577.6399999999994</v>
      </c>
      <c r="AG171">
        <f t="shared" si="40"/>
        <v>2329.91</v>
      </c>
      <c r="AH171" s="11">
        <f t="shared" si="41"/>
        <v>0.39683710314756776</v>
      </c>
      <c r="AI171" s="9">
        <f t="shared" si="42"/>
        <v>0.39683710314756776</v>
      </c>
      <c r="AJ171">
        <f t="shared" si="43"/>
        <v>0</v>
      </c>
      <c r="AK171">
        <f t="shared" si="44"/>
        <v>0</v>
      </c>
      <c r="AL171">
        <f t="shared" si="45"/>
        <v>0</v>
      </c>
      <c r="AM171">
        <f t="shared" si="46"/>
        <v>0</v>
      </c>
      <c r="AN171">
        <f t="shared" si="47"/>
        <v>0</v>
      </c>
      <c r="AO171">
        <f t="shared" si="48"/>
        <v>0</v>
      </c>
      <c r="AP171">
        <f t="shared" si="49"/>
        <v>5577.64</v>
      </c>
      <c r="AQ171">
        <f t="shared" si="50"/>
        <v>1</v>
      </c>
    </row>
    <row r="172" spans="1:43" s="15" customFormat="1">
      <c r="A172" s="15" t="s">
        <v>618</v>
      </c>
      <c r="B172" s="16">
        <v>45907</v>
      </c>
      <c r="C172" s="16">
        <v>45915</v>
      </c>
      <c r="D172" s="17">
        <f t="shared" si="34"/>
        <v>8</v>
      </c>
      <c r="E172" s="15" t="s">
        <v>619</v>
      </c>
      <c r="F172" s="15" t="s">
        <v>141</v>
      </c>
      <c r="G172" s="15" t="s">
        <v>90</v>
      </c>
      <c r="H172" s="15" t="s">
        <v>38</v>
      </c>
      <c r="I172" s="15" t="s">
        <v>145</v>
      </c>
      <c r="J172" s="15" t="s">
        <v>146</v>
      </c>
      <c r="K172" s="15" t="s">
        <v>74</v>
      </c>
      <c r="L172" s="15" t="s">
        <v>80</v>
      </c>
      <c r="M172" s="15" t="s">
        <v>620</v>
      </c>
      <c r="N172" s="15" t="s">
        <v>59</v>
      </c>
      <c r="O172" s="15">
        <v>3</v>
      </c>
      <c r="P172" s="15">
        <v>1711.32</v>
      </c>
      <c r="Q172" s="18">
        <v>0</v>
      </c>
      <c r="R172" s="15">
        <v>5133.96</v>
      </c>
      <c r="S172" s="15">
        <v>3930</v>
      </c>
      <c r="T172" s="15">
        <v>1203.96</v>
      </c>
      <c r="U172" s="15" t="s">
        <v>32</v>
      </c>
      <c r="V172" s="15" t="s">
        <v>33</v>
      </c>
      <c r="W172" s="25"/>
      <c r="X172" s="8" t="str">
        <f>IF(C172&gt;=B172,"Valid", "Invalid-Date")</f>
        <v>Valid</v>
      </c>
      <c r="Y172" s="8" t="str">
        <f t="shared" si="35"/>
        <v>Valid</v>
      </c>
      <c r="Z172" s="19" t="str">
        <f t="shared" si="36"/>
        <v>Pass</v>
      </c>
      <c r="AA172" s="19" t="str">
        <f t="shared" si="37"/>
        <v>Pass</v>
      </c>
      <c r="AB172" s="19" t="str">
        <f>TEXT(B172,"mmmm")</f>
        <v>September</v>
      </c>
      <c r="AC172" s="19" t="str">
        <f>TEXT(B172,"yyyy")</f>
        <v>2025</v>
      </c>
      <c r="AD172" s="20"/>
      <c r="AE172" s="15">
        <f t="shared" si="38"/>
        <v>5133.96</v>
      </c>
      <c r="AF172" s="11">
        <f t="shared" si="39"/>
        <v>5133.96</v>
      </c>
      <c r="AG172" s="15">
        <f t="shared" si="40"/>
        <v>1203.96</v>
      </c>
      <c r="AH172" s="18">
        <f t="shared" si="41"/>
        <v>0.23450903396208775</v>
      </c>
      <c r="AI172" s="21">
        <f t="shared" si="42"/>
        <v>0.23450903396208775</v>
      </c>
      <c r="AJ172">
        <f t="shared" si="43"/>
        <v>5133.96</v>
      </c>
      <c r="AK172">
        <f t="shared" si="44"/>
        <v>1</v>
      </c>
      <c r="AL172">
        <f t="shared" si="45"/>
        <v>0</v>
      </c>
      <c r="AM172">
        <f t="shared" si="46"/>
        <v>0</v>
      </c>
      <c r="AN172">
        <f t="shared" si="47"/>
        <v>0</v>
      </c>
      <c r="AO172">
        <f t="shared" si="48"/>
        <v>0</v>
      </c>
      <c r="AP172">
        <f t="shared" si="49"/>
        <v>0</v>
      </c>
      <c r="AQ172">
        <f t="shared" si="50"/>
        <v>0</v>
      </c>
    </row>
    <row r="173" spans="1:43">
      <c r="A173" t="s">
        <v>621</v>
      </c>
      <c r="B173" s="5">
        <v>45711</v>
      </c>
      <c r="C173" s="5">
        <v>45713</v>
      </c>
      <c r="D173" s="13">
        <f t="shared" si="34"/>
        <v>2</v>
      </c>
      <c r="E173" t="s">
        <v>622</v>
      </c>
      <c r="F173" t="s">
        <v>23</v>
      </c>
      <c r="G173" t="s">
        <v>90</v>
      </c>
      <c r="H173" t="s">
        <v>38</v>
      </c>
      <c r="I173" t="s">
        <v>145</v>
      </c>
      <c r="J173" t="s">
        <v>146</v>
      </c>
      <c r="K173" t="s">
        <v>28</v>
      </c>
      <c r="L173" t="s">
        <v>91</v>
      </c>
      <c r="M173" t="s">
        <v>623</v>
      </c>
      <c r="N173" t="s">
        <v>44</v>
      </c>
      <c r="O173">
        <v>5</v>
      </c>
      <c r="P173">
        <v>4246.2700000000004</v>
      </c>
      <c r="Q173" s="11">
        <v>0.25</v>
      </c>
      <c r="R173">
        <v>15923.51</v>
      </c>
      <c r="S173">
        <v>11291.8</v>
      </c>
      <c r="T173">
        <v>4631.71</v>
      </c>
      <c r="U173" t="s">
        <v>32</v>
      </c>
      <c r="V173" t="s">
        <v>33</v>
      </c>
      <c r="X173" s="8" t="str">
        <f>IF(C173&gt;=B173,"Valid", "Invalid-Date")</f>
        <v>Valid</v>
      </c>
      <c r="Y173" s="8" t="str">
        <f t="shared" si="35"/>
        <v>Valid</v>
      </c>
      <c r="Z173" s="8" t="str">
        <f t="shared" si="36"/>
        <v>Pass</v>
      </c>
      <c r="AA173" s="8" t="str">
        <f t="shared" si="37"/>
        <v>Pass</v>
      </c>
      <c r="AB173" s="8" t="str">
        <f>TEXT(B173,"mmmm")</f>
        <v>February</v>
      </c>
      <c r="AC173" s="8" t="str">
        <f>TEXT(B173,"yyyy")</f>
        <v>2025</v>
      </c>
      <c r="AE173">
        <f t="shared" si="38"/>
        <v>21231.350000000002</v>
      </c>
      <c r="AF173" s="11">
        <f t="shared" si="39"/>
        <v>15923.512500000001</v>
      </c>
      <c r="AG173">
        <f t="shared" si="40"/>
        <v>9939.5500000000029</v>
      </c>
      <c r="AH173" s="11">
        <f t="shared" si="41"/>
        <v>0.46815440374728889</v>
      </c>
      <c r="AI173" s="9">
        <f t="shared" si="42"/>
        <v>0.46815440374728889</v>
      </c>
      <c r="AJ173">
        <f t="shared" si="43"/>
        <v>15923.51</v>
      </c>
      <c r="AK173">
        <f t="shared" si="44"/>
        <v>1</v>
      </c>
      <c r="AL173">
        <f t="shared" si="45"/>
        <v>0</v>
      </c>
      <c r="AM173">
        <f t="shared" si="46"/>
        <v>0</v>
      </c>
      <c r="AN173">
        <f t="shared" si="47"/>
        <v>0</v>
      </c>
      <c r="AO173">
        <f t="shared" si="48"/>
        <v>0</v>
      </c>
      <c r="AP173">
        <f t="shared" si="49"/>
        <v>0</v>
      </c>
      <c r="AQ173">
        <f t="shared" si="50"/>
        <v>0</v>
      </c>
    </row>
    <row r="174" spans="1:43">
      <c r="A174" t="s">
        <v>624</v>
      </c>
      <c r="B174" s="5">
        <v>45871</v>
      </c>
      <c r="C174" s="5">
        <v>45879</v>
      </c>
      <c r="D174" s="13">
        <f t="shared" si="34"/>
        <v>8</v>
      </c>
      <c r="E174" t="s">
        <v>625</v>
      </c>
      <c r="F174" t="s">
        <v>23</v>
      </c>
      <c r="G174" t="s">
        <v>90</v>
      </c>
      <c r="H174" t="s">
        <v>25</v>
      </c>
      <c r="I174" t="s">
        <v>350</v>
      </c>
      <c r="J174" t="s">
        <v>351</v>
      </c>
      <c r="K174" t="s">
        <v>41</v>
      </c>
      <c r="L174" t="s">
        <v>57</v>
      </c>
      <c r="M174" t="s">
        <v>626</v>
      </c>
      <c r="N174" t="s">
        <v>44</v>
      </c>
      <c r="O174">
        <v>9</v>
      </c>
      <c r="P174">
        <v>2962.62</v>
      </c>
      <c r="Q174" s="11">
        <v>0.1</v>
      </c>
      <c r="R174">
        <v>23997.22</v>
      </c>
      <c r="S174">
        <v>16134.63</v>
      </c>
      <c r="T174">
        <v>7862.59</v>
      </c>
      <c r="U174" t="s">
        <v>102</v>
      </c>
      <c r="V174" t="s">
        <v>103</v>
      </c>
      <c r="X174" s="8" t="str">
        <f>IF(C174&gt;=B174,"Valid", "Invalid-Date")</f>
        <v>Valid</v>
      </c>
      <c r="Y174" s="8" t="str">
        <f t="shared" si="35"/>
        <v>Valid</v>
      </c>
      <c r="Z174" s="8" t="str">
        <f t="shared" si="36"/>
        <v>Pass</v>
      </c>
      <c r="AA174" s="8" t="str">
        <f t="shared" si="37"/>
        <v>Pass</v>
      </c>
      <c r="AB174" s="8" t="str">
        <f>TEXT(B174,"mmmm")</f>
        <v>August</v>
      </c>
      <c r="AC174" s="8" t="str">
        <f>TEXT(B174,"yyyy")</f>
        <v>2025</v>
      </c>
      <c r="AE174">
        <f t="shared" si="38"/>
        <v>26663.579999999998</v>
      </c>
      <c r="AF174" s="11">
        <f t="shared" si="39"/>
        <v>23997.221999999998</v>
      </c>
      <c r="AG174">
        <f t="shared" si="40"/>
        <v>10528.949999999999</v>
      </c>
      <c r="AH174" s="11">
        <f t="shared" si="41"/>
        <v>0.39488133251423851</v>
      </c>
      <c r="AI174" s="9">
        <f t="shared" si="42"/>
        <v>0.39488133251423851</v>
      </c>
      <c r="AJ174">
        <f t="shared" si="43"/>
        <v>0</v>
      </c>
      <c r="AK174">
        <f t="shared" si="44"/>
        <v>0</v>
      </c>
      <c r="AL174">
        <f t="shared" si="45"/>
        <v>0</v>
      </c>
      <c r="AM174">
        <f t="shared" si="46"/>
        <v>0</v>
      </c>
      <c r="AN174">
        <f t="shared" si="47"/>
        <v>0</v>
      </c>
      <c r="AO174">
        <f t="shared" si="48"/>
        <v>0</v>
      </c>
      <c r="AP174">
        <f t="shared" si="49"/>
        <v>23997.22</v>
      </c>
      <c r="AQ174">
        <f t="shared" si="50"/>
        <v>1</v>
      </c>
    </row>
    <row r="175" spans="1:43">
      <c r="A175" t="s">
        <v>627</v>
      </c>
      <c r="B175" s="5">
        <v>45414</v>
      </c>
      <c r="C175" s="5">
        <v>45509</v>
      </c>
      <c r="D175" s="13">
        <f t="shared" si="34"/>
        <v>95</v>
      </c>
      <c r="E175" t="s">
        <v>628</v>
      </c>
      <c r="F175" t="s">
        <v>629</v>
      </c>
      <c r="G175" t="s">
        <v>95</v>
      </c>
      <c r="H175" t="s">
        <v>25</v>
      </c>
      <c r="I175" t="s">
        <v>122</v>
      </c>
      <c r="J175" t="s">
        <v>123</v>
      </c>
      <c r="K175" t="s">
        <v>74</v>
      </c>
      <c r="L175" t="s">
        <v>80</v>
      </c>
      <c r="M175" t="s">
        <v>630</v>
      </c>
      <c r="N175" t="s">
        <v>31</v>
      </c>
      <c r="O175">
        <v>1</v>
      </c>
      <c r="P175">
        <v>2312.25</v>
      </c>
      <c r="Q175" s="11">
        <v>0.25</v>
      </c>
      <c r="R175">
        <v>1734.19</v>
      </c>
      <c r="S175">
        <v>1386.07</v>
      </c>
      <c r="T175">
        <v>348.12</v>
      </c>
      <c r="U175" t="s">
        <v>32</v>
      </c>
      <c r="V175" t="s">
        <v>33</v>
      </c>
      <c r="X175" s="8" t="str">
        <f>IF(C175&gt;=B175,"Valid", "Invalid-Date")</f>
        <v>Valid</v>
      </c>
      <c r="Y175" s="8" t="str">
        <f t="shared" si="35"/>
        <v>Valid</v>
      </c>
      <c r="Z175" s="8" t="str">
        <f t="shared" si="36"/>
        <v>Pass</v>
      </c>
      <c r="AA175" s="8" t="str">
        <f t="shared" si="37"/>
        <v>Pass</v>
      </c>
      <c r="AB175" s="8" t="str">
        <f>TEXT(B175,"mmmm")</f>
        <v>May</v>
      </c>
      <c r="AC175" s="8" t="str">
        <f>TEXT(B175,"yyyy")</f>
        <v>2024</v>
      </c>
      <c r="AE175">
        <f t="shared" si="38"/>
        <v>2312.25</v>
      </c>
      <c r="AF175" s="11">
        <f t="shared" si="39"/>
        <v>1734.1875</v>
      </c>
      <c r="AG175">
        <f t="shared" si="40"/>
        <v>926.18000000000006</v>
      </c>
      <c r="AH175" s="11">
        <f t="shared" si="41"/>
        <v>0.4005535733592821</v>
      </c>
      <c r="AI175" s="9">
        <f t="shared" si="42"/>
        <v>0.4005535733592821</v>
      </c>
      <c r="AJ175">
        <f t="shared" si="43"/>
        <v>1734.19</v>
      </c>
      <c r="AK175">
        <f t="shared" si="44"/>
        <v>1</v>
      </c>
      <c r="AL175">
        <f t="shared" si="45"/>
        <v>0</v>
      </c>
      <c r="AM175">
        <f t="shared" si="46"/>
        <v>0</v>
      </c>
      <c r="AN175">
        <f t="shared" si="47"/>
        <v>0</v>
      </c>
      <c r="AO175">
        <f t="shared" si="48"/>
        <v>0</v>
      </c>
      <c r="AP175">
        <f t="shared" si="49"/>
        <v>0</v>
      </c>
      <c r="AQ175">
        <f t="shared" si="50"/>
        <v>0</v>
      </c>
    </row>
    <row r="176" spans="1:43">
      <c r="A176" t="s">
        <v>631</v>
      </c>
      <c r="B176" s="5">
        <v>45928</v>
      </c>
      <c r="C176" s="5">
        <v>45934</v>
      </c>
      <c r="D176" s="13">
        <f t="shared" si="34"/>
        <v>6</v>
      </c>
      <c r="E176" t="s">
        <v>632</v>
      </c>
      <c r="F176" t="s">
        <v>23</v>
      </c>
      <c r="G176" t="s">
        <v>37</v>
      </c>
      <c r="H176" t="s">
        <v>54</v>
      </c>
      <c r="I176" t="s">
        <v>175</v>
      </c>
      <c r="J176" t="s">
        <v>176</v>
      </c>
      <c r="K176" t="s">
        <v>41</v>
      </c>
      <c r="L176" t="s">
        <v>158</v>
      </c>
      <c r="M176" t="s">
        <v>633</v>
      </c>
      <c r="N176" t="s">
        <v>50</v>
      </c>
      <c r="O176">
        <v>6</v>
      </c>
      <c r="P176">
        <v>1620.53</v>
      </c>
      <c r="Q176" s="11">
        <v>0.15</v>
      </c>
      <c r="R176">
        <v>8264.7000000000007</v>
      </c>
      <c r="S176">
        <v>4768.75</v>
      </c>
      <c r="T176">
        <v>3495.95</v>
      </c>
      <c r="U176" t="s">
        <v>111</v>
      </c>
      <c r="V176" t="s">
        <v>103</v>
      </c>
      <c r="X176" s="8" t="str">
        <f>IF(C176&gt;=B176,"Valid", "Invalid-Date")</f>
        <v>Valid</v>
      </c>
      <c r="Y176" s="8" t="str">
        <f t="shared" si="35"/>
        <v>Valid</v>
      </c>
      <c r="Z176" s="8" t="str">
        <f t="shared" si="36"/>
        <v>Pass</v>
      </c>
      <c r="AA176" s="8" t="str">
        <f t="shared" si="37"/>
        <v>Pass</v>
      </c>
      <c r="AB176" s="8" t="str">
        <f>TEXT(B176,"mmmm")</f>
        <v>September</v>
      </c>
      <c r="AC176" s="8" t="str">
        <f>TEXT(B176,"yyyy")</f>
        <v>2025</v>
      </c>
      <c r="AE176">
        <f t="shared" si="38"/>
        <v>9723.18</v>
      </c>
      <c r="AF176" s="11">
        <f t="shared" si="39"/>
        <v>8264.7029999999995</v>
      </c>
      <c r="AG176">
        <f t="shared" si="40"/>
        <v>4954.43</v>
      </c>
      <c r="AH176" s="11">
        <f t="shared" si="41"/>
        <v>0.50954831649727761</v>
      </c>
      <c r="AI176" s="9">
        <f t="shared" si="42"/>
        <v>0.50954831649727761</v>
      </c>
      <c r="AJ176">
        <f t="shared" si="43"/>
        <v>0</v>
      </c>
      <c r="AK176">
        <f t="shared" si="44"/>
        <v>0</v>
      </c>
      <c r="AL176">
        <f t="shared" si="45"/>
        <v>0</v>
      </c>
      <c r="AM176">
        <f t="shared" si="46"/>
        <v>0</v>
      </c>
      <c r="AN176">
        <f t="shared" si="47"/>
        <v>0</v>
      </c>
      <c r="AO176">
        <f t="shared" si="48"/>
        <v>0</v>
      </c>
      <c r="AP176">
        <f t="shared" si="49"/>
        <v>8264.7000000000007</v>
      </c>
      <c r="AQ176">
        <f t="shared" si="50"/>
        <v>1</v>
      </c>
    </row>
    <row r="177" spans="1:43">
      <c r="A177" t="s">
        <v>634</v>
      </c>
      <c r="B177" s="5">
        <v>45318</v>
      </c>
      <c r="C177" s="5">
        <v>45353</v>
      </c>
      <c r="D177" s="13">
        <f t="shared" si="34"/>
        <v>35</v>
      </c>
      <c r="E177" t="s">
        <v>635</v>
      </c>
      <c r="F177" t="s">
        <v>53</v>
      </c>
      <c r="G177" t="s">
        <v>37</v>
      </c>
      <c r="H177" t="s">
        <v>38</v>
      </c>
      <c r="I177" t="s">
        <v>145</v>
      </c>
      <c r="J177" t="s">
        <v>146</v>
      </c>
      <c r="K177" t="s">
        <v>74</v>
      </c>
      <c r="L177" t="s">
        <v>274</v>
      </c>
      <c r="M177" t="s">
        <v>636</v>
      </c>
      <c r="N177" t="s">
        <v>44</v>
      </c>
      <c r="O177">
        <v>7</v>
      </c>
      <c r="P177">
        <v>2673.42</v>
      </c>
      <c r="Q177" s="11">
        <v>0.15</v>
      </c>
      <c r="R177">
        <v>15906.85</v>
      </c>
      <c r="S177">
        <v>11014.46</v>
      </c>
      <c r="T177">
        <v>4892.3900000000003</v>
      </c>
      <c r="U177" t="s">
        <v>32</v>
      </c>
      <c r="V177" t="s">
        <v>103</v>
      </c>
      <c r="X177" s="8" t="str">
        <f>IF(C177&gt;=B177,"Valid", "Invalid-Date")</f>
        <v>Valid</v>
      </c>
      <c r="Y177" s="8" t="str">
        <f t="shared" si="35"/>
        <v>Valid</v>
      </c>
      <c r="Z177" s="8" t="str">
        <f t="shared" si="36"/>
        <v>Pass</v>
      </c>
      <c r="AA177" s="8" t="str">
        <f t="shared" si="37"/>
        <v>Pass</v>
      </c>
      <c r="AB177" s="8" t="str">
        <f>TEXT(B177,"mmmm")</f>
        <v>January</v>
      </c>
      <c r="AC177" s="8" t="str">
        <f>TEXT(B177,"yyyy")</f>
        <v>2024</v>
      </c>
      <c r="AE177">
        <f t="shared" si="38"/>
        <v>18713.940000000002</v>
      </c>
      <c r="AF177" s="11">
        <f t="shared" si="39"/>
        <v>15906.849000000002</v>
      </c>
      <c r="AG177">
        <f t="shared" si="40"/>
        <v>7699.4800000000032</v>
      </c>
      <c r="AH177" s="11">
        <f t="shared" si="41"/>
        <v>0.4114301958860615</v>
      </c>
      <c r="AI177" s="9">
        <f t="shared" si="42"/>
        <v>0.4114301958860615</v>
      </c>
      <c r="AJ177">
        <f t="shared" si="43"/>
        <v>0</v>
      </c>
      <c r="AK177">
        <f t="shared" si="44"/>
        <v>0</v>
      </c>
      <c r="AL177">
        <f t="shared" si="45"/>
        <v>0</v>
      </c>
      <c r="AM177">
        <f t="shared" si="46"/>
        <v>0</v>
      </c>
      <c r="AN177">
        <f t="shared" si="47"/>
        <v>0</v>
      </c>
      <c r="AO177">
        <f t="shared" si="48"/>
        <v>0</v>
      </c>
      <c r="AP177">
        <f t="shared" si="49"/>
        <v>15906.85</v>
      </c>
      <c r="AQ177">
        <f t="shared" si="50"/>
        <v>1</v>
      </c>
    </row>
    <row r="178" spans="1:43">
      <c r="A178" t="s">
        <v>637</v>
      </c>
      <c r="B178" s="5">
        <v>45734</v>
      </c>
      <c r="C178" s="5">
        <v>45742</v>
      </c>
      <c r="D178" s="13">
        <f t="shared" si="34"/>
        <v>8</v>
      </c>
      <c r="E178" t="s">
        <v>638</v>
      </c>
      <c r="F178" t="s">
        <v>71</v>
      </c>
      <c r="G178" t="s">
        <v>90</v>
      </c>
      <c r="H178" t="s">
        <v>38</v>
      </c>
      <c r="I178" t="s">
        <v>228</v>
      </c>
      <c r="J178" t="s">
        <v>229</v>
      </c>
      <c r="K178" t="s">
        <v>41</v>
      </c>
      <c r="L178" t="s">
        <v>158</v>
      </c>
      <c r="M178" t="s">
        <v>639</v>
      </c>
      <c r="N178" t="s">
        <v>59</v>
      </c>
      <c r="O178">
        <v>8</v>
      </c>
      <c r="P178">
        <v>3563.09</v>
      </c>
      <c r="Q178" s="11">
        <v>0.15</v>
      </c>
      <c r="R178">
        <v>24229.01</v>
      </c>
      <c r="S178">
        <v>13910.64</v>
      </c>
      <c r="T178">
        <v>10318.370000000001</v>
      </c>
      <c r="U178" t="s">
        <v>32</v>
      </c>
      <c r="V178" t="s">
        <v>33</v>
      </c>
      <c r="X178" s="8" t="str">
        <f>IF(C178&gt;=B178,"Valid", "Invalid-Date")</f>
        <v>Valid</v>
      </c>
      <c r="Y178" s="8" t="str">
        <f t="shared" si="35"/>
        <v>Valid</v>
      </c>
      <c r="Z178" s="8" t="str">
        <f t="shared" si="36"/>
        <v>Pass</v>
      </c>
      <c r="AA178" s="8" t="str">
        <f t="shared" si="37"/>
        <v>Pass</v>
      </c>
      <c r="AB178" s="8" t="str">
        <f>TEXT(B178,"mmmm")</f>
        <v>March</v>
      </c>
      <c r="AC178" s="8" t="str">
        <f>TEXT(B178,"yyyy")</f>
        <v>2025</v>
      </c>
      <c r="AE178">
        <f t="shared" si="38"/>
        <v>28504.720000000001</v>
      </c>
      <c r="AF178" s="11">
        <f t="shared" si="39"/>
        <v>24229.011999999999</v>
      </c>
      <c r="AG178">
        <f t="shared" si="40"/>
        <v>14594.080000000002</v>
      </c>
      <c r="AH178" s="11">
        <f t="shared" si="41"/>
        <v>0.51198819002607288</v>
      </c>
      <c r="AI178" s="9">
        <f t="shared" si="42"/>
        <v>0.51198819002607288</v>
      </c>
      <c r="AJ178">
        <f t="shared" si="43"/>
        <v>24229.01</v>
      </c>
      <c r="AK178">
        <f t="shared" si="44"/>
        <v>1</v>
      </c>
      <c r="AL178">
        <f t="shared" si="45"/>
        <v>0</v>
      </c>
      <c r="AM178">
        <f t="shared" si="46"/>
        <v>0</v>
      </c>
      <c r="AN178">
        <f t="shared" si="47"/>
        <v>0</v>
      </c>
      <c r="AO178">
        <f t="shared" si="48"/>
        <v>0</v>
      </c>
      <c r="AP178">
        <f t="shared" si="49"/>
        <v>0</v>
      </c>
      <c r="AQ178">
        <f t="shared" si="50"/>
        <v>0</v>
      </c>
    </row>
    <row r="179" spans="1:43">
      <c r="A179" t="s">
        <v>640</v>
      </c>
      <c r="B179" s="5">
        <v>45444</v>
      </c>
      <c r="C179" s="5">
        <v>45357</v>
      </c>
      <c r="D179" s="13">
        <f t="shared" si="34"/>
        <v>-87</v>
      </c>
      <c r="E179" t="s">
        <v>641</v>
      </c>
      <c r="F179" t="s">
        <v>132</v>
      </c>
      <c r="G179" t="s">
        <v>95</v>
      </c>
      <c r="H179" t="s">
        <v>2785</v>
      </c>
      <c r="I179" t="s">
        <v>145</v>
      </c>
      <c r="J179" t="s">
        <v>146</v>
      </c>
      <c r="K179" t="s">
        <v>28</v>
      </c>
      <c r="L179" t="s">
        <v>48</v>
      </c>
      <c r="M179" t="s">
        <v>642</v>
      </c>
      <c r="N179" t="s">
        <v>44</v>
      </c>
      <c r="O179">
        <v>8</v>
      </c>
      <c r="P179">
        <v>3879.95</v>
      </c>
      <c r="Q179" s="11">
        <v>0</v>
      </c>
      <c r="R179">
        <v>31039.599999999999</v>
      </c>
      <c r="S179">
        <v>20866.72</v>
      </c>
      <c r="T179">
        <v>10172.879999999999</v>
      </c>
      <c r="U179" t="s">
        <v>32</v>
      </c>
      <c r="V179" t="s">
        <v>33</v>
      </c>
      <c r="X179" s="8" t="str">
        <f>IF(C179&gt;=B179,"Valid", "Invalid-Date")</f>
        <v>Invalid-Date</v>
      </c>
      <c r="Y179" s="8" t="str">
        <f t="shared" si="35"/>
        <v>Valid</v>
      </c>
      <c r="Z179" s="8" t="str">
        <f t="shared" si="36"/>
        <v>Pass</v>
      </c>
      <c r="AA179" s="8" t="str">
        <f t="shared" si="37"/>
        <v>Flagged</v>
      </c>
      <c r="AB179" s="8" t="str">
        <f>TEXT(B179,"mmmm")</f>
        <v>June</v>
      </c>
      <c r="AC179" s="8" t="str">
        <f>TEXT(B179,"yyyy")</f>
        <v>2024</v>
      </c>
      <c r="AE179">
        <f t="shared" si="38"/>
        <v>31039.599999999999</v>
      </c>
      <c r="AF179" s="11">
        <f t="shared" si="39"/>
        <v>31039.599999999999</v>
      </c>
      <c r="AG179">
        <f t="shared" si="40"/>
        <v>10172.879999999997</v>
      </c>
      <c r="AH179" s="11">
        <f t="shared" si="41"/>
        <v>0.32773875952009685</v>
      </c>
      <c r="AI179" s="9">
        <f t="shared" si="42"/>
        <v>0.32773875952009685</v>
      </c>
      <c r="AJ179">
        <f t="shared" si="43"/>
        <v>31039.599999999999</v>
      </c>
      <c r="AK179">
        <f t="shared" si="44"/>
        <v>1</v>
      </c>
      <c r="AL179">
        <f t="shared" si="45"/>
        <v>0</v>
      </c>
      <c r="AM179">
        <f t="shared" si="46"/>
        <v>0</v>
      </c>
      <c r="AN179">
        <f t="shared" si="47"/>
        <v>0</v>
      </c>
      <c r="AO179">
        <f t="shared" si="48"/>
        <v>0</v>
      </c>
      <c r="AP179">
        <f t="shared" si="49"/>
        <v>0</v>
      </c>
      <c r="AQ179">
        <f t="shared" si="50"/>
        <v>0</v>
      </c>
    </row>
    <row r="180" spans="1:43">
      <c r="A180" t="s">
        <v>643</v>
      </c>
      <c r="B180" s="5">
        <v>45565</v>
      </c>
      <c r="C180" s="5">
        <v>45565</v>
      </c>
      <c r="D180" s="13">
        <f t="shared" si="34"/>
        <v>0</v>
      </c>
      <c r="E180" t="s">
        <v>644</v>
      </c>
      <c r="F180" t="s">
        <v>47</v>
      </c>
      <c r="G180" t="s">
        <v>90</v>
      </c>
      <c r="H180" t="s">
        <v>54</v>
      </c>
      <c r="I180" t="s">
        <v>55</v>
      </c>
      <c r="J180" t="s">
        <v>56</v>
      </c>
      <c r="K180" t="s">
        <v>28</v>
      </c>
      <c r="L180" t="s">
        <v>48</v>
      </c>
      <c r="M180" t="s">
        <v>645</v>
      </c>
      <c r="N180" t="s">
        <v>59</v>
      </c>
      <c r="O180">
        <v>4</v>
      </c>
      <c r="P180">
        <v>3281.74</v>
      </c>
      <c r="Q180" s="11">
        <v>0</v>
      </c>
      <c r="R180">
        <v>13126.96</v>
      </c>
      <c r="S180">
        <v>10732.44</v>
      </c>
      <c r="T180">
        <v>2394.52</v>
      </c>
      <c r="U180" t="s">
        <v>32</v>
      </c>
      <c r="V180" t="s">
        <v>33</v>
      </c>
      <c r="X180" s="8" t="str">
        <f>IF(C180&gt;=B180,"Valid", "Invalid-Date")</f>
        <v>Valid</v>
      </c>
      <c r="Y180" s="8" t="str">
        <f t="shared" si="35"/>
        <v>Valid</v>
      </c>
      <c r="Z180" s="8" t="str">
        <f t="shared" si="36"/>
        <v>Pass</v>
      </c>
      <c r="AA180" s="8" t="str">
        <f t="shared" si="37"/>
        <v>Pass</v>
      </c>
      <c r="AB180" s="8" t="str">
        <f>TEXT(B180,"mmmm")</f>
        <v>September</v>
      </c>
      <c r="AC180" s="8" t="str">
        <f>TEXT(B180,"yyyy")</f>
        <v>2024</v>
      </c>
      <c r="AE180">
        <f t="shared" si="38"/>
        <v>13126.96</v>
      </c>
      <c r="AF180" s="11">
        <f t="shared" si="39"/>
        <v>13126.96</v>
      </c>
      <c r="AG180">
        <f t="shared" si="40"/>
        <v>2394.5199999999986</v>
      </c>
      <c r="AH180" s="11">
        <f t="shared" si="41"/>
        <v>0.18241237879905162</v>
      </c>
      <c r="AI180" s="9">
        <f t="shared" si="42"/>
        <v>0.18241237879905162</v>
      </c>
      <c r="AJ180">
        <f t="shared" si="43"/>
        <v>13126.96</v>
      </c>
      <c r="AK180">
        <f t="shared" si="44"/>
        <v>1</v>
      </c>
      <c r="AL180">
        <f t="shared" si="45"/>
        <v>0</v>
      </c>
      <c r="AM180">
        <f t="shared" si="46"/>
        <v>0</v>
      </c>
      <c r="AN180">
        <f t="shared" si="47"/>
        <v>0</v>
      </c>
      <c r="AO180">
        <f t="shared" si="48"/>
        <v>0</v>
      </c>
      <c r="AP180">
        <f t="shared" si="49"/>
        <v>0</v>
      </c>
      <c r="AQ180">
        <f t="shared" si="50"/>
        <v>0</v>
      </c>
    </row>
    <row r="181" spans="1:43">
      <c r="A181" t="s">
        <v>646</v>
      </c>
      <c r="B181" s="5">
        <v>45366</v>
      </c>
      <c r="C181" s="5">
        <v>45370</v>
      </c>
      <c r="D181" s="13">
        <f t="shared" si="34"/>
        <v>4</v>
      </c>
      <c r="E181" t="s">
        <v>647</v>
      </c>
      <c r="F181" t="s">
        <v>62</v>
      </c>
      <c r="G181" t="s">
        <v>37</v>
      </c>
      <c r="H181" t="s">
        <v>54</v>
      </c>
      <c r="I181" t="s">
        <v>247</v>
      </c>
      <c r="J181" t="s">
        <v>248</v>
      </c>
      <c r="K181" t="s">
        <v>41</v>
      </c>
      <c r="L181" t="s">
        <v>57</v>
      </c>
      <c r="M181" t="s">
        <v>648</v>
      </c>
      <c r="N181" t="s">
        <v>59</v>
      </c>
      <c r="O181">
        <v>4</v>
      </c>
      <c r="P181">
        <v>3186.3</v>
      </c>
      <c r="Q181" s="11">
        <v>0.25</v>
      </c>
      <c r="R181">
        <v>9558.9</v>
      </c>
      <c r="S181">
        <v>5516.76</v>
      </c>
      <c r="T181">
        <v>4042.14</v>
      </c>
      <c r="U181" t="s">
        <v>102</v>
      </c>
      <c r="V181" t="s">
        <v>103</v>
      </c>
      <c r="X181" s="8" t="str">
        <f>IF(C181&gt;=B181,"Valid", "Invalid-Date")</f>
        <v>Valid</v>
      </c>
      <c r="Y181" s="8" t="str">
        <f t="shared" si="35"/>
        <v>Valid</v>
      </c>
      <c r="Z181" s="8" t="str">
        <f t="shared" si="36"/>
        <v>Pass</v>
      </c>
      <c r="AA181" s="8" t="str">
        <f t="shared" si="37"/>
        <v>Pass</v>
      </c>
      <c r="AB181" s="8" t="str">
        <f>TEXT(B181,"mmmm")</f>
        <v>March</v>
      </c>
      <c r="AC181" s="8" t="str">
        <f>TEXT(B181,"yyyy")</f>
        <v>2024</v>
      </c>
      <c r="AE181">
        <f t="shared" si="38"/>
        <v>12745.2</v>
      </c>
      <c r="AF181" s="11">
        <f t="shared" si="39"/>
        <v>9558.9000000000015</v>
      </c>
      <c r="AG181">
        <f t="shared" si="40"/>
        <v>7228.4400000000005</v>
      </c>
      <c r="AH181" s="11">
        <f t="shared" si="41"/>
        <v>0.56714998587703602</v>
      </c>
      <c r="AI181" s="9">
        <f t="shared" si="42"/>
        <v>0.56714998587703602</v>
      </c>
      <c r="AJ181">
        <f t="shared" si="43"/>
        <v>0</v>
      </c>
      <c r="AK181">
        <f t="shared" si="44"/>
        <v>0</v>
      </c>
      <c r="AL181">
        <f t="shared" si="45"/>
        <v>0</v>
      </c>
      <c r="AM181">
        <f t="shared" si="46"/>
        <v>0</v>
      </c>
      <c r="AN181">
        <f t="shared" si="47"/>
        <v>0</v>
      </c>
      <c r="AO181">
        <f t="shared" si="48"/>
        <v>0</v>
      </c>
      <c r="AP181">
        <f t="shared" si="49"/>
        <v>9558.9</v>
      </c>
      <c r="AQ181">
        <f t="shared" si="50"/>
        <v>1</v>
      </c>
    </row>
    <row r="182" spans="1:43">
      <c r="A182" t="s">
        <v>649</v>
      </c>
      <c r="B182" s="5">
        <v>45530</v>
      </c>
      <c r="C182" s="5">
        <v>45530</v>
      </c>
      <c r="D182" s="13">
        <f t="shared" si="34"/>
        <v>0</v>
      </c>
      <c r="E182" t="s">
        <v>650</v>
      </c>
      <c r="F182" t="s">
        <v>36</v>
      </c>
      <c r="G182" t="s">
        <v>95</v>
      </c>
      <c r="H182" t="s">
        <v>25</v>
      </c>
      <c r="I182" t="s">
        <v>136</v>
      </c>
      <c r="J182" t="s">
        <v>137</v>
      </c>
      <c r="K182" t="s">
        <v>28</v>
      </c>
      <c r="L182" t="s">
        <v>153</v>
      </c>
      <c r="M182" t="s">
        <v>651</v>
      </c>
      <c r="N182" t="s">
        <v>50</v>
      </c>
      <c r="O182">
        <v>7</v>
      </c>
      <c r="P182">
        <v>844.59</v>
      </c>
      <c r="Q182" s="11">
        <v>0.1</v>
      </c>
      <c r="R182">
        <v>5320.92</v>
      </c>
      <c r="S182">
        <v>3041.5</v>
      </c>
      <c r="T182">
        <v>2279.42</v>
      </c>
      <c r="U182" t="s">
        <v>32</v>
      </c>
      <c r="V182" t="s">
        <v>33</v>
      </c>
      <c r="X182" s="8" t="str">
        <f>IF(C182&gt;=B182,"Valid", "Invalid-Date")</f>
        <v>Valid</v>
      </c>
      <c r="Y182" s="8" t="str">
        <f t="shared" si="35"/>
        <v>Valid</v>
      </c>
      <c r="Z182" s="8" t="str">
        <f t="shared" si="36"/>
        <v>Pass</v>
      </c>
      <c r="AA182" s="8" t="str">
        <f t="shared" si="37"/>
        <v>Pass</v>
      </c>
      <c r="AB182" s="8" t="str">
        <f>TEXT(B182,"mmmm")</f>
        <v>August</v>
      </c>
      <c r="AC182" s="8" t="str">
        <f>TEXT(B182,"yyyy")</f>
        <v>2024</v>
      </c>
      <c r="AE182">
        <f t="shared" si="38"/>
        <v>5912.13</v>
      </c>
      <c r="AF182" s="11">
        <f t="shared" si="39"/>
        <v>5320.9170000000004</v>
      </c>
      <c r="AG182">
        <f t="shared" si="40"/>
        <v>2870.63</v>
      </c>
      <c r="AH182" s="11">
        <f t="shared" si="41"/>
        <v>0.48554920138765556</v>
      </c>
      <c r="AI182" s="9">
        <f t="shared" si="42"/>
        <v>0.48554920138765556</v>
      </c>
      <c r="AJ182">
        <f t="shared" si="43"/>
        <v>5320.92</v>
      </c>
      <c r="AK182">
        <f t="shared" si="44"/>
        <v>1</v>
      </c>
      <c r="AL182">
        <f t="shared" si="45"/>
        <v>0</v>
      </c>
      <c r="AM182">
        <f t="shared" si="46"/>
        <v>0</v>
      </c>
      <c r="AN182">
        <f t="shared" si="47"/>
        <v>0</v>
      </c>
      <c r="AO182">
        <f t="shared" si="48"/>
        <v>0</v>
      </c>
      <c r="AP182">
        <f t="shared" si="49"/>
        <v>0</v>
      </c>
      <c r="AQ182">
        <f t="shared" si="50"/>
        <v>0</v>
      </c>
    </row>
    <row r="183" spans="1:43">
      <c r="A183" t="s">
        <v>652</v>
      </c>
      <c r="B183" s="5">
        <v>45909</v>
      </c>
      <c r="C183" s="5">
        <v>45910</v>
      </c>
      <c r="D183" s="13">
        <f t="shared" si="34"/>
        <v>1</v>
      </c>
      <c r="E183" t="s">
        <v>653</v>
      </c>
      <c r="F183" t="s">
        <v>114</v>
      </c>
      <c r="G183" t="s">
        <v>95</v>
      </c>
      <c r="H183" t="s">
        <v>54</v>
      </c>
      <c r="I183" t="s">
        <v>247</v>
      </c>
      <c r="J183" t="s">
        <v>248</v>
      </c>
      <c r="K183" t="s">
        <v>28</v>
      </c>
      <c r="L183" t="s">
        <v>48</v>
      </c>
      <c r="M183" t="s">
        <v>654</v>
      </c>
      <c r="N183" t="s">
        <v>31</v>
      </c>
      <c r="O183">
        <v>4</v>
      </c>
      <c r="P183">
        <v>2551.4499999999998</v>
      </c>
      <c r="Q183" s="11">
        <v>0</v>
      </c>
      <c r="R183">
        <v>10205.799999999999</v>
      </c>
      <c r="S183">
        <v>5986.31</v>
      </c>
      <c r="T183">
        <v>4219.49</v>
      </c>
      <c r="U183" t="s">
        <v>32</v>
      </c>
      <c r="V183" t="s">
        <v>33</v>
      </c>
      <c r="X183" s="8" t="str">
        <f>IF(C183&gt;=B183,"Valid", "Invalid-Date")</f>
        <v>Valid</v>
      </c>
      <c r="Y183" s="8" t="str">
        <f t="shared" si="35"/>
        <v>Valid</v>
      </c>
      <c r="Z183" s="8" t="str">
        <f t="shared" si="36"/>
        <v>Pass</v>
      </c>
      <c r="AA183" s="8" t="str">
        <f t="shared" si="37"/>
        <v>Pass</v>
      </c>
      <c r="AB183" s="8" t="str">
        <f>TEXT(B183,"mmmm")</f>
        <v>September</v>
      </c>
      <c r="AC183" s="8" t="str">
        <f>TEXT(B183,"yyyy")</f>
        <v>2025</v>
      </c>
      <c r="AE183">
        <f t="shared" si="38"/>
        <v>10205.799999999999</v>
      </c>
      <c r="AF183" s="11">
        <f t="shared" si="39"/>
        <v>10205.799999999999</v>
      </c>
      <c r="AG183">
        <f t="shared" si="40"/>
        <v>4219.4899999999989</v>
      </c>
      <c r="AH183" s="11">
        <f t="shared" si="41"/>
        <v>0.41344039663720622</v>
      </c>
      <c r="AI183" s="9">
        <f t="shared" si="42"/>
        <v>0.41344039663720622</v>
      </c>
      <c r="AJ183">
        <f t="shared" si="43"/>
        <v>10205.799999999999</v>
      </c>
      <c r="AK183">
        <f t="shared" si="44"/>
        <v>1</v>
      </c>
      <c r="AL183">
        <f t="shared" si="45"/>
        <v>0</v>
      </c>
      <c r="AM183">
        <f t="shared" si="46"/>
        <v>0</v>
      </c>
      <c r="AN183">
        <f t="shared" si="47"/>
        <v>0</v>
      </c>
      <c r="AO183">
        <f t="shared" si="48"/>
        <v>0</v>
      </c>
      <c r="AP183">
        <f t="shared" si="49"/>
        <v>0</v>
      </c>
      <c r="AQ183">
        <f t="shared" si="50"/>
        <v>0</v>
      </c>
    </row>
    <row r="184" spans="1:43">
      <c r="A184" t="s">
        <v>655</v>
      </c>
      <c r="B184" s="5">
        <v>45581</v>
      </c>
      <c r="C184" s="5">
        <v>45581</v>
      </c>
      <c r="D184" s="13">
        <f t="shared" si="34"/>
        <v>0</v>
      </c>
      <c r="E184" t="s">
        <v>656</v>
      </c>
      <c r="F184" t="s">
        <v>62</v>
      </c>
      <c r="G184" t="s">
        <v>95</v>
      </c>
      <c r="H184" t="s">
        <v>38</v>
      </c>
      <c r="I184" t="s">
        <v>145</v>
      </c>
      <c r="J184" t="s">
        <v>146</v>
      </c>
      <c r="K184" t="s">
        <v>74</v>
      </c>
      <c r="L184" t="s">
        <v>274</v>
      </c>
      <c r="M184" t="s">
        <v>657</v>
      </c>
      <c r="N184" t="s">
        <v>59</v>
      </c>
      <c r="O184">
        <v>7</v>
      </c>
      <c r="P184">
        <v>775.77</v>
      </c>
      <c r="Q184" s="11">
        <v>0</v>
      </c>
      <c r="R184">
        <v>5430.39</v>
      </c>
      <c r="S184">
        <v>3707.66</v>
      </c>
      <c r="T184">
        <v>1722.73</v>
      </c>
      <c r="U184" t="s">
        <v>32</v>
      </c>
      <c r="V184" t="s">
        <v>33</v>
      </c>
      <c r="X184" s="8" t="str">
        <f>IF(C184&gt;=B184,"Valid", "Invalid-Date")</f>
        <v>Valid</v>
      </c>
      <c r="Y184" s="8" t="str">
        <f t="shared" si="35"/>
        <v>Valid</v>
      </c>
      <c r="Z184" s="8" t="str">
        <f t="shared" si="36"/>
        <v>Pass</v>
      </c>
      <c r="AA184" s="8" t="str">
        <f t="shared" si="37"/>
        <v>Pass</v>
      </c>
      <c r="AB184" s="8" t="str">
        <f>TEXT(B184,"mmmm")</f>
        <v>October</v>
      </c>
      <c r="AC184" s="8" t="str">
        <f>TEXT(B184,"yyyy")</f>
        <v>2024</v>
      </c>
      <c r="AE184">
        <f t="shared" si="38"/>
        <v>5430.3899999999994</v>
      </c>
      <c r="AF184" s="11">
        <f t="shared" si="39"/>
        <v>5430.3899999999994</v>
      </c>
      <c r="AG184">
        <f t="shared" si="40"/>
        <v>1722.7299999999996</v>
      </c>
      <c r="AH184" s="11">
        <f t="shared" si="41"/>
        <v>0.31723872502711586</v>
      </c>
      <c r="AI184" s="9">
        <f t="shared" si="42"/>
        <v>0.31723872502711586</v>
      </c>
      <c r="AJ184">
        <f t="shared" si="43"/>
        <v>5430.39</v>
      </c>
      <c r="AK184">
        <f t="shared" si="44"/>
        <v>1</v>
      </c>
      <c r="AL184">
        <f t="shared" si="45"/>
        <v>0</v>
      </c>
      <c r="AM184">
        <f t="shared" si="46"/>
        <v>0</v>
      </c>
      <c r="AN184">
        <f t="shared" si="47"/>
        <v>0</v>
      </c>
      <c r="AO184">
        <f t="shared" si="48"/>
        <v>0</v>
      </c>
      <c r="AP184">
        <f t="shared" si="49"/>
        <v>0</v>
      </c>
      <c r="AQ184">
        <f t="shared" si="50"/>
        <v>0</v>
      </c>
    </row>
    <row r="185" spans="1:43">
      <c r="A185" t="s">
        <v>658</v>
      </c>
      <c r="B185" s="5">
        <v>45832</v>
      </c>
      <c r="C185" s="5">
        <v>45835</v>
      </c>
      <c r="D185" s="13">
        <f t="shared" si="34"/>
        <v>3</v>
      </c>
      <c r="E185" t="s">
        <v>659</v>
      </c>
      <c r="F185" t="s">
        <v>71</v>
      </c>
      <c r="G185" t="s">
        <v>95</v>
      </c>
      <c r="H185" t="s">
        <v>54</v>
      </c>
      <c r="I185" t="s">
        <v>55</v>
      </c>
      <c r="J185" t="s">
        <v>56</v>
      </c>
      <c r="K185" t="s">
        <v>74</v>
      </c>
      <c r="L185" t="s">
        <v>80</v>
      </c>
      <c r="M185" t="s">
        <v>660</v>
      </c>
      <c r="N185" t="s">
        <v>59</v>
      </c>
      <c r="O185">
        <v>7</v>
      </c>
      <c r="P185">
        <v>2304.86</v>
      </c>
      <c r="Q185" s="11">
        <v>0.2</v>
      </c>
      <c r="R185">
        <v>12907.22</v>
      </c>
      <c r="S185">
        <v>8327.89</v>
      </c>
      <c r="T185">
        <v>4579.33</v>
      </c>
      <c r="U185" t="s">
        <v>32</v>
      </c>
      <c r="V185" t="s">
        <v>103</v>
      </c>
      <c r="X185" s="8" t="str">
        <f>IF(C185&gt;=B185,"Valid", "Invalid-Date")</f>
        <v>Valid</v>
      </c>
      <c r="Y185" s="8" t="str">
        <f t="shared" si="35"/>
        <v>Valid</v>
      </c>
      <c r="Z185" s="8" t="str">
        <f t="shared" si="36"/>
        <v>Pass</v>
      </c>
      <c r="AA185" s="8" t="str">
        <f t="shared" si="37"/>
        <v>Pass</v>
      </c>
      <c r="AB185" s="8" t="str">
        <f>TEXT(B185,"mmmm")</f>
        <v>June</v>
      </c>
      <c r="AC185" s="8" t="str">
        <f>TEXT(B185,"yyyy")</f>
        <v>2025</v>
      </c>
      <c r="AE185">
        <f t="shared" si="38"/>
        <v>16134.02</v>
      </c>
      <c r="AF185" s="11">
        <f t="shared" si="39"/>
        <v>12907.216</v>
      </c>
      <c r="AG185">
        <f t="shared" si="40"/>
        <v>7806.130000000001</v>
      </c>
      <c r="AH185" s="11">
        <f t="shared" si="41"/>
        <v>0.4838304402746495</v>
      </c>
      <c r="AI185" s="9">
        <f t="shared" si="42"/>
        <v>0.4838304402746495</v>
      </c>
      <c r="AJ185">
        <f t="shared" si="43"/>
        <v>0</v>
      </c>
      <c r="AK185">
        <f t="shared" si="44"/>
        <v>0</v>
      </c>
      <c r="AL185">
        <f t="shared" si="45"/>
        <v>0</v>
      </c>
      <c r="AM185">
        <f t="shared" si="46"/>
        <v>0</v>
      </c>
      <c r="AN185">
        <f t="shared" si="47"/>
        <v>0</v>
      </c>
      <c r="AO185">
        <f t="shared" si="48"/>
        <v>0</v>
      </c>
      <c r="AP185">
        <f t="shared" si="49"/>
        <v>12907.22</v>
      </c>
      <c r="AQ185">
        <f t="shared" si="50"/>
        <v>1</v>
      </c>
    </row>
    <row r="186" spans="1:43">
      <c r="A186" t="s">
        <v>661</v>
      </c>
      <c r="B186" s="5">
        <v>45384</v>
      </c>
      <c r="C186" s="5">
        <v>45447</v>
      </c>
      <c r="D186" s="13">
        <f t="shared" si="34"/>
        <v>63</v>
      </c>
      <c r="E186" t="s">
        <v>662</v>
      </c>
      <c r="F186" t="s">
        <v>71</v>
      </c>
      <c r="G186" t="s">
        <v>90</v>
      </c>
      <c r="H186" t="s">
        <v>63</v>
      </c>
      <c r="I186" t="s">
        <v>72</v>
      </c>
      <c r="J186" t="s">
        <v>73</v>
      </c>
      <c r="K186" t="s">
        <v>41</v>
      </c>
      <c r="L186" t="s">
        <v>158</v>
      </c>
      <c r="M186" t="s">
        <v>663</v>
      </c>
      <c r="N186" t="s">
        <v>59</v>
      </c>
      <c r="O186">
        <v>2</v>
      </c>
      <c r="P186">
        <v>888.98</v>
      </c>
      <c r="Q186" s="11">
        <v>0</v>
      </c>
      <c r="R186">
        <v>1777.96</v>
      </c>
      <c r="S186">
        <v>1021.16</v>
      </c>
      <c r="T186">
        <v>756.8</v>
      </c>
      <c r="U186" t="s">
        <v>102</v>
      </c>
      <c r="V186" t="s">
        <v>103</v>
      </c>
      <c r="X186" s="8" t="str">
        <f>IF(C186&gt;=B186,"Valid", "Invalid-Date")</f>
        <v>Valid</v>
      </c>
      <c r="Y186" s="8" t="str">
        <f t="shared" si="35"/>
        <v>Valid</v>
      </c>
      <c r="Z186" s="8" t="str">
        <f t="shared" si="36"/>
        <v>Pass</v>
      </c>
      <c r="AA186" s="8" t="str">
        <f t="shared" si="37"/>
        <v>Pass</v>
      </c>
      <c r="AB186" s="8" t="str">
        <f>TEXT(B186,"mmmm")</f>
        <v>April</v>
      </c>
      <c r="AC186" s="8" t="str">
        <f>TEXT(B186,"yyyy")</f>
        <v>2024</v>
      </c>
      <c r="AE186">
        <f t="shared" si="38"/>
        <v>1777.96</v>
      </c>
      <c r="AF186" s="11">
        <f t="shared" si="39"/>
        <v>1777.96</v>
      </c>
      <c r="AG186">
        <f t="shared" si="40"/>
        <v>756.80000000000007</v>
      </c>
      <c r="AH186" s="11">
        <f t="shared" si="41"/>
        <v>0.42565637022205227</v>
      </c>
      <c r="AI186" s="9">
        <f t="shared" si="42"/>
        <v>0.42565637022205227</v>
      </c>
      <c r="AJ186">
        <f t="shared" si="43"/>
        <v>0</v>
      </c>
      <c r="AK186">
        <f t="shared" si="44"/>
        <v>0</v>
      </c>
      <c r="AL186">
        <f t="shared" si="45"/>
        <v>0</v>
      </c>
      <c r="AM186">
        <f t="shared" si="46"/>
        <v>0</v>
      </c>
      <c r="AN186">
        <f t="shared" si="47"/>
        <v>0</v>
      </c>
      <c r="AO186">
        <f t="shared" si="48"/>
        <v>0</v>
      </c>
      <c r="AP186">
        <f t="shared" si="49"/>
        <v>1777.96</v>
      </c>
      <c r="AQ186">
        <f t="shared" si="50"/>
        <v>1</v>
      </c>
    </row>
    <row r="187" spans="1:43">
      <c r="A187" t="s">
        <v>664</v>
      </c>
      <c r="B187" s="5">
        <v>45423</v>
      </c>
      <c r="C187" s="5">
        <v>45609</v>
      </c>
      <c r="D187" s="13">
        <f t="shared" si="34"/>
        <v>186</v>
      </c>
      <c r="E187" t="s">
        <v>665</v>
      </c>
      <c r="F187" t="s">
        <v>53</v>
      </c>
      <c r="G187" t="s">
        <v>24</v>
      </c>
      <c r="H187" t="s">
        <v>2785</v>
      </c>
      <c r="I187" t="s">
        <v>122</v>
      </c>
      <c r="J187" t="s">
        <v>123</v>
      </c>
      <c r="K187" t="s">
        <v>28</v>
      </c>
      <c r="L187" t="s">
        <v>91</v>
      </c>
      <c r="M187" t="s">
        <v>666</v>
      </c>
      <c r="N187" t="s">
        <v>31</v>
      </c>
      <c r="O187">
        <v>2</v>
      </c>
      <c r="P187">
        <v>1003.17</v>
      </c>
      <c r="Q187" s="11">
        <v>0.2</v>
      </c>
      <c r="R187">
        <v>1605.07</v>
      </c>
      <c r="S187">
        <v>1337.28</v>
      </c>
      <c r="T187">
        <v>267.79000000000002</v>
      </c>
      <c r="U187" t="s">
        <v>32</v>
      </c>
      <c r="V187" t="s">
        <v>33</v>
      </c>
      <c r="X187" s="8" t="str">
        <f>IF(C187&gt;=B187,"Valid", "Invalid-Date")</f>
        <v>Valid</v>
      </c>
      <c r="Y187" s="8" t="str">
        <f t="shared" si="35"/>
        <v>Valid</v>
      </c>
      <c r="Z187" s="8" t="str">
        <f t="shared" si="36"/>
        <v>Pass</v>
      </c>
      <c r="AA187" s="8" t="str">
        <f t="shared" si="37"/>
        <v>Flagged</v>
      </c>
      <c r="AB187" s="8" t="str">
        <f>TEXT(B187,"mmmm")</f>
        <v>May</v>
      </c>
      <c r="AC187" s="8" t="str">
        <f>TEXT(B187,"yyyy")</f>
        <v>2024</v>
      </c>
      <c r="AE187">
        <f t="shared" si="38"/>
        <v>2006.34</v>
      </c>
      <c r="AF187" s="11">
        <f t="shared" si="39"/>
        <v>1605.0720000000001</v>
      </c>
      <c r="AG187">
        <f t="shared" si="40"/>
        <v>669.06</v>
      </c>
      <c r="AH187" s="11">
        <f t="shared" si="41"/>
        <v>0.33347289093573373</v>
      </c>
      <c r="AI187" s="9">
        <f t="shared" si="42"/>
        <v>0.33347289093573373</v>
      </c>
      <c r="AJ187">
        <f t="shared" si="43"/>
        <v>1605.07</v>
      </c>
      <c r="AK187">
        <f t="shared" si="44"/>
        <v>1</v>
      </c>
      <c r="AL187">
        <f t="shared" si="45"/>
        <v>0</v>
      </c>
      <c r="AM187">
        <f t="shared" si="46"/>
        <v>0</v>
      </c>
      <c r="AN187">
        <f t="shared" si="47"/>
        <v>0</v>
      </c>
      <c r="AO187">
        <f t="shared" si="48"/>
        <v>0</v>
      </c>
      <c r="AP187">
        <f t="shared" si="49"/>
        <v>0</v>
      </c>
      <c r="AQ187">
        <f t="shared" si="50"/>
        <v>0</v>
      </c>
    </row>
    <row r="188" spans="1:43">
      <c r="A188" t="s">
        <v>667</v>
      </c>
      <c r="B188" s="5">
        <v>45492</v>
      </c>
      <c r="C188" s="5">
        <v>45493</v>
      </c>
      <c r="D188" s="13">
        <f t="shared" si="34"/>
        <v>1</v>
      </c>
      <c r="E188" t="s">
        <v>263</v>
      </c>
      <c r="F188" t="s">
        <v>71</v>
      </c>
      <c r="G188" t="s">
        <v>24</v>
      </c>
      <c r="H188" t="s">
        <v>54</v>
      </c>
      <c r="I188" t="s">
        <v>247</v>
      </c>
      <c r="J188" t="s">
        <v>248</v>
      </c>
      <c r="K188" t="s">
        <v>41</v>
      </c>
      <c r="L188" t="s">
        <v>42</v>
      </c>
      <c r="M188" t="s">
        <v>668</v>
      </c>
      <c r="N188" t="s">
        <v>50</v>
      </c>
      <c r="O188">
        <v>7</v>
      </c>
      <c r="P188">
        <v>3608.43</v>
      </c>
      <c r="Q188" s="11">
        <v>0.05</v>
      </c>
      <c r="R188">
        <v>23996.06</v>
      </c>
      <c r="S188">
        <v>20167.28</v>
      </c>
      <c r="T188">
        <v>3828.78</v>
      </c>
      <c r="U188" t="s">
        <v>32</v>
      </c>
      <c r="V188" t="s">
        <v>33</v>
      </c>
      <c r="X188" s="8" t="str">
        <f>IF(C188&gt;=B188,"Valid", "Invalid-Date")</f>
        <v>Valid</v>
      </c>
      <c r="Y188" s="8" t="str">
        <f t="shared" si="35"/>
        <v>Valid</v>
      </c>
      <c r="Z188" s="8" t="str">
        <f t="shared" si="36"/>
        <v>Pass</v>
      </c>
      <c r="AA188" s="8" t="str">
        <f t="shared" si="37"/>
        <v>Pass</v>
      </c>
      <c r="AB188" s="8" t="str">
        <f>TEXT(B188,"mmmm")</f>
        <v>July</v>
      </c>
      <c r="AC188" s="8" t="str">
        <f>TEXT(B188,"yyyy")</f>
        <v>2024</v>
      </c>
      <c r="AE188">
        <f t="shared" si="38"/>
        <v>25259.01</v>
      </c>
      <c r="AF188" s="11">
        <f t="shared" si="39"/>
        <v>23996.059499999996</v>
      </c>
      <c r="AG188">
        <f t="shared" si="40"/>
        <v>5091.7299999999996</v>
      </c>
      <c r="AH188" s="11">
        <f t="shared" si="41"/>
        <v>0.20158074287155356</v>
      </c>
      <c r="AI188" s="9">
        <f t="shared" si="42"/>
        <v>0.20158074287155356</v>
      </c>
      <c r="AJ188">
        <f t="shared" si="43"/>
        <v>23996.06</v>
      </c>
      <c r="AK188">
        <f t="shared" si="44"/>
        <v>1</v>
      </c>
      <c r="AL188">
        <f t="shared" si="45"/>
        <v>0</v>
      </c>
      <c r="AM188">
        <f t="shared" si="46"/>
        <v>0</v>
      </c>
      <c r="AN188">
        <f t="shared" si="47"/>
        <v>0</v>
      </c>
      <c r="AO188">
        <f t="shared" si="48"/>
        <v>0</v>
      </c>
      <c r="AP188">
        <f t="shared" si="49"/>
        <v>0</v>
      </c>
      <c r="AQ188">
        <f t="shared" si="50"/>
        <v>0</v>
      </c>
    </row>
    <row r="189" spans="1:43">
      <c r="A189" t="s">
        <v>669</v>
      </c>
      <c r="B189" s="5">
        <v>45778</v>
      </c>
      <c r="C189" s="5">
        <v>45693</v>
      </c>
      <c r="D189" s="13">
        <f t="shared" si="34"/>
        <v>-85</v>
      </c>
      <c r="E189" t="s">
        <v>670</v>
      </c>
      <c r="F189" t="s">
        <v>36</v>
      </c>
      <c r="G189" t="s">
        <v>24</v>
      </c>
      <c r="H189" t="s">
        <v>63</v>
      </c>
      <c r="I189" t="s">
        <v>72</v>
      </c>
      <c r="J189" t="s">
        <v>73</v>
      </c>
      <c r="K189" t="s">
        <v>41</v>
      </c>
      <c r="L189" t="s">
        <v>66</v>
      </c>
      <c r="M189" t="s">
        <v>671</v>
      </c>
      <c r="N189" t="s">
        <v>44</v>
      </c>
      <c r="O189">
        <v>3</v>
      </c>
      <c r="P189">
        <v>2905.74</v>
      </c>
      <c r="Q189" s="11">
        <v>0</v>
      </c>
      <c r="R189">
        <v>8717.2199999999993</v>
      </c>
      <c r="S189">
        <v>6215.96</v>
      </c>
      <c r="T189">
        <v>2501.2600000000002</v>
      </c>
      <c r="U189" t="s">
        <v>32</v>
      </c>
      <c r="V189" t="s">
        <v>103</v>
      </c>
      <c r="X189" s="8" t="str">
        <f>IF(C189&gt;=B189,"Valid", "Invalid-Date")</f>
        <v>Invalid-Date</v>
      </c>
      <c r="Y189" s="8" t="str">
        <f t="shared" si="35"/>
        <v>Valid</v>
      </c>
      <c r="Z189" s="8" t="str">
        <f t="shared" si="36"/>
        <v>Pass</v>
      </c>
      <c r="AA189" s="8" t="str">
        <f t="shared" si="37"/>
        <v>Pass</v>
      </c>
      <c r="AB189" s="8" t="str">
        <f>TEXT(B189,"mmmm")</f>
        <v>May</v>
      </c>
      <c r="AC189" s="8" t="str">
        <f>TEXT(B189,"yyyy")</f>
        <v>2025</v>
      </c>
      <c r="AE189">
        <f t="shared" si="38"/>
        <v>8717.2199999999993</v>
      </c>
      <c r="AF189" s="11">
        <f t="shared" si="39"/>
        <v>8717.2199999999993</v>
      </c>
      <c r="AG189">
        <f t="shared" si="40"/>
        <v>2501.2599999999993</v>
      </c>
      <c r="AH189" s="11">
        <f t="shared" si="41"/>
        <v>0.28693321953558582</v>
      </c>
      <c r="AI189" s="9">
        <f t="shared" si="42"/>
        <v>0.28693321953558582</v>
      </c>
      <c r="AJ189">
        <f t="shared" si="43"/>
        <v>0</v>
      </c>
      <c r="AK189">
        <f t="shared" si="44"/>
        <v>0</v>
      </c>
      <c r="AL189">
        <f t="shared" si="45"/>
        <v>0</v>
      </c>
      <c r="AM189">
        <f t="shared" si="46"/>
        <v>0</v>
      </c>
      <c r="AN189">
        <f t="shared" si="47"/>
        <v>0</v>
      </c>
      <c r="AO189">
        <f t="shared" si="48"/>
        <v>0</v>
      </c>
      <c r="AP189">
        <f t="shared" si="49"/>
        <v>8717.2199999999993</v>
      </c>
      <c r="AQ189">
        <f t="shared" si="50"/>
        <v>1</v>
      </c>
    </row>
    <row r="190" spans="1:43">
      <c r="A190" t="s">
        <v>672</v>
      </c>
      <c r="B190" s="5">
        <v>45798</v>
      </c>
      <c r="C190" s="5">
        <v>45805</v>
      </c>
      <c r="D190" s="13">
        <f t="shared" si="34"/>
        <v>7</v>
      </c>
      <c r="E190" t="s">
        <v>673</v>
      </c>
      <c r="F190" t="s">
        <v>114</v>
      </c>
      <c r="G190" t="s">
        <v>90</v>
      </c>
      <c r="H190" t="s">
        <v>38</v>
      </c>
      <c r="I190" t="s">
        <v>99</v>
      </c>
      <c r="J190" t="s">
        <v>100</v>
      </c>
      <c r="K190" t="s">
        <v>41</v>
      </c>
      <c r="L190" t="s">
        <v>158</v>
      </c>
      <c r="M190" t="s">
        <v>674</v>
      </c>
      <c r="N190" t="s">
        <v>44</v>
      </c>
      <c r="O190">
        <v>2</v>
      </c>
      <c r="P190">
        <v>3559.57</v>
      </c>
      <c r="Q190" s="11">
        <v>0.1</v>
      </c>
      <c r="R190">
        <v>6553.95</v>
      </c>
      <c r="S190">
        <v>4923.09</v>
      </c>
      <c r="T190">
        <v>1484.14</v>
      </c>
      <c r="U190" t="s">
        <v>32</v>
      </c>
      <c r="V190" t="s">
        <v>33</v>
      </c>
      <c r="X190" s="8" t="str">
        <f>IF(C190&gt;=B190,"Valid", "Invalid-Date")</f>
        <v>Valid</v>
      </c>
      <c r="Y190" s="8" t="str">
        <f t="shared" si="35"/>
        <v>Valid</v>
      </c>
      <c r="Z190" s="8" t="str">
        <f t="shared" si="36"/>
        <v>Pass</v>
      </c>
      <c r="AA190" s="8" t="str">
        <f t="shared" si="37"/>
        <v>Pass</v>
      </c>
      <c r="AB190" s="8" t="str">
        <f>TEXT(B190,"mmmm")</f>
        <v>May</v>
      </c>
      <c r="AC190" s="8" t="str">
        <f>TEXT(B190,"yyyy")</f>
        <v>2025</v>
      </c>
      <c r="AE190">
        <f t="shared" si="38"/>
        <v>7119.14</v>
      </c>
      <c r="AF190" s="11">
        <f t="shared" si="39"/>
        <v>6407.2260000000006</v>
      </c>
      <c r="AG190">
        <f t="shared" si="40"/>
        <v>2196.0500000000002</v>
      </c>
      <c r="AH190" s="11">
        <f t="shared" si="41"/>
        <v>0.30847124793163222</v>
      </c>
      <c r="AI190" s="9">
        <f t="shared" si="42"/>
        <v>0.30847124793163222</v>
      </c>
      <c r="AJ190">
        <f t="shared" si="43"/>
        <v>6553.95</v>
      </c>
      <c r="AK190">
        <f t="shared" si="44"/>
        <v>1</v>
      </c>
      <c r="AL190">
        <f t="shared" si="45"/>
        <v>0</v>
      </c>
      <c r="AM190">
        <f t="shared" si="46"/>
        <v>0</v>
      </c>
      <c r="AN190">
        <f t="shared" si="47"/>
        <v>0</v>
      </c>
      <c r="AO190">
        <f t="shared" si="48"/>
        <v>0</v>
      </c>
      <c r="AP190">
        <f t="shared" si="49"/>
        <v>0</v>
      </c>
      <c r="AQ190">
        <f t="shared" si="50"/>
        <v>0</v>
      </c>
    </row>
    <row r="191" spans="1:43">
      <c r="A191" t="s">
        <v>675</v>
      </c>
      <c r="B191" s="5">
        <v>45783</v>
      </c>
      <c r="C191" s="5">
        <v>45843</v>
      </c>
      <c r="D191" s="13">
        <f t="shared" si="34"/>
        <v>60</v>
      </c>
      <c r="E191" t="s">
        <v>676</v>
      </c>
      <c r="F191" t="s">
        <v>53</v>
      </c>
      <c r="G191" t="s">
        <v>24</v>
      </c>
      <c r="H191" t="s">
        <v>63</v>
      </c>
      <c r="I191" t="s">
        <v>26</v>
      </c>
      <c r="J191" t="s">
        <v>109</v>
      </c>
      <c r="K191" t="s">
        <v>41</v>
      </c>
      <c r="L191" t="s">
        <v>158</v>
      </c>
      <c r="M191" t="s">
        <v>677</v>
      </c>
      <c r="N191" t="s">
        <v>50</v>
      </c>
      <c r="O191">
        <v>9</v>
      </c>
      <c r="P191">
        <v>3318.24</v>
      </c>
      <c r="Q191" s="11">
        <v>0</v>
      </c>
      <c r="R191">
        <v>25384.54</v>
      </c>
      <c r="S191">
        <v>16872.39</v>
      </c>
      <c r="T191">
        <v>8512.15</v>
      </c>
      <c r="U191" t="s">
        <v>32</v>
      </c>
      <c r="V191" t="s">
        <v>33</v>
      </c>
      <c r="X191" s="8" t="str">
        <f>IF(C191&gt;=B191,"Valid", "Invalid-Date")</f>
        <v>Valid</v>
      </c>
      <c r="Y191" s="8" t="str">
        <f t="shared" si="35"/>
        <v>Valid</v>
      </c>
      <c r="Z191" s="8" t="str">
        <f t="shared" si="36"/>
        <v>Pass</v>
      </c>
      <c r="AA191" s="8" t="str">
        <f t="shared" si="37"/>
        <v>Pass</v>
      </c>
      <c r="AB191" s="8" t="str">
        <f>TEXT(B191,"mmmm")</f>
        <v>May</v>
      </c>
      <c r="AC191" s="8" t="str">
        <f>TEXT(B191,"yyyy")</f>
        <v>2025</v>
      </c>
      <c r="AE191">
        <f t="shared" si="38"/>
        <v>29864.159999999996</v>
      </c>
      <c r="AF191" s="11">
        <f t="shared" si="39"/>
        <v>29864.159999999996</v>
      </c>
      <c r="AG191">
        <f t="shared" si="40"/>
        <v>12991.769999999997</v>
      </c>
      <c r="AH191" s="11">
        <f t="shared" si="41"/>
        <v>0.43502881045373448</v>
      </c>
      <c r="AI191" s="9">
        <f t="shared" si="42"/>
        <v>0.43502881045373448</v>
      </c>
      <c r="AJ191">
        <f t="shared" si="43"/>
        <v>25384.54</v>
      </c>
      <c r="AK191">
        <f t="shared" si="44"/>
        <v>1</v>
      </c>
      <c r="AL191">
        <f t="shared" si="45"/>
        <v>0</v>
      </c>
      <c r="AM191">
        <f t="shared" si="46"/>
        <v>0</v>
      </c>
      <c r="AN191">
        <f t="shared" si="47"/>
        <v>0</v>
      </c>
      <c r="AO191">
        <f t="shared" si="48"/>
        <v>0</v>
      </c>
      <c r="AP191">
        <f t="shared" si="49"/>
        <v>0</v>
      </c>
      <c r="AQ191">
        <f t="shared" si="50"/>
        <v>0</v>
      </c>
    </row>
    <row r="192" spans="1:43">
      <c r="A192" t="s">
        <v>678</v>
      </c>
      <c r="B192" s="5">
        <v>45767</v>
      </c>
      <c r="C192" s="5">
        <v>45768</v>
      </c>
      <c r="D192" s="13">
        <f t="shared" si="34"/>
        <v>1</v>
      </c>
      <c r="E192" t="s">
        <v>679</v>
      </c>
      <c r="F192" t="s">
        <v>89</v>
      </c>
      <c r="G192" t="s">
        <v>24</v>
      </c>
      <c r="H192" t="s">
        <v>54</v>
      </c>
      <c r="I192" t="s">
        <v>247</v>
      </c>
      <c r="J192" t="s">
        <v>248</v>
      </c>
      <c r="K192" t="s">
        <v>28</v>
      </c>
      <c r="L192" t="s">
        <v>124</v>
      </c>
      <c r="M192" t="s">
        <v>680</v>
      </c>
      <c r="N192" t="s">
        <v>50</v>
      </c>
      <c r="O192">
        <v>3</v>
      </c>
      <c r="P192">
        <v>540.09</v>
      </c>
      <c r="Q192" s="11">
        <v>0.1</v>
      </c>
      <c r="R192">
        <v>1458.24</v>
      </c>
      <c r="S192">
        <v>943.32</v>
      </c>
      <c r="T192">
        <v>514.91999999999996</v>
      </c>
      <c r="U192" t="s">
        <v>32</v>
      </c>
      <c r="V192" t="s">
        <v>33</v>
      </c>
      <c r="X192" s="8" t="str">
        <f>IF(C192&gt;=B192,"Valid", "Invalid-Date")</f>
        <v>Valid</v>
      </c>
      <c r="Y192" s="8" t="str">
        <f t="shared" si="35"/>
        <v>Valid</v>
      </c>
      <c r="Z192" s="8" t="str">
        <f t="shared" si="36"/>
        <v>Pass</v>
      </c>
      <c r="AA192" s="8" t="str">
        <f t="shared" si="37"/>
        <v>Pass</v>
      </c>
      <c r="AB192" s="8" t="str">
        <f>TEXT(B192,"mmmm")</f>
        <v>April</v>
      </c>
      <c r="AC192" s="8" t="str">
        <f>TEXT(B192,"yyyy")</f>
        <v>2025</v>
      </c>
      <c r="AE192">
        <f t="shared" si="38"/>
        <v>1620.27</v>
      </c>
      <c r="AF192" s="11">
        <f t="shared" si="39"/>
        <v>1458.2429999999999</v>
      </c>
      <c r="AG192">
        <f t="shared" si="40"/>
        <v>676.94999999999993</v>
      </c>
      <c r="AH192" s="11">
        <f t="shared" si="41"/>
        <v>0.41780073691421798</v>
      </c>
      <c r="AI192" s="9">
        <f t="shared" si="42"/>
        <v>0.41780073691421798</v>
      </c>
      <c r="AJ192">
        <f t="shared" si="43"/>
        <v>1458.24</v>
      </c>
      <c r="AK192">
        <f t="shared" si="44"/>
        <v>1</v>
      </c>
      <c r="AL192">
        <f t="shared" si="45"/>
        <v>0</v>
      </c>
      <c r="AM192">
        <f t="shared" si="46"/>
        <v>0</v>
      </c>
      <c r="AN192">
        <f t="shared" si="47"/>
        <v>0</v>
      </c>
      <c r="AO192">
        <f t="shared" si="48"/>
        <v>0</v>
      </c>
      <c r="AP192">
        <f t="shared" si="49"/>
        <v>0</v>
      </c>
      <c r="AQ192">
        <f t="shared" si="50"/>
        <v>0</v>
      </c>
    </row>
    <row r="193" spans="1:43">
      <c r="A193" t="s">
        <v>681</v>
      </c>
      <c r="B193" s="5">
        <v>45584</v>
      </c>
      <c r="C193" s="5">
        <v>45589</v>
      </c>
      <c r="D193" s="13">
        <f t="shared" si="34"/>
        <v>5</v>
      </c>
      <c r="E193" t="s">
        <v>682</v>
      </c>
      <c r="F193" t="s">
        <v>132</v>
      </c>
      <c r="G193" t="s">
        <v>37</v>
      </c>
      <c r="H193" t="s">
        <v>54</v>
      </c>
      <c r="I193" t="s">
        <v>247</v>
      </c>
      <c r="J193" t="s">
        <v>248</v>
      </c>
      <c r="K193" t="s">
        <v>41</v>
      </c>
      <c r="L193" t="s">
        <v>158</v>
      </c>
      <c r="M193" t="s">
        <v>683</v>
      </c>
      <c r="N193" t="s">
        <v>31</v>
      </c>
      <c r="O193">
        <v>6</v>
      </c>
      <c r="P193">
        <v>4308.3999999999996</v>
      </c>
      <c r="Q193" s="11">
        <v>0.65</v>
      </c>
      <c r="R193">
        <v>25850.400000000001</v>
      </c>
      <c r="S193">
        <v>19397.68</v>
      </c>
      <c r="T193">
        <v>6452.72</v>
      </c>
      <c r="U193" t="s">
        <v>32</v>
      </c>
      <c r="V193" t="s">
        <v>33</v>
      </c>
      <c r="X193" s="8" t="str">
        <f>IF(C193&gt;=B193,"Valid", "Invalid-Date")</f>
        <v>Valid</v>
      </c>
      <c r="Y193" s="8" t="str">
        <f t="shared" si="35"/>
        <v>Invalid-Discount</v>
      </c>
      <c r="Z193" s="8" t="str">
        <f t="shared" si="36"/>
        <v>Pass</v>
      </c>
      <c r="AA193" s="8" t="str">
        <f t="shared" si="37"/>
        <v>Pass</v>
      </c>
      <c r="AB193" s="8" t="str">
        <f>TEXT(B193,"mmmm")</f>
        <v>October</v>
      </c>
      <c r="AC193" s="8" t="str">
        <f>TEXT(B193,"yyyy")</f>
        <v>2024</v>
      </c>
      <c r="AE193">
        <f t="shared" si="38"/>
        <v>25850.399999999998</v>
      </c>
      <c r="AF193" s="11">
        <f t="shared" si="39"/>
        <v>9047.64</v>
      </c>
      <c r="AG193">
        <f t="shared" si="40"/>
        <v>6452.7199999999975</v>
      </c>
      <c r="AH193" s="11">
        <f t="shared" si="41"/>
        <v>0.24961780088509261</v>
      </c>
      <c r="AI193" s="9">
        <f t="shared" si="42"/>
        <v>0.24961780088509261</v>
      </c>
      <c r="AJ193">
        <f t="shared" si="43"/>
        <v>25850.400000000001</v>
      </c>
      <c r="AK193">
        <f t="shared" si="44"/>
        <v>1</v>
      </c>
      <c r="AL193">
        <f t="shared" si="45"/>
        <v>0</v>
      </c>
      <c r="AM193">
        <f t="shared" si="46"/>
        <v>0</v>
      </c>
      <c r="AN193">
        <f t="shared" si="47"/>
        <v>0</v>
      </c>
      <c r="AO193">
        <f t="shared" si="48"/>
        <v>0</v>
      </c>
      <c r="AP193">
        <f t="shared" si="49"/>
        <v>0</v>
      </c>
      <c r="AQ193">
        <f t="shared" si="50"/>
        <v>0</v>
      </c>
    </row>
    <row r="194" spans="1:43">
      <c r="A194" t="s">
        <v>684</v>
      </c>
      <c r="B194" s="5">
        <v>45635</v>
      </c>
      <c r="C194" s="5">
        <v>45642</v>
      </c>
      <c r="D194" s="13">
        <f t="shared" si="34"/>
        <v>7</v>
      </c>
      <c r="E194" t="s">
        <v>685</v>
      </c>
      <c r="F194" t="s">
        <v>47</v>
      </c>
      <c r="G194" t="s">
        <v>95</v>
      </c>
      <c r="H194" t="s">
        <v>63</v>
      </c>
      <c r="I194" t="s">
        <v>180</v>
      </c>
      <c r="J194" t="s">
        <v>181</v>
      </c>
      <c r="K194" t="s">
        <v>41</v>
      </c>
      <c r="L194" t="s">
        <v>66</v>
      </c>
      <c r="M194" t="s">
        <v>686</v>
      </c>
      <c r="N194" t="s">
        <v>50</v>
      </c>
      <c r="O194">
        <v>4</v>
      </c>
      <c r="P194">
        <v>2191.0300000000002</v>
      </c>
      <c r="Q194" s="11">
        <v>0</v>
      </c>
      <c r="R194">
        <v>8764.1200000000008</v>
      </c>
      <c r="S194">
        <v>7220.05</v>
      </c>
      <c r="T194">
        <v>1544.07</v>
      </c>
      <c r="U194" t="s">
        <v>32</v>
      </c>
      <c r="V194" t="s">
        <v>33</v>
      </c>
      <c r="X194" s="8" t="str">
        <f>IF(C194&gt;=B194,"Valid", "Invalid-Date")</f>
        <v>Valid</v>
      </c>
      <c r="Y194" s="8" t="str">
        <f t="shared" si="35"/>
        <v>Valid</v>
      </c>
      <c r="Z194" s="8" t="str">
        <f t="shared" si="36"/>
        <v>Pass</v>
      </c>
      <c r="AA194" s="8" t="str">
        <f t="shared" si="37"/>
        <v>Pass</v>
      </c>
      <c r="AB194" s="8" t="str">
        <f>TEXT(B194,"mmmm")</f>
        <v>December</v>
      </c>
      <c r="AC194" s="8" t="str">
        <f>TEXT(B194,"yyyy")</f>
        <v>2024</v>
      </c>
      <c r="AE194">
        <f t="shared" si="38"/>
        <v>8764.1200000000008</v>
      </c>
      <c r="AF194" s="11">
        <f t="shared" si="39"/>
        <v>8764.1200000000008</v>
      </c>
      <c r="AG194">
        <f t="shared" si="40"/>
        <v>1544.0700000000006</v>
      </c>
      <c r="AH194" s="11">
        <f t="shared" si="41"/>
        <v>0.17618083732308554</v>
      </c>
      <c r="AI194" s="9">
        <f t="shared" si="42"/>
        <v>0.17618083732308554</v>
      </c>
      <c r="AJ194">
        <f t="shared" si="43"/>
        <v>8764.1200000000008</v>
      </c>
      <c r="AK194">
        <f t="shared" si="44"/>
        <v>1</v>
      </c>
      <c r="AL194">
        <f t="shared" si="45"/>
        <v>0</v>
      </c>
      <c r="AM194">
        <f t="shared" si="46"/>
        <v>0</v>
      </c>
      <c r="AN194">
        <f t="shared" si="47"/>
        <v>0</v>
      </c>
      <c r="AO194">
        <f t="shared" si="48"/>
        <v>0</v>
      </c>
      <c r="AP194">
        <f t="shared" si="49"/>
        <v>0</v>
      </c>
      <c r="AQ194">
        <f t="shared" si="50"/>
        <v>0</v>
      </c>
    </row>
    <row r="195" spans="1:43">
      <c r="A195" t="s">
        <v>687</v>
      </c>
      <c r="B195" s="5">
        <v>45466</v>
      </c>
      <c r="C195" s="5">
        <v>45471</v>
      </c>
      <c r="D195" s="13">
        <f t="shared" ref="D195:D258" si="51">C195-B195</f>
        <v>5</v>
      </c>
      <c r="E195" t="s">
        <v>688</v>
      </c>
      <c r="F195" t="s">
        <v>114</v>
      </c>
      <c r="G195" t="s">
        <v>37</v>
      </c>
      <c r="H195" t="s">
        <v>25</v>
      </c>
      <c r="I195" t="s">
        <v>122</v>
      </c>
      <c r="J195" t="s">
        <v>123</v>
      </c>
      <c r="K195" t="s">
        <v>74</v>
      </c>
      <c r="L195" t="s">
        <v>80</v>
      </c>
      <c r="M195" t="s">
        <v>689</v>
      </c>
      <c r="N195" t="s">
        <v>44</v>
      </c>
      <c r="O195">
        <v>6</v>
      </c>
      <c r="P195">
        <v>1956.63</v>
      </c>
      <c r="Q195" s="11">
        <v>0.2</v>
      </c>
      <c r="R195">
        <v>9391.82</v>
      </c>
      <c r="S195">
        <v>6013.22</v>
      </c>
      <c r="T195">
        <v>3378.6</v>
      </c>
      <c r="U195" t="s">
        <v>102</v>
      </c>
      <c r="V195" t="s">
        <v>103</v>
      </c>
      <c r="X195" s="8" t="str">
        <f>IF(C195&gt;=B195,"Valid", "Invalid-Date")</f>
        <v>Valid</v>
      </c>
      <c r="Y195" s="8" t="str">
        <f t="shared" ref="Y195:Y258" si="52">IF(OR(Q195&lt;0, Q195&gt;0.5), "Invalid-Discount", "Valid")</f>
        <v>Valid</v>
      </c>
      <c r="Z195" s="8" t="str">
        <f t="shared" ref="Z195:Z258" si="53">IF(N195="Unknown","Flagged","Pass")</f>
        <v>Pass</v>
      </c>
      <c r="AA195" s="8" t="str">
        <f t="shared" ref="AA195:AA258" si="54">IF(H195="Unknown","Flagged","Pass")</f>
        <v>Pass</v>
      </c>
      <c r="AB195" s="8" t="str">
        <f>TEXT(B195,"mmmm")</f>
        <v>June</v>
      </c>
      <c r="AC195" s="8" t="str">
        <f>TEXT(B195,"yyyy")</f>
        <v>2024</v>
      </c>
      <c r="AE195">
        <f t="shared" ref="AE195:AE258" si="55">O195*P195</f>
        <v>11739.78</v>
      </c>
      <c r="AF195" s="11">
        <f t="shared" ref="AF195:AF258" si="56">AE195*(1-Q195)</f>
        <v>9391.8240000000005</v>
      </c>
      <c r="AG195">
        <f t="shared" ref="AG195:AG258" si="57">AE195-S195</f>
        <v>5726.56</v>
      </c>
      <c r="AH195" s="11">
        <f t="shared" ref="AH195:AH258" si="58">AG195/AE195</f>
        <v>0.48779108296748319</v>
      </c>
      <c r="AI195" s="9">
        <f t="shared" ref="AI195:AI258" si="59">AG195/AE195</f>
        <v>0.48779108296748319</v>
      </c>
      <c r="AJ195">
        <f t="shared" ref="AJ195:AJ258" si="60">SUMIFS(R195, V195, "Completed", U195, "Paid")</f>
        <v>0</v>
      </c>
      <c r="AK195">
        <f t="shared" ref="AK195:AK258" si="61">COUNTIFS(V195, "Completed", U195, "Paid")</f>
        <v>0</v>
      </c>
      <c r="AL195">
        <f t="shared" ref="AL195:AL258" si="62">SUMIFS(R195, V195, "Cancelled")</f>
        <v>0</v>
      </c>
      <c r="AM195">
        <f t="shared" ref="AM195:AM258" si="63">COUNTIFS(V195, "Cancelled")</f>
        <v>0</v>
      </c>
      <c r="AN195">
        <f t="shared" ref="AN195:AN258" si="64">SUMIFS(R195, U195, "Failed")</f>
        <v>0</v>
      </c>
      <c r="AO195">
        <f t="shared" ref="AO195:AO258" si="65">COUNTIFS(U195, "Failed")</f>
        <v>0</v>
      </c>
      <c r="AP195">
        <f t="shared" ref="AP195:AP258" si="66">SUMIFS(R195, V195, "Returned")</f>
        <v>9391.82</v>
      </c>
      <c r="AQ195">
        <f t="shared" ref="AQ195:AQ258" si="67">COUNTIFS(V195, "Returned")</f>
        <v>1</v>
      </c>
    </row>
    <row r="196" spans="1:43">
      <c r="A196" t="s">
        <v>690</v>
      </c>
      <c r="B196" s="5">
        <v>45685</v>
      </c>
      <c r="C196" s="5">
        <v>45688</v>
      </c>
      <c r="D196" s="13">
        <f t="shared" si="51"/>
        <v>3</v>
      </c>
      <c r="E196" t="s">
        <v>691</v>
      </c>
      <c r="F196" t="s">
        <v>114</v>
      </c>
      <c r="G196" t="s">
        <v>24</v>
      </c>
      <c r="H196" t="s">
        <v>63</v>
      </c>
      <c r="I196" t="s">
        <v>64</v>
      </c>
      <c r="J196" t="s">
        <v>65</v>
      </c>
      <c r="K196" t="s">
        <v>41</v>
      </c>
      <c r="L196" t="s">
        <v>57</v>
      </c>
      <c r="M196" t="s">
        <v>692</v>
      </c>
      <c r="N196" t="s">
        <v>50</v>
      </c>
      <c r="O196">
        <v>9</v>
      </c>
      <c r="P196">
        <v>858.39</v>
      </c>
      <c r="Q196" s="11">
        <v>0.05</v>
      </c>
      <c r="R196">
        <v>7339.23</v>
      </c>
      <c r="S196">
        <v>5434.12</v>
      </c>
      <c r="T196">
        <v>1905.11</v>
      </c>
      <c r="U196" t="s">
        <v>111</v>
      </c>
      <c r="V196" t="s">
        <v>103</v>
      </c>
      <c r="X196" s="8" t="str">
        <f>IF(C196&gt;=B196,"Valid", "Invalid-Date")</f>
        <v>Valid</v>
      </c>
      <c r="Y196" s="8" t="str">
        <f t="shared" si="52"/>
        <v>Valid</v>
      </c>
      <c r="Z196" s="8" t="str">
        <f t="shared" si="53"/>
        <v>Pass</v>
      </c>
      <c r="AA196" s="8" t="str">
        <f t="shared" si="54"/>
        <v>Pass</v>
      </c>
      <c r="AB196" s="8" t="str">
        <f>TEXT(B196,"mmmm")</f>
        <v>January</v>
      </c>
      <c r="AC196" s="8" t="str">
        <f>TEXT(B196,"yyyy")</f>
        <v>2025</v>
      </c>
      <c r="AE196">
        <f t="shared" si="55"/>
        <v>7725.51</v>
      </c>
      <c r="AF196" s="11">
        <f t="shared" si="56"/>
        <v>7339.2344999999996</v>
      </c>
      <c r="AG196">
        <f t="shared" si="57"/>
        <v>2291.3900000000003</v>
      </c>
      <c r="AH196" s="11">
        <f t="shared" si="58"/>
        <v>0.29660048333378641</v>
      </c>
      <c r="AI196" s="9">
        <f t="shared" si="59"/>
        <v>0.29660048333378641</v>
      </c>
      <c r="AJ196">
        <f t="shared" si="60"/>
        <v>0</v>
      </c>
      <c r="AK196">
        <f t="shared" si="61"/>
        <v>0</v>
      </c>
      <c r="AL196">
        <f t="shared" si="62"/>
        <v>0</v>
      </c>
      <c r="AM196">
        <f t="shared" si="63"/>
        <v>0</v>
      </c>
      <c r="AN196">
        <f t="shared" si="64"/>
        <v>0</v>
      </c>
      <c r="AO196">
        <f t="shared" si="65"/>
        <v>0</v>
      </c>
      <c r="AP196">
        <f t="shared" si="66"/>
        <v>7339.23</v>
      </c>
      <c r="AQ196">
        <f t="shared" si="67"/>
        <v>1</v>
      </c>
    </row>
    <row r="197" spans="1:43">
      <c r="A197" t="s">
        <v>693</v>
      </c>
      <c r="B197" s="5">
        <v>45860</v>
      </c>
      <c r="C197" s="5">
        <v>45862</v>
      </c>
      <c r="D197" s="13">
        <f t="shared" si="51"/>
        <v>2</v>
      </c>
      <c r="E197" t="s">
        <v>694</v>
      </c>
      <c r="F197" t="s">
        <v>79</v>
      </c>
      <c r="G197" t="s">
        <v>95</v>
      </c>
      <c r="H197" t="s">
        <v>54</v>
      </c>
      <c r="I197" t="s">
        <v>84</v>
      </c>
      <c r="J197" t="s">
        <v>85</v>
      </c>
      <c r="K197" t="s">
        <v>41</v>
      </c>
      <c r="L197" t="s">
        <v>57</v>
      </c>
      <c r="M197" t="s">
        <v>695</v>
      </c>
      <c r="N197" t="s">
        <v>44</v>
      </c>
      <c r="O197">
        <v>5</v>
      </c>
      <c r="P197">
        <v>1922.83</v>
      </c>
      <c r="Q197" s="11">
        <v>0</v>
      </c>
      <c r="R197">
        <v>9614.15</v>
      </c>
      <c r="S197">
        <v>7576.84</v>
      </c>
      <c r="T197">
        <v>2037.31</v>
      </c>
      <c r="U197" t="s">
        <v>32</v>
      </c>
      <c r="V197" t="s">
        <v>33</v>
      </c>
      <c r="X197" s="8" t="str">
        <f>IF(C197&gt;=B197,"Valid", "Invalid-Date")</f>
        <v>Valid</v>
      </c>
      <c r="Y197" s="8" t="str">
        <f t="shared" si="52"/>
        <v>Valid</v>
      </c>
      <c r="Z197" s="8" t="str">
        <f t="shared" si="53"/>
        <v>Pass</v>
      </c>
      <c r="AA197" s="8" t="str">
        <f t="shared" si="54"/>
        <v>Pass</v>
      </c>
      <c r="AB197" s="8" t="str">
        <f>TEXT(B197,"mmmm")</f>
        <v>July</v>
      </c>
      <c r="AC197" s="8" t="str">
        <f>TEXT(B197,"yyyy")</f>
        <v>2025</v>
      </c>
      <c r="AE197">
        <f t="shared" si="55"/>
        <v>9614.15</v>
      </c>
      <c r="AF197" s="11">
        <f t="shared" si="56"/>
        <v>9614.15</v>
      </c>
      <c r="AG197">
        <f t="shared" si="57"/>
        <v>2037.3099999999995</v>
      </c>
      <c r="AH197" s="11">
        <f t="shared" si="58"/>
        <v>0.21190744891644084</v>
      </c>
      <c r="AI197" s="9">
        <f t="shared" si="59"/>
        <v>0.21190744891644084</v>
      </c>
      <c r="AJ197">
        <f t="shared" si="60"/>
        <v>9614.15</v>
      </c>
      <c r="AK197">
        <f t="shared" si="61"/>
        <v>1</v>
      </c>
      <c r="AL197">
        <f t="shared" si="62"/>
        <v>0</v>
      </c>
      <c r="AM197">
        <f t="shared" si="63"/>
        <v>0</v>
      </c>
      <c r="AN197">
        <f t="shared" si="64"/>
        <v>0</v>
      </c>
      <c r="AO197">
        <f t="shared" si="65"/>
        <v>0</v>
      </c>
      <c r="AP197">
        <f t="shared" si="66"/>
        <v>0</v>
      </c>
      <c r="AQ197">
        <f t="shared" si="67"/>
        <v>0</v>
      </c>
    </row>
    <row r="198" spans="1:43">
      <c r="A198" t="s">
        <v>696</v>
      </c>
      <c r="B198" s="5">
        <v>45313</v>
      </c>
      <c r="C198" s="5">
        <v>45316</v>
      </c>
      <c r="D198" s="13">
        <f t="shared" si="51"/>
        <v>3</v>
      </c>
      <c r="E198" t="s">
        <v>697</v>
      </c>
      <c r="F198" t="s">
        <v>264</v>
      </c>
      <c r="G198" t="s">
        <v>95</v>
      </c>
      <c r="H198" t="s">
        <v>25</v>
      </c>
      <c r="I198" t="s">
        <v>136</v>
      </c>
      <c r="J198" t="s">
        <v>137</v>
      </c>
      <c r="K198" t="s">
        <v>28</v>
      </c>
      <c r="L198" t="s">
        <v>124</v>
      </c>
      <c r="M198" t="s">
        <v>698</v>
      </c>
      <c r="N198" t="s">
        <v>50</v>
      </c>
      <c r="O198">
        <v>3</v>
      </c>
      <c r="P198">
        <v>1212.03</v>
      </c>
      <c r="Q198" s="11">
        <v>0.1</v>
      </c>
      <c r="R198">
        <v>3272.48</v>
      </c>
      <c r="S198">
        <v>2517.44</v>
      </c>
      <c r="T198">
        <v>755.04</v>
      </c>
      <c r="U198" t="s">
        <v>32</v>
      </c>
      <c r="V198" t="s">
        <v>33</v>
      </c>
      <c r="X198" s="8" t="str">
        <f>IF(C198&gt;=B198,"Valid", "Invalid-Date")</f>
        <v>Valid</v>
      </c>
      <c r="Y198" s="8" t="str">
        <f t="shared" si="52"/>
        <v>Valid</v>
      </c>
      <c r="Z198" s="8" t="str">
        <f t="shared" si="53"/>
        <v>Pass</v>
      </c>
      <c r="AA198" s="8" t="str">
        <f t="shared" si="54"/>
        <v>Pass</v>
      </c>
      <c r="AB198" s="8" t="str">
        <f>TEXT(B198,"mmmm")</f>
        <v>January</v>
      </c>
      <c r="AC198" s="8" t="str">
        <f>TEXT(B198,"yyyy")</f>
        <v>2024</v>
      </c>
      <c r="AE198">
        <f t="shared" si="55"/>
        <v>3636.09</v>
      </c>
      <c r="AF198" s="11">
        <f t="shared" si="56"/>
        <v>3272.4810000000002</v>
      </c>
      <c r="AG198">
        <f t="shared" si="57"/>
        <v>1118.6500000000001</v>
      </c>
      <c r="AH198" s="11">
        <f t="shared" si="58"/>
        <v>0.30765190080553562</v>
      </c>
      <c r="AI198" s="9">
        <f t="shared" si="59"/>
        <v>0.30765190080553562</v>
      </c>
      <c r="AJ198">
        <f t="shared" si="60"/>
        <v>3272.48</v>
      </c>
      <c r="AK198">
        <f t="shared" si="61"/>
        <v>1</v>
      </c>
      <c r="AL198">
        <f t="shared" si="62"/>
        <v>0</v>
      </c>
      <c r="AM198">
        <f t="shared" si="63"/>
        <v>0</v>
      </c>
      <c r="AN198">
        <f t="shared" si="64"/>
        <v>0</v>
      </c>
      <c r="AO198">
        <f t="shared" si="65"/>
        <v>0</v>
      </c>
      <c r="AP198">
        <f t="shared" si="66"/>
        <v>0</v>
      </c>
      <c r="AQ198">
        <f t="shared" si="67"/>
        <v>0</v>
      </c>
    </row>
    <row r="199" spans="1:43">
      <c r="A199" t="s">
        <v>699</v>
      </c>
      <c r="B199" s="5">
        <v>45747</v>
      </c>
      <c r="C199" s="5">
        <v>45754</v>
      </c>
      <c r="D199" s="13">
        <f t="shared" si="51"/>
        <v>7</v>
      </c>
      <c r="E199" t="s">
        <v>390</v>
      </c>
      <c r="F199" t="s">
        <v>118</v>
      </c>
      <c r="G199" t="s">
        <v>37</v>
      </c>
      <c r="H199" t="s">
        <v>38</v>
      </c>
      <c r="I199" t="s">
        <v>145</v>
      </c>
      <c r="J199" t="s">
        <v>146</v>
      </c>
      <c r="K199" t="s">
        <v>28</v>
      </c>
      <c r="L199" t="s">
        <v>124</v>
      </c>
      <c r="M199" t="s">
        <v>700</v>
      </c>
      <c r="N199" t="s">
        <v>31</v>
      </c>
      <c r="O199">
        <v>5</v>
      </c>
      <c r="P199">
        <v>4096.4399999999996</v>
      </c>
      <c r="Q199" s="11">
        <v>0.15</v>
      </c>
      <c r="R199">
        <v>17409.87</v>
      </c>
      <c r="S199">
        <v>14076.25</v>
      </c>
      <c r="T199">
        <v>3333.62</v>
      </c>
      <c r="U199" t="s">
        <v>32</v>
      </c>
      <c r="V199" t="s">
        <v>33</v>
      </c>
      <c r="X199" s="8" t="str">
        <f>IF(C199&gt;=B199,"Valid", "Invalid-Date")</f>
        <v>Valid</v>
      </c>
      <c r="Y199" s="8" t="str">
        <f t="shared" si="52"/>
        <v>Valid</v>
      </c>
      <c r="Z199" s="8" t="str">
        <f t="shared" si="53"/>
        <v>Pass</v>
      </c>
      <c r="AA199" s="8" t="str">
        <f t="shared" si="54"/>
        <v>Pass</v>
      </c>
      <c r="AB199" s="8" t="str">
        <f>TEXT(B199,"mmmm")</f>
        <v>March</v>
      </c>
      <c r="AC199" s="8" t="str">
        <f>TEXT(B199,"yyyy")</f>
        <v>2025</v>
      </c>
      <c r="AE199">
        <f t="shared" si="55"/>
        <v>20482.199999999997</v>
      </c>
      <c r="AF199" s="11">
        <f t="shared" si="56"/>
        <v>17409.869999999995</v>
      </c>
      <c r="AG199">
        <f t="shared" si="57"/>
        <v>6405.9499999999971</v>
      </c>
      <c r="AH199" s="11">
        <f t="shared" si="58"/>
        <v>0.31275693040786623</v>
      </c>
      <c r="AI199" s="9">
        <f t="shared" si="59"/>
        <v>0.31275693040786623</v>
      </c>
      <c r="AJ199">
        <f t="shared" si="60"/>
        <v>17409.87</v>
      </c>
      <c r="AK199">
        <f t="shared" si="61"/>
        <v>1</v>
      </c>
      <c r="AL199">
        <f t="shared" si="62"/>
        <v>0</v>
      </c>
      <c r="AM199">
        <f t="shared" si="63"/>
        <v>0</v>
      </c>
      <c r="AN199">
        <f t="shared" si="64"/>
        <v>0</v>
      </c>
      <c r="AO199">
        <f t="shared" si="65"/>
        <v>0</v>
      </c>
      <c r="AP199">
        <f t="shared" si="66"/>
        <v>0</v>
      </c>
      <c r="AQ199">
        <f t="shared" si="67"/>
        <v>0</v>
      </c>
    </row>
    <row r="200" spans="1:43">
      <c r="A200" t="s">
        <v>701</v>
      </c>
      <c r="B200" s="5">
        <v>45448</v>
      </c>
      <c r="C200" s="5">
        <v>45449</v>
      </c>
      <c r="D200" s="13">
        <f t="shared" si="51"/>
        <v>1</v>
      </c>
      <c r="E200" t="s">
        <v>702</v>
      </c>
      <c r="F200" t="s">
        <v>132</v>
      </c>
      <c r="G200" t="s">
        <v>24</v>
      </c>
      <c r="H200" t="s">
        <v>63</v>
      </c>
      <c r="I200" t="s">
        <v>180</v>
      </c>
      <c r="J200" t="s">
        <v>181</v>
      </c>
      <c r="K200" t="s">
        <v>28</v>
      </c>
      <c r="L200" t="s">
        <v>48</v>
      </c>
      <c r="M200" t="s">
        <v>703</v>
      </c>
      <c r="N200" t="s">
        <v>31</v>
      </c>
      <c r="O200">
        <v>1</v>
      </c>
      <c r="P200">
        <v>1184.58</v>
      </c>
      <c r="Q200" s="11">
        <v>0.05</v>
      </c>
      <c r="R200">
        <v>1125.3499999999999</v>
      </c>
      <c r="S200">
        <v>676.97</v>
      </c>
      <c r="T200">
        <v>448.38</v>
      </c>
      <c r="U200" t="s">
        <v>155</v>
      </c>
      <c r="V200" t="s">
        <v>68</v>
      </c>
      <c r="X200" s="8" t="str">
        <f>IF(C200&gt;=B200,"Valid", "Invalid-Date")</f>
        <v>Valid</v>
      </c>
      <c r="Y200" s="8" t="str">
        <f t="shared" si="52"/>
        <v>Valid</v>
      </c>
      <c r="Z200" s="8" t="str">
        <f t="shared" si="53"/>
        <v>Pass</v>
      </c>
      <c r="AA200" s="8" t="str">
        <f t="shared" si="54"/>
        <v>Pass</v>
      </c>
      <c r="AB200" s="8" t="str">
        <f>TEXT(B200,"mmmm")</f>
        <v>June</v>
      </c>
      <c r="AC200" s="8" t="str">
        <f>TEXT(B200,"yyyy")</f>
        <v>2024</v>
      </c>
      <c r="AE200">
        <f t="shared" si="55"/>
        <v>1184.58</v>
      </c>
      <c r="AF200" s="11">
        <f t="shared" si="56"/>
        <v>1125.3509999999999</v>
      </c>
      <c r="AG200">
        <f t="shared" si="57"/>
        <v>507.6099999999999</v>
      </c>
      <c r="AH200" s="11">
        <f t="shared" si="58"/>
        <v>0.42851474784311733</v>
      </c>
      <c r="AI200" s="9">
        <f t="shared" si="59"/>
        <v>0.42851474784311733</v>
      </c>
      <c r="AJ200">
        <f t="shared" si="60"/>
        <v>0</v>
      </c>
      <c r="AK200">
        <f t="shared" si="61"/>
        <v>0</v>
      </c>
      <c r="AL200">
        <f t="shared" si="62"/>
        <v>1125.3499999999999</v>
      </c>
      <c r="AM200">
        <f t="shared" si="63"/>
        <v>1</v>
      </c>
      <c r="AN200">
        <f t="shared" si="64"/>
        <v>1125.3499999999999</v>
      </c>
      <c r="AO200">
        <f t="shared" si="65"/>
        <v>1</v>
      </c>
      <c r="AP200">
        <f t="shared" si="66"/>
        <v>0</v>
      </c>
      <c r="AQ200">
        <f t="shared" si="67"/>
        <v>0</v>
      </c>
    </row>
    <row r="201" spans="1:43">
      <c r="A201" t="s">
        <v>704</v>
      </c>
      <c r="B201" s="5">
        <v>45629</v>
      </c>
      <c r="C201" s="5">
        <v>45363</v>
      </c>
      <c r="D201" s="13">
        <f t="shared" si="51"/>
        <v>-266</v>
      </c>
      <c r="E201" t="s">
        <v>705</v>
      </c>
      <c r="F201" t="s">
        <v>118</v>
      </c>
      <c r="G201" t="s">
        <v>95</v>
      </c>
      <c r="H201" t="s">
        <v>38</v>
      </c>
      <c r="I201" t="s">
        <v>145</v>
      </c>
      <c r="J201" t="s">
        <v>146</v>
      </c>
      <c r="K201" t="s">
        <v>74</v>
      </c>
      <c r="L201" t="s">
        <v>274</v>
      </c>
      <c r="M201" t="s">
        <v>706</v>
      </c>
      <c r="N201" t="s">
        <v>2785</v>
      </c>
      <c r="O201">
        <v>6</v>
      </c>
      <c r="P201">
        <v>2185.58</v>
      </c>
      <c r="Q201" s="11">
        <v>0.25</v>
      </c>
      <c r="R201">
        <v>9835.11</v>
      </c>
      <c r="S201">
        <v>5437.64</v>
      </c>
      <c r="T201">
        <v>4397.47</v>
      </c>
      <c r="U201" t="s">
        <v>32</v>
      </c>
      <c r="V201" t="s">
        <v>33</v>
      </c>
      <c r="X201" s="8" t="str">
        <f>IF(C201&gt;=B201,"Valid", "Invalid-Date")</f>
        <v>Invalid-Date</v>
      </c>
      <c r="Y201" s="8" t="str">
        <f t="shared" si="52"/>
        <v>Valid</v>
      </c>
      <c r="Z201" s="8" t="str">
        <f t="shared" si="53"/>
        <v>Flagged</v>
      </c>
      <c r="AA201" s="8" t="str">
        <f t="shared" si="54"/>
        <v>Pass</v>
      </c>
      <c r="AB201" s="8" t="str">
        <f>TEXT(B201,"mmmm")</f>
        <v>December</v>
      </c>
      <c r="AC201" s="8" t="str">
        <f>TEXT(B201,"yyyy")</f>
        <v>2024</v>
      </c>
      <c r="AE201">
        <f t="shared" si="55"/>
        <v>13113.48</v>
      </c>
      <c r="AF201" s="11">
        <f t="shared" si="56"/>
        <v>9835.11</v>
      </c>
      <c r="AG201">
        <f t="shared" si="57"/>
        <v>7675.8399999999992</v>
      </c>
      <c r="AH201" s="11">
        <f t="shared" si="58"/>
        <v>0.58533966574852747</v>
      </c>
      <c r="AI201" s="9">
        <f t="shared" si="59"/>
        <v>0.58533966574852747</v>
      </c>
      <c r="AJ201">
        <f t="shared" si="60"/>
        <v>9835.11</v>
      </c>
      <c r="AK201">
        <f t="shared" si="61"/>
        <v>1</v>
      </c>
      <c r="AL201">
        <f t="shared" si="62"/>
        <v>0</v>
      </c>
      <c r="AM201">
        <f t="shared" si="63"/>
        <v>0</v>
      </c>
      <c r="AN201">
        <f t="shared" si="64"/>
        <v>0</v>
      </c>
      <c r="AO201">
        <f t="shared" si="65"/>
        <v>0</v>
      </c>
      <c r="AP201">
        <f t="shared" si="66"/>
        <v>0</v>
      </c>
      <c r="AQ201">
        <f t="shared" si="67"/>
        <v>0</v>
      </c>
    </row>
    <row r="202" spans="1:43">
      <c r="A202" t="s">
        <v>707</v>
      </c>
      <c r="B202" s="5">
        <v>45835</v>
      </c>
      <c r="C202" s="5">
        <v>45784</v>
      </c>
      <c r="D202" s="13">
        <f t="shared" si="51"/>
        <v>-51</v>
      </c>
      <c r="E202" t="s">
        <v>708</v>
      </c>
      <c r="F202" t="s">
        <v>114</v>
      </c>
      <c r="G202" t="s">
        <v>37</v>
      </c>
      <c r="H202" t="s">
        <v>25</v>
      </c>
      <c r="I202" t="s">
        <v>26</v>
      </c>
      <c r="J202" t="s">
        <v>27</v>
      </c>
      <c r="K202" t="s">
        <v>74</v>
      </c>
      <c r="L202" t="s">
        <v>80</v>
      </c>
      <c r="M202" t="s">
        <v>709</v>
      </c>
      <c r="N202" t="s">
        <v>50</v>
      </c>
      <c r="O202">
        <v>5</v>
      </c>
      <c r="P202">
        <v>2868.44</v>
      </c>
      <c r="Q202" s="11">
        <v>0.1</v>
      </c>
      <c r="R202">
        <v>12907.98</v>
      </c>
      <c r="S202">
        <v>9197.08</v>
      </c>
      <c r="T202">
        <v>3710.9</v>
      </c>
      <c r="U202" t="s">
        <v>111</v>
      </c>
      <c r="V202" t="s">
        <v>68</v>
      </c>
      <c r="X202" s="8" t="str">
        <f>IF(C202&gt;=B202,"Valid", "Invalid-Date")</f>
        <v>Invalid-Date</v>
      </c>
      <c r="Y202" s="8" t="str">
        <f t="shared" si="52"/>
        <v>Valid</v>
      </c>
      <c r="Z202" s="8" t="str">
        <f t="shared" si="53"/>
        <v>Pass</v>
      </c>
      <c r="AA202" s="8" t="str">
        <f t="shared" si="54"/>
        <v>Pass</v>
      </c>
      <c r="AB202" s="8" t="str">
        <f>TEXT(B202,"mmmm")</f>
        <v>June</v>
      </c>
      <c r="AC202" s="8" t="str">
        <f>TEXT(B202,"yyyy")</f>
        <v>2025</v>
      </c>
      <c r="AE202">
        <f t="shared" si="55"/>
        <v>14342.2</v>
      </c>
      <c r="AF202" s="11">
        <f t="shared" si="56"/>
        <v>12907.980000000001</v>
      </c>
      <c r="AG202">
        <f t="shared" si="57"/>
        <v>5145.1200000000008</v>
      </c>
      <c r="AH202" s="11">
        <f t="shared" si="58"/>
        <v>0.35873994226827127</v>
      </c>
      <c r="AI202" s="9">
        <f t="shared" si="59"/>
        <v>0.35873994226827127</v>
      </c>
      <c r="AJ202">
        <f t="shared" si="60"/>
        <v>0</v>
      </c>
      <c r="AK202">
        <f t="shared" si="61"/>
        <v>0</v>
      </c>
      <c r="AL202">
        <f t="shared" si="62"/>
        <v>12907.98</v>
      </c>
      <c r="AM202">
        <f t="shared" si="63"/>
        <v>1</v>
      </c>
      <c r="AN202">
        <f t="shared" si="64"/>
        <v>0</v>
      </c>
      <c r="AO202">
        <f t="shared" si="65"/>
        <v>0</v>
      </c>
      <c r="AP202">
        <f t="shared" si="66"/>
        <v>0</v>
      </c>
      <c r="AQ202">
        <f t="shared" si="67"/>
        <v>0</v>
      </c>
    </row>
    <row r="203" spans="1:43">
      <c r="A203" t="s">
        <v>710</v>
      </c>
      <c r="B203" s="5">
        <v>45864</v>
      </c>
      <c r="C203" s="5">
        <v>45724</v>
      </c>
      <c r="D203" s="13">
        <f t="shared" si="51"/>
        <v>-140</v>
      </c>
      <c r="E203" t="s">
        <v>711</v>
      </c>
      <c r="F203" t="s">
        <v>71</v>
      </c>
      <c r="G203" t="s">
        <v>24</v>
      </c>
      <c r="H203" t="s">
        <v>63</v>
      </c>
      <c r="I203" t="s">
        <v>72</v>
      </c>
      <c r="J203" t="s">
        <v>73</v>
      </c>
      <c r="K203" t="s">
        <v>28</v>
      </c>
      <c r="L203" t="s">
        <v>91</v>
      </c>
      <c r="M203" t="s">
        <v>712</v>
      </c>
      <c r="N203" t="s">
        <v>31</v>
      </c>
      <c r="O203">
        <v>2</v>
      </c>
      <c r="P203">
        <v>2503.5300000000002</v>
      </c>
      <c r="Q203" s="11">
        <v>-0.16</v>
      </c>
      <c r="R203">
        <v>4756.71</v>
      </c>
      <c r="S203">
        <v>2954.86</v>
      </c>
      <c r="T203">
        <v>1801.85</v>
      </c>
      <c r="U203" t="s">
        <v>102</v>
      </c>
      <c r="V203" t="s">
        <v>68</v>
      </c>
      <c r="X203" s="8" t="str">
        <f>IF(C203&gt;=B203,"Valid", "Invalid-Date")</f>
        <v>Invalid-Date</v>
      </c>
      <c r="Y203" s="8" t="str">
        <f t="shared" si="52"/>
        <v>Invalid-Discount</v>
      </c>
      <c r="Z203" s="8" t="str">
        <f t="shared" si="53"/>
        <v>Pass</v>
      </c>
      <c r="AA203" s="8" t="str">
        <f t="shared" si="54"/>
        <v>Pass</v>
      </c>
      <c r="AB203" s="8" t="str">
        <f>TEXT(B203,"mmmm")</f>
        <v>July</v>
      </c>
      <c r="AC203" s="8" t="str">
        <f>TEXT(B203,"yyyy")</f>
        <v>2025</v>
      </c>
      <c r="AE203">
        <f t="shared" si="55"/>
        <v>5007.0600000000004</v>
      </c>
      <c r="AF203" s="11">
        <f t="shared" si="56"/>
        <v>5808.1895999999997</v>
      </c>
      <c r="AG203">
        <f t="shared" si="57"/>
        <v>2052.2000000000003</v>
      </c>
      <c r="AH203" s="11">
        <f t="shared" si="58"/>
        <v>0.40986127587845966</v>
      </c>
      <c r="AI203" s="9">
        <f t="shared" si="59"/>
        <v>0.40986127587845966</v>
      </c>
      <c r="AJ203">
        <f t="shared" si="60"/>
        <v>0</v>
      </c>
      <c r="AK203">
        <f t="shared" si="61"/>
        <v>0</v>
      </c>
      <c r="AL203">
        <f t="shared" si="62"/>
        <v>4756.71</v>
      </c>
      <c r="AM203">
        <f t="shared" si="63"/>
        <v>1</v>
      </c>
      <c r="AN203">
        <f t="shared" si="64"/>
        <v>0</v>
      </c>
      <c r="AO203">
        <f t="shared" si="65"/>
        <v>0</v>
      </c>
      <c r="AP203">
        <f t="shared" si="66"/>
        <v>0</v>
      </c>
      <c r="AQ203">
        <f t="shared" si="67"/>
        <v>0</v>
      </c>
    </row>
    <row r="204" spans="1:43">
      <c r="A204" t="s">
        <v>713</v>
      </c>
      <c r="B204" s="5">
        <v>45744</v>
      </c>
      <c r="C204" s="5">
        <v>45744</v>
      </c>
      <c r="D204" s="13">
        <f t="shared" si="51"/>
        <v>0</v>
      </c>
      <c r="E204" t="s">
        <v>714</v>
      </c>
      <c r="F204" t="s">
        <v>132</v>
      </c>
      <c r="G204" t="s">
        <v>90</v>
      </c>
      <c r="H204" t="s">
        <v>63</v>
      </c>
      <c r="I204" t="s">
        <v>190</v>
      </c>
      <c r="J204" t="s">
        <v>191</v>
      </c>
      <c r="K204" t="s">
        <v>74</v>
      </c>
      <c r="L204" t="s">
        <v>75</v>
      </c>
      <c r="M204" t="s">
        <v>715</v>
      </c>
      <c r="N204" t="s">
        <v>59</v>
      </c>
      <c r="O204">
        <v>8</v>
      </c>
      <c r="P204">
        <v>1740.94</v>
      </c>
      <c r="Q204" s="11">
        <v>0.05</v>
      </c>
      <c r="R204">
        <v>13231.14</v>
      </c>
      <c r="S204">
        <v>11290.06</v>
      </c>
      <c r="T204">
        <v>1941.08</v>
      </c>
      <c r="U204" t="s">
        <v>32</v>
      </c>
      <c r="V204" t="s">
        <v>33</v>
      </c>
      <c r="X204" s="8" t="str">
        <f>IF(C204&gt;=B204,"Valid", "Invalid-Date")</f>
        <v>Valid</v>
      </c>
      <c r="Y204" s="8" t="str">
        <f t="shared" si="52"/>
        <v>Valid</v>
      </c>
      <c r="Z204" s="8" t="str">
        <f t="shared" si="53"/>
        <v>Pass</v>
      </c>
      <c r="AA204" s="8" t="str">
        <f t="shared" si="54"/>
        <v>Pass</v>
      </c>
      <c r="AB204" s="8" t="str">
        <f>TEXT(B204,"mmmm")</f>
        <v>March</v>
      </c>
      <c r="AC204" s="8" t="str">
        <f>TEXT(B204,"yyyy")</f>
        <v>2025</v>
      </c>
      <c r="AE204">
        <f t="shared" si="55"/>
        <v>13927.52</v>
      </c>
      <c r="AF204" s="11">
        <f t="shared" si="56"/>
        <v>13231.144</v>
      </c>
      <c r="AG204">
        <f t="shared" si="57"/>
        <v>2637.4600000000009</v>
      </c>
      <c r="AH204" s="11">
        <f t="shared" si="58"/>
        <v>0.18937039760129593</v>
      </c>
      <c r="AI204" s="9">
        <f t="shared" si="59"/>
        <v>0.18937039760129593</v>
      </c>
      <c r="AJ204">
        <f t="shared" si="60"/>
        <v>13231.14</v>
      </c>
      <c r="AK204">
        <f t="shared" si="61"/>
        <v>1</v>
      </c>
      <c r="AL204">
        <f t="shared" si="62"/>
        <v>0</v>
      </c>
      <c r="AM204">
        <f t="shared" si="63"/>
        <v>0</v>
      </c>
      <c r="AN204">
        <f t="shared" si="64"/>
        <v>0</v>
      </c>
      <c r="AO204">
        <f t="shared" si="65"/>
        <v>0</v>
      </c>
      <c r="AP204">
        <f t="shared" si="66"/>
        <v>0</v>
      </c>
      <c r="AQ204">
        <f t="shared" si="67"/>
        <v>0</v>
      </c>
    </row>
    <row r="205" spans="1:43">
      <c r="A205" t="s">
        <v>716</v>
      </c>
      <c r="B205" s="5">
        <v>45379</v>
      </c>
      <c r="C205" s="5">
        <v>45381</v>
      </c>
      <c r="D205" s="13">
        <f t="shared" si="51"/>
        <v>2</v>
      </c>
      <c r="E205" t="s">
        <v>717</v>
      </c>
      <c r="F205" t="s">
        <v>132</v>
      </c>
      <c r="G205" t="s">
        <v>90</v>
      </c>
      <c r="H205" t="s">
        <v>63</v>
      </c>
      <c r="I205" t="s">
        <v>26</v>
      </c>
      <c r="J205" t="s">
        <v>109</v>
      </c>
      <c r="K205" t="s">
        <v>74</v>
      </c>
      <c r="L205" t="s">
        <v>75</v>
      </c>
      <c r="M205" t="s">
        <v>718</v>
      </c>
      <c r="N205" t="s">
        <v>31</v>
      </c>
      <c r="O205">
        <v>1</v>
      </c>
      <c r="P205">
        <v>570.34</v>
      </c>
      <c r="Q205" s="11">
        <v>0.15</v>
      </c>
      <c r="R205">
        <v>484.79</v>
      </c>
      <c r="S205">
        <v>333.54</v>
      </c>
      <c r="T205">
        <v>151.25</v>
      </c>
      <c r="U205" t="s">
        <v>32</v>
      </c>
      <c r="V205" t="s">
        <v>33</v>
      </c>
      <c r="X205" s="8" t="str">
        <f>IF(C205&gt;=B205,"Valid", "Invalid-Date")</f>
        <v>Valid</v>
      </c>
      <c r="Y205" s="8" t="str">
        <f t="shared" si="52"/>
        <v>Valid</v>
      </c>
      <c r="Z205" s="8" t="str">
        <f t="shared" si="53"/>
        <v>Pass</v>
      </c>
      <c r="AA205" s="8" t="str">
        <f t="shared" si="54"/>
        <v>Pass</v>
      </c>
      <c r="AB205" s="8" t="str">
        <f>TEXT(B205,"mmmm")</f>
        <v>March</v>
      </c>
      <c r="AC205" s="8" t="str">
        <f>TEXT(B205,"yyyy")</f>
        <v>2024</v>
      </c>
      <c r="AE205">
        <f t="shared" si="55"/>
        <v>570.34</v>
      </c>
      <c r="AF205" s="11">
        <f t="shared" si="56"/>
        <v>484.78899999999999</v>
      </c>
      <c r="AG205">
        <f t="shared" si="57"/>
        <v>236.8</v>
      </c>
      <c r="AH205" s="11">
        <f t="shared" si="58"/>
        <v>0.41519093873829643</v>
      </c>
      <c r="AI205" s="9">
        <f t="shared" si="59"/>
        <v>0.41519093873829643</v>
      </c>
      <c r="AJ205">
        <f t="shared" si="60"/>
        <v>484.79</v>
      </c>
      <c r="AK205">
        <f t="shared" si="61"/>
        <v>1</v>
      </c>
      <c r="AL205">
        <f t="shared" si="62"/>
        <v>0</v>
      </c>
      <c r="AM205">
        <f t="shared" si="63"/>
        <v>0</v>
      </c>
      <c r="AN205">
        <f t="shared" si="64"/>
        <v>0</v>
      </c>
      <c r="AO205">
        <f t="shared" si="65"/>
        <v>0</v>
      </c>
      <c r="AP205">
        <f t="shared" si="66"/>
        <v>0</v>
      </c>
      <c r="AQ205">
        <f t="shared" si="67"/>
        <v>0</v>
      </c>
    </row>
    <row r="206" spans="1:43">
      <c r="A206" t="s">
        <v>719</v>
      </c>
      <c r="B206" s="5">
        <v>45858</v>
      </c>
      <c r="C206" s="5">
        <v>45861</v>
      </c>
      <c r="D206" s="13">
        <f t="shared" si="51"/>
        <v>3</v>
      </c>
      <c r="E206" t="s">
        <v>720</v>
      </c>
      <c r="F206" t="s">
        <v>36</v>
      </c>
      <c r="G206" t="s">
        <v>95</v>
      </c>
      <c r="H206" t="s">
        <v>38</v>
      </c>
      <c r="I206" t="s">
        <v>99</v>
      </c>
      <c r="J206" t="s">
        <v>100</v>
      </c>
      <c r="K206" t="s">
        <v>41</v>
      </c>
      <c r="L206" t="s">
        <v>42</v>
      </c>
      <c r="M206" t="s">
        <v>721</v>
      </c>
      <c r="N206" t="s">
        <v>31</v>
      </c>
      <c r="O206">
        <v>4</v>
      </c>
      <c r="P206">
        <v>477.69</v>
      </c>
      <c r="Q206" s="11">
        <v>0.15</v>
      </c>
      <c r="R206">
        <v>1624.15</v>
      </c>
      <c r="S206">
        <v>1217.99</v>
      </c>
      <c r="T206">
        <v>406.16</v>
      </c>
      <c r="U206" t="s">
        <v>32</v>
      </c>
      <c r="V206" t="s">
        <v>33</v>
      </c>
      <c r="X206" s="8" t="str">
        <f>IF(C206&gt;=B206,"Valid", "Invalid-Date")</f>
        <v>Valid</v>
      </c>
      <c r="Y206" s="8" t="str">
        <f t="shared" si="52"/>
        <v>Valid</v>
      </c>
      <c r="Z206" s="8" t="str">
        <f t="shared" si="53"/>
        <v>Pass</v>
      </c>
      <c r="AA206" s="8" t="str">
        <f t="shared" si="54"/>
        <v>Pass</v>
      </c>
      <c r="AB206" s="8" t="str">
        <f>TEXT(B206,"mmmm")</f>
        <v>July</v>
      </c>
      <c r="AC206" s="8" t="str">
        <f>TEXT(B206,"yyyy")</f>
        <v>2025</v>
      </c>
      <c r="AE206">
        <f t="shared" si="55"/>
        <v>1910.76</v>
      </c>
      <c r="AF206" s="11">
        <f t="shared" si="56"/>
        <v>1624.146</v>
      </c>
      <c r="AG206">
        <f t="shared" si="57"/>
        <v>692.77</v>
      </c>
      <c r="AH206" s="11">
        <f t="shared" si="58"/>
        <v>0.36256254055977727</v>
      </c>
      <c r="AI206" s="9">
        <f t="shared" si="59"/>
        <v>0.36256254055977727</v>
      </c>
      <c r="AJ206">
        <f t="shared" si="60"/>
        <v>1624.15</v>
      </c>
      <c r="AK206">
        <f t="shared" si="61"/>
        <v>1</v>
      </c>
      <c r="AL206">
        <f t="shared" si="62"/>
        <v>0</v>
      </c>
      <c r="AM206">
        <f t="shared" si="63"/>
        <v>0</v>
      </c>
      <c r="AN206">
        <f t="shared" si="64"/>
        <v>0</v>
      </c>
      <c r="AO206">
        <f t="shared" si="65"/>
        <v>0</v>
      </c>
      <c r="AP206">
        <f t="shared" si="66"/>
        <v>0</v>
      </c>
      <c r="AQ206">
        <f t="shared" si="67"/>
        <v>0</v>
      </c>
    </row>
    <row r="207" spans="1:43">
      <c r="A207" t="s">
        <v>722</v>
      </c>
      <c r="B207" s="5">
        <v>45768</v>
      </c>
      <c r="C207" s="5">
        <v>45773</v>
      </c>
      <c r="D207" s="13">
        <f t="shared" si="51"/>
        <v>5</v>
      </c>
      <c r="E207" t="s">
        <v>723</v>
      </c>
      <c r="F207" t="s">
        <v>62</v>
      </c>
      <c r="G207" t="s">
        <v>24</v>
      </c>
      <c r="H207" t="s">
        <v>63</v>
      </c>
      <c r="I207" t="s">
        <v>64</v>
      </c>
      <c r="J207" t="s">
        <v>65</v>
      </c>
      <c r="K207" t="s">
        <v>28</v>
      </c>
      <c r="L207" t="s">
        <v>91</v>
      </c>
      <c r="M207" t="s">
        <v>724</v>
      </c>
      <c r="N207" t="s">
        <v>44</v>
      </c>
      <c r="O207">
        <v>6</v>
      </c>
      <c r="P207">
        <v>873.59</v>
      </c>
      <c r="Q207" s="11">
        <v>0.2</v>
      </c>
      <c r="R207">
        <v>4193.2299999999996</v>
      </c>
      <c r="S207">
        <v>3329.99</v>
      </c>
      <c r="T207">
        <v>863.24</v>
      </c>
      <c r="U207" t="s">
        <v>32</v>
      </c>
      <c r="V207" t="s">
        <v>33</v>
      </c>
      <c r="X207" s="8" t="str">
        <f>IF(C207&gt;=B207,"Valid", "Invalid-Date")</f>
        <v>Valid</v>
      </c>
      <c r="Y207" s="8" t="str">
        <f t="shared" si="52"/>
        <v>Valid</v>
      </c>
      <c r="Z207" s="8" t="str">
        <f t="shared" si="53"/>
        <v>Pass</v>
      </c>
      <c r="AA207" s="8" t="str">
        <f t="shared" si="54"/>
        <v>Pass</v>
      </c>
      <c r="AB207" s="8" t="str">
        <f>TEXT(B207,"mmmm")</f>
        <v>April</v>
      </c>
      <c r="AC207" s="8" t="str">
        <f>TEXT(B207,"yyyy")</f>
        <v>2025</v>
      </c>
      <c r="AE207">
        <f t="shared" si="55"/>
        <v>5241.54</v>
      </c>
      <c r="AF207" s="11">
        <f t="shared" si="56"/>
        <v>4193.232</v>
      </c>
      <c r="AG207">
        <f t="shared" si="57"/>
        <v>1911.5500000000002</v>
      </c>
      <c r="AH207" s="11">
        <f t="shared" si="58"/>
        <v>0.36469243771868576</v>
      </c>
      <c r="AI207" s="9">
        <f t="shared" si="59"/>
        <v>0.36469243771868576</v>
      </c>
      <c r="AJ207">
        <f t="shared" si="60"/>
        <v>4193.2299999999996</v>
      </c>
      <c r="AK207">
        <f t="shared" si="61"/>
        <v>1</v>
      </c>
      <c r="AL207">
        <f t="shared" si="62"/>
        <v>0</v>
      </c>
      <c r="AM207">
        <f t="shared" si="63"/>
        <v>0</v>
      </c>
      <c r="AN207">
        <f t="shared" si="64"/>
        <v>0</v>
      </c>
      <c r="AO207">
        <f t="shared" si="65"/>
        <v>0</v>
      </c>
      <c r="AP207">
        <f t="shared" si="66"/>
        <v>0</v>
      </c>
      <c r="AQ207">
        <f t="shared" si="67"/>
        <v>0</v>
      </c>
    </row>
    <row r="208" spans="1:43">
      <c r="A208" t="s">
        <v>725</v>
      </c>
      <c r="B208" s="5">
        <v>45795</v>
      </c>
      <c r="C208" s="5">
        <v>45797</v>
      </c>
      <c r="D208" s="13">
        <f t="shared" si="51"/>
        <v>2</v>
      </c>
      <c r="E208" t="s">
        <v>726</v>
      </c>
      <c r="F208" t="s">
        <v>162</v>
      </c>
      <c r="G208" t="s">
        <v>37</v>
      </c>
      <c r="H208" t="s">
        <v>25</v>
      </c>
      <c r="I208" t="s">
        <v>136</v>
      </c>
      <c r="J208" t="s">
        <v>137</v>
      </c>
      <c r="K208" t="s">
        <v>41</v>
      </c>
      <c r="L208" t="s">
        <v>57</v>
      </c>
      <c r="M208" t="s">
        <v>727</v>
      </c>
      <c r="N208" t="s">
        <v>50</v>
      </c>
      <c r="O208">
        <v>2</v>
      </c>
      <c r="P208">
        <v>215.13</v>
      </c>
      <c r="Q208" s="11">
        <v>0</v>
      </c>
      <c r="R208">
        <v>430.26</v>
      </c>
      <c r="S208">
        <v>286.38</v>
      </c>
      <c r="T208">
        <v>143.88</v>
      </c>
      <c r="U208" t="s">
        <v>32</v>
      </c>
      <c r="V208" t="s">
        <v>33</v>
      </c>
      <c r="X208" s="8" t="str">
        <f>IF(C208&gt;=B208,"Valid", "Invalid-Date")</f>
        <v>Valid</v>
      </c>
      <c r="Y208" s="8" t="str">
        <f t="shared" si="52"/>
        <v>Valid</v>
      </c>
      <c r="Z208" s="8" t="str">
        <f t="shared" si="53"/>
        <v>Pass</v>
      </c>
      <c r="AA208" s="8" t="str">
        <f t="shared" si="54"/>
        <v>Pass</v>
      </c>
      <c r="AB208" s="8" t="str">
        <f>TEXT(B208,"mmmm")</f>
        <v>May</v>
      </c>
      <c r="AC208" s="8" t="str">
        <f>TEXT(B208,"yyyy")</f>
        <v>2025</v>
      </c>
      <c r="AE208">
        <f t="shared" si="55"/>
        <v>430.26</v>
      </c>
      <c r="AF208" s="11">
        <f t="shared" si="56"/>
        <v>430.26</v>
      </c>
      <c r="AG208">
        <f t="shared" si="57"/>
        <v>143.88</v>
      </c>
      <c r="AH208" s="11">
        <f t="shared" si="58"/>
        <v>0.33440245432994004</v>
      </c>
      <c r="AI208" s="9">
        <f t="shared" si="59"/>
        <v>0.33440245432994004</v>
      </c>
      <c r="AJ208">
        <f t="shared" si="60"/>
        <v>430.26</v>
      </c>
      <c r="AK208">
        <f t="shared" si="61"/>
        <v>1</v>
      </c>
      <c r="AL208">
        <f t="shared" si="62"/>
        <v>0</v>
      </c>
      <c r="AM208">
        <f t="shared" si="63"/>
        <v>0</v>
      </c>
      <c r="AN208">
        <f t="shared" si="64"/>
        <v>0</v>
      </c>
      <c r="AO208">
        <f t="shared" si="65"/>
        <v>0</v>
      </c>
      <c r="AP208">
        <f t="shared" si="66"/>
        <v>0</v>
      </c>
      <c r="AQ208">
        <f t="shared" si="67"/>
        <v>0</v>
      </c>
    </row>
    <row r="209" spans="1:43">
      <c r="A209" t="s">
        <v>728</v>
      </c>
      <c r="B209" s="5">
        <v>45483</v>
      </c>
      <c r="C209" s="5">
        <v>45489</v>
      </c>
      <c r="D209" s="13">
        <f t="shared" si="51"/>
        <v>6</v>
      </c>
      <c r="E209" t="s">
        <v>729</v>
      </c>
      <c r="F209" t="s">
        <v>128</v>
      </c>
      <c r="G209" t="s">
        <v>95</v>
      </c>
      <c r="H209" t="s">
        <v>63</v>
      </c>
      <c r="I209" t="s">
        <v>190</v>
      </c>
      <c r="J209" t="s">
        <v>191</v>
      </c>
      <c r="K209" t="s">
        <v>41</v>
      </c>
      <c r="L209" t="s">
        <v>158</v>
      </c>
      <c r="M209" t="s">
        <v>730</v>
      </c>
      <c r="N209" t="s">
        <v>31</v>
      </c>
      <c r="O209">
        <v>2</v>
      </c>
      <c r="P209">
        <v>1095.45</v>
      </c>
      <c r="Q209" s="11">
        <v>0.2</v>
      </c>
      <c r="R209">
        <v>1752.72</v>
      </c>
      <c r="S209">
        <v>996.41</v>
      </c>
      <c r="T209">
        <v>756.31</v>
      </c>
      <c r="U209" t="s">
        <v>32</v>
      </c>
      <c r="V209" t="s">
        <v>33</v>
      </c>
      <c r="X209" s="8" t="str">
        <f>IF(C209&gt;=B209,"Valid", "Invalid-Date")</f>
        <v>Valid</v>
      </c>
      <c r="Y209" s="8" t="str">
        <f t="shared" si="52"/>
        <v>Valid</v>
      </c>
      <c r="Z209" s="8" t="str">
        <f t="shared" si="53"/>
        <v>Pass</v>
      </c>
      <c r="AA209" s="8" t="str">
        <f t="shared" si="54"/>
        <v>Pass</v>
      </c>
      <c r="AB209" s="8" t="str">
        <f>TEXT(B209,"mmmm")</f>
        <v>July</v>
      </c>
      <c r="AC209" s="8" t="str">
        <f>TEXT(B209,"yyyy")</f>
        <v>2024</v>
      </c>
      <c r="AE209">
        <f t="shared" si="55"/>
        <v>2190.9</v>
      </c>
      <c r="AF209" s="11">
        <f t="shared" si="56"/>
        <v>1752.7200000000003</v>
      </c>
      <c r="AG209">
        <f t="shared" si="57"/>
        <v>1194.4900000000002</v>
      </c>
      <c r="AH209" s="11">
        <f t="shared" si="58"/>
        <v>0.5452051668264184</v>
      </c>
      <c r="AI209" s="9">
        <f t="shared" si="59"/>
        <v>0.5452051668264184</v>
      </c>
      <c r="AJ209">
        <f t="shared" si="60"/>
        <v>1752.72</v>
      </c>
      <c r="AK209">
        <f t="shared" si="61"/>
        <v>1</v>
      </c>
      <c r="AL209">
        <f t="shared" si="62"/>
        <v>0</v>
      </c>
      <c r="AM209">
        <f t="shared" si="63"/>
        <v>0</v>
      </c>
      <c r="AN209">
        <f t="shared" si="64"/>
        <v>0</v>
      </c>
      <c r="AO209">
        <f t="shared" si="65"/>
        <v>0</v>
      </c>
      <c r="AP209">
        <f t="shared" si="66"/>
        <v>0</v>
      </c>
      <c r="AQ209">
        <f t="shared" si="67"/>
        <v>0</v>
      </c>
    </row>
    <row r="210" spans="1:43">
      <c r="A210" t="s">
        <v>731</v>
      </c>
      <c r="B210" s="5">
        <v>45837</v>
      </c>
      <c r="C210" s="5">
        <v>45843</v>
      </c>
      <c r="D210" s="13">
        <f t="shared" si="51"/>
        <v>6</v>
      </c>
      <c r="E210" t="s">
        <v>732</v>
      </c>
      <c r="F210" t="s">
        <v>162</v>
      </c>
      <c r="G210" t="s">
        <v>24</v>
      </c>
      <c r="H210" t="s">
        <v>25</v>
      </c>
      <c r="I210" t="s">
        <v>122</v>
      </c>
      <c r="J210" t="s">
        <v>123</v>
      </c>
      <c r="K210" t="s">
        <v>41</v>
      </c>
      <c r="L210" t="s">
        <v>66</v>
      </c>
      <c r="M210" t="s">
        <v>733</v>
      </c>
      <c r="N210" t="s">
        <v>44</v>
      </c>
      <c r="O210">
        <v>1</v>
      </c>
      <c r="P210">
        <v>999.83</v>
      </c>
      <c r="Q210" s="11">
        <v>0</v>
      </c>
      <c r="R210">
        <v>999.83</v>
      </c>
      <c r="S210">
        <v>634.91</v>
      </c>
      <c r="T210">
        <v>364.92</v>
      </c>
      <c r="U210" t="s">
        <v>32</v>
      </c>
      <c r="V210" t="s">
        <v>33</v>
      </c>
      <c r="X210" s="8" t="str">
        <f>IF(C210&gt;=B210,"Valid", "Invalid-Date")</f>
        <v>Valid</v>
      </c>
      <c r="Y210" s="8" t="str">
        <f t="shared" si="52"/>
        <v>Valid</v>
      </c>
      <c r="Z210" s="8" t="str">
        <f t="shared" si="53"/>
        <v>Pass</v>
      </c>
      <c r="AA210" s="8" t="str">
        <f t="shared" si="54"/>
        <v>Pass</v>
      </c>
      <c r="AB210" s="8" t="str">
        <f>TEXT(B210,"mmmm")</f>
        <v>June</v>
      </c>
      <c r="AC210" s="8" t="str">
        <f>TEXT(B210,"yyyy")</f>
        <v>2025</v>
      </c>
      <c r="AE210">
        <f t="shared" si="55"/>
        <v>999.83</v>
      </c>
      <c r="AF210" s="11">
        <f t="shared" si="56"/>
        <v>999.83</v>
      </c>
      <c r="AG210">
        <f t="shared" si="57"/>
        <v>364.92000000000007</v>
      </c>
      <c r="AH210" s="11">
        <f t="shared" si="58"/>
        <v>0.3649820469479812</v>
      </c>
      <c r="AI210" s="9">
        <f t="shared" si="59"/>
        <v>0.3649820469479812</v>
      </c>
      <c r="AJ210">
        <f t="shared" si="60"/>
        <v>999.83</v>
      </c>
      <c r="AK210">
        <f t="shared" si="61"/>
        <v>1</v>
      </c>
      <c r="AL210">
        <f t="shared" si="62"/>
        <v>0</v>
      </c>
      <c r="AM210">
        <f t="shared" si="63"/>
        <v>0</v>
      </c>
      <c r="AN210">
        <f t="shared" si="64"/>
        <v>0</v>
      </c>
      <c r="AO210">
        <f t="shared" si="65"/>
        <v>0</v>
      </c>
      <c r="AP210">
        <f t="shared" si="66"/>
        <v>0</v>
      </c>
      <c r="AQ210">
        <f t="shared" si="67"/>
        <v>0</v>
      </c>
    </row>
    <row r="211" spans="1:43">
      <c r="A211" t="s">
        <v>734</v>
      </c>
      <c r="B211" s="5">
        <v>45882</v>
      </c>
      <c r="C211" s="5">
        <v>45883</v>
      </c>
      <c r="D211" s="13">
        <f t="shared" si="51"/>
        <v>1</v>
      </c>
      <c r="E211" t="s">
        <v>735</v>
      </c>
      <c r="F211" t="s">
        <v>141</v>
      </c>
      <c r="G211" t="s">
        <v>37</v>
      </c>
      <c r="H211" t="s">
        <v>54</v>
      </c>
      <c r="I211" t="s">
        <v>84</v>
      </c>
      <c r="J211" t="s">
        <v>85</v>
      </c>
      <c r="K211" t="s">
        <v>28</v>
      </c>
      <c r="L211" t="s">
        <v>29</v>
      </c>
      <c r="M211" t="s">
        <v>736</v>
      </c>
      <c r="N211" t="s">
        <v>50</v>
      </c>
      <c r="O211">
        <v>9</v>
      </c>
      <c r="P211">
        <v>864.98</v>
      </c>
      <c r="Q211" s="11">
        <v>0.1</v>
      </c>
      <c r="R211">
        <v>7006.34</v>
      </c>
      <c r="S211">
        <v>4640.88</v>
      </c>
      <c r="T211">
        <v>2365.46</v>
      </c>
      <c r="U211" t="s">
        <v>32</v>
      </c>
      <c r="V211" t="s">
        <v>33</v>
      </c>
      <c r="X211" s="8" t="str">
        <f>IF(C211&gt;=B211,"Valid", "Invalid-Date")</f>
        <v>Valid</v>
      </c>
      <c r="Y211" s="8" t="str">
        <f t="shared" si="52"/>
        <v>Valid</v>
      </c>
      <c r="Z211" s="8" t="str">
        <f t="shared" si="53"/>
        <v>Pass</v>
      </c>
      <c r="AA211" s="8" t="str">
        <f t="shared" si="54"/>
        <v>Pass</v>
      </c>
      <c r="AB211" s="8" t="str">
        <f>TEXT(B211,"mmmm")</f>
        <v>August</v>
      </c>
      <c r="AC211" s="8" t="str">
        <f>TEXT(B211,"yyyy")</f>
        <v>2025</v>
      </c>
      <c r="AE211">
        <f t="shared" si="55"/>
        <v>7784.82</v>
      </c>
      <c r="AF211" s="11">
        <f t="shared" si="56"/>
        <v>7006.3379999999997</v>
      </c>
      <c r="AG211">
        <f t="shared" si="57"/>
        <v>3143.9399999999996</v>
      </c>
      <c r="AH211" s="11">
        <f t="shared" si="58"/>
        <v>0.40385519511048423</v>
      </c>
      <c r="AI211" s="9">
        <f t="shared" si="59"/>
        <v>0.40385519511048423</v>
      </c>
      <c r="AJ211">
        <f t="shared" si="60"/>
        <v>7006.34</v>
      </c>
      <c r="AK211">
        <f t="shared" si="61"/>
        <v>1</v>
      </c>
      <c r="AL211">
        <f t="shared" si="62"/>
        <v>0</v>
      </c>
      <c r="AM211">
        <f t="shared" si="63"/>
        <v>0</v>
      </c>
      <c r="AN211">
        <f t="shared" si="64"/>
        <v>0</v>
      </c>
      <c r="AO211">
        <f t="shared" si="65"/>
        <v>0</v>
      </c>
      <c r="AP211">
        <f t="shared" si="66"/>
        <v>0</v>
      </c>
      <c r="AQ211">
        <f t="shared" si="67"/>
        <v>0</v>
      </c>
    </row>
    <row r="212" spans="1:43">
      <c r="A212" t="s">
        <v>737</v>
      </c>
      <c r="B212" s="5">
        <v>45366</v>
      </c>
      <c r="C212" s="5">
        <v>45369</v>
      </c>
      <c r="D212" s="13">
        <f t="shared" si="51"/>
        <v>3</v>
      </c>
      <c r="E212" t="s">
        <v>738</v>
      </c>
      <c r="F212" t="s">
        <v>264</v>
      </c>
      <c r="G212" t="s">
        <v>95</v>
      </c>
      <c r="H212" t="s">
        <v>54</v>
      </c>
      <c r="I212" t="s">
        <v>175</v>
      </c>
      <c r="J212" t="s">
        <v>176</v>
      </c>
      <c r="K212" t="s">
        <v>74</v>
      </c>
      <c r="L212" t="s">
        <v>274</v>
      </c>
      <c r="M212" t="s">
        <v>739</v>
      </c>
      <c r="N212" t="s">
        <v>31</v>
      </c>
      <c r="O212">
        <v>1</v>
      </c>
      <c r="P212">
        <v>4131.3599999999997</v>
      </c>
      <c r="Q212" s="11">
        <v>0</v>
      </c>
      <c r="R212">
        <v>4131.3599999999997</v>
      </c>
      <c r="S212">
        <v>2937.07</v>
      </c>
      <c r="T212">
        <v>1194.29</v>
      </c>
      <c r="U212" t="s">
        <v>155</v>
      </c>
      <c r="V212" t="s">
        <v>103</v>
      </c>
      <c r="X212" s="8" t="str">
        <f>IF(C212&gt;=B212,"Valid", "Invalid-Date")</f>
        <v>Valid</v>
      </c>
      <c r="Y212" s="8" t="str">
        <f t="shared" si="52"/>
        <v>Valid</v>
      </c>
      <c r="Z212" s="8" t="str">
        <f t="shared" si="53"/>
        <v>Pass</v>
      </c>
      <c r="AA212" s="8" t="str">
        <f t="shared" si="54"/>
        <v>Pass</v>
      </c>
      <c r="AB212" s="8" t="str">
        <f>TEXT(B212,"mmmm")</f>
        <v>March</v>
      </c>
      <c r="AC212" s="8" t="str">
        <f>TEXT(B212,"yyyy")</f>
        <v>2024</v>
      </c>
      <c r="AE212">
        <f t="shared" si="55"/>
        <v>4131.3599999999997</v>
      </c>
      <c r="AF212" s="11">
        <f t="shared" si="56"/>
        <v>4131.3599999999997</v>
      </c>
      <c r="AG212">
        <f t="shared" si="57"/>
        <v>1194.2899999999995</v>
      </c>
      <c r="AH212" s="11">
        <f t="shared" si="58"/>
        <v>0.28907914100925591</v>
      </c>
      <c r="AI212" s="9">
        <f t="shared" si="59"/>
        <v>0.28907914100925591</v>
      </c>
      <c r="AJ212">
        <f t="shared" si="60"/>
        <v>0</v>
      </c>
      <c r="AK212">
        <f t="shared" si="61"/>
        <v>0</v>
      </c>
      <c r="AL212">
        <f t="shared" si="62"/>
        <v>0</v>
      </c>
      <c r="AM212">
        <f t="shared" si="63"/>
        <v>0</v>
      </c>
      <c r="AN212">
        <f t="shared" si="64"/>
        <v>4131.3599999999997</v>
      </c>
      <c r="AO212">
        <f t="shared" si="65"/>
        <v>1</v>
      </c>
      <c r="AP212">
        <f t="shared" si="66"/>
        <v>4131.3599999999997</v>
      </c>
      <c r="AQ212">
        <f t="shared" si="67"/>
        <v>1</v>
      </c>
    </row>
    <row r="213" spans="1:43">
      <c r="A213" t="s">
        <v>740</v>
      </c>
      <c r="B213" s="5">
        <v>45428</v>
      </c>
      <c r="C213" s="5">
        <v>45429</v>
      </c>
      <c r="D213" s="13">
        <f t="shared" si="51"/>
        <v>1</v>
      </c>
      <c r="E213" t="s">
        <v>741</v>
      </c>
      <c r="F213" t="s">
        <v>141</v>
      </c>
      <c r="G213" t="s">
        <v>90</v>
      </c>
      <c r="H213" t="s">
        <v>38</v>
      </c>
      <c r="I213" t="s">
        <v>99</v>
      </c>
      <c r="J213" t="s">
        <v>100</v>
      </c>
      <c r="K213" t="s">
        <v>74</v>
      </c>
      <c r="L213" t="s">
        <v>80</v>
      </c>
      <c r="M213" t="s">
        <v>742</v>
      </c>
      <c r="N213" t="s">
        <v>31</v>
      </c>
      <c r="O213">
        <v>8</v>
      </c>
      <c r="P213">
        <v>4221.95</v>
      </c>
      <c r="Q213" s="11">
        <v>0.2</v>
      </c>
      <c r="R213">
        <v>27020.48</v>
      </c>
      <c r="S213">
        <v>22885.24</v>
      </c>
      <c r="T213">
        <v>4135.24</v>
      </c>
      <c r="U213" t="s">
        <v>32</v>
      </c>
      <c r="V213" t="s">
        <v>33</v>
      </c>
      <c r="X213" s="8" t="str">
        <f>IF(C213&gt;=B213,"Valid", "Invalid-Date")</f>
        <v>Valid</v>
      </c>
      <c r="Y213" s="8" t="str">
        <f t="shared" si="52"/>
        <v>Valid</v>
      </c>
      <c r="Z213" s="8" t="str">
        <f t="shared" si="53"/>
        <v>Pass</v>
      </c>
      <c r="AA213" s="8" t="str">
        <f t="shared" si="54"/>
        <v>Pass</v>
      </c>
      <c r="AB213" s="8" t="str">
        <f>TEXT(B213,"mmmm")</f>
        <v>May</v>
      </c>
      <c r="AC213" s="8" t="str">
        <f>TEXT(B213,"yyyy")</f>
        <v>2024</v>
      </c>
      <c r="AE213">
        <f t="shared" si="55"/>
        <v>33775.599999999999</v>
      </c>
      <c r="AF213" s="11">
        <f t="shared" si="56"/>
        <v>27020.48</v>
      </c>
      <c r="AG213">
        <f t="shared" si="57"/>
        <v>10890.359999999997</v>
      </c>
      <c r="AH213" s="11">
        <f t="shared" si="58"/>
        <v>0.32243276211229399</v>
      </c>
      <c r="AI213" s="9">
        <f t="shared" si="59"/>
        <v>0.32243276211229399</v>
      </c>
      <c r="AJ213">
        <f t="shared" si="60"/>
        <v>27020.48</v>
      </c>
      <c r="AK213">
        <f t="shared" si="61"/>
        <v>1</v>
      </c>
      <c r="AL213">
        <f t="shared" si="62"/>
        <v>0</v>
      </c>
      <c r="AM213">
        <f t="shared" si="63"/>
        <v>0</v>
      </c>
      <c r="AN213">
        <f t="shared" si="64"/>
        <v>0</v>
      </c>
      <c r="AO213">
        <f t="shared" si="65"/>
        <v>0</v>
      </c>
      <c r="AP213">
        <f t="shared" si="66"/>
        <v>0</v>
      </c>
      <c r="AQ213">
        <f t="shared" si="67"/>
        <v>0</v>
      </c>
    </row>
    <row r="214" spans="1:43">
      <c r="A214" t="s">
        <v>743</v>
      </c>
      <c r="B214" s="5">
        <v>45556</v>
      </c>
      <c r="C214" s="5">
        <v>45556</v>
      </c>
      <c r="D214" s="13">
        <f t="shared" si="51"/>
        <v>0</v>
      </c>
      <c r="E214" t="s">
        <v>744</v>
      </c>
      <c r="F214" t="s">
        <v>62</v>
      </c>
      <c r="G214" t="s">
        <v>37</v>
      </c>
      <c r="H214" t="s">
        <v>38</v>
      </c>
      <c r="I214" t="s">
        <v>39</v>
      </c>
      <c r="J214" t="s">
        <v>40</v>
      </c>
      <c r="K214" t="s">
        <v>74</v>
      </c>
      <c r="L214" t="s">
        <v>171</v>
      </c>
      <c r="M214" t="s">
        <v>745</v>
      </c>
      <c r="N214" t="s">
        <v>44</v>
      </c>
      <c r="O214">
        <v>2</v>
      </c>
      <c r="P214">
        <v>214.5</v>
      </c>
      <c r="Q214" s="11">
        <v>0.15</v>
      </c>
      <c r="R214">
        <v>364.65</v>
      </c>
      <c r="S214">
        <v>280.74</v>
      </c>
      <c r="T214">
        <v>83.91</v>
      </c>
      <c r="U214" t="s">
        <v>32</v>
      </c>
      <c r="V214" t="s">
        <v>33</v>
      </c>
      <c r="X214" s="8" t="str">
        <f>IF(C214&gt;=B214,"Valid", "Invalid-Date")</f>
        <v>Valid</v>
      </c>
      <c r="Y214" s="8" t="str">
        <f t="shared" si="52"/>
        <v>Valid</v>
      </c>
      <c r="Z214" s="8" t="str">
        <f t="shared" si="53"/>
        <v>Pass</v>
      </c>
      <c r="AA214" s="8" t="str">
        <f t="shared" si="54"/>
        <v>Pass</v>
      </c>
      <c r="AB214" s="8" t="str">
        <f>TEXT(B214,"mmmm")</f>
        <v>September</v>
      </c>
      <c r="AC214" s="8" t="str">
        <f>TEXT(B214,"yyyy")</f>
        <v>2024</v>
      </c>
      <c r="AE214">
        <f t="shared" si="55"/>
        <v>429</v>
      </c>
      <c r="AF214" s="11">
        <f t="shared" si="56"/>
        <v>364.65</v>
      </c>
      <c r="AG214">
        <f t="shared" si="57"/>
        <v>148.26</v>
      </c>
      <c r="AH214" s="11">
        <f t="shared" si="58"/>
        <v>0.34559440559440557</v>
      </c>
      <c r="AI214" s="9">
        <f t="shared" si="59"/>
        <v>0.34559440559440557</v>
      </c>
      <c r="AJ214">
        <f t="shared" si="60"/>
        <v>364.65</v>
      </c>
      <c r="AK214">
        <f t="shared" si="61"/>
        <v>1</v>
      </c>
      <c r="AL214">
        <f t="shared" si="62"/>
        <v>0</v>
      </c>
      <c r="AM214">
        <f t="shared" si="63"/>
        <v>0</v>
      </c>
      <c r="AN214">
        <f t="shared" si="64"/>
        <v>0</v>
      </c>
      <c r="AO214">
        <f t="shared" si="65"/>
        <v>0</v>
      </c>
      <c r="AP214">
        <f t="shared" si="66"/>
        <v>0</v>
      </c>
      <c r="AQ214">
        <f t="shared" si="67"/>
        <v>0</v>
      </c>
    </row>
    <row r="215" spans="1:43">
      <c r="A215" t="s">
        <v>746</v>
      </c>
      <c r="B215" s="5">
        <v>45427</v>
      </c>
      <c r="C215" s="5">
        <v>45433</v>
      </c>
      <c r="D215" s="13">
        <f t="shared" si="51"/>
        <v>6</v>
      </c>
      <c r="E215" t="s">
        <v>747</v>
      </c>
      <c r="F215" t="s">
        <v>47</v>
      </c>
      <c r="G215" t="s">
        <v>37</v>
      </c>
      <c r="H215" t="s">
        <v>38</v>
      </c>
      <c r="I215" t="s">
        <v>145</v>
      </c>
      <c r="J215" t="s">
        <v>146</v>
      </c>
      <c r="K215" t="s">
        <v>74</v>
      </c>
      <c r="L215" t="s">
        <v>75</v>
      </c>
      <c r="M215" t="s">
        <v>748</v>
      </c>
      <c r="N215" t="s">
        <v>31</v>
      </c>
      <c r="O215">
        <v>4</v>
      </c>
      <c r="P215">
        <v>4332.7299999999996</v>
      </c>
      <c r="Q215" s="11">
        <v>0.2</v>
      </c>
      <c r="R215">
        <v>13864.74</v>
      </c>
      <c r="S215">
        <v>11294.06</v>
      </c>
      <c r="T215">
        <v>2570.6799999999998</v>
      </c>
      <c r="U215" t="s">
        <v>32</v>
      </c>
      <c r="V215" t="s">
        <v>33</v>
      </c>
      <c r="X215" s="8" t="str">
        <f>IF(C215&gt;=B215,"Valid", "Invalid-Date")</f>
        <v>Valid</v>
      </c>
      <c r="Y215" s="8" t="str">
        <f t="shared" si="52"/>
        <v>Valid</v>
      </c>
      <c r="Z215" s="8" t="str">
        <f t="shared" si="53"/>
        <v>Pass</v>
      </c>
      <c r="AA215" s="8" t="str">
        <f t="shared" si="54"/>
        <v>Pass</v>
      </c>
      <c r="AB215" s="8" t="str">
        <f>TEXT(B215,"mmmm")</f>
        <v>May</v>
      </c>
      <c r="AC215" s="8" t="str">
        <f>TEXT(B215,"yyyy")</f>
        <v>2024</v>
      </c>
      <c r="AE215">
        <f t="shared" si="55"/>
        <v>17330.919999999998</v>
      </c>
      <c r="AF215" s="11">
        <f t="shared" si="56"/>
        <v>13864.735999999999</v>
      </c>
      <c r="AG215">
        <f t="shared" si="57"/>
        <v>6036.8599999999988</v>
      </c>
      <c r="AH215" s="11">
        <f t="shared" si="58"/>
        <v>0.34832888271367007</v>
      </c>
      <c r="AI215" s="9">
        <f t="shared" si="59"/>
        <v>0.34832888271367007</v>
      </c>
      <c r="AJ215">
        <f t="shared" si="60"/>
        <v>13864.74</v>
      </c>
      <c r="AK215">
        <f t="shared" si="61"/>
        <v>1</v>
      </c>
      <c r="AL215">
        <f t="shared" si="62"/>
        <v>0</v>
      </c>
      <c r="AM215">
        <f t="shared" si="63"/>
        <v>0</v>
      </c>
      <c r="AN215">
        <f t="shared" si="64"/>
        <v>0</v>
      </c>
      <c r="AO215">
        <f t="shared" si="65"/>
        <v>0</v>
      </c>
      <c r="AP215">
        <f t="shared" si="66"/>
        <v>0</v>
      </c>
      <c r="AQ215">
        <f t="shared" si="67"/>
        <v>0</v>
      </c>
    </row>
    <row r="216" spans="1:43">
      <c r="A216" t="s">
        <v>749</v>
      </c>
      <c r="B216" s="5">
        <v>45368</v>
      </c>
      <c r="C216" s="5">
        <v>45374</v>
      </c>
      <c r="D216" s="13">
        <f t="shared" si="51"/>
        <v>6</v>
      </c>
      <c r="E216" t="s">
        <v>750</v>
      </c>
      <c r="F216" t="s">
        <v>118</v>
      </c>
      <c r="G216" t="s">
        <v>24</v>
      </c>
      <c r="H216" t="s">
        <v>25</v>
      </c>
      <c r="I216" t="s">
        <v>236</v>
      </c>
      <c r="J216" t="s">
        <v>237</v>
      </c>
      <c r="K216" t="s">
        <v>74</v>
      </c>
      <c r="L216" t="s">
        <v>75</v>
      </c>
      <c r="M216" t="s">
        <v>751</v>
      </c>
      <c r="N216" t="s">
        <v>50</v>
      </c>
      <c r="O216">
        <v>3</v>
      </c>
      <c r="P216">
        <v>248.18</v>
      </c>
      <c r="Q216" s="11">
        <v>0.05</v>
      </c>
      <c r="R216">
        <v>707.31</v>
      </c>
      <c r="S216">
        <v>569</v>
      </c>
      <c r="T216">
        <v>138.31</v>
      </c>
      <c r="U216" t="s">
        <v>32</v>
      </c>
      <c r="V216" t="s">
        <v>33</v>
      </c>
      <c r="X216" s="8" t="str">
        <f>IF(C216&gt;=B216,"Valid", "Invalid-Date")</f>
        <v>Valid</v>
      </c>
      <c r="Y216" s="8" t="str">
        <f t="shared" si="52"/>
        <v>Valid</v>
      </c>
      <c r="Z216" s="8" t="str">
        <f t="shared" si="53"/>
        <v>Pass</v>
      </c>
      <c r="AA216" s="8" t="str">
        <f t="shared" si="54"/>
        <v>Pass</v>
      </c>
      <c r="AB216" s="8" t="str">
        <f>TEXT(B216,"mmmm")</f>
        <v>March</v>
      </c>
      <c r="AC216" s="8" t="str">
        <f>TEXT(B216,"yyyy")</f>
        <v>2024</v>
      </c>
      <c r="AE216">
        <f t="shared" si="55"/>
        <v>744.54</v>
      </c>
      <c r="AF216" s="11">
        <f t="shared" si="56"/>
        <v>707.31299999999999</v>
      </c>
      <c r="AG216">
        <f t="shared" si="57"/>
        <v>175.53999999999996</v>
      </c>
      <c r="AH216" s="11">
        <f t="shared" si="58"/>
        <v>0.23576973701883039</v>
      </c>
      <c r="AI216" s="9">
        <f t="shared" si="59"/>
        <v>0.23576973701883039</v>
      </c>
      <c r="AJ216">
        <f t="shared" si="60"/>
        <v>707.31</v>
      </c>
      <c r="AK216">
        <f t="shared" si="61"/>
        <v>1</v>
      </c>
      <c r="AL216">
        <f t="shared" si="62"/>
        <v>0</v>
      </c>
      <c r="AM216">
        <f t="shared" si="63"/>
        <v>0</v>
      </c>
      <c r="AN216">
        <f t="shared" si="64"/>
        <v>0</v>
      </c>
      <c r="AO216">
        <f t="shared" si="65"/>
        <v>0</v>
      </c>
      <c r="AP216">
        <f t="shared" si="66"/>
        <v>0</v>
      </c>
      <c r="AQ216">
        <f t="shared" si="67"/>
        <v>0</v>
      </c>
    </row>
    <row r="217" spans="1:43">
      <c r="A217" t="s">
        <v>752</v>
      </c>
      <c r="B217" s="5">
        <v>45352</v>
      </c>
      <c r="C217" s="5">
        <v>45385</v>
      </c>
      <c r="D217" s="13">
        <f t="shared" si="51"/>
        <v>33</v>
      </c>
      <c r="E217" t="s">
        <v>753</v>
      </c>
      <c r="F217" t="s">
        <v>36</v>
      </c>
      <c r="G217" t="s">
        <v>24</v>
      </c>
      <c r="H217" t="s">
        <v>63</v>
      </c>
      <c r="I217" t="s">
        <v>72</v>
      </c>
      <c r="J217" t="s">
        <v>73</v>
      </c>
      <c r="K217" t="s">
        <v>28</v>
      </c>
      <c r="L217" t="s">
        <v>29</v>
      </c>
      <c r="M217" t="s">
        <v>754</v>
      </c>
      <c r="N217" t="s">
        <v>50</v>
      </c>
      <c r="O217">
        <v>8</v>
      </c>
      <c r="P217">
        <v>3202.4</v>
      </c>
      <c r="Q217" s="11">
        <v>0.25</v>
      </c>
      <c r="R217">
        <v>19214.400000000001</v>
      </c>
      <c r="S217">
        <v>10916.01</v>
      </c>
      <c r="T217">
        <v>8298.39</v>
      </c>
      <c r="U217" t="s">
        <v>32</v>
      </c>
      <c r="V217" t="s">
        <v>33</v>
      </c>
      <c r="X217" s="8" t="str">
        <f>IF(C217&gt;=B217,"Valid", "Invalid-Date")</f>
        <v>Valid</v>
      </c>
      <c r="Y217" s="8" t="str">
        <f t="shared" si="52"/>
        <v>Valid</v>
      </c>
      <c r="Z217" s="8" t="str">
        <f t="shared" si="53"/>
        <v>Pass</v>
      </c>
      <c r="AA217" s="8" t="str">
        <f t="shared" si="54"/>
        <v>Pass</v>
      </c>
      <c r="AB217" s="8" t="str">
        <f>TEXT(B217,"mmmm")</f>
        <v>March</v>
      </c>
      <c r="AC217" s="8" t="str">
        <f>TEXT(B217,"yyyy")</f>
        <v>2024</v>
      </c>
      <c r="AE217">
        <f t="shared" si="55"/>
        <v>25619.200000000001</v>
      </c>
      <c r="AF217" s="11">
        <f t="shared" si="56"/>
        <v>19214.400000000001</v>
      </c>
      <c r="AG217">
        <f t="shared" si="57"/>
        <v>14703.19</v>
      </c>
      <c r="AH217" s="11">
        <f t="shared" si="58"/>
        <v>0.57391292468148891</v>
      </c>
      <c r="AI217" s="9">
        <f t="shared" si="59"/>
        <v>0.57391292468148891</v>
      </c>
      <c r="AJ217">
        <f t="shared" si="60"/>
        <v>19214.400000000001</v>
      </c>
      <c r="AK217">
        <f t="shared" si="61"/>
        <v>1</v>
      </c>
      <c r="AL217">
        <f t="shared" si="62"/>
        <v>0</v>
      </c>
      <c r="AM217">
        <f t="shared" si="63"/>
        <v>0</v>
      </c>
      <c r="AN217">
        <f t="shared" si="64"/>
        <v>0</v>
      </c>
      <c r="AO217">
        <f t="shared" si="65"/>
        <v>0</v>
      </c>
      <c r="AP217">
        <f t="shared" si="66"/>
        <v>0</v>
      </c>
      <c r="AQ217">
        <f t="shared" si="67"/>
        <v>0</v>
      </c>
    </row>
    <row r="218" spans="1:43">
      <c r="A218" t="s">
        <v>755</v>
      </c>
      <c r="B218" s="5">
        <v>45934</v>
      </c>
      <c r="C218" s="5">
        <v>45762</v>
      </c>
      <c r="D218" s="13">
        <f t="shared" si="51"/>
        <v>-172</v>
      </c>
      <c r="E218" t="s">
        <v>756</v>
      </c>
      <c r="F218" t="s">
        <v>47</v>
      </c>
      <c r="G218" t="s">
        <v>24</v>
      </c>
      <c r="H218" t="s">
        <v>63</v>
      </c>
      <c r="I218" t="s">
        <v>180</v>
      </c>
      <c r="J218" t="s">
        <v>181</v>
      </c>
      <c r="K218" t="s">
        <v>41</v>
      </c>
      <c r="L218" t="s">
        <v>42</v>
      </c>
      <c r="M218" t="s">
        <v>757</v>
      </c>
      <c r="N218" t="s">
        <v>59</v>
      </c>
      <c r="O218">
        <v>8</v>
      </c>
      <c r="P218">
        <v>1839.87</v>
      </c>
      <c r="Q218" s="11">
        <v>0.25</v>
      </c>
      <c r="R218">
        <v>11039.22</v>
      </c>
      <c r="S218">
        <v>7642.91</v>
      </c>
      <c r="T218">
        <v>3396.31</v>
      </c>
      <c r="U218" t="s">
        <v>155</v>
      </c>
      <c r="V218" t="s">
        <v>103</v>
      </c>
      <c r="X218" s="8" t="str">
        <f>IF(C218&gt;=B218,"Valid", "Invalid-Date")</f>
        <v>Invalid-Date</v>
      </c>
      <c r="Y218" s="8" t="str">
        <f t="shared" si="52"/>
        <v>Valid</v>
      </c>
      <c r="Z218" s="8" t="str">
        <f t="shared" si="53"/>
        <v>Pass</v>
      </c>
      <c r="AA218" s="8" t="str">
        <f t="shared" si="54"/>
        <v>Pass</v>
      </c>
      <c r="AB218" s="8" t="str">
        <f>TEXT(B218,"mmmm")</f>
        <v>October</v>
      </c>
      <c r="AC218" s="8" t="str">
        <f>TEXT(B218,"yyyy")</f>
        <v>2025</v>
      </c>
      <c r="AE218">
        <f t="shared" si="55"/>
        <v>14718.96</v>
      </c>
      <c r="AF218" s="11">
        <f t="shared" si="56"/>
        <v>11039.22</v>
      </c>
      <c r="AG218">
        <f t="shared" si="57"/>
        <v>7076.0499999999993</v>
      </c>
      <c r="AH218" s="11">
        <f t="shared" si="58"/>
        <v>0.48074388407876639</v>
      </c>
      <c r="AI218" s="9">
        <f t="shared" si="59"/>
        <v>0.48074388407876639</v>
      </c>
      <c r="AJ218">
        <f t="shared" si="60"/>
        <v>0</v>
      </c>
      <c r="AK218">
        <f t="shared" si="61"/>
        <v>0</v>
      </c>
      <c r="AL218">
        <f t="shared" si="62"/>
        <v>0</v>
      </c>
      <c r="AM218">
        <f t="shared" si="63"/>
        <v>0</v>
      </c>
      <c r="AN218">
        <f t="shared" si="64"/>
        <v>11039.22</v>
      </c>
      <c r="AO218">
        <f t="shared" si="65"/>
        <v>1</v>
      </c>
      <c r="AP218">
        <f t="shared" si="66"/>
        <v>11039.22</v>
      </c>
      <c r="AQ218">
        <f t="shared" si="67"/>
        <v>1</v>
      </c>
    </row>
    <row r="219" spans="1:43">
      <c r="A219" t="s">
        <v>758</v>
      </c>
      <c r="B219" s="5">
        <v>45748</v>
      </c>
      <c r="C219" s="5">
        <v>45873</v>
      </c>
      <c r="D219" s="13">
        <f t="shared" si="51"/>
        <v>125</v>
      </c>
      <c r="E219" t="s">
        <v>759</v>
      </c>
      <c r="F219" t="s">
        <v>89</v>
      </c>
      <c r="G219" t="s">
        <v>24</v>
      </c>
      <c r="H219" t="s">
        <v>38</v>
      </c>
      <c r="I219" t="s">
        <v>39</v>
      </c>
      <c r="J219" t="s">
        <v>40</v>
      </c>
      <c r="K219" t="s">
        <v>41</v>
      </c>
      <c r="L219" t="s">
        <v>158</v>
      </c>
      <c r="M219" t="s">
        <v>760</v>
      </c>
      <c r="N219" t="s">
        <v>31</v>
      </c>
      <c r="O219">
        <v>5</v>
      </c>
      <c r="P219">
        <v>1021.28</v>
      </c>
      <c r="Q219" s="11">
        <v>0.1</v>
      </c>
      <c r="R219">
        <v>4595.76</v>
      </c>
      <c r="S219">
        <v>3396.8</v>
      </c>
      <c r="T219">
        <v>1198.96</v>
      </c>
      <c r="U219" t="s">
        <v>102</v>
      </c>
      <c r="V219" t="s">
        <v>68</v>
      </c>
      <c r="X219" s="8" t="str">
        <f>IF(C219&gt;=B219,"Valid", "Invalid-Date")</f>
        <v>Valid</v>
      </c>
      <c r="Y219" s="8" t="str">
        <f t="shared" si="52"/>
        <v>Valid</v>
      </c>
      <c r="Z219" s="8" t="str">
        <f t="shared" si="53"/>
        <v>Pass</v>
      </c>
      <c r="AA219" s="8" t="str">
        <f t="shared" si="54"/>
        <v>Pass</v>
      </c>
      <c r="AB219" s="8" t="str">
        <f>TEXT(B219,"mmmm")</f>
        <v>April</v>
      </c>
      <c r="AC219" s="8" t="str">
        <f>TEXT(B219,"yyyy")</f>
        <v>2025</v>
      </c>
      <c r="AE219">
        <f t="shared" si="55"/>
        <v>5106.3999999999996</v>
      </c>
      <c r="AF219" s="11">
        <f t="shared" si="56"/>
        <v>4595.76</v>
      </c>
      <c r="AG219">
        <f t="shared" si="57"/>
        <v>1709.5999999999995</v>
      </c>
      <c r="AH219" s="11">
        <f t="shared" si="58"/>
        <v>0.33479555068149763</v>
      </c>
      <c r="AI219" s="9">
        <f t="shared" si="59"/>
        <v>0.33479555068149763</v>
      </c>
      <c r="AJ219">
        <f t="shared" si="60"/>
        <v>0</v>
      </c>
      <c r="AK219">
        <f t="shared" si="61"/>
        <v>0</v>
      </c>
      <c r="AL219">
        <f t="shared" si="62"/>
        <v>4595.76</v>
      </c>
      <c r="AM219">
        <f t="shared" si="63"/>
        <v>1</v>
      </c>
      <c r="AN219">
        <f t="shared" si="64"/>
        <v>0</v>
      </c>
      <c r="AO219">
        <f t="shared" si="65"/>
        <v>0</v>
      </c>
      <c r="AP219">
        <f t="shared" si="66"/>
        <v>0</v>
      </c>
      <c r="AQ219">
        <f t="shared" si="67"/>
        <v>0</v>
      </c>
    </row>
    <row r="220" spans="1:43">
      <c r="A220" t="s">
        <v>761</v>
      </c>
      <c r="B220" s="5">
        <v>45714</v>
      </c>
      <c r="C220" s="5">
        <v>45715</v>
      </c>
      <c r="D220" s="13">
        <f t="shared" si="51"/>
        <v>1</v>
      </c>
      <c r="E220" t="s">
        <v>762</v>
      </c>
      <c r="F220" t="s">
        <v>114</v>
      </c>
      <c r="G220" t="s">
        <v>90</v>
      </c>
      <c r="H220" t="s">
        <v>63</v>
      </c>
      <c r="I220" t="s">
        <v>180</v>
      </c>
      <c r="J220" t="s">
        <v>181</v>
      </c>
      <c r="K220" t="s">
        <v>41</v>
      </c>
      <c r="L220" t="s">
        <v>158</v>
      </c>
      <c r="M220" t="s">
        <v>763</v>
      </c>
      <c r="N220" t="s">
        <v>59</v>
      </c>
      <c r="O220">
        <v>5</v>
      </c>
      <c r="P220">
        <v>258.27999999999997</v>
      </c>
      <c r="Q220" s="11">
        <v>0</v>
      </c>
      <c r="R220">
        <v>1291.4000000000001</v>
      </c>
      <c r="S220">
        <v>756.93</v>
      </c>
      <c r="T220">
        <v>534.47</v>
      </c>
      <c r="U220" t="s">
        <v>32</v>
      </c>
      <c r="V220" t="s">
        <v>33</v>
      </c>
      <c r="X220" s="8" t="str">
        <f>IF(C220&gt;=B220,"Valid", "Invalid-Date")</f>
        <v>Valid</v>
      </c>
      <c r="Y220" s="8" t="str">
        <f t="shared" si="52"/>
        <v>Valid</v>
      </c>
      <c r="Z220" s="8" t="str">
        <f t="shared" si="53"/>
        <v>Pass</v>
      </c>
      <c r="AA220" s="8" t="str">
        <f t="shared" si="54"/>
        <v>Pass</v>
      </c>
      <c r="AB220" s="8" t="str">
        <f>TEXT(B220,"mmmm")</f>
        <v>February</v>
      </c>
      <c r="AC220" s="8" t="str">
        <f>TEXT(B220,"yyyy")</f>
        <v>2025</v>
      </c>
      <c r="AE220">
        <f t="shared" si="55"/>
        <v>1291.3999999999999</v>
      </c>
      <c r="AF220" s="11">
        <f t="shared" si="56"/>
        <v>1291.3999999999999</v>
      </c>
      <c r="AG220">
        <f t="shared" si="57"/>
        <v>534.46999999999991</v>
      </c>
      <c r="AH220" s="11">
        <f t="shared" si="58"/>
        <v>0.41386866966083319</v>
      </c>
      <c r="AI220" s="9">
        <f t="shared" si="59"/>
        <v>0.41386866966083319</v>
      </c>
      <c r="AJ220">
        <f t="shared" si="60"/>
        <v>1291.4000000000001</v>
      </c>
      <c r="AK220">
        <f t="shared" si="61"/>
        <v>1</v>
      </c>
      <c r="AL220">
        <f t="shared" si="62"/>
        <v>0</v>
      </c>
      <c r="AM220">
        <f t="shared" si="63"/>
        <v>0</v>
      </c>
      <c r="AN220">
        <f t="shared" si="64"/>
        <v>0</v>
      </c>
      <c r="AO220">
        <f t="shared" si="65"/>
        <v>0</v>
      </c>
      <c r="AP220">
        <f t="shared" si="66"/>
        <v>0</v>
      </c>
      <c r="AQ220">
        <f t="shared" si="67"/>
        <v>0</v>
      </c>
    </row>
    <row r="221" spans="1:43">
      <c r="A221" t="s">
        <v>764</v>
      </c>
      <c r="B221" s="5">
        <v>45461</v>
      </c>
      <c r="C221" s="5">
        <v>45462</v>
      </c>
      <c r="D221" s="13">
        <f t="shared" si="51"/>
        <v>1</v>
      </c>
      <c r="E221" t="s">
        <v>765</v>
      </c>
      <c r="F221" t="s">
        <v>118</v>
      </c>
      <c r="G221" t="s">
        <v>24</v>
      </c>
      <c r="H221" t="s">
        <v>38</v>
      </c>
      <c r="I221" t="s">
        <v>145</v>
      </c>
      <c r="J221" t="s">
        <v>146</v>
      </c>
      <c r="K221" t="s">
        <v>74</v>
      </c>
      <c r="L221" t="s">
        <v>274</v>
      </c>
      <c r="M221" t="s">
        <v>766</v>
      </c>
      <c r="N221" t="s">
        <v>50</v>
      </c>
      <c r="O221">
        <v>2</v>
      </c>
      <c r="P221">
        <v>121.49</v>
      </c>
      <c r="Q221" s="11">
        <v>0.85</v>
      </c>
      <c r="R221">
        <v>242.98</v>
      </c>
      <c r="S221">
        <v>161.41999999999999</v>
      </c>
      <c r="T221">
        <v>81.56</v>
      </c>
      <c r="U221" t="s">
        <v>32</v>
      </c>
      <c r="V221" t="s">
        <v>33</v>
      </c>
      <c r="X221" s="8" t="str">
        <f>IF(C221&gt;=B221,"Valid", "Invalid-Date")</f>
        <v>Valid</v>
      </c>
      <c r="Y221" s="8" t="str">
        <f t="shared" si="52"/>
        <v>Invalid-Discount</v>
      </c>
      <c r="Z221" s="8" t="str">
        <f t="shared" si="53"/>
        <v>Pass</v>
      </c>
      <c r="AA221" s="8" t="str">
        <f t="shared" si="54"/>
        <v>Pass</v>
      </c>
      <c r="AB221" s="8" t="str">
        <f>TEXT(B221,"mmmm")</f>
        <v>June</v>
      </c>
      <c r="AC221" s="8" t="str">
        <f>TEXT(B221,"yyyy")</f>
        <v>2024</v>
      </c>
      <c r="AE221">
        <f t="shared" si="55"/>
        <v>242.98</v>
      </c>
      <c r="AF221" s="11">
        <f t="shared" si="56"/>
        <v>36.447000000000003</v>
      </c>
      <c r="AG221">
        <f t="shared" si="57"/>
        <v>81.56</v>
      </c>
      <c r="AH221" s="11">
        <f t="shared" si="58"/>
        <v>0.33566548687134745</v>
      </c>
      <c r="AI221" s="9">
        <f t="shared" si="59"/>
        <v>0.33566548687134745</v>
      </c>
      <c r="AJ221">
        <f t="shared" si="60"/>
        <v>242.98</v>
      </c>
      <c r="AK221">
        <f t="shared" si="61"/>
        <v>1</v>
      </c>
      <c r="AL221">
        <f t="shared" si="62"/>
        <v>0</v>
      </c>
      <c r="AM221">
        <f t="shared" si="63"/>
        <v>0</v>
      </c>
      <c r="AN221">
        <f t="shared" si="64"/>
        <v>0</v>
      </c>
      <c r="AO221">
        <f t="shared" si="65"/>
        <v>0</v>
      </c>
      <c r="AP221">
        <f t="shared" si="66"/>
        <v>0</v>
      </c>
      <c r="AQ221">
        <f t="shared" si="67"/>
        <v>0</v>
      </c>
    </row>
    <row r="222" spans="1:43">
      <c r="A222" t="s">
        <v>767</v>
      </c>
      <c r="B222" s="5">
        <v>45360</v>
      </c>
      <c r="C222" s="5">
        <v>45360</v>
      </c>
      <c r="D222" s="13">
        <f t="shared" si="51"/>
        <v>0</v>
      </c>
      <c r="E222" t="s">
        <v>768</v>
      </c>
      <c r="F222" t="s">
        <v>132</v>
      </c>
      <c r="G222" t="s">
        <v>24</v>
      </c>
      <c r="H222" t="s">
        <v>54</v>
      </c>
      <c r="I222" t="s">
        <v>185</v>
      </c>
      <c r="J222" t="s">
        <v>186</v>
      </c>
      <c r="K222" t="s">
        <v>28</v>
      </c>
      <c r="L222" t="s">
        <v>124</v>
      </c>
      <c r="M222" t="s">
        <v>769</v>
      </c>
      <c r="N222" t="s">
        <v>50</v>
      </c>
      <c r="O222">
        <v>4</v>
      </c>
      <c r="P222">
        <v>2810.17</v>
      </c>
      <c r="Q222" s="11">
        <v>0.15</v>
      </c>
      <c r="R222">
        <v>9554.58</v>
      </c>
      <c r="S222">
        <v>6068.47</v>
      </c>
      <c r="T222">
        <v>3486.11</v>
      </c>
      <c r="U222" t="s">
        <v>102</v>
      </c>
      <c r="V222" t="s">
        <v>68</v>
      </c>
      <c r="X222" s="8" t="str">
        <f>IF(C222&gt;=B222,"Valid", "Invalid-Date")</f>
        <v>Valid</v>
      </c>
      <c r="Y222" s="8" t="str">
        <f t="shared" si="52"/>
        <v>Valid</v>
      </c>
      <c r="Z222" s="8" t="str">
        <f t="shared" si="53"/>
        <v>Pass</v>
      </c>
      <c r="AA222" s="8" t="str">
        <f t="shared" si="54"/>
        <v>Pass</v>
      </c>
      <c r="AB222" s="8" t="str">
        <f>TEXT(B222,"mmmm")</f>
        <v>March</v>
      </c>
      <c r="AC222" s="8" t="str">
        <f>TEXT(B222,"yyyy")</f>
        <v>2024</v>
      </c>
      <c r="AE222">
        <f t="shared" si="55"/>
        <v>11240.68</v>
      </c>
      <c r="AF222" s="11">
        <f t="shared" si="56"/>
        <v>9554.5779999999995</v>
      </c>
      <c r="AG222">
        <f t="shared" si="57"/>
        <v>5172.21</v>
      </c>
      <c r="AH222" s="11">
        <f t="shared" si="58"/>
        <v>0.46013319478892734</v>
      </c>
      <c r="AI222" s="9">
        <f t="shared" si="59"/>
        <v>0.46013319478892734</v>
      </c>
      <c r="AJ222">
        <f t="shared" si="60"/>
        <v>0</v>
      </c>
      <c r="AK222">
        <f t="shared" si="61"/>
        <v>0</v>
      </c>
      <c r="AL222">
        <f t="shared" si="62"/>
        <v>9554.58</v>
      </c>
      <c r="AM222">
        <f t="shared" si="63"/>
        <v>1</v>
      </c>
      <c r="AN222">
        <f t="shared" si="64"/>
        <v>0</v>
      </c>
      <c r="AO222">
        <f t="shared" si="65"/>
        <v>0</v>
      </c>
      <c r="AP222">
        <f t="shared" si="66"/>
        <v>0</v>
      </c>
      <c r="AQ222">
        <f t="shared" si="67"/>
        <v>0</v>
      </c>
    </row>
    <row r="223" spans="1:43">
      <c r="A223" t="s">
        <v>770</v>
      </c>
      <c r="B223" s="5">
        <v>45669</v>
      </c>
      <c r="C223" s="5">
        <v>45672</v>
      </c>
      <c r="D223" s="13">
        <f t="shared" si="51"/>
        <v>3</v>
      </c>
      <c r="E223" t="s">
        <v>771</v>
      </c>
      <c r="F223" t="s">
        <v>36</v>
      </c>
      <c r="G223" t="s">
        <v>90</v>
      </c>
      <c r="H223" t="s">
        <v>54</v>
      </c>
      <c r="I223" t="s">
        <v>175</v>
      </c>
      <c r="J223" t="s">
        <v>176</v>
      </c>
      <c r="K223" t="s">
        <v>41</v>
      </c>
      <c r="L223" t="s">
        <v>66</v>
      </c>
      <c r="M223" t="s">
        <v>772</v>
      </c>
      <c r="N223" t="s">
        <v>44</v>
      </c>
      <c r="O223">
        <v>4</v>
      </c>
      <c r="P223">
        <v>1531.53</v>
      </c>
      <c r="Q223" s="11">
        <v>0.2</v>
      </c>
      <c r="R223">
        <v>4900.8999999999996</v>
      </c>
      <c r="S223">
        <v>3552.69</v>
      </c>
      <c r="T223">
        <v>1348.21</v>
      </c>
      <c r="U223" t="s">
        <v>32</v>
      </c>
      <c r="V223" t="s">
        <v>33</v>
      </c>
      <c r="X223" s="8" t="str">
        <f>IF(C223&gt;=B223,"Valid", "Invalid-Date")</f>
        <v>Valid</v>
      </c>
      <c r="Y223" s="8" t="str">
        <f t="shared" si="52"/>
        <v>Valid</v>
      </c>
      <c r="Z223" s="8" t="str">
        <f t="shared" si="53"/>
        <v>Pass</v>
      </c>
      <c r="AA223" s="8" t="str">
        <f t="shared" si="54"/>
        <v>Pass</v>
      </c>
      <c r="AB223" s="8" t="str">
        <f>TEXT(B223,"mmmm")</f>
        <v>January</v>
      </c>
      <c r="AC223" s="8" t="str">
        <f>TEXT(B223,"yyyy")</f>
        <v>2025</v>
      </c>
      <c r="AE223">
        <f t="shared" si="55"/>
        <v>6126.12</v>
      </c>
      <c r="AF223" s="11">
        <f t="shared" si="56"/>
        <v>4900.8959999999997</v>
      </c>
      <c r="AG223">
        <f t="shared" si="57"/>
        <v>2573.4299999999998</v>
      </c>
      <c r="AH223" s="11">
        <f t="shared" si="58"/>
        <v>0.42007502301619948</v>
      </c>
      <c r="AI223" s="9">
        <f t="shared" si="59"/>
        <v>0.42007502301619948</v>
      </c>
      <c r="AJ223">
        <f t="shared" si="60"/>
        <v>4900.8999999999996</v>
      </c>
      <c r="AK223">
        <f t="shared" si="61"/>
        <v>1</v>
      </c>
      <c r="AL223">
        <f t="shared" si="62"/>
        <v>0</v>
      </c>
      <c r="AM223">
        <f t="shared" si="63"/>
        <v>0</v>
      </c>
      <c r="AN223">
        <f t="shared" si="64"/>
        <v>0</v>
      </c>
      <c r="AO223">
        <f t="shared" si="65"/>
        <v>0</v>
      </c>
      <c r="AP223">
        <f t="shared" si="66"/>
        <v>0</v>
      </c>
      <c r="AQ223">
        <f t="shared" si="67"/>
        <v>0</v>
      </c>
    </row>
    <row r="224" spans="1:43">
      <c r="A224" t="s">
        <v>773</v>
      </c>
      <c r="B224" s="5">
        <v>45776</v>
      </c>
      <c r="C224" s="5">
        <v>45693</v>
      </c>
      <c r="D224" s="13">
        <f t="shared" si="51"/>
        <v>-83</v>
      </c>
      <c r="E224" t="s">
        <v>774</v>
      </c>
      <c r="F224" t="s">
        <v>71</v>
      </c>
      <c r="G224" t="s">
        <v>37</v>
      </c>
      <c r="H224" t="s">
        <v>63</v>
      </c>
      <c r="I224" t="s">
        <v>190</v>
      </c>
      <c r="J224" t="s">
        <v>191</v>
      </c>
      <c r="K224" t="s">
        <v>28</v>
      </c>
      <c r="L224" t="s">
        <v>124</v>
      </c>
      <c r="M224" t="s">
        <v>775</v>
      </c>
      <c r="N224" t="s">
        <v>50</v>
      </c>
      <c r="O224">
        <v>6</v>
      </c>
      <c r="P224">
        <v>4308.09</v>
      </c>
      <c r="Q224" s="11">
        <v>0</v>
      </c>
      <c r="R224">
        <v>25848.54</v>
      </c>
      <c r="S224">
        <v>17729.09</v>
      </c>
      <c r="T224">
        <v>8119.45</v>
      </c>
      <c r="U224" t="s">
        <v>32</v>
      </c>
      <c r="V224" t="s">
        <v>33</v>
      </c>
      <c r="X224" s="8" t="str">
        <f>IF(C224&gt;=B224,"Valid", "Invalid-Date")</f>
        <v>Invalid-Date</v>
      </c>
      <c r="Y224" s="8" t="str">
        <f t="shared" si="52"/>
        <v>Valid</v>
      </c>
      <c r="Z224" s="8" t="str">
        <f t="shared" si="53"/>
        <v>Pass</v>
      </c>
      <c r="AA224" s="8" t="str">
        <f t="shared" si="54"/>
        <v>Pass</v>
      </c>
      <c r="AB224" s="8" t="str">
        <f>TEXT(B224,"mmmm")</f>
        <v>April</v>
      </c>
      <c r="AC224" s="8" t="str">
        <f>TEXT(B224,"yyyy")</f>
        <v>2025</v>
      </c>
      <c r="AE224">
        <f t="shared" si="55"/>
        <v>25848.54</v>
      </c>
      <c r="AF224" s="11">
        <f t="shared" si="56"/>
        <v>25848.54</v>
      </c>
      <c r="AG224">
        <f t="shared" si="57"/>
        <v>8119.4500000000007</v>
      </c>
      <c r="AH224" s="11">
        <f t="shared" si="58"/>
        <v>0.31411638723115504</v>
      </c>
      <c r="AI224" s="9">
        <f t="shared" si="59"/>
        <v>0.31411638723115504</v>
      </c>
      <c r="AJ224">
        <f t="shared" si="60"/>
        <v>25848.54</v>
      </c>
      <c r="AK224">
        <f t="shared" si="61"/>
        <v>1</v>
      </c>
      <c r="AL224">
        <f t="shared" si="62"/>
        <v>0</v>
      </c>
      <c r="AM224">
        <f t="shared" si="63"/>
        <v>0</v>
      </c>
      <c r="AN224">
        <f t="shared" si="64"/>
        <v>0</v>
      </c>
      <c r="AO224">
        <f t="shared" si="65"/>
        <v>0</v>
      </c>
      <c r="AP224">
        <f t="shared" si="66"/>
        <v>0</v>
      </c>
      <c r="AQ224">
        <f t="shared" si="67"/>
        <v>0</v>
      </c>
    </row>
    <row r="225" spans="1:43">
      <c r="A225" t="s">
        <v>776</v>
      </c>
      <c r="B225" s="5">
        <v>45707</v>
      </c>
      <c r="C225" s="5">
        <v>45714</v>
      </c>
      <c r="D225" s="13">
        <f t="shared" si="51"/>
        <v>7</v>
      </c>
      <c r="E225" t="s">
        <v>777</v>
      </c>
      <c r="F225" t="s">
        <v>36</v>
      </c>
      <c r="G225" t="s">
        <v>90</v>
      </c>
      <c r="H225" t="s">
        <v>63</v>
      </c>
      <c r="I225" t="s">
        <v>64</v>
      </c>
      <c r="J225" t="s">
        <v>65</v>
      </c>
      <c r="K225" t="s">
        <v>41</v>
      </c>
      <c r="L225" t="s">
        <v>57</v>
      </c>
      <c r="M225" t="s">
        <v>778</v>
      </c>
      <c r="N225" t="s">
        <v>50</v>
      </c>
      <c r="O225">
        <v>3</v>
      </c>
      <c r="P225">
        <v>490.3</v>
      </c>
      <c r="Q225" s="11">
        <v>0.2</v>
      </c>
      <c r="R225">
        <v>1176.72</v>
      </c>
      <c r="S225">
        <v>654.33000000000004</v>
      </c>
      <c r="T225">
        <v>522.39</v>
      </c>
      <c r="U225" t="s">
        <v>111</v>
      </c>
      <c r="V225" t="s">
        <v>103</v>
      </c>
      <c r="X225" s="8" t="str">
        <f>IF(C225&gt;=B225,"Valid", "Invalid-Date")</f>
        <v>Valid</v>
      </c>
      <c r="Y225" s="8" t="str">
        <f t="shared" si="52"/>
        <v>Valid</v>
      </c>
      <c r="Z225" s="8" t="str">
        <f t="shared" si="53"/>
        <v>Pass</v>
      </c>
      <c r="AA225" s="8" t="str">
        <f t="shared" si="54"/>
        <v>Pass</v>
      </c>
      <c r="AB225" s="8" t="str">
        <f>TEXT(B225,"mmmm")</f>
        <v>February</v>
      </c>
      <c r="AC225" s="8" t="str">
        <f>TEXT(B225,"yyyy")</f>
        <v>2025</v>
      </c>
      <c r="AE225">
        <f t="shared" si="55"/>
        <v>1470.9</v>
      </c>
      <c r="AF225" s="11">
        <f t="shared" si="56"/>
        <v>1176.72</v>
      </c>
      <c r="AG225">
        <f t="shared" si="57"/>
        <v>816.57</v>
      </c>
      <c r="AH225" s="11">
        <f t="shared" si="58"/>
        <v>0.55514990821945742</v>
      </c>
      <c r="AI225" s="9">
        <f t="shared" si="59"/>
        <v>0.55514990821945742</v>
      </c>
      <c r="AJ225">
        <f t="shared" si="60"/>
        <v>0</v>
      </c>
      <c r="AK225">
        <f t="shared" si="61"/>
        <v>0</v>
      </c>
      <c r="AL225">
        <f t="shared" si="62"/>
        <v>0</v>
      </c>
      <c r="AM225">
        <f t="shared" si="63"/>
        <v>0</v>
      </c>
      <c r="AN225">
        <f t="shared" si="64"/>
        <v>0</v>
      </c>
      <c r="AO225">
        <f t="shared" si="65"/>
        <v>0</v>
      </c>
      <c r="AP225">
        <f t="shared" si="66"/>
        <v>1176.72</v>
      </c>
      <c r="AQ225">
        <f t="shared" si="67"/>
        <v>1</v>
      </c>
    </row>
    <row r="226" spans="1:43" s="15" customFormat="1">
      <c r="A226" s="15" t="s">
        <v>779</v>
      </c>
      <c r="B226" s="16">
        <v>45698</v>
      </c>
      <c r="C226" s="16">
        <v>45879</v>
      </c>
      <c r="D226" s="17">
        <f t="shared" si="51"/>
        <v>181</v>
      </c>
      <c r="E226" s="15" t="s">
        <v>780</v>
      </c>
      <c r="F226" s="15" t="s">
        <v>47</v>
      </c>
      <c r="G226" s="15" t="s">
        <v>37</v>
      </c>
      <c r="H226" s="15" t="s">
        <v>25</v>
      </c>
      <c r="I226" s="15" t="s">
        <v>122</v>
      </c>
      <c r="J226" s="15" t="s">
        <v>123</v>
      </c>
      <c r="K226" s="15" t="s">
        <v>41</v>
      </c>
      <c r="L226" s="15" t="s">
        <v>57</v>
      </c>
      <c r="M226" s="15" t="s">
        <v>781</v>
      </c>
      <c r="N226" s="15" t="s">
        <v>59</v>
      </c>
      <c r="O226" s="15">
        <v>4</v>
      </c>
      <c r="P226" s="15">
        <v>3944.64</v>
      </c>
      <c r="Q226" s="18">
        <v>0.25</v>
      </c>
      <c r="R226" s="15">
        <v>11833.92</v>
      </c>
      <c r="S226" s="15">
        <v>6682.92</v>
      </c>
      <c r="T226" s="15">
        <v>5151</v>
      </c>
      <c r="U226" s="15" t="s">
        <v>32</v>
      </c>
      <c r="V226" s="15" t="s">
        <v>68</v>
      </c>
      <c r="W226" s="25"/>
      <c r="X226" s="8" t="str">
        <f>IF(C226&gt;=B226,"Valid", "Invalid-Date")</f>
        <v>Valid</v>
      </c>
      <c r="Y226" s="8" t="str">
        <f t="shared" si="52"/>
        <v>Valid</v>
      </c>
      <c r="Z226" s="19" t="str">
        <f t="shared" si="53"/>
        <v>Pass</v>
      </c>
      <c r="AA226" s="19" t="str">
        <f t="shared" si="54"/>
        <v>Pass</v>
      </c>
      <c r="AB226" s="19" t="str">
        <f>TEXT(B226,"mmmm")</f>
        <v>February</v>
      </c>
      <c r="AC226" s="19" t="str">
        <f>TEXT(B226,"yyyy")</f>
        <v>2025</v>
      </c>
      <c r="AD226" s="20"/>
      <c r="AE226" s="15">
        <f t="shared" si="55"/>
        <v>15778.56</v>
      </c>
      <c r="AF226" s="11">
        <f t="shared" si="56"/>
        <v>11833.92</v>
      </c>
      <c r="AG226" s="15">
        <f t="shared" si="57"/>
        <v>9095.64</v>
      </c>
      <c r="AH226" s="18">
        <f t="shared" si="58"/>
        <v>0.5764556461426138</v>
      </c>
      <c r="AI226" s="21">
        <f t="shared" si="59"/>
        <v>0.5764556461426138</v>
      </c>
      <c r="AJ226">
        <f t="shared" si="60"/>
        <v>0</v>
      </c>
      <c r="AK226">
        <f t="shared" si="61"/>
        <v>0</v>
      </c>
      <c r="AL226">
        <f t="shared" si="62"/>
        <v>11833.92</v>
      </c>
      <c r="AM226">
        <f t="shared" si="63"/>
        <v>1</v>
      </c>
      <c r="AN226">
        <f t="shared" si="64"/>
        <v>0</v>
      </c>
      <c r="AO226">
        <f t="shared" si="65"/>
        <v>0</v>
      </c>
      <c r="AP226">
        <f t="shared" si="66"/>
        <v>0</v>
      </c>
      <c r="AQ226">
        <f t="shared" si="67"/>
        <v>0</v>
      </c>
    </row>
    <row r="227" spans="1:43">
      <c r="A227" t="s">
        <v>782</v>
      </c>
      <c r="B227" s="5">
        <v>45537</v>
      </c>
      <c r="C227" s="5">
        <v>45574</v>
      </c>
      <c r="D227" s="13">
        <f t="shared" si="51"/>
        <v>37</v>
      </c>
      <c r="E227" t="s">
        <v>783</v>
      </c>
      <c r="F227" t="s">
        <v>36</v>
      </c>
      <c r="G227" t="s">
        <v>90</v>
      </c>
      <c r="H227" t="s">
        <v>63</v>
      </c>
      <c r="I227" t="s">
        <v>190</v>
      </c>
      <c r="J227" t="s">
        <v>191</v>
      </c>
      <c r="K227" t="s">
        <v>74</v>
      </c>
      <c r="L227" t="s">
        <v>171</v>
      </c>
      <c r="M227" t="s">
        <v>784</v>
      </c>
      <c r="N227" t="s">
        <v>59</v>
      </c>
      <c r="O227">
        <v>6</v>
      </c>
      <c r="P227">
        <v>1032.47</v>
      </c>
      <c r="Q227" s="11">
        <v>0.15</v>
      </c>
      <c r="R227">
        <v>5265.6</v>
      </c>
      <c r="S227">
        <v>4293.1099999999997</v>
      </c>
      <c r="T227">
        <v>787.57</v>
      </c>
      <c r="U227" t="s">
        <v>32</v>
      </c>
      <c r="V227" t="s">
        <v>33</v>
      </c>
      <c r="X227" s="8" t="str">
        <f>IF(C227&gt;=B227,"Valid", "Invalid-Date")</f>
        <v>Valid</v>
      </c>
      <c r="Y227" s="8" t="str">
        <f t="shared" si="52"/>
        <v>Valid</v>
      </c>
      <c r="Z227" s="8" t="str">
        <f t="shared" si="53"/>
        <v>Pass</v>
      </c>
      <c r="AA227" s="8" t="str">
        <f t="shared" si="54"/>
        <v>Pass</v>
      </c>
      <c r="AB227" s="8" t="str">
        <f>TEXT(B227,"mmmm")</f>
        <v>September</v>
      </c>
      <c r="AC227" s="8" t="str">
        <f>TEXT(B227,"yyyy")</f>
        <v>2024</v>
      </c>
      <c r="AE227">
        <f t="shared" si="55"/>
        <v>6194.82</v>
      </c>
      <c r="AF227" s="11">
        <f t="shared" si="56"/>
        <v>5265.5969999999998</v>
      </c>
      <c r="AG227">
        <f t="shared" si="57"/>
        <v>1901.71</v>
      </c>
      <c r="AH227" s="11">
        <f t="shared" si="58"/>
        <v>0.30698389945147725</v>
      </c>
      <c r="AI227" s="9">
        <f t="shared" si="59"/>
        <v>0.30698389945147725</v>
      </c>
      <c r="AJ227">
        <f t="shared" si="60"/>
        <v>5265.6</v>
      </c>
      <c r="AK227">
        <f t="shared" si="61"/>
        <v>1</v>
      </c>
      <c r="AL227">
        <f t="shared" si="62"/>
        <v>0</v>
      </c>
      <c r="AM227">
        <f t="shared" si="63"/>
        <v>0</v>
      </c>
      <c r="AN227">
        <f t="shared" si="64"/>
        <v>0</v>
      </c>
      <c r="AO227">
        <f t="shared" si="65"/>
        <v>0</v>
      </c>
      <c r="AP227">
        <f t="shared" si="66"/>
        <v>0</v>
      </c>
      <c r="AQ227">
        <f t="shared" si="67"/>
        <v>0</v>
      </c>
    </row>
    <row r="228" spans="1:43">
      <c r="A228" t="s">
        <v>785</v>
      </c>
      <c r="B228" s="5">
        <v>45757</v>
      </c>
      <c r="C228" s="5">
        <v>45762</v>
      </c>
      <c r="D228" s="13">
        <f t="shared" si="51"/>
        <v>5</v>
      </c>
      <c r="E228" t="s">
        <v>786</v>
      </c>
      <c r="F228" t="s">
        <v>162</v>
      </c>
      <c r="G228" t="s">
        <v>95</v>
      </c>
      <c r="H228" t="s">
        <v>2785</v>
      </c>
      <c r="I228" t="s">
        <v>185</v>
      </c>
      <c r="J228" t="s">
        <v>186</v>
      </c>
      <c r="K228" t="s">
        <v>74</v>
      </c>
      <c r="L228" t="s">
        <v>80</v>
      </c>
      <c r="M228" t="s">
        <v>787</v>
      </c>
      <c r="N228" t="s">
        <v>44</v>
      </c>
      <c r="O228">
        <v>1</v>
      </c>
      <c r="P228">
        <v>2208.27</v>
      </c>
      <c r="Q228" s="11">
        <v>0.1</v>
      </c>
      <c r="R228">
        <v>1987.44</v>
      </c>
      <c r="S228">
        <v>1110.23</v>
      </c>
      <c r="T228">
        <v>877.21</v>
      </c>
      <c r="U228" t="s">
        <v>32</v>
      </c>
      <c r="V228" t="s">
        <v>33</v>
      </c>
      <c r="X228" s="8" t="str">
        <f>IF(C228&gt;=B228,"Valid", "Invalid-Date")</f>
        <v>Valid</v>
      </c>
      <c r="Y228" s="8" t="str">
        <f t="shared" si="52"/>
        <v>Valid</v>
      </c>
      <c r="Z228" s="8" t="str">
        <f t="shared" si="53"/>
        <v>Pass</v>
      </c>
      <c r="AA228" s="8" t="str">
        <f t="shared" si="54"/>
        <v>Flagged</v>
      </c>
      <c r="AB228" s="8" t="str">
        <f>TEXT(B228,"mmmm")</f>
        <v>April</v>
      </c>
      <c r="AC228" s="8" t="str">
        <f>TEXT(B228,"yyyy")</f>
        <v>2025</v>
      </c>
      <c r="AE228">
        <f t="shared" si="55"/>
        <v>2208.27</v>
      </c>
      <c r="AF228" s="11">
        <f t="shared" si="56"/>
        <v>1987.443</v>
      </c>
      <c r="AG228">
        <f t="shared" si="57"/>
        <v>1098.04</v>
      </c>
      <c r="AH228" s="11">
        <f t="shared" si="58"/>
        <v>0.49723992084301283</v>
      </c>
      <c r="AI228" s="9">
        <f t="shared" si="59"/>
        <v>0.49723992084301283</v>
      </c>
      <c r="AJ228">
        <f t="shared" si="60"/>
        <v>1987.44</v>
      </c>
      <c r="AK228">
        <f t="shared" si="61"/>
        <v>1</v>
      </c>
      <c r="AL228">
        <f t="shared" si="62"/>
        <v>0</v>
      </c>
      <c r="AM228">
        <f t="shared" si="63"/>
        <v>0</v>
      </c>
      <c r="AN228">
        <f t="shared" si="64"/>
        <v>0</v>
      </c>
      <c r="AO228">
        <f t="shared" si="65"/>
        <v>0</v>
      </c>
      <c r="AP228">
        <f t="shared" si="66"/>
        <v>0</v>
      </c>
      <c r="AQ228">
        <f t="shared" si="67"/>
        <v>0</v>
      </c>
    </row>
    <row r="229" spans="1:43">
      <c r="A229" t="s">
        <v>788</v>
      </c>
      <c r="B229" s="5">
        <v>45478</v>
      </c>
      <c r="C229" s="5">
        <v>45633</v>
      </c>
      <c r="D229" s="13">
        <f t="shared" si="51"/>
        <v>155</v>
      </c>
      <c r="E229" t="s">
        <v>789</v>
      </c>
      <c r="F229" t="s">
        <v>62</v>
      </c>
      <c r="G229" t="s">
        <v>37</v>
      </c>
      <c r="H229" t="s">
        <v>63</v>
      </c>
      <c r="I229" t="s">
        <v>190</v>
      </c>
      <c r="J229" t="s">
        <v>191</v>
      </c>
      <c r="K229" t="s">
        <v>28</v>
      </c>
      <c r="L229" t="s">
        <v>153</v>
      </c>
      <c r="M229" t="s">
        <v>790</v>
      </c>
      <c r="N229" t="s">
        <v>50</v>
      </c>
      <c r="O229">
        <v>3</v>
      </c>
      <c r="P229">
        <v>577.75</v>
      </c>
      <c r="Q229" s="11">
        <v>0.15</v>
      </c>
      <c r="R229">
        <v>1473.26</v>
      </c>
      <c r="S229">
        <v>899.86</v>
      </c>
      <c r="T229">
        <v>573.4</v>
      </c>
      <c r="U229" t="s">
        <v>32</v>
      </c>
      <c r="V229" t="s">
        <v>33</v>
      </c>
      <c r="X229" s="8" t="str">
        <f>IF(C229&gt;=B229,"Valid", "Invalid-Date")</f>
        <v>Valid</v>
      </c>
      <c r="Y229" s="8" t="str">
        <f t="shared" si="52"/>
        <v>Valid</v>
      </c>
      <c r="Z229" s="8" t="str">
        <f t="shared" si="53"/>
        <v>Pass</v>
      </c>
      <c r="AA229" s="8" t="str">
        <f t="shared" si="54"/>
        <v>Pass</v>
      </c>
      <c r="AB229" s="8" t="str">
        <f>TEXT(B229,"mmmm")</f>
        <v>July</v>
      </c>
      <c r="AC229" s="8" t="str">
        <f>TEXT(B229,"yyyy")</f>
        <v>2024</v>
      </c>
      <c r="AE229">
        <f t="shared" si="55"/>
        <v>1733.25</v>
      </c>
      <c r="AF229" s="11">
        <f t="shared" si="56"/>
        <v>1473.2625</v>
      </c>
      <c r="AG229">
        <f t="shared" si="57"/>
        <v>833.39</v>
      </c>
      <c r="AH229" s="11">
        <f t="shared" si="58"/>
        <v>0.48082503966536849</v>
      </c>
      <c r="AI229" s="9">
        <f t="shared" si="59"/>
        <v>0.48082503966536849</v>
      </c>
      <c r="AJ229">
        <f t="shared" si="60"/>
        <v>1473.26</v>
      </c>
      <c r="AK229">
        <f t="shared" si="61"/>
        <v>1</v>
      </c>
      <c r="AL229">
        <f t="shared" si="62"/>
        <v>0</v>
      </c>
      <c r="AM229">
        <f t="shared" si="63"/>
        <v>0</v>
      </c>
      <c r="AN229">
        <f t="shared" si="64"/>
        <v>0</v>
      </c>
      <c r="AO229">
        <f t="shared" si="65"/>
        <v>0</v>
      </c>
      <c r="AP229">
        <f t="shared" si="66"/>
        <v>0</v>
      </c>
      <c r="AQ229">
        <f t="shared" si="67"/>
        <v>0</v>
      </c>
    </row>
    <row r="230" spans="1:43">
      <c r="A230" t="s">
        <v>791</v>
      </c>
      <c r="B230" s="5">
        <v>45406</v>
      </c>
      <c r="C230" s="5">
        <v>45410</v>
      </c>
      <c r="D230" s="13">
        <f t="shared" si="51"/>
        <v>4</v>
      </c>
      <c r="E230" t="s">
        <v>792</v>
      </c>
      <c r="F230" t="s">
        <v>23</v>
      </c>
      <c r="G230" t="s">
        <v>37</v>
      </c>
      <c r="H230" t="s">
        <v>54</v>
      </c>
      <c r="I230" t="s">
        <v>55</v>
      </c>
      <c r="J230" t="s">
        <v>56</v>
      </c>
      <c r="K230" t="s">
        <v>28</v>
      </c>
      <c r="L230" t="s">
        <v>91</v>
      </c>
      <c r="M230" t="s">
        <v>793</v>
      </c>
      <c r="N230" t="s">
        <v>31</v>
      </c>
      <c r="O230">
        <v>1</v>
      </c>
      <c r="P230">
        <v>3194.37</v>
      </c>
      <c r="Q230" s="11">
        <v>0.15</v>
      </c>
      <c r="R230">
        <v>2715.21</v>
      </c>
      <c r="S230">
        <v>1551.55</v>
      </c>
      <c r="T230">
        <v>1163.6600000000001</v>
      </c>
      <c r="U230" t="s">
        <v>32</v>
      </c>
      <c r="V230" t="s">
        <v>33</v>
      </c>
      <c r="X230" s="8" t="str">
        <f>IF(C230&gt;=B230,"Valid", "Invalid-Date")</f>
        <v>Valid</v>
      </c>
      <c r="Y230" s="8" t="str">
        <f t="shared" si="52"/>
        <v>Valid</v>
      </c>
      <c r="Z230" s="8" t="str">
        <f t="shared" si="53"/>
        <v>Pass</v>
      </c>
      <c r="AA230" s="8" t="str">
        <f t="shared" si="54"/>
        <v>Pass</v>
      </c>
      <c r="AB230" s="8" t="str">
        <f>TEXT(B230,"mmmm")</f>
        <v>April</v>
      </c>
      <c r="AC230" s="8" t="str">
        <f>TEXT(B230,"yyyy")</f>
        <v>2024</v>
      </c>
      <c r="AE230">
        <f t="shared" si="55"/>
        <v>3194.37</v>
      </c>
      <c r="AF230" s="11">
        <f t="shared" si="56"/>
        <v>2715.2145</v>
      </c>
      <c r="AG230">
        <f t="shared" si="57"/>
        <v>1642.82</v>
      </c>
      <c r="AH230" s="11">
        <f t="shared" si="58"/>
        <v>0.51428607205802712</v>
      </c>
      <c r="AI230" s="9">
        <f t="shared" si="59"/>
        <v>0.51428607205802712</v>
      </c>
      <c r="AJ230">
        <f t="shared" si="60"/>
        <v>2715.21</v>
      </c>
      <c r="AK230">
        <f t="shared" si="61"/>
        <v>1</v>
      </c>
      <c r="AL230">
        <f t="shared" si="62"/>
        <v>0</v>
      </c>
      <c r="AM230">
        <f t="shared" si="63"/>
        <v>0</v>
      </c>
      <c r="AN230">
        <f t="shared" si="64"/>
        <v>0</v>
      </c>
      <c r="AO230">
        <f t="shared" si="65"/>
        <v>0</v>
      </c>
      <c r="AP230">
        <f t="shared" si="66"/>
        <v>0</v>
      </c>
      <c r="AQ230">
        <f t="shared" si="67"/>
        <v>0</v>
      </c>
    </row>
    <row r="231" spans="1:43">
      <c r="A231" t="s">
        <v>794</v>
      </c>
      <c r="B231" s="5">
        <v>45836</v>
      </c>
      <c r="C231" s="5">
        <v>45754</v>
      </c>
      <c r="D231" s="13">
        <f t="shared" si="51"/>
        <v>-82</v>
      </c>
      <c r="E231" t="s">
        <v>795</v>
      </c>
      <c r="F231" t="s">
        <v>141</v>
      </c>
      <c r="G231" t="s">
        <v>24</v>
      </c>
      <c r="H231" t="s">
        <v>54</v>
      </c>
      <c r="I231" t="s">
        <v>55</v>
      </c>
      <c r="J231" t="s">
        <v>56</v>
      </c>
      <c r="K231" t="s">
        <v>41</v>
      </c>
      <c r="L231" t="s">
        <v>158</v>
      </c>
      <c r="M231" t="s">
        <v>796</v>
      </c>
      <c r="N231" t="s">
        <v>50</v>
      </c>
      <c r="O231">
        <v>3</v>
      </c>
      <c r="P231">
        <v>2886.23</v>
      </c>
      <c r="Q231" s="11">
        <v>0</v>
      </c>
      <c r="R231">
        <v>8658.69</v>
      </c>
      <c r="S231">
        <v>5535.94</v>
      </c>
      <c r="T231">
        <v>3122.75</v>
      </c>
      <c r="U231" t="s">
        <v>102</v>
      </c>
      <c r="V231" t="s">
        <v>103</v>
      </c>
      <c r="X231" s="8" t="str">
        <f>IF(C231&gt;=B231,"Valid", "Invalid-Date")</f>
        <v>Invalid-Date</v>
      </c>
      <c r="Y231" s="8" t="str">
        <f t="shared" si="52"/>
        <v>Valid</v>
      </c>
      <c r="Z231" s="8" t="str">
        <f t="shared" si="53"/>
        <v>Pass</v>
      </c>
      <c r="AA231" s="8" t="str">
        <f t="shared" si="54"/>
        <v>Pass</v>
      </c>
      <c r="AB231" s="8" t="str">
        <f>TEXT(B231,"mmmm")</f>
        <v>June</v>
      </c>
      <c r="AC231" s="8" t="str">
        <f>TEXT(B231,"yyyy")</f>
        <v>2025</v>
      </c>
      <c r="AE231">
        <f t="shared" si="55"/>
        <v>8658.69</v>
      </c>
      <c r="AF231" s="11">
        <f t="shared" si="56"/>
        <v>8658.69</v>
      </c>
      <c r="AG231">
        <f t="shared" si="57"/>
        <v>3122.7500000000009</v>
      </c>
      <c r="AH231" s="11">
        <f t="shared" si="58"/>
        <v>0.36064924370776652</v>
      </c>
      <c r="AI231" s="9">
        <f t="shared" si="59"/>
        <v>0.36064924370776652</v>
      </c>
      <c r="AJ231">
        <f t="shared" si="60"/>
        <v>0</v>
      </c>
      <c r="AK231">
        <f t="shared" si="61"/>
        <v>0</v>
      </c>
      <c r="AL231">
        <f t="shared" si="62"/>
        <v>0</v>
      </c>
      <c r="AM231">
        <f t="shared" si="63"/>
        <v>0</v>
      </c>
      <c r="AN231">
        <f t="shared" si="64"/>
        <v>0</v>
      </c>
      <c r="AO231">
        <f t="shared" si="65"/>
        <v>0</v>
      </c>
      <c r="AP231">
        <f t="shared" si="66"/>
        <v>8658.69</v>
      </c>
      <c r="AQ231">
        <f t="shared" si="67"/>
        <v>1</v>
      </c>
    </row>
    <row r="232" spans="1:43">
      <c r="A232" t="s">
        <v>797</v>
      </c>
      <c r="B232" s="5">
        <v>45440</v>
      </c>
      <c r="C232" s="5">
        <v>45446</v>
      </c>
      <c r="D232" s="13">
        <f t="shared" si="51"/>
        <v>6</v>
      </c>
      <c r="E232" t="s">
        <v>798</v>
      </c>
      <c r="F232" t="s">
        <v>79</v>
      </c>
      <c r="G232" t="s">
        <v>37</v>
      </c>
      <c r="H232" t="s">
        <v>25</v>
      </c>
      <c r="I232" t="s">
        <v>26</v>
      </c>
      <c r="J232" t="s">
        <v>27</v>
      </c>
      <c r="K232" t="s">
        <v>28</v>
      </c>
      <c r="L232" t="s">
        <v>29</v>
      </c>
      <c r="M232" t="s">
        <v>799</v>
      </c>
      <c r="N232" t="s">
        <v>59</v>
      </c>
      <c r="O232">
        <v>8</v>
      </c>
      <c r="P232">
        <v>1540.33</v>
      </c>
      <c r="Q232" s="11">
        <v>0.1</v>
      </c>
      <c r="R232">
        <v>11090.38</v>
      </c>
      <c r="S232">
        <v>8840.9500000000007</v>
      </c>
      <c r="T232">
        <v>2249.4299999999998</v>
      </c>
      <c r="U232" t="s">
        <v>32</v>
      </c>
      <c r="V232" t="s">
        <v>33</v>
      </c>
      <c r="X232" s="8" t="str">
        <f>IF(C232&gt;=B232,"Valid", "Invalid-Date")</f>
        <v>Valid</v>
      </c>
      <c r="Y232" s="8" t="str">
        <f t="shared" si="52"/>
        <v>Valid</v>
      </c>
      <c r="Z232" s="8" t="str">
        <f t="shared" si="53"/>
        <v>Pass</v>
      </c>
      <c r="AA232" s="8" t="str">
        <f t="shared" si="54"/>
        <v>Pass</v>
      </c>
      <c r="AB232" s="8" t="str">
        <f>TEXT(B232,"mmmm")</f>
        <v>May</v>
      </c>
      <c r="AC232" s="8" t="str">
        <f>TEXT(B232,"yyyy")</f>
        <v>2024</v>
      </c>
      <c r="AE232">
        <f t="shared" si="55"/>
        <v>12322.64</v>
      </c>
      <c r="AF232" s="11">
        <f t="shared" si="56"/>
        <v>11090.376</v>
      </c>
      <c r="AG232">
        <f t="shared" si="57"/>
        <v>3481.6899999999987</v>
      </c>
      <c r="AH232" s="11">
        <f t="shared" si="58"/>
        <v>0.2825441626145046</v>
      </c>
      <c r="AI232" s="9">
        <f t="shared" si="59"/>
        <v>0.2825441626145046</v>
      </c>
      <c r="AJ232">
        <f t="shared" si="60"/>
        <v>11090.38</v>
      </c>
      <c r="AK232">
        <f t="shared" si="61"/>
        <v>1</v>
      </c>
      <c r="AL232">
        <f t="shared" si="62"/>
        <v>0</v>
      </c>
      <c r="AM232">
        <f t="shared" si="63"/>
        <v>0</v>
      </c>
      <c r="AN232">
        <f t="shared" si="64"/>
        <v>0</v>
      </c>
      <c r="AO232">
        <f t="shared" si="65"/>
        <v>0</v>
      </c>
      <c r="AP232">
        <f t="shared" si="66"/>
        <v>0</v>
      </c>
      <c r="AQ232">
        <f t="shared" si="67"/>
        <v>0</v>
      </c>
    </row>
    <row r="233" spans="1:43">
      <c r="A233" t="s">
        <v>800</v>
      </c>
      <c r="B233" s="5">
        <v>45414</v>
      </c>
      <c r="C233" s="5">
        <v>45327</v>
      </c>
      <c r="D233" s="13">
        <f t="shared" si="51"/>
        <v>-87</v>
      </c>
      <c r="E233" t="s">
        <v>801</v>
      </c>
      <c r="F233" t="s">
        <v>62</v>
      </c>
      <c r="G233" t="s">
        <v>90</v>
      </c>
      <c r="H233" t="s">
        <v>25</v>
      </c>
      <c r="I233" t="s">
        <v>26</v>
      </c>
      <c r="J233" t="s">
        <v>27</v>
      </c>
      <c r="K233" t="s">
        <v>28</v>
      </c>
      <c r="L233" t="s">
        <v>91</v>
      </c>
      <c r="M233" t="s">
        <v>802</v>
      </c>
      <c r="N233" t="s">
        <v>50</v>
      </c>
      <c r="O233">
        <v>7</v>
      </c>
      <c r="P233">
        <v>2183.38</v>
      </c>
      <c r="Q233" s="11">
        <v>0.25</v>
      </c>
      <c r="R233">
        <v>11462.74</v>
      </c>
      <c r="S233">
        <v>7163.54</v>
      </c>
      <c r="T233">
        <v>4299.2</v>
      </c>
      <c r="U233" t="s">
        <v>102</v>
      </c>
      <c r="V233" t="s">
        <v>68</v>
      </c>
      <c r="X233" s="8" t="str">
        <f>IF(C233&gt;=B233,"Valid", "Invalid-Date")</f>
        <v>Invalid-Date</v>
      </c>
      <c r="Y233" s="8" t="str">
        <f t="shared" si="52"/>
        <v>Valid</v>
      </c>
      <c r="Z233" s="8" t="str">
        <f t="shared" si="53"/>
        <v>Pass</v>
      </c>
      <c r="AA233" s="8" t="str">
        <f t="shared" si="54"/>
        <v>Pass</v>
      </c>
      <c r="AB233" s="8" t="str">
        <f>TEXT(B233,"mmmm")</f>
        <v>May</v>
      </c>
      <c r="AC233" s="8" t="str">
        <f>TEXT(B233,"yyyy")</f>
        <v>2024</v>
      </c>
      <c r="AE233">
        <f t="shared" si="55"/>
        <v>15283.66</v>
      </c>
      <c r="AF233" s="11">
        <f t="shared" si="56"/>
        <v>11462.744999999999</v>
      </c>
      <c r="AG233">
        <f t="shared" si="57"/>
        <v>8120.12</v>
      </c>
      <c r="AH233" s="11">
        <f t="shared" si="58"/>
        <v>0.53129420570727171</v>
      </c>
      <c r="AI233" s="9">
        <f t="shared" si="59"/>
        <v>0.53129420570727171</v>
      </c>
      <c r="AJ233">
        <f t="shared" si="60"/>
        <v>0</v>
      </c>
      <c r="AK233">
        <f t="shared" si="61"/>
        <v>0</v>
      </c>
      <c r="AL233">
        <f t="shared" si="62"/>
        <v>11462.74</v>
      </c>
      <c r="AM233">
        <f t="shared" si="63"/>
        <v>1</v>
      </c>
      <c r="AN233">
        <f t="shared" si="64"/>
        <v>0</v>
      </c>
      <c r="AO233">
        <f t="shared" si="65"/>
        <v>0</v>
      </c>
      <c r="AP233">
        <f t="shared" si="66"/>
        <v>0</v>
      </c>
      <c r="AQ233">
        <f t="shared" si="67"/>
        <v>0</v>
      </c>
    </row>
    <row r="234" spans="1:43">
      <c r="A234" t="s">
        <v>803</v>
      </c>
      <c r="B234" s="5">
        <v>45812</v>
      </c>
      <c r="C234" s="5">
        <v>45936</v>
      </c>
      <c r="D234" s="13">
        <f t="shared" si="51"/>
        <v>124</v>
      </c>
      <c r="E234" t="s">
        <v>804</v>
      </c>
      <c r="F234" t="s">
        <v>118</v>
      </c>
      <c r="G234" t="s">
        <v>24</v>
      </c>
      <c r="H234" t="s">
        <v>54</v>
      </c>
      <c r="I234" t="s">
        <v>84</v>
      </c>
      <c r="J234" t="s">
        <v>85</v>
      </c>
      <c r="K234" t="s">
        <v>74</v>
      </c>
      <c r="L234" t="s">
        <v>171</v>
      </c>
      <c r="M234" t="s">
        <v>805</v>
      </c>
      <c r="N234" t="s">
        <v>59</v>
      </c>
      <c r="O234">
        <v>4</v>
      </c>
      <c r="P234">
        <v>223.37</v>
      </c>
      <c r="Q234" s="11">
        <v>0.25</v>
      </c>
      <c r="R234">
        <v>670.11</v>
      </c>
      <c r="S234">
        <v>559.57000000000005</v>
      </c>
      <c r="T234">
        <v>110.54</v>
      </c>
      <c r="U234" t="s">
        <v>32</v>
      </c>
      <c r="V234" t="s">
        <v>33</v>
      </c>
      <c r="X234" s="8" t="str">
        <f>IF(C234&gt;=B234,"Valid", "Invalid-Date")</f>
        <v>Valid</v>
      </c>
      <c r="Y234" s="8" t="str">
        <f t="shared" si="52"/>
        <v>Valid</v>
      </c>
      <c r="Z234" s="8" t="str">
        <f t="shared" si="53"/>
        <v>Pass</v>
      </c>
      <c r="AA234" s="8" t="str">
        <f t="shared" si="54"/>
        <v>Pass</v>
      </c>
      <c r="AB234" s="8" t="str">
        <f>TEXT(B234,"mmmm")</f>
        <v>June</v>
      </c>
      <c r="AC234" s="8" t="str">
        <f>TEXT(B234,"yyyy")</f>
        <v>2025</v>
      </c>
      <c r="AE234">
        <f t="shared" si="55"/>
        <v>893.48</v>
      </c>
      <c r="AF234" s="11">
        <f t="shared" si="56"/>
        <v>670.11</v>
      </c>
      <c r="AG234">
        <f t="shared" si="57"/>
        <v>333.90999999999997</v>
      </c>
      <c r="AH234" s="11">
        <f t="shared" si="58"/>
        <v>0.37371849397860046</v>
      </c>
      <c r="AI234" s="9">
        <f t="shared" si="59"/>
        <v>0.37371849397860046</v>
      </c>
      <c r="AJ234">
        <f t="shared" si="60"/>
        <v>670.11</v>
      </c>
      <c r="AK234">
        <f t="shared" si="61"/>
        <v>1</v>
      </c>
      <c r="AL234">
        <f t="shared" si="62"/>
        <v>0</v>
      </c>
      <c r="AM234">
        <f t="shared" si="63"/>
        <v>0</v>
      </c>
      <c r="AN234">
        <f t="shared" si="64"/>
        <v>0</v>
      </c>
      <c r="AO234">
        <f t="shared" si="65"/>
        <v>0</v>
      </c>
      <c r="AP234">
        <f t="shared" si="66"/>
        <v>0</v>
      </c>
      <c r="AQ234">
        <f t="shared" si="67"/>
        <v>0</v>
      </c>
    </row>
    <row r="235" spans="1:43">
      <c r="A235" t="s">
        <v>806</v>
      </c>
      <c r="B235" s="5">
        <v>45579</v>
      </c>
      <c r="C235" s="5">
        <v>45579</v>
      </c>
      <c r="D235" s="13">
        <f t="shared" si="51"/>
        <v>0</v>
      </c>
      <c r="E235" t="s">
        <v>807</v>
      </c>
      <c r="F235" t="s">
        <v>71</v>
      </c>
      <c r="G235" t="s">
        <v>90</v>
      </c>
      <c r="H235" t="s">
        <v>54</v>
      </c>
      <c r="I235" t="s">
        <v>175</v>
      </c>
      <c r="J235" t="s">
        <v>176</v>
      </c>
      <c r="K235" t="s">
        <v>41</v>
      </c>
      <c r="L235" t="s">
        <v>158</v>
      </c>
      <c r="M235" t="s">
        <v>808</v>
      </c>
      <c r="N235" t="s">
        <v>2785</v>
      </c>
      <c r="O235">
        <v>8</v>
      </c>
      <c r="P235">
        <v>3904.59</v>
      </c>
      <c r="Q235" s="11">
        <v>0</v>
      </c>
      <c r="R235">
        <v>31236.720000000001</v>
      </c>
      <c r="S235">
        <v>26377.7</v>
      </c>
      <c r="T235">
        <v>4859.0200000000004</v>
      </c>
      <c r="U235" t="s">
        <v>32</v>
      </c>
      <c r="V235" t="s">
        <v>33</v>
      </c>
      <c r="X235" s="8" t="str">
        <f>IF(C235&gt;=B235,"Valid", "Invalid-Date")</f>
        <v>Valid</v>
      </c>
      <c r="Y235" s="8" t="str">
        <f t="shared" si="52"/>
        <v>Valid</v>
      </c>
      <c r="Z235" s="8" t="str">
        <f t="shared" si="53"/>
        <v>Flagged</v>
      </c>
      <c r="AA235" s="8" t="str">
        <f t="shared" si="54"/>
        <v>Pass</v>
      </c>
      <c r="AB235" s="8" t="str">
        <f>TEXT(B235,"mmmm")</f>
        <v>October</v>
      </c>
      <c r="AC235" s="8" t="str">
        <f>TEXT(B235,"yyyy")</f>
        <v>2024</v>
      </c>
      <c r="AE235">
        <f t="shared" si="55"/>
        <v>31236.720000000001</v>
      </c>
      <c r="AF235" s="11">
        <f t="shared" si="56"/>
        <v>31236.720000000001</v>
      </c>
      <c r="AG235">
        <f t="shared" si="57"/>
        <v>4859.0200000000004</v>
      </c>
      <c r="AH235" s="11">
        <f t="shared" si="58"/>
        <v>0.15555474454424154</v>
      </c>
      <c r="AI235" s="9">
        <f t="shared" si="59"/>
        <v>0.15555474454424154</v>
      </c>
      <c r="AJ235">
        <f t="shared" si="60"/>
        <v>31236.720000000001</v>
      </c>
      <c r="AK235">
        <f t="shared" si="61"/>
        <v>1</v>
      </c>
      <c r="AL235">
        <f t="shared" si="62"/>
        <v>0</v>
      </c>
      <c r="AM235">
        <f t="shared" si="63"/>
        <v>0</v>
      </c>
      <c r="AN235">
        <f t="shared" si="64"/>
        <v>0</v>
      </c>
      <c r="AO235">
        <f t="shared" si="65"/>
        <v>0</v>
      </c>
      <c r="AP235">
        <f t="shared" si="66"/>
        <v>0</v>
      </c>
      <c r="AQ235">
        <f t="shared" si="67"/>
        <v>0</v>
      </c>
    </row>
    <row r="236" spans="1:43">
      <c r="A236" t="s">
        <v>809</v>
      </c>
      <c r="B236" s="5">
        <v>45331</v>
      </c>
      <c r="C236" s="5">
        <v>45360</v>
      </c>
      <c r="D236" s="13">
        <f t="shared" si="51"/>
        <v>29</v>
      </c>
      <c r="E236" t="s">
        <v>810</v>
      </c>
      <c r="F236" t="s">
        <v>264</v>
      </c>
      <c r="G236" t="s">
        <v>95</v>
      </c>
      <c r="H236" t="s">
        <v>25</v>
      </c>
      <c r="I236" t="s">
        <v>350</v>
      </c>
      <c r="J236" t="s">
        <v>351</v>
      </c>
      <c r="K236" t="s">
        <v>41</v>
      </c>
      <c r="L236" t="s">
        <v>57</v>
      </c>
      <c r="M236" t="s">
        <v>811</v>
      </c>
      <c r="N236" t="s">
        <v>50</v>
      </c>
      <c r="O236">
        <v>9</v>
      </c>
      <c r="P236">
        <v>1353.61</v>
      </c>
      <c r="Q236" s="11">
        <v>0.1</v>
      </c>
      <c r="R236">
        <v>10964.24</v>
      </c>
      <c r="S236">
        <v>9262.4699999999993</v>
      </c>
      <c r="T236">
        <v>1701.77</v>
      </c>
      <c r="U236" t="s">
        <v>32</v>
      </c>
      <c r="V236" t="s">
        <v>33</v>
      </c>
      <c r="X236" s="8" t="str">
        <f>IF(C236&gt;=B236,"Valid", "Invalid-Date")</f>
        <v>Valid</v>
      </c>
      <c r="Y236" s="8" t="str">
        <f t="shared" si="52"/>
        <v>Valid</v>
      </c>
      <c r="Z236" s="8" t="str">
        <f t="shared" si="53"/>
        <v>Pass</v>
      </c>
      <c r="AA236" s="8" t="str">
        <f t="shared" si="54"/>
        <v>Pass</v>
      </c>
      <c r="AB236" s="8" t="str">
        <f>TEXT(B236,"mmmm")</f>
        <v>February</v>
      </c>
      <c r="AC236" s="8" t="str">
        <f>TEXT(B236,"yyyy")</f>
        <v>2024</v>
      </c>
      <c r="AE236">
        <f t="shared" si="55"/>
        <v>12182.49</v>
      </c>
      <c r="AF236" s="11">
        <f t="shared" si="56"/>
        <v>10964.241</v>
      </c>
      <c r="AG236">
        <f t="shared" si="57"/>
        <v>2920.0200000000004</v>
      </c>
      <c r="AH236" s="11">
        <f t="shared" si="58"/>
        <v>0.23968991560838551</v>
      </c>
      <c r="AI236" s="9">
        <f t="shared" si="59"/>
        <v>0.23968991560838551</v>
      </c>
      <c r="AJ236">
        <f t="shared" si="60"/>
        <v>10964.24</v>
      </c>
      <c r="AK236">
        <f t="shared" si="61"/>
        <v>1</v>
      </c>
      <c r="AL236">
        <f t="shared" si="62"/>
        <v>0</v>
      </c>
      <c r="AM236">
        <f t="shared" si="63"/>
        <v>0</v>
      </c>
      <c r="AN236">
        <f t="shared" si="64"/>
        <v>0</v>
      </c>
      <c r="AO236">
        <f t="shared" si="65"/>
        <v>0</v>
      </c>
      <c r="AP236">
        <f t="shared" si="66"/>
        <v>0</v>
      </c>
      <c r="AQ236">
        <f t="shared" si="67"/>
        <v>0</v>
      </c>
    </row>
    <row r="237" spans="1:43">
      <c r="A237" t="s">
        <v>812</v>
      </c>
      <c r="B237" s="5">
        <v>45333</v>
      </c>
      <c r="C237" s="5">
        <v>45362</v>
      </c>
      <c r="D237" s="13">
        <f t="shared" si="51"/>
        <v>29</v>
      </c>
      <c r="E237" t="s">
        <v>813</v>
      </c>
      <c r="F237" t="s">
        <v>118</v>
      </c>
      <c r="G237" t="s">
        <v>37</v>
      </c>
      <c r="H237" t="s">
        <v>63</v>
      </c>
      <c r="I237" t="s">
        <v>26</v>
      </c>
      <c r="J237" t="s">
        <v>109</v>
      </c>
      <c r="K237" t="s">
        <v>28</v>
      </c>
      <c r="L237" t="s">
        <v>124</v>
      </c>
      <c r="M237" t="s">
        <v>814</v>
      </c>
      <c r="N237" t="s">
        <v>59</v>
      </c>
      <c r="O237">
        <v>6</v>
      </c>
      <c r="P237">
        <v>2671.29</v>
      </c>
      <c r="Q237" s="11">
        <v>0.05</v>
      </c>
      <c r="R237">
        <v>15226.35</v>
      </c>
      <c r="S237">
        <v>11145.28</v>
      </c>
      <c r="T237">
        <v>4081.07</v>
      </c>
      <c r="U237" t="s">
        <v>32</v>
      </c>
      <c r="V237" t="s">
        <v>33</v>
      </c>
      <c r="X237" s="8" t="str">
        <f>IF(C237&gt;=B237,"Valid", "Invalid-Date")</f>
        <v>Valid</v>
      </c>
      <c r="Y237" s="8" t="str">
        <f t="shared" si="52"/>
        <v>Valid</v>
      </c>
      <c r="Z237" s="8" t="str">
        <f t="shared" si="53"/>
        <v>Pass</v>
      </c>
      <c r="AA237" s="8" t="str">
        <f t="shared" si="54"/>
        <v>Pass</v>
      </c>
      <c r="AB237" s="8" t="str">
        <f>TEXT(B237,"mmmm")</f>
        <v>February</v>
      </c>
      <c r="AC237" s="8" t="str">
        <f>TEXT(B237,"yyyy")</f>
        <v>2024</v>
      </c>
      <c r="AE237">
        <f t="shared" si="55"/>
        <v>16027.74</v>
      </c>
      <c r="AF237" s="11">
        <f t="shared" si="56"/>
        <v>15226.352999999999</v>
      </c>
      <c r="AG237">
        <f t="shared" si="57"/>
        <v>4882.4599999999991</v>
      </c>
      <c r="AH237" s="11">
        <f t="shared" si="58"/>
        <v>0.30462560535671274</v>
      </c>
      <c r="AI237" s="9">
        <f t="shared" si="59"/>
        <v>0.30462560535671274</v>
      </c>
      <c r="AJ237">
        <f t="shared" si="60"/>
        <v>15226.35</v>
      </c>
      <c r="AK237">
        <f t="shared" si="61"/>
        <v>1</v>
      </c>
      <c r="AL237">
        <f t="shared" si="62"/>
        <v>0</v>
      </c>
      <c r="AM237">
        <f t="shared" si="63"/>
        <v>0</v>
      </c>
      <c r="AN237">
        <f t="shared" si="64"/>
        <v>0</v>
      </c>
      <c r="AO237">
        <f t="shared" si="65"/>
        <v>0</v>
      </c>
      <c r="AP237">
        <f t="shared" si="66"/>
        <v>0</v>
      </c>
      <c r="AQ237">
        <f t="shared" si="67"/>
        <v>0</v>
      </c>
    </row>
    <row r="238" spans="1:43">
      <c r="A238" t="s">
        <v>815</v>
      </c>
      <c r="B238" s="5">
        <v>45579</v>
      </c>
      <c r="C238" s="5">
        <v>45586</v>
      </c>
      <c r="D238" s="13">
        <f t="shared" si="51"/>
        <v>7</v>
      </c>
      <c r="E238" t="s">
        <v>816</v>
      </c>
      <c r="F238" t="s">
        <v>114</v>
      </c>
      <c r="G238" t="s">
        <v>90</v>
      </c>
      <c r="H238" t="s">
        <v>25</v>
      </c>
      <c r="I238" t="s">
        <v>136</v>
      </c>
      <c r="J238" t="s">
        <v>137</v>
      </c>
      <c r="K238" t="s">
        <v>41</v>
      </c>
      <c r="L238" t="s">
        <v>158</v>
      </c>
      <c r="M238" t="s">
        <v>817</v>
      </c>
      <c r="N238" t="s">
        <v>50</v>
      </c>
      <c r="O238">
        <v>6</v>
      </c>
      <c r="P238">
        <v>4062.78</v>
      </c>
      <c r="Q238" s="11">
        <v>0</v>
      </c>
      <c r="R238">
        <v>24376.68</v>
      </c>
      <c r="S238">
        <v>18533.39</v>
      </c>
      <c r="T238">
        <v>5843.29</v>
      </c>
      <c r="U238" t="s">
        <v>32</v>
      </c>
      <c r="V238" t="s">
        <v>33</v>
      </c>
      <c r="X238" s="8" t="str">
        <f>IF(C238&gt;=B238,"Valid", "Invalid-Date")</f>
        <v>Valid</v>
      </c>
      <c r="Y238" s="8" t="str">
        <f t="shared" si="52"/>
        <v>Valid</v>
      </c>
      <c r="Z238" s="8" t="str">
        <f t="shared" si="53"/>
        <v>Pass</v>
      </c>
      <c r="AA238" s="8" t="str">
        <f t="shared" si="54"/>
        <v>Pass</v>
      </c>
      <c r="AB238" s="8" t="str">
        <f>TEXT(B238,"mmmm")</f>
        <v>October</v>
      </c>
      <c r="AC238" s="8" t="str">
        <f>TEXT(B238,"yyyy")</f>
        <v>2024</v>
      </c>
      <c r="AE238">
        <f t="shared" si="55"/>
        <v>24376.68</v>
      </c>
      <c r="AF238" s="11">
        <f t="shared" si="56"/>
        <v>24376.68</v>
      </c>
      <c r="AG238">
        <f t="shared" si="57"/>
        <v>5843.2900000000009</v>
      </c>
      <c r="AH238" s="11">
        <f t="shared" si="58"/>
        <v>0.23970819652224998</v>
      </c>
      <c r="AI238" s="9">
        <f t="shared" si="59"/>
        <v>0.23970819652224998</v>
      </c>
      <c r="AJ238">
        <f t="shared" si="60"/>
        <v>24376.68</v>
      </c>
      <c r="AK238">
        <f t="shared" si="61"/>
        <v>1</v>
      </c>
      <c r="AL238">
        <f t="shared" si="62"/>
        <v>0</v>
      </c>
      <c r="AM238">
        <f t="shared" si="63"/>
        <v>0</v>
      </c>
      <c r="AN238">
        <f t="shared" si="64"/>
        <v>0</v>
      </c>
      <c r="AO238">
        <f t="shared" si="65"/>
        <v>0</v>
      </c>
      <c r="AP238">
        <f t="shared" si="66"/>
        <v>0</v>
      </c>
      <c r="AQ238">
        <f t="shared" si="67"/>
        <v>0</v>
      </c>
    </row>
    <row r="239" spans="1:43">
      <c r="A239" t="s">
        <v>818</v>
      </c>
      <c r="B239" s="5">
        <v>45531</v>
      </c>
      <c r="C239" s="5">
        <v>45531</v>
      </c>
      <c r="D239" s="13">
        <f t="shared" si="51"/>
        <v>0</v>
      </c>
      <c r="E239" t="s">
        <v>819</v>
      </c>
      <c r="F239" t="s">
        <v>36</v>
      </c>
      <c r="G239" t="s">
        <v>24</v>
      </c>
      <c r="H239" t="s">
        <v>25</v>
      </c>
      <c r="I239" t="s">
        <v>236</v>
      </c>
      <c r="J239" t="s">
        <v>237</v>
      </c>
      <c r="K239" t="s">
        <v>74</v>
      </c>
      <c r="L239" t="s">
        <v>80</v>
      </c>
      <c r="M239" t="s">
        <v>820</v>
      </c>
      <c r="N239" t="s">
        <v>59</v>
      </c>
      <c r="O239">
        <v>9</v>
      </c>
      <c r="P239">
        <v>2330.3000000000002</v>
      </c>
      <c r="Q239" s="11">
        <v>0</v>
      </c>
      <c r="R239">
        <v>20972.7</v>
      </c>
      <c r="S239">
        <v>13504.88</v>
      </c>
      <c r="T239">
        <v>7467.82</v>
      </c>
      <c r="U239" t="s">
        <v>32</v>
      </c>
      <c r="V239" t="s">
        <v>33</v>
      </c>
      <c r="X239" s="8" t="str">
        <f>IF(C239&gt;=B239,"Valid", "Invalid-Date")</f>
        <v>Valid</v>
      </c>
      <c r="Y239" s="8" t="str">
        <f t="shared" si="52"/>
        <v>Valid</v>
      </c>
      <c r="Z239" s="8" t="str">
        <f t="shared" si="53"/>
        <v>Pass</v>
      </c>
      <c r="AA239" s="8" t="str">
        <f t="shared" si="54"/>
        <v>Pass</v>
      </c>
      <c r="AB239" s="8" t="str">
        <f>TEXT(B239,"mmmm")</f>
        <v>August</v>
      </c>
      <c r="AC239" s="8" t="str">
        <f>TEXT(B239,"yyyy")</f>
        <v>2024</v>
      </c>
      <c r="AE239">
        <f t="shared" si="55"/>
        <v>20972.7</v>
      </c>
      <c r="AF239" s="11">
        <f t="shared" si="56"/>
        <v>20972.7</v>
      </c>
      <c r="AG239">
        <f t="shared" si="57"/>
        <v>7467.8200000000015</v>
      </c>
      <c r="AH239" s="11">
        <f t="shared" si="58"/>
        <v>0.35607337157352181</v>
      </c>
      <c r="AI239" s="9">
        <f t="shared" si="59"/>
        <v>0.35607337157352181</v>
      </c>
      <c r="AJ239">
        <f t="shared" si="60"/>
        <v>20972.7</v>
      </c>
      <c r="AK239">
        <f t="shared" si="61"/>
        <v>1</v>
      </c>
      <c r="AL239">
        <f t="shared" si="62"/>
        <v>0</v>
      </c>
      <c r="AM239">
        <f t="shared" si="63"/>
        <v>0</v>
      </c>
      <c r="AN239">
        <f t="shared" si="64"/>
        <v>0</v>
      </c>
      <c r="AO239">
        <f t="shared" si="65"/>
        <v>0</v>
      </c>
      <c r="AP239">
        <f t="shared" si="66"/>
        <v>0</v>
      </c>
      <c r="AQ239">
        <f t="shared" si="67"/>
        <v>0</v>
      </c>
    </row>
    <row r="240" spans="1:43">
      <c r="A240" t="s">
        <v>821</v>
      </c>
      <c r="B240" s="5">
        <v>45627</v>
      </c>
      <c r="C240" s="5">
        <v>45308</v>
      </c>
      <c r="D240" s="13">
        <f t="shared" si="51"/>
        <v>-319</v>
      </c>
      <c r="E240" t="s">
        <v>822</v>
      </c>
      <c r="F240" t="s">
        <v>53</v>
      </c>
      <c r="G240" t="s">
        <v>24</v>
      </c>
      <c r="H240" t="s">
        <v>54</v>
      </c>
      <c r="I240" t="s">
        <v>84</v>
      </c>
      <c r="J240" t="s">
        <v>85</v>
      </c>
      <c r="K240" t="s">
        <v>28</v>
      </c>
      <c r="L240" t="s">
        <v>124</v>
      </c>
      <c r="M240" t="s">
        <v>823</v>
      </c>
      <c r="N240" t="s">
        <v>50</v>
      </c>
      <c r="O240">
        <v>7</v>
      </c>
      <c r="P240">
        <v>4005.05</v>
      </c>
      <c r="Q240" s="11">
        <v>0.55000000000000004</v>
      </c>
      <c r="R240">
        <v>26633.58</v>
      </c>
      <c r="S240">
        <v>18838.75</v>
      </c>
      <c r="T240">
        <v>7794.83</v>
      </c>
      <c r="U240" t="s">
        <v>32</v>
      </c>
      <c r="V240" t="s">
        <v>33</v>
      </c>
      <c r="X240" s="8" t="str">
        <f>IF(C240&gt;=B240,"Valid", "Invalid-Date")</f>
        <v>Invalid-Date</v>
      </c>
      <c r="Y240" s="8" t="str">
        <f t="shared" si="52"/>
        <v>Invalid-Discount</v>
      </c>
      <c r="Z240" s="8" t="str">
        <f t="shared" si="53"/>
        <v>Pass</v>
      </c>
      <c r="AA240" s="8" t="str">
        <f t="shared" si="54"/>
        <v>Pass</v>
      </c>
      <c r="AB240" s="8" t="str">
        <f>TEXT(B240,"mmmm")</f>
        <v>December</v>
      </c>
      <c r="AC240" s="8" t="str">
        <f>TEXT(B240,"yyyy")</f>
        <v>2024</v>
      </c>
      <c r="AE240">
        <f t="shared" si="55"/>
        <v>28035.350000000002</v>
      </c>
      <c r="AF240" s="11">
        <f t="shared" si="56"/>
        <v>12615.907499999999</v>
      </c>
      <c r="AG240">
        <f t="shared" si="57"/>
        <v>9196.6000000000022</v>
      </c>
      <c r="AH240" s="11">
        <f t="shared" si="58"/>
        <v>0.32803585473339913</v>
      </c>
      <c r="AI240" s="9">
        <f t="shared" si="59"/>
        <v>0.32803585473339913</v>
      </c>
      <c r="AJ240">
        <f t="shared" si="60"/>
        <v>26633.58</v>
      </c>
      <c r="AK240">
        <f t="shared" si="61"/>
        <v>1</v>
      </c>
      <c r="AL240">
        <f t="shared" si="62"/>
        <v>0</v>
      </c>
      <c r="AM240">
        <f t="shared" si="63"/>
        <v>0</v>
      </c>
      <c r="AN240">
        <f t="shared" si="64"/>
        <v>0</v>
      </c>
      <c r="AO240">
        <f t="shared" si="65"/>
        <v>0</v>
      </c>
      <c r="AP240">
        <f t="shared" si="66"/>
        <v>0</v>
      </c>
      <c r="AQ240">
        <f t="shared" si="67"/>
        <v>0</v>
      </c>
    </row>
    <row r="241" spans="1:43">
      <c r="A241" t="s">
        <v>824</v>
      </c>
      <c r="B241" s="5">
        <v>45556</v>
      </c>
      <c r="C241" s="5">
        <v>45556</v>
      </c>
      <c r="D241" s="13">
        <f t="shared" si="51"/>
        <v>0</v>
      </c>
      <c r="E241" t="s">
        <v>825</v>
      </c>
      <c r="F241" t="s">
        <v>264</v>
      </c>
      <c r="G241" t="s">
        <v>90</v>
      </c>
      <c r="H241" t="s">
        <v>54</v>
      </c>
      <c r="I241" t="s">
        <v>175</v>
      </c>
      <c r="J241" t="s">
        <v>176</v>
      </c>
      <c r="K241" t="s">
        <v>74</v>
      </c>
      <c r="L241" t="s">
        <v>274</v>
      </c>
      <c r="M241" t="s">
        <v>826</v>
      </c>
      <c r="N241" t="s">
        <v>50</v>
      </c>
      <c r="O241">
        <v>2</v>
      </c>
      <c r="P241">
        <v>1960.06</v>
      </c>
      <c r="Q241" s="11">
        <v>0.2</v>
      </c>
      <c r="R241">
        <v>3136.1</v>
      </c>
      <c r="S241">
        <v>2279.4899999999998</v>
      </c>
      <c r="T241">
        <v>856.61</v>
      </c>
      <c r="U241" t="s">
        <v>32</v>
      </c>
      <c r="V241" t="s">
        <v>33</v>
      </c>
      <c r="X241" s="8" t="str">
        <f>IF(C241&gt;=B241,"Valid", "Invalid-Date")</f>
        <v>Valid</v>
      </c>
      <c r="Y241" s="8" t="str">
        <f t="shared" si="52"/>
        <v>Valid</v>
      </c>
      <c r="Z241" s="8" t="str">
        <f t="shared" si="53"/>
        <v>Pass</v>
      </c>
      <c r="AA241" s="8" t="str">
        <f t="shared" si="54"/>
        <v>Pass</v>
      </c>
      <c r="AB241" s="8" t="str">
        <f>TEXT(B241,"mmmm")</f>
        <v>September</v>
      </c>
      <c r="AC241" s="8" t="str">
        <f>TEXT(B241,"yyyy")</f>
        <v>2024</v>
      </c>
      <c r="AE241">
        <f t="shared" si="55"/>
        <v>3920.12</v>
      </c>
      <c r="AF241" s="11">
        <f t="shared" si="56"/>
        <v>3136.096</v>
      </c>
      <c r="AG241">
        <f t="shared" si="57"/>
        <v>1640.63</v>
      </c>
      <c r="AH241" s="11">
        <f t="shared" si="58"/>
        <v>0.41851524953317759</v>
      </c>
      <c r="AI241" s="9">
        <f t="shared" si="59"/>
        <v>0.41851524953317759</v>
      </c>
      <c r="AJ241">
        <f t="shared" si="60"/>
        <v>3136.1</v>
      </c>
      <c r="AK241">
        <f t="shared" si="61"/>
        <v>1</v>
      </c>
      <c r="AL241">
        <f t="shared" si="62"/>
        <v>0</v>
      </c>
      <c r="AM241">
        <f t="shared" si="63"/>
        <v>0</v>
      </c>
      <c r="AN241">
        <f t="shared" si="64"/>
        <v>0</v>
      </c>
      <c r="AO241">
        <f t="shared" si="65"/>
        <v>0</v>
      </c>
      <c r="AP241">
        <f t="shared" si="66"/>
        <v>0</v>
      </c>
      <c r="AQ241">
        <f t="shared" si="67"/>
        <v>0</v>
      </c>
    </row>
    <row r="242" spans="1:43">
      <c r="A242" t="s">
        <v>827</v>
      </c>
      <c r="B242" s="5">
        <v>45643</v>
      </c>
      <c r="C242" s="5">
        <v>45649</v>
      </c>
      <c r="D242" s="13">
        <f t="shared" si="51"/>
        <v>6</v>
      </c>
      <c r="E242" t="s">
        <v>828</v>
      </c>
      <c r="F242" t="s">
        <v>128</v>
      </c>
      <c r="G242" t="s">
        <v>90</v>
      </c>
      <c r="H242" t="s">
        <v>54</v>
      </c>
      <c r="I242" t="s">
        <v>55</v>
      </c>
      <c r="J242" t="s">
        <v>56</v>
      </c>
      <c r="K242" t="s">
        <v>28</v>
      </c>
      <c r="L242" t="s">
        <v>153</v>
      </c>
      <c r="M242" t="s">
        <v>829</v>
      </c>
      <c r="N242" t="s">
        <v>50</v>
      </c>
      <c r="O242">
        <v>9</v>
      </c>
      <c r="P242">
        <v>2315.1</v>
      </c>
      <c r="Q242" s="11">
        <v>0</v>
      </c>
      <c r="R242">
        <v>20835.900000000001</v>
      </c>
      <c r="S242">
        <v>13928.19</v>
      </c>
      <c r="T242">
        <v>6907.71</v>
      </c>
      <c r="U242" t="s">
        <v>32</v>
      </c>
      <c r="V242" t="s">
        <v>33</v>
      </c>
      <c r="X242" s="8" t="str">
        <f>IF(C242&gt;=B242,"Valid", "Invalid-Date")</f>
        <v>Valid</v>
      </c>
      <c r="Y242" s="8" t="str">
        <f t="shared" si="52"/>
        <v>Valid</v>
      </c>
      <c r="Z242" s="8" t="str">
        <f t="shared" si="53"/>
        <v>Pass</v>
      </c>
      <c r="AA242" s="8" t="str">
        <f t="shared" si="54"/>
        <v>Pass</v>
      </c>
      <c r="AB242" s="8" t="str">
        <f>TEXT(B242,"mmmm")</f>
        <v>December</v>
      </c>
      <c r="AC242" s="8" t="str">
        <f>TEXT(B242,"yyyy")</f>
        <v>2024</v>
      </c>
      <c r="AE242">
        <f t="shared" si="55"/>
        <v>20835.899999999998</v>
      </c>
      <c r="AF242" s="11">
        <f t="shared" si="56"/>
        <v>20835.899999999998</v>
      </c>
      <c r="AG242">
        <f t="shared" si="57"/>
        <v>6907.7099999999973</v>
      </c>
      <c r="AH242" s="11">
        <f t="shared" si="58"/>
        <v>0.33152923559817421</v>
      </c>
      <c r="AI242" s="9">
        <f t="shared" si="59"/>
        <v>0.33152923559817421</v>
      </c>
      <c r="AJ242">
        <f t="shared" si="60"/>
        <v>20835.900000000001</v>
      </c>
      <c r="AK242">
        <f t="shared" si="61"/>
        <v>1</v>
      </c>
      <c r="AL242">
        <f t="shared" si="62"/>
        <v>0</v>
      </c>
      <c r="AM242">
        <f t="shared" si="63"/>
        <v>0</v>
      </c>
      <c r="AN242">
        <f t="shared" si="64"/>
        <v>0</v>
      </c>
      <c r="AO242">
        <f t="shared" si="65"/>
        <v>0</v>
      </c>
      <c r="AP242">
        <f t="shared" si="66"/>
        <v>0</v>
      </c>
      <c r="AQ242">
        <f t="shared" si="67"/>
        <v>0</v>
      </c>
    </row>
    <row r="243" spans="1:43">
      <c r="A243" t="s">
        <v>830</v>
      </c>
      <c r="B243" s="5">
        <v>45815</v>
      </c>
      <c r="C243" s="5">
        <v>45844</v>
      </c>
      <c r="D243" s="13">
        <f t="shared" si="51"/>
        <v>29</v>
      </c>
      <c r="E243" t="s">
        <v>831</v>
      </c>
      <c r="F243" t="s">
        <v>132</v>
      </c>
      <c r="G243" t="s">
        <v>90</v>
      </c>
      <c r="H243" t="s">
        <v>25</v>
      </c>
      <c r="I243" t="s">
        <v>236</v>
      </c>
      <c r="J243" t="s">
        <v>237</v>
      </c>
      <c r="K243" t="s">
        <v>28</v>
      </c>
      <c r="L243" t="s">
        <v>124</v>
      </c>
      <c r="M243" t="s">
        <v>832</v>
      </c>
      <c r="N243" t="s">
        <v>59</v>
      </c>
      <c r="O243">
        <v>1</v>
      </c>
      <c r="P243">
        <v>1617.2</v>
      </c>
      <c r="Q243" s="11">
        <v>0.25</v>
      </c>
      <c r="R243">
        <v>1212.9000000000001</v>
      </c>
      <c r="S243">
        <v>690.52</v>
      </c>
      <c r="T243">
        <v>522.38</v>
      </c>
      <c r="U243" t="s">
        <v>111</v>
      </c>
      <c r="V243" t="s">
        <v>103</v>
      </c>
      <c r="X243" s="8" t="str">
        <f>IF(C243&gt;=B243,"Valid", "Invalid-Date")</f>
        <v>Valid</v>
      </c>
      <c r="Y243" s="8" t="str">
        <f t="shared" si="52"/>
        <v>Valid</v>
      </c>
      <c r="Z243" s="8" t="str">
        <f t="shared" si="53"/>
        <v>Pass</v>
      </c>
      <c r="AA243" s="8" t="str">
        <f t="shared" si="54"/>
        <v>Pass</v>
      </c>
      <c r="AB243" s="8" t="str">
        <f>TEXT(B243,"mmmm")</f>
        <v>June</v>
      </c>
      <c r="AC243" s="8" t="str">
        <f>TEXT(B243,"yyyy")</f>
        <v>2025</v>
      </c>
      <c r="AE243">
        <f t="shared" si="55"/>
        <v>1617.2</v>
      </c>
      <c r="AF243" s="11">
        <f t="shared" si="56"/>
        <v>1212.9000000000001</v>
      </c>
      <c r="AG243">
        <f t="shared" si="57"/>
        <v>926.68000000000006</v>
      </c>
      <c r="AH243" s="11">
        <f t="shared" si="58"/>
        <v>0.57301508780608457</v>
      </c>
      <c r="AI243" s="9">
        <f t="shared" si="59"/>
        <v>0.57301508780608457</v>
      </c>
      <c r="AJ243">
        <f t="shared" si="60"/>
        <v>0</v>
      </c>
      <c r="AK243">
        <f t="shared" si="61"/>
        <v>0</v>
      </c>
      <c r="AL243">
        <f t="shared" si="62"/>
        <v>0</v>
      </c>
      <c r="AM243">
        <f t="shared" si="63"/>
        <v>0</v>
      </c>
      <c r="AN243">
        <f t="shared" si="64"/>
        <v>0</v>
      </c>
      <c r="AO243">
        <f t="shared" si="65"/>
        <v>0</v>
      </c>
      <c r="AP243">
        <f t="shared" si="66"/>
        <v>1212.9000000000001</v>
      </c>
      <c r="AQ243">
        <f t="shared" si="67"/>
        <v>1</v>
      </c>
    </row>
    <row r="244" spans="1:43">
      <c r="A244" t="s">
        <v>833</v>
      </c>
      <c r="B244" s="5">
        <v>45695</v>
      </c>
      <c r="C244" s="5">
        <v>45840</v>
      </c>
      <c r="D244" s="13">
        <f t="shared" si="51"/>
        <v>145</v>
      </c>
      <c r="E244" t="s">
        <v>834</v>
      </c>
      <c r="F244" t="s">
        <v>53</v>
      </c>
      <c r="G244" t="s">
        <v>24</v>
      </c>
      <c r="H244" t="s">
        <v>25</v>
      </c>
      <c r="I244" t="s">
        <v>136</v>
      </c>
      <c r="J244" t="s">
        <v>137</v>
      </c>
      <c r="K244" t="s">
        <v>28</v>
      </c>
      <c r="L244" t="s">
        <v>48</v>
      </c>
      <c r="M244" t="s">
        <v>835</v>
      </c>
      <c r="N244" t="s">
        <v>31</v>
      </c>
      <c r="O244">
        <v>3</v>
      </c>
      <c r="P244">
        <v>1999.24</v>
      </c>
      <c r="Q244" s="11">
        <v>0.05</v>
      </c>
      <c r="R244">
        <v>5697.83</v>
      </c>
      <c r="S244">
        <v>4251.5</v>
      </c>
      <c r="T244">
        <v>1446.33</v>
      </c>
      <c r="U244" t="s">
        <v>32</v>
      </c>
      <c r="V244" t="s">
        <v>33</v>
      </c>
      <c r="X244" s="8" t="str">
        <f>IF(C244&gt;=B244,"Valid", "Invalid-Date")</f>
        <v>Valid</v>
      </c>
      <c r="Y244" s="8" t="str">
        <f t="shared" si="52"/>
        <v>Valid</v>
      </c>
      <c r="Z244" s="8" t="str">
        <f t="shared" si="53"/>
        <v>Pass</v>
      </c>
      <c r="AA244" s="8" t="str">
        <f t="shared" si="54"/>
        <v>Pass</v>
      </c>
      <c r="AB244" s="8" t="str">
        <f>TEXT(B244,"mmmm")</f>
        <v>February</v>
      </c>
      <c r="AC244" s="8" t="str">
        <f>TEXT(B244,"yyyy")</f>
        <v>2025</v>
      </c>
      <c r="AE244">
        <f t="shared" si="55"/>
        <v>5997.72</v>
      </c>
      <c r="AF244" s="11">
        <f t="shared" si="56"/>
        <v>5697.8339999999998</v>
      </c>
      <c r="AG244">
        <f t="shared" si="57"/>
        <v>1746.2200000000003</v>
      </c>
      <c r="AH244" s="11">
        <f t="shared" si="58"/>
        <v>0.29114730264167055</v>
      </c>
      <c r="AI244" s="9">
        <f t="shared" si="59"/>
        <v>0.29114730264167055</v>
      </c>
      <c r="AJ244">
        <f t="shared" si="60"/>
        <v>5697.83</v>
      </c>
      <c r="AK244">
        <f t="shared" si="61"/>
        <v>1</v>
      </c>
      <c r="AL244">
        <f t="shared" si="62"/>
        <v>0</v>
      </c>
      <c r="AM244">
        <f t="shared" si="63"/>
        <v>0</v>
      </c>
      <c r="AN244">
        <f t="shared" si="64"/>
        <v>0</v>
      </c>
      <c r="AO244">
        <f t="shared" si="65"/>
        <v>0</v>
      </c>
      <c r="AP244">
        <f t="shared" si="66"/>
        <v>0</v>
      </c>
      <c r="AQ244">
        <f t="shared" si="67"/>
        <v>0</v>
      </c>
    </row>
    <row r="245" spans="1:43">
      <c r="A245" t="s">
        <v>836</v>
      </c>
      <c r="B245" s="5">
        <v>45867</v>
      </c>
      <c r="C245" s="5">
        <v>45696</v>
      </c>
      <c r="D245" s="13">
        <f t="shared" si="51"/>
        <v>-171</v>
      </c>
      <c r="E245" t="s">
        <v>837</v>
      </c>
      <c r="F245" t="s">
        <v>132</v>
      </c>
      <c r="G245" t="s">
        <v>37</v>
      </c>
      <c r="H245" t="s">
        <v>2785</v>
      </c>
      <c r="I245" t="s">
        <v>72</v>
      </c>
      <c r="J245" t="s">
        <v>73</v>
      </c>
      <c r="K245" t="s">
        <v>74</v>
      </c>
      <c r="L245" t="s">
        <v>75</v>
      </c>
      <c r="M245" t="s">
        <v>838</v>
      </c>
      <c r="N245" t="s">
        <v>50</v>
      </c>
      <c r="O245">
        <v>1</v>
      </c>
      <c r="P245">
        <v>4499.46</v>
      </c>
      <c r="Q245" s="11">
        <v>0.1</v>
      </c>
      <c r="R245">
        <v>4049.51</v>
      </c>
      <c r="S245">
        <v>2509.1999999999998</v>
      </c>
      <c r="T245">
        <v>1540.31</v>
      </c>
      <c r="U245" t="s">
        <v>32</v>
      </c>
      <c r="V245" t="s">
        <v>33</v>
      </c>
      <c r="X245" s="8" t="str">
        <f>IF(C245&gt;=B245,"Valid", "Invalid-Date")</f>
        <v>Invalid-Date</v>
      </c>
      <c r="Y245" s="8" t="str">
        <f t="shared" si="52"/>
        <v>Valid</v>
      </c>
      <c r="Z245" s="8" t="str">
        <f t="shared" si="53"/>
        <v>Pass</v>
      </c>
      <c r="AA245" s="8" t="str">
        <f t="shared" si="54"/>
        <v>Flagged</v>
      </c>
      <c r="AB245" s="8" t="str">
        <f>TEXT(B245,"mmmm")</f>
        <v>July</v>
      </c>
      <c r="AC245" s="8" t="str">
        <f>TEXT(B245,"yyyy")</f>
        <v>2025</v>
      </c>
      <c r="AE245">
        <f t="shared" si="55"/>
        <v>4499.46</v>
      </c>
      <c r="AF245" s="11">
        <f t="shared" si="56"/>
        <v>4049.5140000000001</v>
      </c>
      <c r="AG245">
        <f t="shared" si="57"/>
        <v>1990.2600000000002</v>
      </c>
      <c r="AH245" s="11">
        <f t="shared" si="58"/>
        <v>0.44233307996959642</v>
      </c>
      <c r="AI245" s="9">
        <f t="shared" si="59"/>
        <v>0.44233307996959642</v>
      </c>
      <c r="AJ245">
        <f t="shared" si="60"/>
        <v>4049.51</v>
      </c>
      <c r="AK245">
        <f t="shared" si="61"/>
        <v>1</v>
      </c>
      <c r="AL245">
        <f t="shared" si="62"/>
        <v>0</v>
      </c>
      <c r="AM245">
        <f t="shared" si="63"/>
        <v>0</v>
      </c>
      <c r="AN245">
        <f t="shared" si="64"/>
        <v>0</v>
      </c>
      <c r="AO245">
        <f t="shared" si="65"/>
        <v>0</v>
      </c>
      <c r="AP245">
        <f t="shared" si="66"/>
        <v>0</v>
      </c>
      <c r="AQ245">
        <f t="shared" si="67"/>
        <v>0</v>
      </c>
    </row>
    <row r="246" spans="1:43">
      <c r="A246" t="s">
        <v>839</v>
      </c>
      <c r="B246" s="5">
        <v>45527</v>
      </c>
      <c r="C246" s="5">
        <v>45528</v>
      </c>
      <c r="D246" s="13">
        <f t="shared" si="51"/>
        <v>1</v>
      </c>
      <c r="E246" t="s">
        <v>840</v>
      </c>
      <c r="F246" t="s">
        <v>79</v>
      </c>
      <c r="G246" t="s">
        <v>24</v>
      </c>
      <c r="H246" t="s">
        <v>54</v>
      </c>
      <c r="I246" t="s">
        <v>55</v>
      </c>
      <c r="J246" t="s">
        <v>56</v>
      </c>
      <c r="K246" t="s">
        <v>41</v>
      </c>
      <c r="L246" t="s">
        <v>158</v>
      </c>
      <c r="M246" t="s">
        <v>841</v>
      </c>
      <c r="N246" t="s">
        <v>44</v>
      </c>
      <c r="O246">
        <v>6</v>
      </c>
      <c r="P246">
        <v>1021.89</v>
      </c>
      <c r="Q246" s="11">
        <v>0</v>
      </c>
      <c r="R246">
        <v>6131.34</v>
      </c>
      <c r="S246">
        <v>4060.88</v>
      </c>
      <c r="T246">
        <v>2070.46</v>
      </c>
      <c r="U246" t="s">
        <v>32</v>
      </c>
      <c r="V246" t="s">
        <v>33</v>
      </c>
      <c r="X246" s="8" t="str">
        <f>IF(C246&gt;=B246,"Valid", "Invalid-Date")</f>
        <v>Valid</v>
      </c>
      <c r="Y246" s="8" t="str">
        <f t="shared" si="52"/>
        <v>Valid</v>
      </c>
      <c r="Z246" s="8" t="str">
        <f t="shared" si="53"/>
        <v>Pass</v>
      </c>
      <c r="AA246" s="8" t="str">
        <f t="shared" si="54"/>
        <v>Pass</v>
      </c>
      <c r="AB246" s="8" t="str">
        <f>TEXT(B246,"mmmm")</f>
        <v>August</v>
      </c>
      <c r="AC246" s="8" t="str">
        <f>TEXT(B246,"yyyy")</f>
        <v>2024</v>
      </c>
      <c r="AE246">
        <f t="shared" si="55"/>
        <v>6131.34</v>
      </c>
      <c r="AF246" s="11">
        <f t="shared" si="56"/>
        <v>6131.34</v>
      </c>
      <c r="AG246">
        <f t="shared" si="57"/>
        <v>2070.46</v>
      </c>
      <c r="AH246" s="11">
        <f t="shared" si="58"/>
        <v>0.33768474754295147</v>
      </c>
      <c r="AI246" s="9">
        <f t="shared" si="59"/>
        <v>0.33768474754295147</v>
      </c>
      <c r="AJ246">
        <f t="shared" si="60"/>
        <v>6131.34</v>
      </c>
      <c r="AK246">
        <f t="shared" si="61"/>
        <v>1</v>
      </c>
      <c r="AL246">
        <f t="shared" si="62"/>
        <v>0</v>
      </c>
      <c r="AM246">
        <f t="shared" si="63"/>
        <v>0</v>
      </c>
      <c r="AN246">
        <f t="shared" si="64"/>
        <v>0</v>
      </c>
      <c r="AO246">
        <f t="shared" si="65"/>
        <v>0</v>
      </c>
      <c r="AP246">
        <f t="shared" si="66"/>
        <v>0</v>
      </c>
      <c r="AQ246">
        <f t="shared" si="67"/>
        <v>0</v>
      </c>
    </row>
    <row r="247" spans="1:43">
      <c r="A247" t="s">
        <v>842</v>
      </c>
      <c r="B247" s="5">
        <v>45583</v>
      </c>
      <c r="C247" s="5">
        <v>45589</v>
      </c>
      <c r="D247" s="13">
        <f t="shared" si="51"/>
        <v>6</v>
      </c>
      <c r="E247" t="s">
        <v>843</v>
      </c>
      <c r="F247" t="s">
        <v>79</v>
      </c>
      <c r="G247" t="s">
        <v>95</v>
      </c>
      <c r="H247" t="s">
        <v>54</v>
      </c>
      <c r="I247" t="s">
        <v>185</v>
      </c>
      <c r="J247" t="s">
        <v>186</v>
      </c>
      <c r="K247" t="s">
        <v>41</v>
      </c>
      <c r="L247" t="s">
        <v>66</v>
      </c>
      <c r="M247" t="s">
        <v>844</v>
      </c>
      <c r="N247" t="s">
        <v>31</v>
      </c>
      <c r="O247">
        <v>3</v>
      </c>
      <c r="P247">
        <v>3275.93</v>
      </c>
      <c r="Q247" s="11">
        <v>0</v>
      </c>
      <c r="R247">
        <v>9827.7900000000009</v>
      </c>
      <c r="S247">
        <v>5478.28</v>
      </c>
      <c r="T247">
        <v>4349.51</v>
      </c>
      <c r="U247" t="s">
        <v>32</v>
      </c>
      <c r="V247" t="s">
        <v>33</v>
      </c>
      <c r="X247" s="8" t="str">
        <f>IF(C247&gt;=B247,"Valid", "Invalid-Date")</f>
        <v>Valid</v>
      </c>
      <c r="Y247" s="8" t="str">
        <f t="shared" si="52"/>
        <v>Valid</v>
      </c>
      <c r="Z247" s="8" t="str">
        <f t="shared" si="53"/>
        <v>Pass</v>
      </c>
      <c r="AA247" s="8" t="str">
        <f t="shared" si="54"/>
        <v>Pass</v>
      </c>
      <c r="AB247" s="8" t="str">
        <f>TEXT(B247,"mmmm")</f>
        <v>October</v>
      </c>
      <c r="AC247" s="8" t="str">
        <f>TEXT(B247,"yyyy")</f>
        <v>2024</v>
      </c>
      <c r="AE247">
        <f t="shared" si="55"/>
        <v>9827.7899999999991</v>
      </c>
      <c r="AF247" s="11">
        <f t="shared" si="56"/>
        <v>9827.7899999999991</v>
      </c>
      <c r="AG247">
        <f t="shared" si="57"/>
        <v>4349.5099999999993</v>
      </c>
      <c r="AH247" s="11">
        <f t="shared" si="58"/>
        <v>0.44257254174132737</v>
      </c>
      <c r="AI247" s="9">
        <f t="shared" si="59"/>
        <v>0.44257254174132737</v>
      </c>
      <c r="AJ247">
        <f t="shared" si="60"/>
        <v>9827.7900000000009</v>
      </c>
      <c r="AK247">
        <f t="shared" si="61"/>
        <v>1</v>
      </c>
      <c r="AL247">
        <f t="shared" si="62"/>
        <v>0</v>
      </c>
      <c r="AM247">
        <f t="shared" si="63"/>
        <v>0</v>
      </c>
      <c r="AN247">
        <f t="shared" si="64"/>
        <v>0</v>
      </c>
      <c r="AO247">
        <f t="shared" si="65"/>
        <v>0</v>
      </c>
      <c r="AP247">
        <f t="shared" si="66"/>
        <v>0</v>
      </c>
      <c r="AQ247">
        <f t="shared" si="67"/>
        <v>0</v>
      </c>
    </row>
    <row r="248" spans="1:43">
      <c r="A248" t="s">
        <v>845</v>
      </c>
      <c r="B248" s="5">
        <v>45416</v>
      </c>
      <c r="C248" s="5">
        <v>45540</v>
      </c>
      <c r="D248" s="13">
        <f t="shared" si="51"/>
        <v>124</v>
      </c>
      <c r="E248" t="s">
        <v>846</v>
      </c>
      <c r="F248" t="s">
        <v>62</v>
      </c>
      <c r="G248" t="s">
        <v>90</v>
      </c>
      <c r="H248" t="s">
        <v>25</v>
      </c>
      <c r="I248" t="s">
        <v>122</v>
      </c>
      <c r="J248" t="s">
        <v>123</v>
      </c>
      <c r="K248" t="s">
        <v>74</v>
      </c>
      <c r="L248" t="s">
        <v>274</v>
      </c>
      <c r="M248" t="s">
        <v>847</v>
      </c>
      <c r="N248" t="s">
        <v>44</v>
      </c>
      <c r="O248">
        <v>3</v>
      </c>
      <c r="P248">
        <v>231.95</v>
      </c>
      <c r="Q248" s="11">
        <v>0.25</v>
      </c>
      <c r="R248">
        <v>521.89</v>
      </c>
      <c r="S248">
        <v>444.52</v>
      </c>
      <c r="T248">
        <v>77.37</v>
      </c>
      <c r="U248" t="s">
        <v>102</v>
      </c>
      <c r="V248" t="s">
        <v>68</v>
      </c>
      <c r="X248" s="8" t="str">
        <f>IF(C248&gt;=B248,"Valid", "Invalid-Date")</f>
        <v>Valid</v>
      </c>
      <c r="Y248" s="8" t="str">
        <f t="shared" si="52"/>
        <v>Valid</v>
      </c>
      <c r="Z248" s="8" t="str">
        <f t="shared" si="53"/>
        <v>Pass</v>
      </c>
      <c r="AA248" s="8" t="str">
        <f t="shared" si="54"/>
        <v>Pass</v>
      </c>
      <c r="AB248" s="8" t="str">
        <f>TEXT(B248,"mmmm")</f>
        <v>May</v>
      </c>
      <c r="AC248" s="8" t="str">
        <f>TEXT(B248,"yyyy")</f>
        <v>2024</v>
      </c>
      <c r="AE248">
        <f t="shared" si="55"/>
        <v>695.84999999999991</v>
      </c>
      <c r="AF248" s="11">
        <f t="shared" si="56"/>
        <v>521.88749999999993</v>
      </c>
      <c r="AG248">
        <f t="shared" si="57"/>
        <v>251.32999999999993</v>
      </c>
      <c r="AH248" s="11">
        <f t="shared" si="58"/>
        <v>0.36118416325357472</v>
      </c>
      <c r="AI248" s="9">
        <f t="shared" si="59"/>
        <v>0.36118416325357472</v>
      </c>
      <c r="AJ248">
        <f t="shared" si="60"/>
        <v>0</v>
      </c>
      <c r="AK248">
        <f t="shared" si="61"/>
        <v>0</v>
      </c>
      <c r="AL248">
        <f t="shared" si="62"/>
        <v>521.89</v>
      </c>
      <c r="AM248">
        <f t="shared" si="63"/>
        <v>1</v>
      </c>
      <c r="AN248">
        <f t="shared" si="64"/>
        <v>0</v>
      </c>
      <c r="AO248">
        <f t="shared" si="65"/>
        <v>0</v>
      </c>
      <c r="AP248">
        <f t="shared" si="66"/>
        <v>0</v>
      </c>
      <c r="AQ248">
        <f t="shared" si="67"/>
        <v>0</v>
      </c>
    </row>
    <row r="249" spans="1:43">
      <c r="A249" t="s">
        <v>848</v>
      </c>
      <c r="B249" s="5">
        <v>45498</v>
      </c>
      <c r="C249" s="5">
        <v>45299</v>
      </c>
      <c r="D249" s="13">
        <f t="shared" si="51"/>
        <v>-199</v>
      </c>
      <c r="E249" t="s">
        <v>849</v>
      </c>
      <c r="F249" t="s">
        <v>118</v>
      </c>
      <c r="G249" t="s">
        <v>90</v>
      </c>
      <c r="H249" t="s">
        <v>25</v>
      </c>
      <c r="I249" t="s">
        <v>26</v>
      </c>
      <c r="J249" t="s">
        <v>27</v>
      </c>
      <c r="K249" t="s">
        <v>74</v>
      </c>
      <c r="L249" t="s">
        <v>75</v>
      </c>
      <c r="M249" t="s">
        <v>850</v>
      </c>
      <c r="N249" t="s">
        <v>31</v>
      </c>
      <c r="O249">
        <v>8</v>
      </c>
      <c r="P249">
        <v>2493.4</v>
      </c>
      <c r="Q249" s="11">
        <v>0.25</v>
      </c>
      <c r="R249">
        <v>14960.4</v>
      </c>
      <c r="S249">
        <v>12500.84</v>
      </c>
      <c r="T249">
        <v>2459.56</v>
      </c>
      <c r="U249" t="s">
        <v>32</v>
      </c>
      <c r="V249" t="s">
        <v>33</v>
      </c>
      <c r="X249" s="8" t="str">
        <f>IF(C249&gt;=B249,"Valid", "Invalid-Date")</f>
        <v>Invalid-Date</v>
      </c>
      <c r="Y249" s="8" t="str">
        <f t="shared" si="52"/>
        <v>Valid</v>
      </c>
      <c r="Z249" s="8" t="str">
        <f t="shared" si="53"/>
        <v>Pass</v>
      </c>
      <c r="AA249" s="8" t="str">
        <f t="shared" si="54"/>
        <v>Pass</v>
      </c>
      <c r="AB249" s="8" t="str">
        <f>TEXT(B249,"mmmm")</f>
        <v>July</v>
      </c>
      <c r="AC249" s="8" t="str">
        <f>TEXT(B249,"yyyy")</f>
        <v>2024</v>
      </c>
      <c r="AE249">
        <f t="shared" si="55"/>
        <v>19947.2</v>
      </c>
      <c r="AF249" s="11">
        <f t="shared" si="56"/>
        <v>14960.400000000001</v>
      </c>
      <c r="AG249">
        <f t="shared" si="57"/>
        <v>7446.3600000000006</v>
      </c>
      <c r="AH249" s="11">
        <f t="shared" si="58"/>
        <v>0.37330352129622202</v>
      </c>
      <c r="AI249" s="9">
        <f t="shared" si="59"/>
        <v>0.37330352129622202</v>
      </c>
      <c r="AJ249">
        <f t="shared" si="60"/>
        <v>14960.4</v>
      </c>
      <c r="AK249">
        <f t="shared" si="61"/>
        <v>1</v>
      </c>
      <c r="AL249">
        <f t="shared" si="62"/>
        <v>0</v>
      </c>
      <c r="AM249">
        <f t="shared" si="63"/>
        <v>0</v>
      </c>
      <c r="AN249">
        <f t="shared" si="64"/>
        <v>0</v>
      </c>
      <c r="AO249">
        <f t="shared" si="65"/>
        <v>0</v>
      </c>
      <c r="AP249">
        <f t="shared" si="66"/>
        <v>0</v>
      </c>
      <c r="AQ249">
        <f t="shared" si="67"/>
        <v>0</v>
      </c>
    </row>
    <row r="250" spans="1:43">
      <c r="A250" t="s">
        <v>851</v>
      </c>
      <c r="B250" s="5">
        <v>45328</v>
      </c>
      <c r="C250" s="5">
        <v>45450</v>
      </c>
      <c r="D250" s="13">
        <f t="shared" si="51"/>
        <v>122</v>
      </c>
      <c r="E250" t="s">
        <v>852</v>
      </c>
      <c r="F250" t="s">
        <v>141</v>
      </c>
      <c r="G250" t="s">
        <v>95</v>
      </c>
      <c r="H250" t="s">
        <v>38</v>
      </c>
      <c r="I250" t="s">
        <v>39</v>
      </c>
      <c r="J250" t="s">
        <v>40</v>
      </c>
      <c r="K250" t="s">
        <v>28</v>
      </c>
      <c r="L250" t="s">
        <v>91</v>
      </c>
      <c r="M250" t="s">
        <v>853</v>
      </c>
      <c r="N250" t="s">
        <v>31</v>
      </c>
      <c r="O250">
        <v>9</v>
      </c>
      <c r="P250">
        <v>787.91</v>
      </c>
      <c r="Q250" s="11">
        <v>0.15</v>
      </c>
      <c r="R250">
        <v>6027.51</v>
      </c>
      <c r="S250">
        <v>4883.82</v>
      </c>
      <c r="T250">
        <v>1143.69</v>
      </c>
      <c r="U250" t="s">
        <v>32</v>
      </c>
      <c r="V250" t="s">
        <v>33</v>
      </c>
      <c r="X250" s="8" t="str">
        <f>IF(C250&gt;=B250,"Valid", "Invalid-Date")</f>
        <v>Valid</v>
      </c>
      <c r="Y250" s="8" t="str">
        <f t="shared" si="52"/>
        <v>Valid</v>
      </c>
      <c r="Z250" s="8" t="str">
        <f t="shared" si="53"/>
        <v>Pass</v>
      </c>
      <c r="AA250" s="8" t="str">
        <f t="shared" si="54"/>
        <v>Pass</v>
      </c>
      <c r="AB250" s="8" t="str">
        <f>TEXT(B250,"mmmm")</f>
        <v>February</v>
      </c>
      <c r="AC250" s="8" t="str">
        <f>TEXT(B250,"yyyy")</f>
        <v>2024</v>
      </c>
      <c r="AE250">
        <f t="shared" si="55"/>
        <v>7091.19</v>
      </c>
      <c r="AF250" s="11">
        <f t="shared" si="56"/>
        <v>6027.5114999999996</v>
      </c>
      <c r="AG250">
        <f t="shared" si="57"/>
        <v>2207.37</v>
      </c>
      <c r="AH250" s="11">
        <f t="shared" si="58"/>
        <v>0.31128343761766358</v>
      </c>
      <c r="AI250" s="9">
        <f t="shared" si="59"/>
        <v>0.31128343761766358</v>
      </c>
      <c r="AJ250">
        <f t="shared" si="60"/>
        <v>6027.51</v>
      </c>
      <c r="AK250">
        <f t="shared" si="61"/>
        <v>1</v>
      </c>
      <c r="AL250">
        <f t="shared" si="62"/>
        <v>0</v>
      </c>
      <c r="AM250">
        <f t="shared" si="63"/>
        <v>0</v>
      </c>
      <c r="AN250">
        <f t="shared" si="64"/>
        <v>0</v>
      </c>
      <c r="AO250">
        <f t="shared" si="65"/>
        <v>0</v>
      </c>
      <c r="AP250">
        <f t="shared" si="66"/>
        <v>0</v>
      </c>
      <c r="AQ250">
        <f t="shared" si="67"/>
        <v>0</v>
      </c>
    </row>
    <row r="251" spans="1:43">
      <c r="A251" t="s">
        <v>854</v>
      </c>
      <c r="B251" s="5">
        <v>45665</v>
      </c>
      <c r="C251" s="5">
        <v>45696</v>
      </c>
      <c r="D251" s="13">
        <f t="shared" si="51"/>
        <v>31</v>
      </c>
      <c r="E251" t="s">
        <v>855</v>
      </c>
      <c r="F251" t="s">
        <v>36</v>
      </c>
      <c r="G251" t="s">
        <v>90</v>
      </c>
      <c r="H251" t="s">
        <v>25</v>
      </c>
      <c r="I251" t="s">
        <v>26</v>
      </c>
      <c r="J251" t="s">
        <v>27</v>
      </c>
      <c r="K251" t="s">
        <v>41</v>
      </c>
      <c r="L251" t="s">
        <v>57</v>
      </c>
      <c r="M251" t="s">
        <v>856</v>
      </c>
      <c r="N251" t="s">
        <v>50</v>
      </c>
      <c r="O251">
        <v>4</v>
      </c>
      <c r="P251">
        <v>2790.29</v>
      </c>
      <c r="Q251" s="11">
        <v>0.2</v>
      </c>
      <c r="R251">
        <v>8928.93</v>
      </c>
      <c r="S251">
        <v>5634.38</v>
      </c>
      <c r="T251">
        <v>3294.55</v>
      </c>
      <c r="U251" t="s">
        <v>32</v>
      </c>
      <c r="V251" t="s">
        <v>33</v>
      </c>
      <c r="X251" s="8" t="str">
        <f>IF(C251&gt;=B251,"Valid", "Invalid-Date")</f>
        <v>Valid</v>
      </c>
      <c r="Y251" s="8" t="str">
        <f t="shared" si="52"/>
        <v>Valid</v>
      </c>
      <c r="Z251" s="8" t="str">
        <f t="shared" si="53"/>
        <v>Pass</v>
      </c>
      <c r="AA251" s="8" t="str">
        <f t="shared" si="54"/>
        <v>Pass</v>
      </c>
      <c r="AB251" s="8" t="str">
        <f>TEXT(B251,"mmmm")</f>
        <v>January</v>
      </c>
      <c r="AC251" s="8" t="str">
        <f>TEXT(B251,"yyyy")</f>
        <v>2025</v>
      </c>
      <c r="AE251">
        <f t="shared" si="55"/>
        <v>11161.16</v>
      </c>
      <c r="AF251" s="11">
        <f t="shared" si="56"/>
        <v>8928.9279999999999</v>
      </c>
      <c r="AG251">
        <f t="shared" si="57"/>
        <v>5526.78</v>
      </c>
      <c r="AH251" s="11">
        <f t="shared" si="58"/>
        <v>0.49517971250300147</v>
      </c>
      <c r="AI251" s="9">
        <f t="shared" si="59"/>
        <v>0.49517971250300147</v>
      </c>
      <c r="AJ251">
        <f t="shared" si="60"/>
        <v>8928.93</v>
      </c>
      <c r="AK251">
        <f t="shared" si="61"/>
        <v>1</v>
      </c>
      <c r="AL251">
        <f t="shared" si="62"/>
        <v>0</v>
      </c>
      <c r="AM251">
        <f t="shared" si="63"/>
        <v>0</v>
      </c>
      <c r="AN251">
        <f t="shared" si="64"/>
        <v>0</v>
      </c>
      <c r="AO251">
        <f t="shared" si="65"/>
        <v>0</v>
      </c>
      <c r="AP251">
        <f t="shared" si="66"/>
        <v>0</v>
      </c>
      <c r="AQ251">
        <f t="shared" si="67"/>
        <v>0</v>
      </c>
    </row>
    <row r="252" spans="1:43" s="15" customFormat="1">
      <c r="A252" s="15" t="s">
        <v>857</v>
      </c>
      <c r="B252" s="16">
        <v>45343</v>
      </c>
      <c r="C252" s="16">
        <v>45349</v>
      </c>
      <c r="D252" s="17">
        <f t="shared" si="51"/>
        <v>6</v>
      </c>
      <c r="E252" s="15" t="s">
        <v>858</v>
      </c>
      <c r="F252" s="15" t="s">
        <v>53</v>
      </c>
      <c r="G252" s="15" t="s">
        <v>37</v>
      </c>
      <c r="H252" s="15" t="s">
        <v>38</v>
      </c>
      <c r="I252" s="15" t="s">
        <v>99</v>
      </c>
      <c r="J252" s="15" t="s">
        <v>100</v>
      </c>
      <c r="K252" s="15" t="s">
        <v>41</v>
      </c>
      <c r="L252" s="15" t="s">
        <v>57</v>
      </c>
      <c r="M252" s="15" t="s">
        <v>859</v>
      </c>
      <c r="N252" s="15" t="s">
        <v>59</v>
      </c>
      <c r="O252" s="15">
        <v>5</v>
      </c>
      <c r="P252" s="15">
        <v>3373.86</v>
      </c>
      <c r="Q252" s="18">
        <v>0.15</v>
      </c>
      <c r="R252" s="15">
        <v>14338.9</v>
      </c>
      <c r="S252" s="15">
        <v>11897.65</v>
      </c>
      <c r="T252" s="15">
        <v>2441.25</v>
      </c>
      <c r="U252" s="15" t="s">
        <v>111</v>
      </c>
      <c r="V252" s="15" t="s">
        <v>103</v>
      </c>
      <c r="W252" s="25"/>
      <c r="X252" s="8" t="str">
        <f>IF(C252&gt;=B252,"Valid", "Invalid-Date")</f>
        <v>Valid</v>
      </c>
      <c r="Y252" s="8" t="str">
        <f t="shared" si="52"/>
        <v>Valid</v>
      </c>
      <c r="Z252" s="19" t="str">
        <f t="shared" si="53"/>
        <v>Pass</v>
      </c>
      <c r="AA252" s="19" t="str">
        <f t="shared" si="54"/>
        <v>Pass</v>
      </c>
      <c r="AB252" s="19" t="str">
        <f>TEXT(B252,"mmmm")</f>
        <v>February</v>
      </c>
      <c r="AC252" s="19" t="str">
        <f>TEXT(B252,"yyyy")</f>
        <v>2024</v>
      </c>
      <c r="AD252" s="20"/>
      <c r="AE252" s="15">
        <f t="shared" si="55"/>
        <v>16869.3</v>
      </c>
      <c r="AF252" s="11">
        <f t="shared" si="56"/>
        <v>14338.904999999999</v>
      </c>
      <c r="AG252" s="15">
        <f t="shared" si="57"/>
        <v>4971.6499999999996</v>
      </c>
      <c r="AH252" s="18">
        <f t="shared" si="58"/>
        <v>0.29471584475941504</v>
      </c>
      <c r="AI252" s="21">
        <f t="shared" si="59"/>
        <v>0.29471584475941504</v>
      </c>
      <c r="AJ252">
        <f t="shared" si="60"/>
        <v>0</v>
      </c>
      <c r="AK252">
        <f t="shared" si="61"/>
        <v>0</v>
      </c>
      <c r="AL252">
        <f t="shared" si="62"/>
        <v>0</v>
      </c>
      <c r="AM252">
        <f t="shared" si="63"/>
        <v>0</v>
      </c>
      <c r="AN252">
        <f t="shared" si="64"/>
        <v>0</v>
      </c>
      <c r="AO252">
        <f t="shared" si="65"/>
        <v>0</v>
      </c>
      <c r="AP252">
        <f t="shared" si="66"/>
        <v>14338.9</v>
      </c>
      <c r="AQ252">
        <f t="shared" si="67"/>
        <v>1</v>
      </c>
    </row>
    <row r="253" spans="1:43">
      <c r="A253" t="s">
        <v>860</v>
      </c>
      <c r="B253" s="5">
        <v>45753</v>
      </c>
      <c r="C253" s="5">
        <v>45934</v>
      </c>
      <c r="D253" s="13">
        <f t="shared" si="51"/>
        <v>181</v>
      </c>
      <c r="E253" t="s">
        <v>861</v>
      </c>
      <c r="F253" t="s">
        <v>62</v>
      </c>
      <c r="G253" t="s">
        <v>90</v>
      </c>
      <c r="H253" t="s">
        <v>63</v>
      </c>
      <c r="I253" t="s">
        <v>180</v>
      </c>
      <c r="J253" t="s">
        <v>181</v>
      </c>
      <c r="K253" t="s">
        <v>41</v>
      </c>
      <c r="L253" t="s">
        <v>42</v>
      </c>
      <c r="M253" t="s">
        <v>862</v>
      </c>
      <c r="N253" t="s">
        <v>31</v>
      </c>
      <c r="O253">
        <v>6</v>
      </c>
      <c r="P253">
        <v>1022.16</v>
      </c>
      <c r="Q253" s="11">
        <v>0</v>
      </c>
      <c r="R253">
        <v>6132.96</v>
      </c>
      <c r="S253">
        <v>4881.1000000000004</v>
      </c>
      <c r="T253">
        <v>1251.8599999999999</v>
      </c>
      <c r="U253" t="s">
        <v>32</v>
      </c>
      <c r="V253" t="s">
        <v>33</v>
      </c>
      <c r="X253" s="8" t="str">
        <f>IF(C253&gt;=B253,"Valid", "Invalid-Date")</f>
        <v>Valid</v>
      </c>
      <c r="Y253" s="8" t="str">
        <f t="shared" si="52"/>
        <v>Valid</v>
      </c>
      <c r="Z253" s="8" t="str">
        <f t="shared" si="53"/>
        <v>Pass</v>
      </c>
      <c r="AA253" s="8" t="str">
        <f t="shared" si="54"/>
        <v>Pass</v>
      </c>
      <c r="AB253" s="8" t="str">
        <f>TEXT(B253,"mmmm")</f>
        <v>April</v>
      </c>
      <c r="AC253" s="8" t="str">
        <f>TEXT(B253,"yyyy")</f>
        <v>2025</v>
      </c>
      <c r="AE253">
        <f t="shared" si="55"/>
        <v>6132.96</v>
      </c>
      <c r="AF253" s="11">
        <f t="shared" si="56"/>
        <v>6132.96</v>
      </c>
      <c r="AG253">
        <f t="shared" si="57"/>
        <v>1251.8599999999997</v>
      </c>
      <c r="AH253" s="11">
        <f t="shared" si="58"/>
        <v>0.20412003339333692</v>
      </c>
      <c r="AI253" s="9">
        <f t="shared" si="59"/>
        <v>0.20412003339333692</v>
      </c>
      <c r="AJ253">
        <f t="shared" si="60"/>
        <v>6132.96</v>
      </c>
      <c r="AK253">
        <f t="shared" si="61"/>
        <v>1</v>
      </c>
      <c r="AL253">
        <f t="shared" si="62"/>
        <v>0</v>
      </c>
      <c r="AM253">
        <f t="shared" si="63"/>
        <v>0</v>
      </c>
      <c r="AN253">
        <f t="shared" si="64"/>
        <v>0</v>
      </c>
      <c r="AO253">
        <f t="shared" si="65"/>
        <v>0</v>
      </c>
      <c r="AP253">
        <f t="shared" si="66"/>
        <v>0</v>
      </c>
      <c r="AQ253">
        <f t="shared" si="67"/>
        <v>0</v>
      </c>
    </row>
    <row r="254" spans="1:43">
      <c r="A254" t="s">
        <v>863</v>
      </c>
      <c r="B254" s="5">
        <v>45833</v>
      </c>
      <c r="C254" s="5">
        <v>45836</v>
      </c>
      <c r="D254" s="13">
        <f t="shared" si="51"/>
        <v>3</v>
      </c>
      <c r="E254" t="s">
        <v>864</v>
      </c>
      <c r="F254" t="s">
        <v>53</v>
      </c>
      <c r="G254" t="s">
        <v>90</v>
      </c>
      <c r="H254" t="s">
        <v>25</v>
      </c>
      <c r="I254" t="s">
        <v>236</v>
      </c>
      <c r="J254" t="s">
        <v>237</v>
      </c>
      <c r="K254" t="s">
        <v>28</v>
      </c>
      <c r="L254" t="s">
        <v>124</v>
      </c>
      <c r="M254" t="s">
        <v>865</v>
      </c>
      <c r="N254" t="s">
        <v>50</v>
      </c>
      <c r="O254">
        <v>2</v>
      </c>
      <c r="P254">
        <v>1455.92</v>
      </c>
      <c r="Q254" s="11">
        <v>0.2</v>
      </c>
      <c r="R254">
        <v>2329.4699999999998</v>
      </c>
      <c r="S254">
        <v>1603.62</v>
      </c>
      <c r="T254">
        <v>725.85</v>
      </c>
      <c r="U254" t="s">
        <v>111</v>
      </c>
      <c r="V254" t="s">
        <v>103</v>
      </c>
      <c r="X254" s="8" t="str">
        <f>IF(C254&gt;=B254,"Valid", "Invalid-Date")</f>
        <v>Valid</v>
      </c>
      <c r="Y254" s="8" t="str">
        <f t="shared" si="52"/>
        <v>Valid</v>
      </c>
      <c r="Z254" s="8" t="str">
        <f t="shared" si="53"/>
        <v>Pass</v>
      </c>
      <c r="AA254" s="8" t="str">
        <f t="shared" si="54"/>
        <v>Pass</v>
      </c>
      <c r="AB254" s="8" t="str">
        <f>TEXT(B254,"mmmm")</f>
        <v>June</v>
      </c>
      <c r="AC254" s="8" t="str">
        <f>TEXT(B254,"yyyy")</f>
        <v>2025</v>
      </c>
      <c r="AE254">
        <f t="shared" si="55"/>
        <v>2911.84</v>
      </c>
      <c r="AF254" s="11">
        <f t="shared" si="56"/>
        <v>2329.4720000000002</v>
      </c>
      <c r="AG254">
        <f t="shared" si="57"/>
        <v>1308.2200000000003</v>
      </c>
      <c r="AH254" s="11">
        <f t="shared" si="58"/>
        <v>0.44927605912412777</v>
      </c>
      <c r="AI254" s="9">
        <f t="shared" si="59"/>
        <v>0.44927605912412777</v>
      </c>
      <c r="AJ254">
        <f t="shared" si="60"/>
        <v>0</v>
      </c>
      <c r="AK254">
        <f t="shared" si="61"/>
        <v>0</v>
      </c>
      <c r="AL254">
        <f t="shared" si="62"/>
        <v>0</v>
      </c>
      <c r="AM254">
        <f t="shared" si="63"/>
        <v>0</v>
      </c>
      <c r="AN254">
        <f t="shared" si="64"/>
        <v>0</v>
      </c>
      <c r="AO254">
        <f t="shared" si="65"/>
        <v>0</v>
      </c>
      <c r="AP254">
        <f t="shared" si="66"/>
        <v>2329.4699999999998</v>
      </c>
      <c r="AQ254">
        <f t="shared" si="67"/>
        <v>1</v>
      </c>
    </row>
    <row r="255" spans="1:43">
      <c r="A255" t="s">
        <v>866</v>
      </c>
      <c r="B255" s="5">
        <v>45547</v>
      </c>
      <c r="C255" s="5">
        <v>45548</v>
      </c>
      <c r="D255" s="13">
        <f t="shared" si="51"/>
        <v>1</v>
      </c>
      <c r="E255" t="s">
        <v>867</v>
      </c>
      <c r="F255" t="s">
        <v>114</v>
      </c>
      <c r="G255" t="s">
        <v>37</v>
      </c>
      <c r="H255" t="s">
        <v>25</v>
      </c>
      <c r="I255" t="s">
        <v>26</v>
      </c>
      <c r="J255" t="s">
        <v>27</v>
      </c>
      <c r="K255" t="s">
        <v>74</v>
      </c>
      <c r="L255" t="s">
        <v>171</v>
      </c>
      <c r="M255" t="s">
        <v>868</v>
      </c>
      <c r="N255" t="s">
        <v>44</v>
      </c>
      <c r="O255">
        <v>6</v>
      </c>
      <c r="P255">
        <v>832.79</v>
      </c>
      <c r="Q255" s="11">
        <v>0.05</v>
      </c>
      <c r="R255">
        <v>4746.8999999999996</v>
      </c>
      <c r="S255">
        <v>2825.38</v>
      </c>
      <c r="T255">
        <v>1472.89</v>
      </c>
      <c r="U255" t="s">
        <v>102</v>
      </c>
      <c r="V255" t="s">
        <v>68</v>
      </c>
      <c r="X255" s="8" t="str">
        <f>IF(C255&gt;=B255,"Valid", "Invalid-Date")</f>
        <v>Valid</v>
      </c>
      <c r="Y255" s="8" t="str">
        <f t="shared" si="52"/>
        <v>Valid</v>
      </c>
      <c r="Z255" s="8" t="str">
        <f t="shared" si="53"/>
        <v>Pass</v>
      </c>
      <c r="AA255" s="8" t="str">
        <f t="shared" si="54"/>
        <v>Pass</v>
      </c>
      <c r="AB255" s="8" t="str">
        <f>TEXT(B255,"mmmm")</f>
        <v>September</v>
      </c>
      <c r="AC255" s="8" t="str">
        <f>TEXT(B255,"yyyy")</f>
        <v>2024</v>
      </c>
      <c r="AE255">
        <f t="shared" si="55"/>
        <v>4996.74</v>
      </c>
      <c r="AF255" s="11">
        <f t="shared" si="56"/>
        <v>4746.9029999999993</v>
      </c>
      <c r="AG255">
        <f t="shared" si="57"/>
        <v>2171.3599999999997</v>
      </c>
      <c r="AH255" s="11">
        <f t="shared" si="58"/>
        <v>0.43455533007520897</v>
      </c>
      <c r="AI255" s="9">
        <f t="shared" si="59"/>
        <v>0.43455533007520897</v>
      </c>
      <c r="AJ255">
        <f t="shared" si="60"/>
        <v>0</v>
      </c>
      <c r="AK255">
        <f t="shared" si="61"/>
        <v>0</v>
      </c>
      <c r="AL255">
        <f t="shared" si="62"/>
        <v>4746.8999999999996</v>
      </c>
      <c r="AM255">
        <f t="shared" si="63"/>
        <v>1</v>
      </c>
      <c r="AN255">
        <f t="shared" si="64"/>
        <v>0</v>
      </c>
      <c r="AO255">
        <f t="shared" si="65"/>
        <v>0</v>
      </c>
      <c r="AP255">
        <f t="shared" si="66"/>
        <v>0</v>
      </c>
      <c r="AQ255">
        <f t="shared" si="67"/>
        <v>0</v>
      </c>
    </row>
    <row r="256" spans="1:43">
      <c r="A256" t="s">
        <v>869</v>
      </c>
      <c r="B256" s="5">
        <v>45658</v>
      </c>
      <c r="C256" s="5">
        <v>45660</v>
      </c>
      <c r="D256" s="13">
        <f t="shared" si="51"/>
        <v>2</v>
      </c>
      <c r="E256" t="s">
        <v>870</v>
      </c>
      <c r="F256" t="s">
        <v>62</v>
      </c>
      <c r="G256" t="s">
        <v>24</v>
      </c>
      <c r="H256" t="s">
        <v>63</v>
      </c>
      <c r="I256" t="s">
        <v>72</v>
      </c>
      <c r="J256" t="s">
        <v>73</v>
      </c>
      <c r="K256" t="s">
        <v>74</v>
      </c>
      <c r="L256" t="s">
        <v>75</v>
      </c>
      <c r="M256" t="s">
        <v>871</v>
      </c>
      <c r="N256" t="s">
        <v>44</v>
      </c>
      <c r="O256">
        <v>7</v>
      </c>
      <c r="P256">
        <v>1000.55</v>
      </c>
      <c r="Q256" s="11">
        <v>0.2</v>
      </c>
      <c r="R256">
        <v>5603.08</v>
      </c>
      <c r="S256">
        <v>3132.52</v>
      </c>
      <c r="T256">
        <v>2470.56</v>
      </c>
      <c r="U256" t="s">
        <v>32</v>
      </c>
      <c r="V256" t="s">
        <v>103</v>
      </c>
      <c r="X256" s="8" t="str">
        <f>IF(C256&gt;=B256,"Valid", "Invalid-Date")</f>
        <v>Valid</v>
      </c>
      <c r="Y256" s="8" t="str">
        <f t="shared" si="52"/>
        <v>Valid</v>
      </c>
      <c r="Z256" s="8" t="str">
        <f t="shared" si="53"/>
        <v>Pass</v>
      </c>
      <c r="AA256" s="8" t="str">
        <f t="shared" si="54"/>
        <v>Pass</v>
      </c>
      <c r="AB256" s="8" t="str">
        <f>TEXT(B256,"mmmm")</f>
        <v>January</v>
      </c>
      <c r="AC256" s="8" t="str">
        <f>TEXT(B256,"yyyy")</f>
        <v>2025</v>
      </c>
      <c r="AE256">
        <f t="shared" si="55"/>
        <v>7003.8499999999995</v>
      </c>
      <c r="AF256" s="11">
        <f t="shared" si="56"/>
        <v>5603.08</v>
      </c>
      <c r="AG256">
        <f t="shared" si="57"/>
        <v>3871.3299999999995</v>
      </c>
      <c r="AH256" s="11">
        <f t="shared" si="58"/>
        <v>0.55274313413336951</v>
      </c>
      <c r="AI256" s="9">
        <f t="shared" si="59"/>
        <v>0.55274313413336951</v>
      </c>
      <c r="AJ256">
        <f t="shared" si="60"/>
        <v>0</v>
      </c>
      <c r="AK256">
        <f t="shared" si="61"/>
        <v>0</v>
      </c>
      <c r="AL256">
        <f t="shared" si="62"/>
        <v>0</v>
      </c>
      <c r="AM256">
        <f t="shared" si="63"/>
        <v>0</v>
      </c>
      <c r="AN256">
        <f t="shared" si="64"/>
        <v>0</v>
      </c>
      <c r="AO256">
        <f t="shared" si="65"/>
        <v>0</v>
      </c>
      <c r="AP256">
        <f t="shared" si="66"/>
        <v>5603.08</v>
      </c>
      <c r="AQ256">
        <f t="shared" si="67"/>
        <v>1</v>
      </c>
    </row>
    <row r="257" spans="1:43">
      <c r="A257" t="s">
        <v>872</v>
      </c>
      <c r="B257" s="5">
        <v>45692</v>
      </c>
      <c r="C257" s="5">
        <v>45932</v>
      </c>
      <c r="D257" s="13">
        <f t="shared" si="51"/>
        <v>240</v>
      </c>
      <c r="E257" t="s">
        <v>873</v>
      </c>
      <c r="F257" t="s">
        <v>47</v>
      </c>
      <c r="G257" t="s">
        <v>90</v>
      </c>
      <c r="H257" t="s">
        <v>63</v>
      </c>
      <c r="I257" t="s">
        <v>64</v>
      </c>
      <c r="J257" t="s">
        <v>65</v>
      </c>
      <c r="K257" t="s">
        <v>74</v>
      </c>
      <c r="L257" t="s">
        <v>171</v>
      </c>
      <c r="M257" t="s">
        <v>874</v>
      </c>
      <c r="N257" t="s">
        <v>50</v>
      </c>
      <c r="O257">
        <v>7</v>
      </c>
      <c r="P257">
        <v>1830</v>
      </c>
      <c r="Q257" s="11">
        <v>0</v>
      </c>
      <c r="R257">
        <v>12810</v>
      </c>
      <c r="S257">
        <v>9334.1200000000008</v>
      </c>
      <c r="T257">
        <v>3475.88</v>
      </c>
      <c r="U257" t="s">
        <v>32</v>
      </c>
      <c r="V257" t="s">
        <v>33</v>
      </c>
      <c r="X257" s="8" t="str">
        <f>IF(C257&gt;=B257,"Valid", "Invalid-Date")</f>
        <v>Valid</v>
      </c>
      <c r="Y257" s="8" t="str">
        <f t="shared" si="52"/>
        <v>Valid</v>
      </c>
      <c r="Z257" s="8" t="str">
        <f t="shared" si="53"/>
        <v>Pass</v>
      </c>
      <c r="AA257" s="8" t="str">
        <f t="shared" si="54"/>
        <v>Pass</v>
      </c>
      <c r="AB257" s="8" t="str">
        <f>TEXT(B257,"mmmm")</f>
        <v>February</v>
      </c>
      <c r="AC257" s="8" t="str">
        <f>TEXT(B257,"yyyy")</f>
        <v>2025</v>
      </c>
      <c r="AE257">
        <f t="shared" si="55"/>
        <v>12810</v>
      </c>
      <c r="AF257" s="11">
        <f t="shared" si="56"/>
        <v>12810</v>
      </c>
      <c r="AG257">
        <f t="shared" si="57"/>
        <v>3475.8799999999992</v>
      </c>
      <c r="AH257" s="11">
        <f t="shared" si="58"/>
        <v>0.27134113973458229</v>
      </c>
      <c r="AI257" s="9">
        <f t="shared" si="59"/>
        <v>0.27134113973458229</v>
      </c>
      <c r="AJ257">
        <f t="shared" si="60"/>
        <v>12810</v>
      </c>
      <c r="AK257">
        <f t="shared" si="61"/>
        <v>1</v>
      </c>
      <c r="AL257">
        <f t="shared" si="62"/>
        <v>0</v>
      </c>
      <c r="AM257">
        <f t="shared" si="63"/>
        <v>0</v>
      </c>
      <c r="AN257">
        <f t="shared" si="64"/>
        <v>0</v>
      </c>
      <c r="AO257">
        <f t="shared" si="65"/>
        <v>0</v>
      </c>
      <c r="AP257">
        <f t="shared" si="66"/>
        <v>0</v>
      </c>
      <c r="AQ257">
        <f t="shared" si="67"/>
        <v>0</v>
      </c>
    </row>
    <row r="258" spans="1:43">
      <c r="A258" t="s">
        <v>875</v>
      </c>
      <c r="B258" s="5">
        <v>45601</v>
      </c>
      <c r="C258" s="5">
        <v>45362</v>
      </c>
      <c r="D258" s="13">
        <f t="shared" si="51"/>
        <v>-239</v>
      </c>
      <c r="E258" t="s">
        <v>876</v>
      </c>
      <c r="F258" t="s">
        <v>62</v>
      </c>
      <c r="G258" t="s">
        <v>24</v>
      </c>
      <c r="H258" t="s">
        <v>38</v>
      </c>
      <c r="I258" t="s">
        <v>99</v>
      </c>
      <c r="J258" t="s">
        <v>100</v>
      </c>
      <c r="K258" t="s">
        <v>41</v>
      </c>
      <c r="L258" t="s">
        <v>42</v>
      </c>
      <c r="M258" t="s">
        <v>877</v>
      </c>
      <c r="N258" t="s">
        <v>50</v>
      </c>
      <c r="O258">
        <v>9</v>
      </c>
      <c r="P258">
        <v>2260.61</v>
      </c>
      <c r="Q258" s="11">
        <v>0.05</v>
      </c>
      <c r="R258">
        <v>19328.22</v>
      </c>
      <c r="S258">
        <v>12039.5</v>
      </c>
      <c r="T258">
        <v>7288.72</v>
      </c>
      <c r="U258" t="s">
        <v>32</v>
      </c>
      <c r="V258" t="s">
        <v>33</v>
      </c>
      <c r="X258" s="8" t="str">
        <f>IF(C258&gt;=B258,"Valid", "Invalid-Date")</f>
        <v>Invalid-Date</v>
      </c>
      <c r="Y258" s="8" t="str">
        <f t="shared" si="52"/>
        <v>Valid</v>
      </c>
      <c r="Z258" s="8" t="str">
        <f t="shared" si="53"/>
        <v>Pass</v>
      </c>
      <c r="AA258" s="8" t="str">
        <f t="shared" si="54"/>
        <v>Pass</v>
      </c>
      <c r="AB258" s="8" t="str">
        <f>TEXT(B258,"mmmm")</f>
        <v>November</v>
      </c>
      <c r="AC258" s="8" t="str">
        <f>TEXT(B258,"yyyy")</f>
        <v>2024</v>
      </c>
      <c r="AE258">
        <f t="shared" si="55"/>
        <v>20345.490000000002</v>
      </c>
      <c r="AF258" s="11">
        <f t="shared" si="56"/>
        <v>19328.215500000002</v>
      </c>
      <c r="AG258">
        <f t="shared" si="57"/>
        <v>8305.9900000000016</v>
      </c>
      <c r="AH258" s="11">
        <f t="shared" si="58"/>
        <v>0.40824723317059464</v>
      </c>
      <c r="AI258" s="9">
        <f t="shared" si="59"/>
        <v>0.40824723317059464</v>
      </c>
      <c r="AJ258">
        <f t="shared" si="60"/>
        <v>19328.22</v>
      </c>
      <c r="AK258">
        <f t="shared" si="61"/>
        <v>1</v>
      </c>
      <c r="AL258">
        <f t="shared" si="62"/>
        <v>0</v>
      </c>
      <c r="AM258">
        <f t="shared" si="63"/>
        <v>0</v>
      </c>
      <c r="AN258">
        <f t="shared" si="64"/>
        <v>0</v>
      </c>
      <c r="AO258">
        <f t="shared" si="65"/>
        <v>0</v>
      </c>
      <c r="AP258">
        <f t="shared" si="66"/>
        <v>0</v>
      </c>
      <c r="AQ258">
        <f t="shared" si="67"/>
        <v>0</v>
      </c>
    </row>
    <row r="259" spans="1:43">
      <c r="A259" t="s">
        <v>878</v>
      </c>
      <c r="B259" s="5">
        <v>45878</v>
      </c>
      <c r="C259" s="5">
        <v>45999</v>
      </c>
      <c r="D259" s="13">
        <f t="shared" ref="D259:D322" si="68">C259-B259</f>
        <v>121</v>
      </c>
      <c r="E259" t="s">
        <v>879</v>
      </c>
      <c r="F259" t="s">
        <v>162</v>
      </c>
      <c r="G259" t="s">
        <v>90</v>
      </c>
      <c r="H259" t="s">
        <v>54</v>
      </c>
      <c r="I259" t="s">
        <v>175</v>
      </c>
      <c r="J259" t="s">
        <v>176</v>
      </c>
      <c r="K259" t="s">
        <v>74</v>
      </c>
      <c r="L259" t="s">
        <v>75</v>
      </c>
      <c r="M259" t="s">
        <v>880</v>
      </c>
      <c r="N259" t="s">
        <v>31</v>
      </c>
      <c r="O259">
        <v>2</v>
      </c>
      <c r="P259">
        <v>3237.27</v>
      </c>
      <c r="Q259" s="11">
        <v>0</v>
      </c>
      <c r="R259">
        <v>6474.54</v>
      </c>
      <c r="S259">
        <v>5095.91</v>
      </c>
      <c r="T259">
        <v>1378.63</v>
      </c>
      <c r="U259" t="s">
        <v>32</v>
      </c>
      <c r="V259" t="s">
        <v>68</v>
      </c>
      <c r="X259" s="8" t="str">
        <f>IF(C259&gt;=B259,"Valid", "Invalid-Date")</f>
        <v>Valid</v>
      </c>
      <c r="Y259" s="8" t="str">
        <f t="shared" ref="Y259:Y322" si="69">IF(OR(Q259&lt;0, Q259&gt;0.5), "Invalid-Discount", "Valid")</f>
        <v>Valid</v>
      </c>
      <c r="Z259" s="8" t="str">
        <f t="shared" ref="Z259:Z322" si="70">IF(N259="Unknown","Flagged","Pass")</f>
        <v>Pass</v>
      </c>
      <c r="AA259" s="8" t="str">
        <f t="shared" ref="AA259:AA322" si="71">IF(H259="Unknown","Flagged","Pass")</f>
        <v>Pass</v>
      </c>
      <c r="AB259" s="8" t="str">
        <f>TEXT(B259,"mmmm")</f>
        <v>August</v>
      </c>
      <c r="AC259" s="8" t="str">
        <f>TEXT(B259,"yyyy")</f>
        <v>2025</v>
      </c>
      <c r="AE259">
        <f t="shared" ref="AE259:AE322" si="72">O259*P259</f>
        <v>6474.54</v>
      </c>
      <c r="AF259" s="11">
        <f t="shared" ref="AF259:AF322" si="73">AE259*(1-Q259)</f>
        <v>6474.54</v>
      </c>
      <c r="AG259">
        <f t="shared" ref="AG259:AG322" si="74">AE259-S259</f>
        <v>1378.63</v>
      </c>
      <c r="AH259" s="11">
        <f t="shared" ref="AH259:AH322" si="75">AG259/AE259</f>
        <v>0.21293095725719513</v>
      </c>
      <c r="AI259" s="9">
        <f t="shared" ref="AI259:AI322" si="76">AG259/AE259</f>
        <v>0.21293095725719513</v>
      </c>
      <c r="AJ259">
        <f t="shared" ref="AJ259:AJ322" si="77">SUMIFS(R259, V259, "Completed", U259, "Paid")</f>
        <v>0</v>
      </c>
      <c r="AK259">
        <f t="shared" ref="AK259:AK322" si="78">COUNTIFS(V259, "Completed", U259, "Paid")</f>
        <v>0</v>
      </c>
      <c r="AL259">
        <f t="shared" ref="AL259:AL322" si="79">SUMIFS(R259, V259, "Cancelled")</f>
        <v>6474.54</v>
      </c>
      <c r="AM259">
        <f t="shared" ref="AM259:AM322" si="80">COUNTIFS(V259, "Cancelled")</f>
        <v>1</v>
      </c>
      <c r="AN259">
        <f t="shared" ref="AN259:AN322" si="81">SUMIFS(R259, U259, "Failed")</f>
        <v>0</v>
      </c>
      <c r="AO259">
        <f t="shared" ref="AO259:AO322" si="82">COUNTIFS(U259, "Failed")</f>
        <v>0</v>
      </c>
      <c r="AP259">
        <f t="shared" ref="AP259:AP322" si="83">SUMIFS(R259, V259, "Returned")</f>
        <v>0</v>
      </c>
      <c r="AQ259">
        <f t="shared" ref="AQ259:AQ322" si="84">COUNTIFS(V259, "Returned")</f>
        <v>0</v>
      </c>
    </row>
    <row r="260" spans="1:43">
      <c r="A260" t="s">
        <v>881</v>
      </c>
      <c r="B260" s="5">
        <v>45656</v>
      </c>
      <c r="C260" s="5">
        <v>45748</v>
      </c>
      <c r="D260" s="13">
        <f t="shared" si="68"/>
        <v>92</v>
      </c>
      <c r="E260" t="s">
        <v>882</v>
      </c>
      <c r="F260" t="s">
        <v>132</v>
      </c>
      <c r="G260" t="s">
        <v>90</v>
      </c>
      <c r="H260" t="s">
        <v>54</v>
      </c>
      <c r="I260" t="s">
        <v>247</v>
      </c>
      <c r="J260" t="s">
        <v>248</v>
      </c>
      <c r="K260" t="s">
        <v>41</v>
      </c>
      <c r="L260" t="s">
        <v>42</v>
      </c>
      <c r="M260" t="s">
        <v>883</v>
      </c>
      <c r="N260" t="s">
        <v>44</v>
      </c>
      <c r="O260">
        <v>2</v>
      </c>
      <c r="P260">
        <v>3720.07</v>
      </c>
      <c r="Q260" s="11">
        <v>0.25</v>
      </c>
      <c r="R260">
        <v>5580.11</v>
      </c>
      <c r="S260">
        <v>4307.01</v>
      </c>
      <c r="T260">
        <v>1273.0999999999999</v>
      </c>
      <c r="U260" t="s">
        <v>32</v>
      </c>
      <c r="V260" t="s">
        <v>33</v>
      </c>
      <c r="X260" s="8" t="str">
        <f>IF(C260&gt;=B260,"Valid", "Invalid-Date")</f>
        <v>Valid</v>
      </c>
      <c r="Y260" s="8" t="str">
        <f t="shared" si="69"/>
        <v>Valid</v>
      </c>
      <c r="Z260" s="8" t="str">
        <f t="shared" si="70"/>
        <v>Pass</v>
      </c>
      <c r="AA260" s="8" t="str">
        <f t="shared" si="71"/>
        <v>Pass</v>
      </c>
      <c r="AB260" s="8" t="str">
        <f>TEXT(B260,"mmmm")</f>
        <v>December</v>
      </c>
      <c r="AC260" s="8" t="str">
        <f>TEXT(B260,"yyyy")</f>
        <v>2024</v>
      </c>
      <c r="AE260">
        <f t="shared" si="72"/>
        <v>7440.14</v>
      </c>
      <c r="AF260" s="11">
        <f t="shared" si="73"/>
        <v>5580.1050000000005</v>
      </c>
      <c r="AG260">
        <f t="shared" si="74"/>
        <v>3133.13</v>
      </c>
      <c r="AH260" s="11">
        <f t="shared" si="75"/>
        <v>0.42111169951103072</v>
      </c>
      <c r="AI260" s="9">
        <f t="shared" si="76"/>
        <v>0.42111169951103072</v>
      </c>
      <c r="AJ260">
        <f t="shared" si="77"/>
        <v>5580.11</v>
      </c>
      <c r="AK260">
        <f t="shared" si="78"/>
        <v>1</v>
      </c>
      <c r="AL260">
        <f t="shared" si="79"/>
        <v>0</v>
      </c>
      <c r="AM260">
        <f t="shared" si="80"/>
        <v>0</v>
      </c>
      <c r="AN260">
        <f t="shared" si="81"/>
        <v>0</v>
      </c>
      <c r="AO260">
        <f t="shared" si="82"/>
        <v>0</v>
      </c>
      <c r="AP260">
        <f t="shared" si="83"/>
        <v>0</v>
      </c>
      <c r="AQ260">
        <f t="shared" si="84"/>
        <v>0</v>
      </c>
    </row>
    <row r="261" spans="1:43">
      <c r="A261" t="s">
        <v>884</v>
      </c>
      <c r="B261" s="5">
        <v>45464</v>
      </c>
      <c r="C261" s="5">
        <v>45472</v>
      </c>
      <c r="D261" s="13">
        <f t="shared" si="68"/>
        <v>8</v>
      </c>
      <c r="E261" t="s">
        <v>885</v>
      </c>
      <c r="F261" t="s">
        <v>79</v>
      </c>
      <c r="G261" t="s">
        <v>24</v>
      </c>
      <c r="H261" t="s">
        <v>54</v>
      </c>
      <c r="I261" t="s">
        <v>247</v>
      </c>
      <c r="J261" t="s">
        <v>248</v>
      </c>
      <c r="K261" t="s">
        <v>74</v>
      </c>
      <c r="L261" t="s">
        <v>274</v>
      </c>
      <c r="M261" t="s">
        <v>886</v>
      </c>
      <c r="N261" t="s">
        <v>59</v>
      </c>
      <c r="O261">
        <v>8</v>
      </c>
      <c r="P261">
        <v>2853.92</v>
      </c>
      <c r="Q261" s="11">
        <v>0.2</v>
      </c>
      <c r="R261">
        <v>18265.09</v>
      </c>
      <c r="S261">
        <v>10437.14</v>
      </c>
      <c r="T261">
        <v>7827.95</v>
      </c>
      <c r="U261" t="s">
        <v>32</v>
      </c>
      <c r="V261" t="s">
        <v>33</v>
      </c>
      <c r="X261" s="8" t="str">
        <f>IF(C261&gt;=B261,"Valid", "Invalid-Date")</f>
        <v>Valid</v>
      </c>
      <c r="Y261" s="8" t="str">
        <f t="shared" si="69"/>
        <v>Valid</v>
      </c>
      <c r="Z261" s="8" t="str">
        <f t="shared" si="70"/>
        <v>Pass</v>
      </c>
      <c r="AA261" s="8" t="str">
        <f t="shared" si="71"/>
        <v>Pass</v>
      </c>
      <c r="AB261" s="8" t="str">
        <f>TEXT(B261,"mmmm")</f>
        <v>June</v>
      </c>
      <c r="AC261" s="8" t="str">
        <f>TEXT(B261,"yyyy")</f>
        <v>2024</v>
      </c>
      <c r="AE261">
        <f t="shared" si="72"/>
        <v>22831.360000000001</v>
      </c>
      <c r="AF261" s="11">
        <f t="shared" si="73"/>
        <v>18265.088</v>
      </c>
      <c r="AG261">
        <f t="shared" si="74"/>
        <v>12394.220000000001</v>
      </c>
      <c r="AH261" s="11">
        <f t="shared" si="75"/>
        <v>0.54285947048270455</v>
      </c>
      <c r="AI261" s="9">
        <f t="shared" si="76"/>
        <v>0.54285947048270455</v>
      </c>
      <c r="AJ261">
        <f t="shared" si="77"/>
        <v>18265.09</v>
      </c>
      <c r="AK261">
        <f t="shared" si="78"/>
        <v>1</v>
      </c>
      <c r="AL261">
        <f t="shared" si="79"/>
        <v>0</v>
      </c>
      <c r="AM261">
        <f t="shared" si="80"/>
        <v>0</v>
      </c>
      <c r="AN261">
        <f t="shared" si="81"/>
        <v>0</v>
      </c>
      <c r="AO261">
        <f t="shared" si="82"/>
        <v>0</v>
      </c>
      <c r="AP261">
        <f t="shared" si="83"/>
        <v>0</v>
      </c>
      <c r="AQ261">
        <f t="shared" si="84"/>
        <v>0</v>
      </c>
    </row>
    <row r="262" spans="1:43">
      <c r="A262" t="s">
        <v>887</v>
      </c>
      <c r="B262" s="5">
        <v>45923</v>
      </c>
      <c r="C262" s="5">
        <v>45927</v>
      </c>
      <c r="D262" s="13">
        <f t="shared" si="68"/>
        <v>4</v>
      </c>
      <c r="E262" t="s">
        <v>888</v>
      </c>
      <c r="F262" t="s">
        <v>89</v>
      </c>
      <c r="G262" t="s">
        <v>90</v>
      </c>
      <c r="H262" t="s">
        <v>38</v>
      </c>
      <c r="I262" t="s">
        <v>99</v>
      </c>
      <c r="J262" t="s">
        <v>100</v>
      </c>
      <c r="K262" t="s">
        <v>28</v>
      </c>
      <c r="L262" t="s">
        <v>153</v>
      </c>
      <c r="M262" t="s">
        <v>889</v>
      </c>
      <c r="N262" t="s">
        <v>44</v>
      </c>
      <c r="O262">
        <v>7</v>
      </c>
      <c r="P262">
        <v>2897.12</v>
      </c>
      <c r="Q262" s="11">
        <v>0.25</v>
      </c>
      <c r="R262">
        <v>15209.88</v>
      </c>
      <c r="S262">
        <v>10891.15</v>
      </c>
      <c r="T262">
        <v>4318.7299999999996</v>
      </c>
      <c r="U262" t="s">
        <v>155</v>
      </c>
      <c r="V262" t="s">
        <v>103</v>
      </c>
      <c r="X262" s="8" t="str">
        <f>IF(C262&gt;=B262,"Valid", "Invalid-Date")</f>
        <v>Valid</v>
      </c>
      <c r="Y262" s="8" t="str">
        <f t="shared" si="69"/>
        <v>Valid</v>
      </c>
      <c r="Z262" s="8" t="str">
        <f t="shared" si="70"/>
        <v>Pass</v>
      </c>
      <c r="AA262" s="8" t="str">
        <f t="shared" si="71"/>
        <v>Pass</v>
      </c>
      <c r="AB262" s="8" t="str">
        <f>TEXT(B262,"mmmm")</f>
        <v>September</v>
      </c>
      <c r="AC262" s="8" t="str">
        <f>TEXT(B262,"yyyy")</f>
        <v>2025</v>
      </c>
      <c r="AE262">
        <f t="shared" si="72"/>
        <v>20279.84</v>
      </c>
      <c r="AF262" s="11">
        <f t="shared" si="73"/>
        <v>15209.880000000001</v>
      </c>
      <c r="AG262">
        <f t="shared" si="74"/>
        <v>9388.69</v>
      </c>
      <c r="AH262" s="11">
        <f t="shared" si="75"/>
        <v>0.46295680833773839</v>
      </c>
      <c r="AI262" s="9">
        <f t="shared" si="76"/>
        <v>0.46295680833773839</v>
      </c>
      <c r="AJ262">
        <f t="shared" si="77"/>
        <v>0</v>
      </c>
      <c r="AK262">
        <f t="shared" si="78"/>
        <v>0</v>
      </c>
      <c r="AL262">
        <f t="shared" si="79"/>
        <v>0</v>
      </c>
      <c r="AM262">
        <f t="shared" si="80"/>
        <v>0</v>
      </c>
      <c r="AN262">
        <f t="shared" si="81"/>
        <v>15209.88</v>
      </c>
      <c r="AO262">
        <f t="shared" si="82"/>
        <v>1</v>
      </c>
      <c r="AP262">
        <f t="shared" si="83"/>
        <v>15209.88</v>
      </c>
      <c r="AQ262">
        <f t="shared" si="84"/>
        <v>1</v>
      </c>
    </row>
    <row r="263" spans="1:43">
      <c r="A263" t="s">
        <v>890</v>
      </c>
      <c r="B263" s="5">
        <v>45826</v>
      </c>
      <c r="C263" s="5">
        <v>45832</v>
      </c>
      <c r="D263" s="13">
        <f t="shared" si="68"/>
        <v>6</v>
      </c>
      <c r="E263" t="s">
        <v>891</v>
      </c>
      <c r="F263" t="s">
        <v>132</v>
      </c>
      <c r="G263" t="s">
        <v>90</v>
      </c>
      <c r="H263" t="s">
        <v>25</v>
      </c>
      <c r="I263" t="s">
        <v>26</v>
      </c>
      <c r="J263" t="s">
        <v>27</v>
      </c>
      <c r="K263" t="s">
        <v>28</v>
      </c>
      <c r="L263" t="s">
        <v>91</v>
      </c>
      <c r="M263" t="s">
        <v>892</v>
      </c>
      <c r="N263" t="s">
        <v>59</v>
      </c>
      <c r="O263">
        <v>3</v>
      </c>
      <c r="P263">
        <v>686.74</v>
      </c>
      <c r="Q263" s="11">
        <v>0.2</v>
      </c>
      <c r="R263">
        <v>1648.18</v>
      </c>
      <c r="S263">
        <v>987.91</v>
      </c>
      <c r="T263">
        <v>660.27</v>
      </c>
      <c r="U263" t="s">
        <v>155</v>
      </c>
      <c r="V263" t="s">
        <v>68</v>
      </c>
      <c r="X263" s="8" t="str">
        <f>IF(C263&gt;=B263,"Valid", "Invalid-Date")</f>
        <v>Valid</v>
      </c>
      <c r="Y263" s="8" t="str">
        <f t="shared" si="69"/>
        <v>Valid</v>
      </c>
      <c r="Z263" s="8" t="str">
        <f t="shared" si="70"/>
        <v>Pass</v>
      </c>
      <c r="AA263" s="8" t="str">
        <f t="shared" si="71"/>
        <v>Pass</v>
      </c>
      <c r="AB263" s="8" t="str">
        <f>TEXT(B263,"mmmm")</f>
        <v>June</v>
      </c>
      <c r="AC263" s="8" t="str">
        <f>TEXT(B263,"yyyy")</f>
        <v>2025</v>
      </c>
      <c r="AE263">
        <f t="shared" si="72"/>
        <v>2060.2200000000003</v>
      </c>
      <c r="AF263" s="11">
        <f t="shared" si="73"/>
        <v>1648.1760000000004</v>
      </c>
      <c r="AG263">
        <f t="shared" si="74"/>
        <v>1072.3100000000004</v>
      </c>
      <c r="AH263" s="11">
        <f t="shared" si="75"/>
        <v>0.52048324936171875</v>
      </c>
      <c r="AI263" s="9">
        <f t="shared" si="76"/>
        <v>0.52048324936171875</v>
      </c>
      <c r="AJ263">
        <f t="shared" si="77"/>
        <v>0</v>
      </c>
      <c r="AK263">
        <f t="shared" si="78"/>
        <v>0</v>
      </c>
      <c r="AL263">
        <f t="shared" si="79"/>
        <v>1648.18</v>
      </c>
      <c r="AM263">
        <f t="shared" si="80"/>
        <v>1</v>
      </c>
      <c r="AN263">
        <f t="shared" si="81"/>
        <v>1648.18</v>
      </c>
      <c r="AO263">
        <f t="shared" si="82"/>
        <v>1</v>
      </c>
      <c r="AP263">
        <f t="shared" si="83"/>
        <v>0</v>
      </c>
      <c r="AQ263">
        <f t="shared" si="84"/>
        <v>0</v>
      </c>
    </row>
    <row r="264" spans="1:43">
      <c r="A264" t="s">
        <v>893</v>
      </c>
      <c r="B264" s="5">
        <v>45803</v>
      </c>
      <c r="C264" s="5">
        <v>45663</v>
      </c>
      <c r="D264" s="13">
        <f t="shared" si="68"/>
        <v>-140</v>
      </c>
      <c r="E264" t="s">
        <v>628</v>
      </c>
      <c r="F264" t="s">
        <v>53</v>
      </c>
      <c r="G264" t="s">
        <v>37</v>
      </c>
      <c r="H264" t="s">
        <v>25</v>
      </c>
      <c r="I264" t="s">
        <v>350</v>
      </c>
      <c r="J264" t="s">
        <v>351</v>
      </c>
      <c r="K264" t="s">
        <v>74</v>
      </c>
      <c r="L264" t="s">
        <v>171</v>
      </c>
      <c r="M264" t="s">
        <v>894</v>
      </c>
      <c r="N264" t="s">
        <v>44</v>
      </c>
      <c r="O264">
        <v>4</v>
      </c>
      <c r="P264">
        <v>3349.86</v>
      </c>
      <c r="Q264" s="11">
        <v>0</v>
      </c>
      <c r="R264">
        <v>13399.44</v>
      </c>
      <c r="S264">
        <v>8581.35</v>
      </c>
      <c r="T264">
        <v>4818.09</v>
      </c>
      <c r="U264" t="s">
        <v>111</v>
      </c>
      <c r="V264" t="s">
        <v>103</v>
      </c>
      <c r="X264" s="8" t="str">
        <f>IF(C264&gt;=B264,"Valid", "Invalid-Date")</f>
        <v>Invalid-Date</v>
      </c>
      <c r="Y264" s="8" t="str">
        <f t="shared" si="69"/>
        <v>Valid</v>
      </c>
      <c r="Z264" s="8" t="str">
        <f t="shared" si="70"/>
        <v>Pass</v>
      </c>
      <c r="AA264" s="8" t="str">
        <f t="shared" si="71"/>
        <v>Pass</v>
      </c>
      <c r="AB264" s="8" t="str">
        <f>TEXT(B264,"mmmm")</f>
        <v>May</v>
      </c>
      <c r="AC264" s="8" t="str">
        <f>TEXT(B264,"yyyy")</f>
        <v>2025</v>
      </c>
      <c r="AE264">
        <f t="shared" si="72"/>
        <v>13399.44</v>
      </c>
      <c r="AF264" s="11">
        <f t="shared" si="73"/>
        <v>13399.44</v>
      </c>
      <c r="AG264">
        <f t="shared" si="74"/>
        <v>4818.09</v>
      </c>
      <c r="AH264" s="11">
        <f t="shared" si="75"/>
        <v>0.3595739821962709</v>
      </c>
      <c r="AI264" s="9">
        <f t="shared" si="76"/>
        <v>0.3595739821962709</v>
      </c>
      <c r="AJ264">
        <f t="shared" si="77"/>
        <v>0</v>
      </c>
      <c r="AK264">
        <f t="shared" si="78"/>
        <v>0</v>
      </c>
      <c r="AL264">
        <f t="shared" si="79"/>
        <v>0</v>
      </c>
      <c r="AM264">
        <f t="shared" si="80"/>
        <v>0</v>
      </c>
      <c r="AN264">
        <f t="shared" si="81"/>
        <v>0</v>
      </c>
      <c r="AO264">
        <f t="shared" si="82"/>
        <v>0</v>
      </c>
      <c r="AP264">
        <f t="shared" si="83"/>
        <v>13399.44</v>
      </c>
      <c r="AQ264">
        <f t="shared" si="84"/>
        <v>1</v>
      </c>
    </row>
    <row r="265" spans="1:43">
      <c r="A265" t="s">
        <v>895</v>
      </c>
      <c r="B265" s="5">
        <v>45875</v>
      </c>
      <c r="C265" s="5">
        <v>45879</v>
      </c>
      <c r="D265" s="13">
        <f t="shared" si="68"/>
        <v>4</v>
      </c>
      <c r="E265" t="s">
        <v>896</v>
      </c>
      <c r="F265" t="s">
        <v>141</v>
      </c>
      <c r="G265" t="s">
        <v>37</v>
      </c>
      <c r="H265" t="s">
        <v>25</v>
      </c>
      <c r="I265" t="s">
        <v>350</v>
      </c>
      <c r="J265" t="s">
        <v>351</v>
      </c>
      <c r="K265" t="s">
        <v>28</v>
      </c>
      <c r="L265" t="s">
        <v>153</v>
      </c>
      <c r="M265" t="s">
        <v>897</v>
      </c>
      <c r="N265" t="s">
        <v>31</v>
      </c>
      <c r="O265">
        <v>9</v>
      </c>
      <c r="P265">
        <v>4042.45</v>
      </c>
      <c r="Q265" s="11">
        <v>0.1</v>
      </c>
      <c r="R265">
        <v>32743.84</v>
      </c>
      <c r="S265">
        <v>22452.05</v>
      </c>
      <c r="T265">
        <v>10291.790000000001</v>
      </c>
      <c r="U265" t="s">
        <v>111</v>
      </c>
      <c r="V265" t="s">
        <v>103</v>
      </c>
      <c r="X265" s="8" t="str">
        <f>IF(C265&gt;=B265,"Valid", "Invalid-Date")</f>
        <v>Valid</v>
      </c>
      <c r="Y265" s="8" t="str">
        <f t="shared" si="69"/>
        <v>Valid</v>
      </c>
      <c r="Z265" s="8" t="str">
        <f t="shared" si="70"/>
        <v>Pass</v>
      </c>
      <c r="AA265" s="8" t="str">
        <f t="shared" si="71"/>
        <v>Pass</v>
      </c>
      <c r="AB265" s="8" t="str">
        <f>TEXT(B265,"mmmm")</f>
        <v>August</v>
      </c>
      <c r="AC265" s="8" t="str">
        <f>TEXT(B265,"yyyy")</f>
        <v>2025</v>
      </c>
      <c r="AE265">
        <f t="shared" si="72"/>
        <v>36382.049999999996</v>
      </c>
      <c r="AF265" s="11">
        <f t="shared" si="73"/>
        <v>32743.844999999998</v>
      </c>
      <c r="AG265">
        <f t="shared" si="74"/>
        <v>13929.999999999996</v>
      </c>
      <c r="AH265" s="11">
        <f t="shared" si="75"/>
        <v>0.38288111857358226</v>
      </c>
      <c r="AI265" s="9">
        <f t="shared" si="76"/>
        <v>0.38288111857358226</v>
      </c>
      <c r="AJ265">
        <f t="shared" si="77"/>
        <v>0</v>
      </c>
      <c r="AK265">
        <f t="shared" si="78"/>
        <v>0</v>
      </c>
      <c r="AL265">
        <f t="shared" si="79"/>
        <v>0</v>
      </c>
      <c r="AM265">
        <f t="shared" si="80"/>
        <v>0</v>
      </c>
      <c r="AN265">
        <f t="shared" si="81"/>
        <v>0</v>
      </c>
      <c r="AO265">
        <f t="shared" si="82"/>
        <v>0</v>
      </c>
      <c r="AP265">
        <f t="shared" si="83"/>
        <v>32743.84</v>
      </c>
      <c r="AQ265">
        <f t="shared" si="84"/>
        <v>1</v>
      </c>
    </row>
    <row r="266" spans="1:43">
      <c r="A266" t="s">
        <v>898</v>
      </c>
      <c r="B266" s="5">
        <v>45428</v>
      </c>
      <c r="C266" s="5">
        <v>45433</v>
      </c>
      <c r="D266" s="13">
        <f t="shared" si="68"/>
        <v>5</v>
      </c>
      <c r="E266" t="s">
        <v>899</v>
      </c>
      <c r="F266" t="s">
        <v>162</v>
      </c>
      <c r="G266" t="s">
        <v>37</v>
      </c>
      <c r="H266" t="s">
        <v>38</v>
      </c>
      <c r="I266" t="s">
        <v>145</v>
      </c>
      <c r="J266" t="s">
        <v>146</v>
      </c>
      <c r="K266" t="s">
        <v>74</v>
      </c>
      <c r="L266" t="s">
        <v>80</v>
      </c>
      <c r="M266" t="s">
        <v>900</v>
      </c>
      <c r="N266" t="s">
        <v>59</v>
      </c>
      <c r="O266">
        <v>4</v>
      </c>
      <c r="P266">
        <v>1503.07</v>
      </c>
      <c r="Q266" s="11">
        <v>0</v>
      </c>
      <c r="R266">
        <v>6012.28</v>
      </c>
      <c r="S266">
        <v>3927.64</v>
      </c>
      <c r="T266">
        <v>2084.64</v>
      </c>
      <c r="U266" t="s">
        <v>32</v>
      </c>
      <c r="V266" t="s">
        <v>33</v>
      </c>
      <c r="X266" s="8" t="str">
        <f>IF(C266&gt;=B266,"Valid", "Invalid-Date")</f>
        <v>Valid</v>
      </c>
      <c r="Y266" s="8" t="str">
        <f t="shared" si="69"/>
        <v>Valid</v>
      </c>
      <c r="Z266" s="8" t="str">
        <f t="shared" si="70"/>
        <v>Pass</v>
      </c>
      <c r="AA266" s="8" t="str">
        <f t="shared" si="71"/>
        <v>Pass</v>
      </c>
      <c r="AB266" s="8" t="str">
        <f>TEXT(B266,"mmmm")</f>
        <v>May</v>
      </c>
      <c r="AC266" s="8" t="str">
        <f>TEXT(B266,"yyyy")</f>
        <v>2024</v>
      </c>
      <c r="AE266">
        <f t="shared" si="72"/>
        <v>6012.28</v>
      </c>
      <c r="AF266" s="11">
        <f t="shared" si="73"/>
        <v>6012.28</v>
      </c>
      <c r="AG266">
        <f t="shared" si="74"/>
        <v>2084.64</v>
      </c>
      <c r="AH266" s="11">
        <f t="shared" si="75"/>
        <v>0.34673035853286938</v>
      </c>
      <c r="AI266" s="9">
        <f t="shared" si="76"/>
        <v>0.34673035853286938</v>
      </c>
      <c r="AJ266">
        <f t="shared" si="77"/>
        <v>6012.28</v>
      </c>
      <c r="AK266">
        <f t="shared" si="78"/>
        <v>1</v>
      </c>
      <c r="AL266">
        <f t="shared" si="79"/>
        <v>0</v>
      </c>
      <c r="AM266">
        <f t="shared" si="80"/>
        <v>0</v>
      </c>
      <c r="AN266">
        <f t="shared" si="81"/>
        <v>0</v>
      </c>
      <c r="AO266">
        <f t="shared" si="82"/>
        <v>0</v>
      </c>
      <c r="AP266">
        <f t="shared" si="83"/>
        <v>0</v>
      </c>
      <c r="AQ266">
        <f t="shared" si="84"/>
        <v>0</v>
      </c>
    </row>
    <row r="267" spans="1:43">
      <c r="A267" t="s">
        <v>901</v>
      </c>
      <c r="B267" s="5">
        <v>45610</v>
      </c>
      <c r="C267" s="5">
        <v>45618</v>
      </c>
      <c r="D267" s="13">
        <f t="shared" si="68"/>
        <v>8</v>
      </c>
      <c r="E267" t="s">
        <v>902</v>
      </c>
      <c r="F267" t="s">
        <v>114</v>
      </c>
      <c r="G267" t="s">
        <v>90</v>
      </c>
      <c r="H267" t="s">
        <v>38</v>
      </c>
      <c r="I267" t="s">
        <v>145</v>
      </c>
      <c r="J267" t="s">
        <v>146</v>
      </c>
      <c r="K267" t="s">
        <v>41</v>
      </c>
      <c r="L267" t="s">
        <v>158</v>
      </c>
      <c r="M267" t="s">
        <v>903</v>
      </c>
      <c r="N267" t="s">
        <v>44</v>
      </c>
      <c r="O267">
        <v>1</v>
      </c>
      <c r="P267">
        <v>582.37</v>
      </c>
      <c r="Q267" s="11">
        <v>0.15</v>
      </c>
      <c r="R267">
        <v>495.01</v>
      </c>
      <c r="S267">
        <v>285.13</v>
      </c>
      <c r="T267">
        <v>209.88</v>
      </c>
      <c r="U267" t="s">
        <v>102</v>
      </c>
      <c r="V267" t="s">
        <v>68</v>
      </c>
      <c r="X267" s="8" t="str">
        <f>IF(C267&gt;=B267,"Valid", "Invalid-Date")</f>
        <v>Valid</v>
      </c>
      <c r="Y267" s="8" t="str">
        <f t="shared" si="69"/>
        <v>Valid</v>
      </c>
      <c r="Z267" s="8" t="str">
        <f t="shared" si="70"/>
        <v>Pass</v>
      </c>
      <c r="AA267" s="8" t="str">
        <f t="shared" si="71"/>
        <v>Pass</v>
      </c>
      <c r="AB267" s="8" t="str">
        <f>TEXT(B267,"mmmm")</f>
        <v>November</v>
      </c>
      <c r="AC267" s="8" t="str">
        <f>TEXT(B267,"yyyy")</f>
        <v>2024</v>
      </c>
      <c r="AE267">
        <f t="shared" si="72"/>
        <v>582.37</v>
      </c>
      <c r="AF267" s="11">
        <f t="shared" si="73"/>
        <v>495.0145</v>
      </c>
      <c r="AG267">
        <f t="shared" si="74"/>
        <v>297.24</v>
      </c>
      <c r="AH267" s="11">
        <f t="shared" si="75"/>
        <v>0.51039717018390374</v>
      </c>
      <c r="AI267" s="9">
        <f t="shared" si="76"/>
        <v>0.51039717018390374</v>
      </c>
      <c r="AJ267">
        <f t="shared" si="77"/>
        <v>0</v>
      </c>
      <c r="AK267">
        <f t="shared" si="78"/>
        <v>0</v>
      </c>
      <c r="AL267">
        <f t="shared" si="79"/>
        <v>495.01</v>
      </c>
      <c r="AM267">
        <f t="shared" si="80"/>
        <v>1</v>
      </c>
      <c r="AN267">
        <f t="shared" si="81"/>
        <v>0</v>
      </c>
      <c r="AO267">
        <f t="shared" si="82"/>
        <v>0</v>
      </c>
      <c r="AP267">
        <f t="shared" si="83"/>
        <v>0</v>
      </c>
      <c r="AQ267">
        <f t="shared" si="84"/>
        <v>0</v>
      </c>
    </row>
    <row r="268" spans="1:43">
      <c r="A268" t="s">
        <v>904</v>
      </c>
      <c r="B268" s="5">
        <v>45780</v>
      </c>
      <c r="C268" s="5">
        <v>45935</v>
      </c>
      <c r="D268" s="13">
        <f t="shared" si="68"/>
        <v>155</v>
      </c>
      <c r="E268" t="s">
        <v>905</v>
      </c>
      <c r="F268" t="s">
        <v>79</v>
      </c>
      <c r="G268" t="s">
        <v>95</v>
      </c>
      <c r="H268" t="s">
        <v>63</v>
      </c>
      <c r="I268" t="s">
        <v>64</v>
      </c>
      <c r="J268" t="s">
        <v>65</v>
      </c>
      <c r="K268" t="s">
        <v>28</v>
      </c>
      <c r="L268" t="s">
        <v>124</v>
      </c>
      <c r="M268" t="s">
        <v>906</v>
      </c>
      <c r="N268" t="s">
        <v>31</v>
      </c>
      <c r="O268">
        <v>3</v>
      </c>
      <c r="P268">
        <v>4339.24</v>
      </c>
      <c r="Q268" s="11">
        <v>0</v>
      </c>
      <c r="R268">
        <v>13017.72</v>
      </c>
      <c r="S268">
        <v>10170.57</v>
      </c>
      <c r="T268">
        <v>2847.15</v>
      </c>
      <c r="U268" t="s">
        <v>32</v>
      </c>
      <c r="V268" t="s">
        <v>33</v>
      </c>
      <c r="X268" s="8" t="str">
        <f>IF(C268&gt;=B268,"Valid", "Invalid-Date")</f>
        <v>Valid</v>
      </c>
      <c r="Y268" s="8" t="str">
        <f t="shared" si="69"/>
        <v>Valid</v>
      </c>
      <c r="Z268" s="8" t="str">
        <f t="shared" si="70"/>
        <v>Pass</v>
      </c>
      <c r="AA268" s="8" t="str">
        <f t="shared" si="71"/>
        <v>Pass</v>
      </c>
      <c r="AB268" s="8" t="str">
        <f>TEXT(B268,"mmmm")</f>
        <v>May</v>
      </c>
      <c r="AC268" s="8" t="str">
        <f>TEXT(B268,"yyyy")</f>
        <v>2025</v>
      </c>
      <c r="AE268">
        <f t="shared" si="72"/>
        <v>13017.72</v>
      </c>
      <c r="AF268" s="11">
        <f t="shared" si="73"/>
        <v>13017.72</v>
      </c>
      <c r="AG268">
        <f t="shared" si="74"/>
        <v>2847.1499999999996</v>
      </c>
      <c r="AH268" s="11">
        <f t="shared" si="75"/>
        <v>0.21871341525244051</v>
      </c>
      <c r="AI268" s="9">
        <f t="shared" si="76"/>
        <v>0.21871341525244051</v>
      </c>
      <c r="AJ268">
        <f t="shared" si="77"/>
        <v>13017.72</v>
      </c>
      <c r="AK268">
        <f t="shared" si="78"/>
        <v>1</v>
      </c>
      <c r="AL268">
        <f t="shared" si="79"/>
        <v>0</v>
      </c>
      <c r="AM268">
        <f t="shared" si="80"/>
        <v>0</v>
      </c>
      <c r="AN268">
        <f t="shared" si="81"/>
        <v>0</v>
      </c>
      <c r="AO268">
        <f t="shared" si="82"/>
        <v>0</v>
      </c>
      <c r="AP268">
        <f t="shared" si="83"/>
        <v>0</v>
      </c>
      <c r="AQ268">
        <f t="shared" si="84"/>
        <v>0</v>
      </c>
    </row>
    <row r="269" spans="1:43">
      <c r="A269" t="s">
        <v>907</v>
      </c>
      <c r="B269" s="5">
        <v>45805</v>
      </c>
      <c r="C269" s="5">
        <v>45812</v>
      </c>
      <c r="D269" s="13">
        <f t="shared" si="68"/>
        <v>7</v>
      </c>
      <c r="E269" t="s">
        <v>908</v>
      </c>
      <c r="F269" t="s">
        <v>162</v>
      </c>
      <c r="G269" t="s">
        <v>90</v>
      </c>
      <c r="H269" t="s">
        <v>38</v>
      </c>
      <c r="I269" t="s">
        <v>228</v>
      </c>
      <c r="J269" t="s">
        <v>229</v>
      </c>
      <c r="K269" t="s">
        <v>41</v>
      </c>
      <c r="L269" t="s">
        <v>57</v>
      </c>
      <c r="M269" t="s">
        <v>909</v>
      </c>
      <c r="N269" t="s">
        <v>50</v>
      </c>
      <c r="O269">
        <v>4</v>
      </c>
      <c r="P269">
        <v>261.8</v>
      </c>
      <c r="Q269" s="11">
        <v>0.25</v>
      </c>
      <c r="R269">
        <v>785.4</v>
      </c>
      <c r="S269">
        <v>557.22</v>
      </c>
      <c r="T269">
        <v>228.18</v>
      </c>
      <c r="U269" t="s">
        <v>32</v>
      </c>
      <c r="V269" t="s">
        <v>33</v>
      </c>
      <c r="X269" s="8" t="str">
        <f>IF(C269&gt;=B269,"Valid", "Invalid-Date")</f>
        <v>Valid</v>
      </c>
      <c r="Y269" s="8" t="str">
        <f t="shared" si="69"/>
        <v>Valid</v>
      </c>
      <c r="Z269" s="8" t="str">
        <f t="shared" si="70"/>
        <v>Pass</v>
      </c>
      <c r="AA269" s="8" t="str">
        <f t="shared" si="71"/>
        <v>Pass</v>
      </c>
      <c r="AB269" s="8" t="str">
        <f>TEXT(B269,"mmmm")</f>
        <v>May</v>
      </c>
      <c r="AC269" s="8" t="str">
        <f>TEXT(B269,"yyyy")</f>
        <v>2025</v>
      </c>
      <c r="AE269">
        <f t="shared" si="72"/>
        <v>1047.2</v>
      </c>
      <c r="AF269" s="11">
        <f t="shared" si="73"/>
        <v>785.40000000000009</v>
      </c>
      <c r="AG269">
        <f t="shared" si="74"/>
        <v>489.98</v>
      </c>
      <c r="AH269" s="11">
        <f t="shared" si="75"/>
        <v>0.46789533995416349</v>
      </c>
      <c r="AI269" s="9">
        <f t="shared" si="76"/>
        <v>0.46789533995416349</v>
      </c>
      <c r="AJ269">
        <f t="shared" si="77"/>
        <v>785.4</v>
      </c>
      <c r="AK269">
        <f t="shared" si="78"/>
        <v>1</v>
      </c>
      <c r="AL269">
        <f t="shared" si="79"/>
        <v>0</v>
      </c>
      <c r="AM269">
        <f t="shared" si="80"/>
        <v>0</v>
      </c>
      <c r="AN269">
        <f t="shared" si="81"/>
        <v>0</v>
      </c>
      <c r="AO269">
        <f t="shared" si="82"/>
        <v>0</v>
      </c>
      <c r="AP269">
        <f t="shared" si="83"/>
        <v>0</v>
      </c>
      <c r="AQ269">
        <f t="shared" si="84"/>
        <v>0</v>
      </c>
    </row>
    <row r="270" spans="1:43">
      <c r="A270" t="s">
        <v>910</v>
      </c>
      <c r="B270" s="5">
        <v>45886</v>
      </c>
      <c r="C270" s="5">
        <v>45886</v>
      </c>
      <c r="D270" s="13">
        <f t="shared" si="68"/>
        <v>0</v>
      </c>
      <c r="E270" t="s">
        <v>911</v>
      </c>
      <c r="F270" t="s">
        <v>128</v>
      </c>
      <c r="G270" t="s">
        <v>95</v>
      </c>
      <c r="H270" t="s">
        <v>25</v>
      </c>
      <c r="I270" t="s">
        <v>122</v>
      </c>
      <c r="J270" t="s">
        <v>123</v>
      </c>
      <c r="K270" t="s">
        <v>74</v>
      </c>
      <c r="L270" t="s">
        <v>75</v>
      </c>
      <c r="M270" t="s">
        <v>912</v>
      </c>
      <c r="N270" t="s">
        <v>50</v>
      </c>
      <c r="O270">
        <v>7</v>
      </c>
      <c r="P270">
        <v>632.20000000000005</v>
      </c>
      <c r="Q270" s="11">
        <v>0.25</v>
      </c>
      <c r="R270">
        <v>3319.05</v>
      </c>
      <c r="S270">
        <v>2124.6</v>
      </c>
      <c r="T270">
        <v>1194.45</v>
      </c>
      <c r="U270" t="s">
        <v>32</v>
      </c>
      <c r="V270" t="s">
        <v>33</v>
      </c>
      <c r="X270" s="8" t="str">
        <f>IF(C270&gt;=B270,"Valid", "Invalid-Date")</f>
        <v>Valid</v>
      </c>
      <c r="Y270" s="8" t="str">
        <f t="shared" si="69"/>
        <v>Valid</v>
      </c>
      <c r="Z270" s="8" t="str">
        <f t="shared" si="70"/>
        <v>Pass</v>
      </c>
      <c r="AA270" s="8" t="str">
        <f t="shared" si="71"/>
        <v>Pass</v>
      </c>
      <c r="AB270" s="8" t="str">
        <f>TEXT(B270,"mmmm")</f>
        <v>August</v>
      </c>
      <c r="AC270" s="8" t="str">
        <f>TEXT(B270,"yyyy")</f>
        <v>2025</v>
      </c>
      <c r="AE270">
        <f t="shared" si="72"/>
        <v>4425.4000000000005</v>
      </c>
      <c r="AF270" s="11">
        <f t="shared" si="73"/>
        <v>3319.05</v>
      </c>
      <c r="AG270">
        <f t="shared" si="74"/>
        <v>2300.8000000000006</v>
      </c>
      <c r="AH270" s="11">
        <f t="shared" si="75"/>
        <v>0.51990780494418587</v>
      </c>
      <c r="AI270" s="9">
        <f t="shared" si="76"/>
        <v>0.51990780494418587</v>
      </c>
      <c r="AJ270">
        <f t="shared" si="77"/>
        <v>3319.05</v>
      </c>
      <c r="AK270">
        <f t="shared" si="78"/>
        <v>1</v>
      </c>
      <c r="AL270">
        <f t="shared" si="79"/>
        <v>0</v>
      </c>
      <c r="AM270">
        <f t="shared" si="80"/>
        <v>0</v>
      </c>
      <c r="AN270">
        <f t="shared" si="81"/>
        <v>0</v>
      </c>
      <c r="AO270">
        <f t="shared" si="82"/>
        <v>0</v>
      </c>
      <c r="AP270">
        <f t="shared" si="83"/>
        <v>0</v>
      </c>
      <c r="AQ270">
        <f t="shared" si="84"/>
        <v>0</v>
      </c>
    </row>
    <row r="271" spans="1:43">
      <c r="A271" t="s">
        <v>913</v>
      </c>
      <c r="B271" s="5">
        <v>45932</v>
      </c>
      <c r="C271" s="5">
        <v>45993</v>
      </c>
      <c r="D271" s="13">
        <f t="shared" si="68"/>
        <v>61</v>
      </c>
      <c r="E271" t="s">
        <v>914</v>
      </c>
      <c r="F271" t="s">
        <v>118</v>
      </c>
      <c r="G271" t="s">
        <v>37</v>
      </c>
      <c r="H271" t="s">
        <v>63</v>
      </c>
      <c r="I271" t="s">
        <v>26</v>
      </c>
      <c r="J271" t="s">
        <v>109</v>
      </c>
      <c r="K271" t="s">
        <v>41</v>
      </c>
      <c r="L271" t="s">
        <v>42</v>
      </c>
      <c r="M271" t="s">
        <v>915</v>
      </c>
      <c r="N271" t="s">
        <v>44</v>
      </c>
      <c r="O271">
        <v>1</v>
      </c>
      <c r="P271">
        <v>1925.86</v>
      </c>
      <c r="Q271" s="11">
        <v>0</v>
      </c>
      <c r="R271">
        <v>1925.86</v>
      </c>
      <c r="S271">
        <v>1321.89</v>
      </c>
      <c r="T271">
        <v>603.97</v>
      </c>
      <c r="U271" t="s">
        <v>32</v>
      </c>
      <c r="V271" t="s">
        <v>33</v>
      </c>
      <c r="X271" s="8" t="str">
        <f>IF(C271&gt;=B271,"Valid", "Invalid-Date")</f>
        <v>Valid</v>
      </c>
      <c r="Y271" s="8" t="str">
        <f t="shared" si="69"/>
        <v>Valid</v>
      </c>
      <c r="Z271" s="8" t="str">
        <f t="shared" si="70"/>
        <v>Pass</v>
      </c>
      <c r="AA271" s="8" t="str">
        <f t="shared" si="71"/>
        <v>Pass</v>
      </c>
      <c r="AB271" s="8" t="str">
        <f>TEXT(B271,"mmmm")</f>
        <v>October</v>
      </c>
      <c r="AC271" s="8" t="str">
        <f>TEXT(B271,"yyyy")</f>
        <v>2025</v>
      </c>
      <c r="AE271">
        <f t="shared" si="72"/>
        <v>1925.86</v>
      </c>
      <c r="AF271" s="11">
        <f t="shared" si="73"/>
        <v>1925.86</v>
      </c>
      <c r="AG271">
        <f t="shared" si="74"/>
        <v>603.9699999999998</v>
      </c>
      <c r="AH271" s="11">
        <f t="shared" si="75"/>
        <v>0.31361054282242729</v>
      </c>
      <c r="AI271" s="9">
        <f t="shared" si="76"/>
        <v>0.31361054282242729</v>
      </c>
      <c r="AJ271">
        <f t="shared" si="77"/>
        <v>1925.86</v>
      </c>
      <c r="AK271">
        <f t="shared" si="78"/>
        <v>1</v>
      </c>
      <c r="AL271">
        <f t="shared" si="79"/>
        <v>0</v>
      </c>
      <c r="AM271">
        <f t="shared" si="80"/>
        <v>0</v>
      </c>
      <c r="AN271">
        <f t="shared" si="81"/>
        <v>0</v>
      </c>
      <c r="AO271">
        <f t="shared" si="82"/>
        <v>0</v>
      </c>
      <c r="AP271">
        <f t="shared" si="83"/>
        <v>0</v>
      </c>
      <c r="AQ271">
        <f t="shared" si="84"/>
        <v>0</v>
      </c>
    </row>
    <row r="272" spans="1:43">
      <c r="A272" t="s">
        <v>916</v>
      </c>
      <c r="B272" s="5">
        <v>45627</v>
      </c>
      <c r="C272" s="5">
        <v>45304</v>
      </c>
      <c r="D272" s="13">
        <f t="shared" si="68"/>
        <v>-323</v>
      </c>
      <c r="E272" t="s">
        <v>917</v>
      </c>
      <c r="F272" t="s">
        <v>89</v>
      </c>
      <c r="G272" t="s">
        <v>90</v>
      </c>
      <c r="H272" t="s">
        <v>25</v>
      </c>
      <c r="I272" t="s">
        <v>136</v>
      </c>
      <c r="J272" t="s">
        <v>137</v>
      </c>
      <c r="K272" t="s">
        <v>74</v>
      </c>
      <c r="L272" t="s">
        <v>274</v>
      </c>
      <c r="M272" t="s">
        <v>918</v>
      </c>
      <c r="N272" t="s">
        <v>44</v>
      </c>
      <c r="O272">
        <v>3</v>
      </c>
      <c r="P272">
        <v>827.44</v>
      </c>
      <c r="Q272" s="11">
        <v>0</v>
      </c>
      <c r="R272">
        <v>2482.3200000000002</v>
      </c>
      <c r="S272">
        <v>1520.21</v>
      </c>
      <c r="T272">
        <v>962.11</v>
      </c>
      <c r="U272" t="s">
        <v>32</v>
      </c>
      <c r="V272" t="s">
        <v>33</v>
      </c>
      <c r="X272" s="8" t="str">
        <f>IF(C272&gt;=B272,"Valid", "Invalid-Date")</f>
        <v>Invalid-Date</v>
      </c>
      <c r="Y272" s="8" t="str">
        <f t="shared" si="69"/>
        <v>Valid</v>
      </c>
      <c r="Z272" s="8" t="str">
        <f t="shared" si="70"/>
        <v>Pass</v>
      </c>
      <c r="AA272" s="8" t="str">
        <f t="shared" si="71"/>
        <v>Pass</v>
      </c>
      <c r="AB272" s="8" t="str">
        <f>TEXT(B272,"mmmm")</f>
        <v>December</v>
      </c>
      <c r="AC272" s="8" t="str">
        <f>TEXT(B272,"yyyy")</f>
        <v>2024</v>
      </c>
      <c r="AE272">
        <f t="shared" si="72"/>
        <v>2482.3200000000002</v>
      </c>
      <c r="AF272" s="11">
        <f t="shared" si="73"/>
        <v>2482.3200000000002</v>
      </c>
      <c r="AG272">
        <f t="shared" si="74"/>
        <v>962.11000000000013</v>
      </c>
      <c r="AH272" s="11">
        <f t="shared" si="75"/>
        <v>0.38758500112797706</v>
      </c>
      <c r="AI272" s="9">
        <f t="shared" si="76"/>
        <v>0.38758500112797706</v>
      </c>
      <c r="AJ272">
        <f t="shared" si="77"/>
        <v>2482.3200000000002</v>
      </c>
      <c r="AK272">
        <f t="shared" si="78"/>
        <v>1</v>
      </c>
      <c r="AL272">
        <f t="shared" si="79"/>
        <v>0</v>
      </c>
      <c r="AM272">
        <f t="shared" si="80"/>
        <v>0</v>
      </c>
      <c r="AN272">
        <f t="shared" si="81"/>
        <v>0</v>
      </c>
      <c r="AO272">
        <f t="shared" si="82"/>
        <v>0</v>
      </c>
      <c r="AP272">
        <f t="shared" si="83"/>
        <v>0</v>
      </c>
      <c r="AQ272">
        <f t="shared" si="84"/>
        <v>0</v>
      </c>
    </row>
    <row r="273" spans="1:43">
      <c r="A273" t="s">
        <v>919</v>
      </c>
      <c r="B273" s="5">
        <v>45647</v>
      </c>
      <c r="C273" s="5">
        <v>45651</v>
      </c>
      <c r="D273" s="13">
        <f t="shared" si="68"/>
        <v>4</v>
      </c>
      <c r="E273" t="s">
        <v>920</v>
      </c>
      <c r="F273" t="s">
        <v>89</v>
      </c>
      <c r="G273" t="s">
        <v>24</v>
      </c>
      <c r="H273" t="s">
        <v>54</v>
      </c>
      <c r="I273" t="s">
        <v>55</v>
      </c>
      <c r="J273" t="s">
        <v>56</v>
      </c>
      <c r="K273" t="s">
        <v>28</v>
      </c>
      <c r="L273" t="s">
        <v>153</v>
      </c>
      <c r="M273" t="s">
        <v>921</v>
      </c>
      <c r="N273" t="s">
        <v>59</v>
      </c>
      <c r="O273">
        <v>7</v>
      </c>
      <c r="P273">
        <v>1667.75</v>
      </c>
      <c r="Q273" s="11">
        <v>0</v>
      </c>
      <c r="R273">
        <v>11674.25</v>
      </c>
      <c r="S273">
        <v>9621.19</v>
      </c>
      <c r="T273">
        <v>2053.06</v>
      </c>
      <c r="U273" t="s">
        <v>155</v>
      </c>
      <c r="V273" t="s">
        <v>68</v>
      </c>
      <c r="X273" s="8" t="str">
        <f>IF(C273&gt;=B273,"Valid", "Invalid-Date")</f>
        <v>Valid</v>
      </c>
      <c r="Y273" s="8" t="str">
        <f t="shared" si="69"/>
        <v>Valid</v>
      </c>
      <c r="Z273" s="8" t="str">
        <f t="shared" si="70"/>
        <v>Pass</v>
      </c>
      <c r="AA273" s="8" t="str">
        <f t="shared" si="71"/>
        <v>Pass</v>
      </c>
      <c r="AB273" s="8" t="str">
        <f>TEXT(B273,"mmmm")</f>
        <v>December</v>
      </c>
      <c r="AC273" s="8" t="str">
        <f>TEXT(B273,"yyyy")</f>
        <v>2024</v>
      </c>
      <c r="AE273">
        <f t="shared" si="72"/>
        <v>11674.25</v>
      </c>
      <c r="AF273" s="11">
        <f t="shared" si="73"/>
        <v>11674.25</v>
      </c>
      <c r="AG273">
        <f t="shared" si="74"/>
        <v>2053.0599999999995</v>
      </c>
      <c r="AH273" s="11">
        <f t="shared" si="75"/>
        <v>0.17586226095894808</v>
      </c>
      <c r="AI273" s="9">
        <f t="shared" si="76"/>
        <v>0.17586226095894808</v>
      </c>
      <c r="AJ273">
        <f t="shared" si="77"/>
        <v>0</v>
      </c>
      <c r="AK273">
        <f t="shared" si="78"/>
        <v>0</v>
      </c>
      <c r="AL273">
        <f t="shared" si="79"/>
        <v>11674.25</v>
      </c>
      <c r="AM273">
        <f t="shared" si="80"/>
        <v>1</v>
      </c>
      <c r="AN273">
        <f t="shared" si="81"/>
        <v>11674.25</v>
      </c>
      <c r="AO273">
        <f t="shared" si="82"/>
        <v>1</v>
      </c>
      <c r="AP273">
        <f t="shared" si="83"/>
        <v>0</v>
      </c>
      <c r="AQ273">
        <f t="shared" si="84"/>
        <v>0</v>
      </c>
    </row>
    <row r="274" spans="1:43" s="15" customFormat="1">
      <c r="A274" s="15" t="s">
        <v>922</v>
      </c>
      <c r="B274" s="16">
        <v>45522</v>
      </c>
      <c r="C274" s="16">
        <v>45528</v>
      </c>
      <c r="D274" s="17">
        <f t="shared" si="68"/>
        <v>6</v>
      </c>
      <c r="E274" s="15" t="s">
        <v>923</v>
      </c>
      <c r="F274" s="15" t="s">
        <v>53</v>
      </c>
      <c r="G274" s="15" t="s">
        <v>24</v>
      </c>
      <c r="H274" s="15" t="s">
        <v>54</v>
      </c>
      <c r="I274" s="15" t="s">
        <v>84</v>
      </c>
      <c r="J274" s="15" t="s">
        <v>85</v>
      </c>
      <c r="K274" s="15" t="s">
        <v>41</v>
      </c>
      <c r="L274" s="15" t="s">
        <v>66</v>
      </c>
      <c r="M274" s="15" t="s">
        <v>924</v>
      </c>
      <c r="N274" s="15" t="s">
        <v>50</v>
      </c>
      <c r="O274" s="15">
        <v>7</v>
      </c>
      <c r="P274" s="15">
        <v>557.21</v>
      </c>
      <c r="Q274" s="18">
        <v>0.1</v>
      </c>
      <c r="R274" s="15">
        <v>3510.42</v>
      </c>
      <c r="S274" s="15">
        <v>2191.5</v>
      </c>
      <c r="T274" s="15">
        <v>1213.48</v>
      </c>
      <c r="U274" s="15" t="s">
        <v>32</v>
      </c>
      <c r="V274" s="15" t="s">
        <v>33</v>
      </c>
      <c r="W274" s="25"/>
      <c r="X274" s="8" t="str">
        <f>IF(C274&gt;=B274,"Valid", "Invalid-Date")</f>
        <v>Valid</v>
      </c>
      <c r="Y274" s="8" t="str">
        <f t="shared" si="69"/>
        <v>Valid</v>
      </c>
      <c r="Z274" s="19" t="str">
        <f t="shared" si="70"/>
        <v>Pass</v>
      </c>
      <c r="AA274" s="19" t="str">
        <f t="shared" si="71"/>
        <v>Pass</v>
      </c>
      <c r="AB274" s="19" t="str">
        <f>TEXT(B274,"mmmm")</f>
        <v>August</v>
      </c>
      <c r="AC274" s="19" t="str">
        <f>TEXT(B274,"yyyy")</f>
        <v>2024</v>
      </c>
      <c r="AD274" s="20"/>
      <c r="AE274" s="15">
        <f t="shared" si="72"/>
        <v>3900.4700000000003</v>
      </c>
      <c r="AF274" s="11">
        <f t="shared" si="73"/>
        <v>3510.4230000000002</v>
      </c>
      <c r="AG274" s="15">
        <f t="shared" si="74"/>
        <v>1708.9700000000003</v>
      </c>
      <c r="AH274" s="18">
        <f t="shared" si="75"/>
        <v>0.4381446338518179</v>
      </c>
      <c r="AI274" s="21">
        <f t="shared" si="76"/>
        <v>0.4381446338518179</v>
      </c>
      <c r="AJ274">
        <f t="shared" si="77"/>
        <v>3510.42</v>
      </c>
      <c r="AK274">
        <f t="shared" si="78"/>
        <v>1</v>
      </c>
      <c r="AL274">
        <f t="shared" si="79"/>
        <v>0</v>
      </c>
      <c r="AM274">
        <f t="shared" si="80"/>
        <v>0</v>
      </c>
      <c r="AN274">
        <f t="shared" si="81"/>
        <v>0</v>
      </c>
      <c r="AO274">
        <f t="shared" si="82"/>
        <v>0</v>
      </c>
      <c r="AP274">
        <f t="shared" si="83"/>
        <v>0</v>
      </c>
      <c r="AQ274">
        <f t="shared" si="84"/>
        <v>0</v>
      </c>
    </row>
    <row r="275" spans="1:43">
      <c r="A275" t="s">
        <v>925</v>
      </c>
      <c r="B275" s="5">
        <v>45701</v>
      </c>
      <c r="C275" s="5">
        <v>45701</v>
      </c>
      <c r="D275" s="13">
        <f t="shared" si="68"/>
        <v>0</v>
      </c>
      <c r="E275" t="s">
        <v>926</v>
      </c>
      <c r="F275" t="s">
        <v>47</v>
      </c>
      <c r="G275" t="s">
        <v>24</v>
      </c>
      <c r="H275" t="s">
        <v>38</v>
      </c>
      <c r="I275" t="s">
        <v>145</v>
      </c>
      <c r="J275" t="s">
        <v>146</v>
      </c>
      <c r="K275" t="s">
        <v>28</v>
      </c>
      <c r="L275" t="s">
        <v>29</v>
      </c>
      <c r="M275" t="s">
        <v>927</v>
      </c>
      <c r="N275" t="s">
        <v>31</v>
      </c>
      <c r="O275">
        <v>9</v>
      </c>
      <c r="P275">
        <v>2521.63</v>
      </c>
      <c r="Q275" s="11">
        <v>0</v>
      </c>
      <c r="R275">
        <v>22694.67</v>
      </c>
      <c r="S275">
        <v>15405.36</v>
      </c>
      <c r="T275">
        <v>7289.31</v>
      </c>
      <c r="U275" t="s">
        <v>32</v>
      </c>
      <c r="V275" t="s">
        <v>103</v>
      </c>
      <c r="X275" s="8" t="str">
        <f>IF(C275&gt;=B275,"Valid", "Invalid-Date")</f>
        <v>Valid</v>
      </c>
      <c r="Y275" s="8" t="str">
        <f t="shared" si="69"/>
        <v>Valid</v>
      </c>
      <c r="Z275" s="8" t="str">
        <f t="shared" si="70"/>
        <v>Pass</v>
      </c>
      <c r="AA275" s="8" t="str">
        <f t="shared" si="71"/>
        <v>Pass</v>
      </c>
      <c r="AB275" s="8" t="str">
        <f>TEXT(B275,"mmmm")</f>
        <v>February</v>
      </c>
      <c r="AC275" s="8" t="str">
        <f>TEXT(B275,"yyyy")</f>
        <v>2025</v>
      </c>
      <c r="AE275">
        <f t="shared" si="72"/>
        <v>22694.670000000002</v>
      </c>
      <c r="AF275" s="11">
        <f t="shared" si="73"/>
        <v>22694.670000000002</v>
      </c>
      <c r="AG275">
        <f t="shared" si="74"/>
        <v>7289.3100000000013</v>
      </c>
      <c r="AH275" s="11">
        <f t="shared" si="75"/>
        <v>0.32119039404406413</v>
      </c>
      <c r="AI275" s="9">
        <f t="shared" si="76"/>
        <v>0.32119039404406413</v>
      </c>
      <c r="AJ275">
        <f t="shared" si="77"/>
        <v>0</v>
      </c>
      <c r="AK275">
        <f t="shared" si="78"/>
        <v>0</v>
      </c>
      <c r="AL275">
        <f t="shared" si="79"/>
        <v>0</v>
      </c>
      <c r="AM275">
        <f t="shared" si="80"/>
        <v>0</v>
      </c>
      <c r="AN275">
        <f t="shared" si="81"/>
        <v>0</v>
      </c>
      <c r="AO275">
        <f t="shared" si="82"/>
        <v>0</v>
      </c>
      <c r="AP275">
        <f t="shared" si="83"/>
        <v>22694.67</v>
      </c>
      <c r="AQ275">
        <f t="shared" si="84"/>
        <v>1</v>
      </c>
    </row>
    <row r="276" spans="1:43">
      <c r="A276" t="s">
        <v>928</v>
      </c>
      <c r="B276" s="5">
        <v>45389</v>
      </c>
      <c r="C276" s="5">
        <v>45396</v>
      </c>
      <c r="D276" s="13">
        <f t="shared" si="68"/>
        <v>7</v>
      </c>
      <c r="E276" t="s">
        <v>929</v>
      </c>
      <c r="F276" t="s">
        <v>141</v>
      </c>
      <c r="G276" t="s">
        <v>24</v>
      </c>
      <c r="H276" t="s">
        <v>54</v>
      </c>
      <c r="I276" t="s">
        <v>185</v>
      </c>
      <c r="J276" t="s">
        <v>186</v>
      </c>
      <c r="K276" t="s">
        <v>74</v>
      </c>
      <c r="L276" t="s">
        <v>80</v>
      </c>
      <c r="M276" t="s">
        <v>930</v>
      </c>
      <c r="N276" t="s">
        <v>59</v>
      </c>
      <c r="O276">
        <v>6</v>
      </c>
      <c r="P276">
        <v>4246.71</v>
      </c>
      <c r="Q276" s="11">
        <v>0.15</v>
      </c>
      <c r="R276">
        <v>21658.22</v>
      </c>
      <c r="S276">
        <v>15490.69</v>
      </c>
      <c r="T276">
        <v>6167.53</v>
      </c>
      <c r="U276" t="s">
        <v>155</v>
      </c>
      <c r="V276" t="s">
        <v>103</v>
      </c>
      <c r="X276" s="8" t="str">
        <f>IF(C276&gt;=B276,"Valid", "Invalid-Date")</f>
        <v>Valid</v>
      </c>
      <c r="Y276" s="8" t="str">
        <f t="shared" si="69"/>
        <v>Valid</v>
      </c>
      <c r="Z276" s="8" t="str">
        <f t="shared" si="70"/>
        <v>Pass</v>
      </c>
      <c r="AA276" s="8" t="str">
        <f t="shared" si="71"/>
        <v>Pass</v>
      </c>
      <c r="AB276" s="8" t="str">
        <f>TEXT(B276,"mmmm")</f>
        <v>April</v>
      </c>
      <c r="AC276" s="8" t="str">
        <f>TEXT(B276,"yyyy")</f>
        <v>2024</v>
      </c>
      <c r="AE276">
        <f t="shared" si="72"/>
        <v>25480.260000000002</v>
      </c>
      <c r="AF276" s="11">
        <f t="shared" si="73"/>
        <v>21658.221000000001</v>
      </c>
      <c r="AG276">
        <f t="shared" si="74"/>
        <v>9989.5700000000015</v>
      </c>
      <c r="AH276" s="11">
        <f t="shared" si="75"/>
        <v>0.39205133699577638</v>
      </c>
      <c r="AI276" s="9">
        <f t="shared" si="76"/>
        <v>0.39205133699577638</v>
      </c>
      <c r="AJ276">
        <f t="shared" si="77"/>
        <v>0</v>
      </c>
      <c r="AK276">
        <f t="shared" si="78"/>
        <v>0</v>
      </c>
      <c r="AL276">
        <f t="shared" si="79"/>
        <v>0</v>
      </c>
      <c r="AM276">
        <f t="shared" si="80"/>
        <v>0</v>
      </c>
      <c r="AN276">
        <f t="shared" si="81"/>
        <v>21658.22</v>
      </c>
      <c r="AO276">
        <f t="shared" si="82"/>
        <v>1</v>
      </c>
      <c r="AP276">
        <f t="shared" si="83"/>
        <v>21658.22</v>
      </c>
      <c r="AQ276">
        <f t="shared" si="84"/>
        <v>1</v>
      </c>
    </row>
    <row r="277" spans="1:43">
      <c r="A277" t="s">
        <v>931</v>
      </c>
      <c r="B277" s="5">
        <v>45337</v>
      </c>
      <c r="C277" s="5">
        <v>45344</v>
      </c>
      <c r="D277" s="13">
        <f t="shared" si="68"/>
        <v>7</v>
      </c>
      <c r="E277" t="s">
        <v>932</v>
      </c>
      <c r="F277" t="s">
        <v>114</v>
      </c>
      <c r="G277" t="s">
        <v>37</v>
      </c>
      <c r="H277" t="s">
        <v>38</v>
      </c>
      <c r="I277" t="s">
        <v>99</v>
      </c>
      <c r="J277" t="s">
        <v>100</v>
      </c>
      <c r="K277" t="s">
        <v>41</v>
      </c>
      <c r="L277" t="s">
        <v>57</v>
      </c>
      <c r="M277" t="s">
        <v>933</v>
      </c>
      <c r="N277" t="s">
        <v>44</v>
      </c>
      <c r="O277">
        <v>1</v>
      </c>
      <c r="P277">
        <v>980.51</v>
      </c>
      <c r="Q277" s="11">
        <v>0</v>
      </c>
      <c r="R277">
        <v>980.51</v>
      </c>
      <c r="S277">
        <v>660.92</v>
      </c>
      <c r="T277">
        <v>319.58999999999997</v>
      </c>
      <c r="U277" t="s">
        <v>32</v>
      </c>
      <c r="V277" t="s">
        <v>33</v>
      </c>
      <c r="X277" s="8" t="str">
        <f>IF(C277&gt;=B277,"Valid", "Invalid-Date")</f>
        <v>Valid</v>
      </c>
      <c r="Y277" s="8" t="str">
        <f t="shared" si="69"/>
        <v>Valid</v>
      </c>
      <c r="Z277" s="8" t="str">
        <f t="shared" si="70"/>
        <v>Pass</v>
      </c>
      <c r="AA277" s="8" t="str">
        <f t="shared" si="71"/>
        <v>Pass</v>
      </c>
      <c r="AB277" s="8" t="str">
        <f>TEXT(B277,"mmmm")</f>
        <v>February</v>
      </c>
      <c r="AC277" s="8" t="str">
        <f>TEXT(B277,"yyyy")</f>
        <v>2024</v>
      </c>
      <c r="AE277">
        <f t="shared" si="72"/>
        <v>980.51</v>
      </c>
      <c r="AF277" s="11">
        <f t="shared" si="73"/>
        <v>980.51</v>
      </c>
      <c r="AG277">
        <f t="shared" si="74"/>
        <v>319.59000000000003</v>
      </c>
      <c r="AH277" s="11">
        <f t="shared" si="75"/>
        <v>0.32594262169687205</v>
      </c>
      <c r="AI277" s="9">
        <f t="shared" si="76"/>
        <v>0.32594262169687205</v>
      </c>
      <c r="AJ277">
        <f t="shared" si="77"/>
        <v>980.51</v>
      </c>
      <c r="AK277">
        <f t="shared" si="78"/>
        <v>1</v>
      </c>
      <c r="AL277">
        <f t="shared" si="79"/>
        <v>0</v>
      </c>
      <c r="AM277">
        <f t="shared" si="80"/>
        <v>0</v>
      </c>
      <c r="AN277">
        <f t="shared" si="81"/>
        <v>0</v>
      </c>
      <c r="AO277">
        <f t="shared" si="82"/>
        <v>0</v>
      </c>
      <c r="AP277">
        <f t="shared" si="83"/>
        <v>0</v>
      </c>
      <c r="AQ277">
        <f t="shared" si="84"/>
        <v>0</v>
      </c>
    </row>
    <row r="278" spans="1:43" s="15" customFormat="1">
      <c r="A278" s="15" t="s">
        <v>934</v>
      </c>
      <c r="B278" s="16">
        <v>45313</v>
      </c>
      <c r="C278" s="16">
        <v>45314</v>
      </c>
      <c r="D278" s="17">
        <f t="shared" si="68"/>
        <v>1</v>
      </c>
      <c r="E278" s="15" t="s">
        <v>935</v>
      </c>
      <c r="F278" s="15" t="s">
        <v>128</v>
      </c>
      <c r="G278" s="15" t="s">
        <v>37</v>
      </c>
      <c r="H278" s="15" t="s">
        <v>2785</v>
      </c>
      <c r="I278" s="15" t="s">
        <v>166</v>
      </c>
      <c r="J278" s="15" t="s">
        <v>167</v>
      </c>
      <c r="K278" s="15" t="s">
        <v>41</v>
      </c>
      <c r="L278" s="15" t="s">
        <v>66</v>
      </c>
      <c r="M278" s="15" t="s">
        <v>936</v>
      </c>
      <c r="N278" s="15" t="s">
        <v>31</v>
      </c>
      <c r="O278" s="15">
        <v>6</v>
      </c>
      <c r="P278" s="15">
        <v>3391.53</v>
      </c>
      <c r="Q278" s="18">
        <v>-0.14000000000000001</v>
      </c>
      <c r="R278" s="15">
        <v>15261.89</v>
      </c>
      <c r="S278" s="15">
        <v>8413.5300000000007</v>
      </c>
      <c r="T278" s="15">
        <v>6848.36</v>
      </c>
      <c r="U278" s="15" t="s">
        <v>32</v>
      </c>
      <c r="V278" s="15" t="s">
        <v>33</v>
      </c>
      <c r="W278" s="25"/>
      <c r="X278" s="8" t="str">
        <f>IF(C278&gt;=B278,"Valid", "Invalid-Date")</f>
        <v>Valid</v>
      </c>
      <c r="Y278" s="8" t="str">
        <f t="shared" si="69"/>
        <v>Invalid-Discount</v>
      </c>
      <c r="Z278" s="19" t="str">
        <f t="shared" si="70"/>
        <v>Pass</v>
      </c>
      <c r="AA278" s="19" t="str">
        <f t="shared" si="71"/>
        <v>Flagged</v>
      </c>
      <c r="AB278" s="19" t="str">
        <f>TEXT(B278,"mmmm")</f>
        <v>January</v>
      </c>
      <c r="AC278" s="19" t="str">
        <f>TEXT(B278,"yyyy")</f>
        <v>2024</v>
      </c>
      <c r="AD278" s="20"/>
      <c r="AE278" s="15">
        <f t="shared" si="72"/>
        <v>20349.18</v>
      </c>
      <c r="AF278" s="11">
        <f t="shared" si="73"/>
        <v>23198.065200000005</v>
      </c>
      <c r="AG278" s="15">
        <f t="shared" si="74"/>
        <v>11935.65</v>
      </c>
      <c r="AH278" s="18">
        <f t="shared" si="75"/>
        <v>0.58654206213714755</v>
      </c>
      <c r="AI278" s="21">
        <f t="shared" si="76"/>
        <v>0.58654206213714755</v>
      </c>
      <c r="AJ278">
        <f t="shared" si="77"/>
        <v>15261.89</v>
      </c>
      <c r="AK278">
        <f t="shared" si="78"/>
        <v>1</v>
      </c>
      <c r="AL278">
        <f t="shared" si="79"/>
        <v>0</v>
      </c>
      <c r="AM278">
        <f t="shared" si="80"/>
        <v>0</v>
      </c>
      <c r="AN278">
        <f t="shared" si="81"/>
        <v>0</v>
      </c>
      <c r="AO278">
        <f t="shared" si="82"/>
        <v>0</v>
      </c>
      <c r="AP278">
        <f t="shared" si="83"/>
        <v>0</v>
      </c>
      <c r="AQ278">
        <f t="shared" si="84"/>
        <v>0</v>
      </c>
    </row>
    <row r="279" spans="1:43">
      <c r="A279" t="s">
        <v>937</v>
      </c>
      <c r="B279" s="5">
        <v>45812</v>
      </c>
      <c r="C279" s="5">
        <v>45753</v>
      </c>
      <c r="D279" s="13">
        <f t="shared" si="68"/>
        <v>-59</v>
      </c>
      <c r="E279" t="s">
        <v>789</v>
      </c>
      <c r="F279" t="s">
        <v>47</v>
      </c>
      <c r="G279" t="s">
        <v>90</v>
      </c>
      <c r="H279" t="s">
        <v>25</v>
      </c>
      <c r="I279" t="s">
        <v>236</v>
      </c>
      <c r="J279" t="s">
        <v>237</v>
      </c>
      <c r="K279" t="s">
        <v>74</v>
      </c>
      <c r="L279" t="s">
        <v>75</v>
      </c>
      <c r="M279" t="s">
        <v>938</v>
      </c>
      <c r="N279" t="s">
        <v>31</v>
      </c>
      <c r="O279">
        <v>1</v>
      </c>
      <c r="P279">
        <v>2133.73</v>
      </c>
      <c r="Q279" s="11">
        <v>0.15</v>
      </c>
      <c r="R279">
        <v>2008.39</v>
      </c>
      <c r="S279">
        <v>1002.57</v>
      </c>
      <c r="T279">
        <v>811.1</v>
      </c>
      <c r="U279" t="s">
        <v>111</v>
      </c>
      <c r="V279" t="s">
        <v>68</v>
      </c>
      <c r="X279" s="8" t="str">
        <f>IF(C279&gt;=B279,"Valid", "Invalid-Date")</f>
        <v>Invalid-Date</v>
      </c>
      <c r="Y279" s="8" t="str">
        <f t="shared" si="69"/>
        <v>Valid</v>
      </c>
      <c r="Z279" s="8" t="str">
        <f t="shared" si="70"/>
        <v>Pass</v>
      </c>
      <c r="AA279" s="8" t="str">
        <f t="shared" si="71"/>
        <v>Pass</v>
      </c>
      <c r="AB279" s="8" t="str">
        <f>TEXT(B279,"mmmm")</f>
        <v>June</v>
      </c>
      <c r="AC279" s="8" t="str">
        <f>TEXT(B279,"yyyy")</f>
        <v>2025</v>
      </c>
      <c r="AE279">
        <f t="shared" si="72"/>
        <v>2133.73</v>
      </c>
      <c r="AF279" s="11">
        <f t="shared" si="73"/>
        <v>1813.6704999999999</v>
      </c>
      <c r="AG279">
        <f t="shared" si="74"/>
        <v>1131.1599999999999</v>
      </c>
      <c r="AH279" s="11">
        <f t="shared" si="75"/>
        <v>0.5301326784550997</v>
      </c>
      <c r="AI279" s="9">
        <f t="shared" si="76"/>
        <v>0.5301326784550997</v>
      </c>
      <c r="AJ279">
        <f t="shared" si="77"/>
        <v>0</v>
      </c>
      <c r="AK279">
        <f t="shared" si="78"/>
        <v>0</v>
      </c>
      <c r="AL279">
        <f t="shared" si="79"/>
        <v>2008.39</v>
      </c>
      <c r="AM279">
        <f t="shared" si="80"/>
        <v>1</v>
      </c>
      <c r="AN279">
        <f t="shared" si="81"/>
        <v>0</v>
      </c>
      <c r="AO279">
        <f t="shared" si="82"/>
        <v>0</v>
      </c>
      <c r="AP279">
        <f t="shared" si="83"/>
        <v>0</v>
      </c>
      <c r="AQ279">
        <f t="shared" si="84"/>
        <v>0</v>
      </c>
    </row>
    <row r="280" spans="1:43">
      <c r="A280" t="s">
        <v>939</v>
      </c>
      <c r="B280" s="5">
        <v>45723</v>
      </c>
      <c r="C280" s="5">
        <v>45730</v>
      </c>
      <c r="D280" s="13">
        <f t="shared" si="68"/>
        <v>7</v>
      </c>
      <c r="E280" t="s">
        <v>940</v>
      </c>
      <c r="F280" t="s">
        <v>114</v>
      </c>
      <c r="G280" t="s">
        <v>37</v>
      </c>
      <c r="H280" t="s">
        <v>25</v>
      </c>
      <c r="I280" t="s">
        <v>350</v>
      </c>
      <c r="J280" t="s">
        <v>351</v>
      </c>
      <c r="K280" t="s">
        <v>74</v>
      </c>
      <c r="L280" t="s">
        <v>75</v>
      </c>
      <c r="M280" t="s">
        <v>941</v>
      </c>
      <c r="N280" t="s">
        <v>44</v>
      </c>
      <c r="O280">
        <v>1</v>
      </c>
      <c r="P280">
        <v>3979.64</v>
      </c>
      <c r="Q280" s="11">
        <v>0.05</v>
      </c>
      <c r="R280">
        <v>3780.66</v>
      </c>
      <c r="S280">
        <v>2148.31</v>
      </c>
      <c r="T280">
        <v>1632.35</v>
      </c>
      <c r="U280" t="s">
        <v>32</v>
      </c>
      <c r="V280" t="s">
        <v>103</v>
      </c>
      <c r="X280" s="8" t="str">
        <f>IF(C280&gt;=B280,"Valid", "Invalid-Date")</f>
        <v>Valid</v>
      </c>
      <c r="Y280" s="8" t="str">
        <f t="shared" si="69"/>
        <v>Valid</v>
      </c>
      <c r="Z280" s="8" t="str">
        <f t="shared" si="70"/>
        <v>Pass</v>
      </c>
      <c r="AA280" s="8" t="str">
        <f t="shared" si="71"/>
        <v>Pass</v>
      </c>
      <c r="AB280" s="8" t="str">
        <f>TEXT(B280,"mmmm")</f>
        <v>March</v>
      </c>
      <c r="AC280" s="8" t="str">
        <f>TEXT(B280,"yyyy")</f>
        <v>2025</v>
      </c>
      <c r="AE280">
        <f t="shared" si="72"/>
        <v>3979.64</v>
      </c>
      <c r="AF280" s="11">
        <f t="shared" si="73"/>
        <v>3780.6579999999999</v>
      </c>
      <c r="AG280">
        <f t="shared" si="74"/>
        <v>1831.33</v>
      </c>
      <c r="AH280" s="11">
        <f t="shared" si="75"/>
        <v>0.46017478967946851</v>
      </c>
      <c r="AI280" s="9">
        <f t="shared" si="76"/>
        <v>0.46017478967946851</v>
      </c>
      <c r="AJ280">
        <f t="shared" si="77"/>
        <v>0</v>
      </c>
      <c r="AK280">
        <f t="shared" si="78"/>
        <v>0</v>
      </c>
      <c r="AL280">
        <f t="shared" si="79"/>
        <v>0</v>
      </c>
      <c r="AM280">
        <f t="shared" si="80"/>
        <v>0</v>
      </c>
      <c r="AN280">
        <f t="shared" si="81"/>
        <v>0</v>
      </c>
      <c r="AO280">
        <f t="shared" si="82"/>
        <v>0</v>
      </c>
      <c r="AP280">
        <f t="shared" si="83"/>
        <v>3780.66</v>
      </c>
      <c r="AQ280">
        <f t="shared" si="84"/>
        <v>1</v>
      </c>
    </row>
    <row r="281" spans="1:43">
      <c r="A281" t="s">
        <v>942</v>
      </c>
      <c r="B281" s="5">
        <v>45539</v>
      </c>
      <c r="C281" s="5">
        <v>45569</v>
      </c>
      <c r="D281" s="13">
        <f t="shared" si="68"/>
        <v>30</v>
      </c>
      <c r="E281" t="s">
        <v>943</v>
      </c>
      <c r="F281" t="s">
        <v>141</v>
      </c>
      <c r="G281" t="s">
        <v>37</v>
      </c>
      <c r="H281" t="s">
        <v>63</v>
      </c>
      <c r="I281" t="s">
        <v>64</v>
      </c>
      <c r="J281" t="s">
        <v>65</v>
      </c>
      <c r="K281" t="s">
        <v>28</v>
      </c>
      <c r="L281" t="s">
        <v>124</v>
      </c>
      <c r="M281" t="s">
        <v>944</v>
      </c>
      <c r="N281" t="s">
        <v>50</v>
      </c>
      <c r="O281">
        <v>1</v>
      </c>
      <c r="P281">
        <v>4359.12</v>
      </c>
      <c r="Q281" s="11">
        <v>0.05</v>
      </c>
      <c r="R281">
        <v>4141.16</v>
      </c>
      <c r="S281">
        <v>2754.17</v>
      </c>
      <c r="T281">
        <v>1386.99</v>
      </c>
      <c r="U281" t="s">
        <v>32</v>
      </c>
      <c r="V281" t="s">
        <v>33</v>
      </c>
      <c r="X281" s="8" t="str">
        <f>IF(C281&gt;=B281,"Valid", "Invalid-Date")</f>
        <v>Valid</v>
      </c>
      <c r="Y281" s="8" t="str">
        <f t="shared" si="69"/>
        <v>Valid</v>
      </c>
      <c r="Z281" s="8" t="str">
        <f t="shared" si="70"/>
        <v>Pass</v>
      </c>
      <c r="AA281" s="8" t="str">
        <f t="shared" si="71"/>
        <v>Pass</v>
      </c>
      <c r="AB281" s="8" t="str">
        <f>TEXT(B281,"mmmm")</f>
        <v>September</v>
      </c>
      <c r="AC281" s="8" t="str">
        <f>TEXT(B281,"yyyy")</f>
        <v>2024</v>
      </c>
      <c r="AE281">
        <f t="shared" si="72"/>
        <v>4359.12</v>
      </c>
      <c r="AF281" s="11">
        <f t="shared" si="73"/>
        <v>4141.1639999999998</v>
      </c>
      <c r="AG281">
        <f t="shared" si="74"/>
        <v>1604.9499999999998</v>
      </c>
      <c r="AH281" s="11">
        <f t="shared" si="75"/>
        <v>0.36818211015067259</v>
      </c>
      <c r="AI281" s="9">
        <f t="shared" si="76"/>
        <v>0.36818211015067259</v>
      </c>
      <c r="AJ281">
        <f t="shared" si="77"/>
        <v>4141.16</v>
      </c>
      <c r="AK281">
        <f t="shared" si="78"/>
        <v>1</v>
      </c>
      <c r="AL281">
        <f t="shared" si="79"/>
        <v>0</v>
      </c>
      <c r="AM281">
        <f t="shared" si="80"/>
        <v>0</v>
      </c>
      <c r="AN281">
        <f t="shared" si="81"/>
        <v>0</v>
      </c>
      <c r="AO281">
        <f t="shared" si="82"/>
        <v>0</v>
      </c>
      <c r="AP281">
        <f t="shared" si="83"/>
        <v>0</v>
      </c>
      <c r="AQ281">
        <f t="shared" si="84"/>
        <v>0</v>
      </c>
    </row>
    <row r="282" spans="1:43" s="15" customFormat="1">
      <c r="A282" s="15" t="s">
        <v>945</v>
      </c>
      <c r="B282" s="16">
        <v>45649</v>
      </c>
      <c r="C282" s="16">
        <v>45652</v>
      </c>
      <c r="D282" s="17">
        <f t="shared" si="68"/>
        <v>3</v>
      </c>
      <c r="E282" s="15" t="s">
        <v>946</v>
      </c>
      <c r="F282" s="15" t="s">
        <v>89</v>
      </c>
      <c r="G282" s="15" t="s">
        <v>24</v>
      </c>
      <c r="H282" s="15" t="s">
        <v>54</v>
      </c>
      <c r="I282" s="15" t="s">
        <v>175</v>
      </c>
      <c r="J282" s="15" t="s">
        <v>176</v>
      </c>
      <c r="K282" s="15" t="s">
        <v>74</v>
      </c>
      <c r="L282" s="15" t="s">
        <v>80</v>
      </c>
      <c r="M282" s="15" t="s">
        <v>947</v>
      </c>
      <c r="N282" s="15" t="s">
        <v>59</v>
      </c>
      <c r="O282" s="15">
        <v>9</v>
      </c>
      <c r="P282" s="15">
        <v>993.67</v>
      </c>
      <c r="Q282" s="18">
        <v>0</v>
      </c>
      <c r="R282" s="15">
        <v>8943.0300000000007</v>
      </c>
      <c r="S282" s="15">
        <v>5165.38</v>
      </c>
      <c r="T282" s="15">
        <v>3777.65</v>
      </c>
      <c r="U282" s="15" t="s">
        <v>32</v>
      </c>
      <c r="V282" s="15" t="s">
        <v>33</v>
      </c>
      <c r="W282" s="25"/>
      <c r="X282" s="8" t="str">
        <f>IF(C282&gt;=B282,"Valid", "Invalid-Date")</f>
        <v>Valid</v>
      </c>
      <c r="Y282" s="8" t="str">
        <f t="shared" si="69"/>
        <v>Valid</v>
      </c>
      <c r="Z282" s="19" t="str">
        <f t="shared" si="70"/>
        <v>Pass</v>
      </c>
      <c r="AA282" s="19" t="str">
        <f t="shared" si="71"/>
        <v>Pass</v>
      </c>
      <c r="AB282" s="19" t="str">
        <f>TEXT(B282,"mmmm")</f>
        <v>December</v>
      </c>
      <c r="AC282" s="19" t="str">
        <f>TEXT(B282,"yyyy")</f>
        <v>2024</v>
      </c>
      <c r="AD282" s="20"/>
      <c r="AE282" s="15">
        <f t="shared" si="72"/>
        <v>8943.0299999999988</v>
      </c>
      <c r="AF282" s="11">
        <f t="shared" si="73"/>
        <v>8943.0299999999988</v>
      </c>
      <c r="AG282" s="15">
        <f t="shared" si="74"/>
        <v>3777.6499999999987</v>
      </c>
      <c r="AH282" s="18">
        <f t="shared" si="75"/>
        <v>0.42241276167026154</v>
      </c>
      <c r="AI282" s="21">
        <f t="shared" si="76"/>
        <v>0.42241276167026154</v>
      </c>
      <c r="AJ282">
        <f t="shared" si="77"/>
        <v>8943.0300000000007</v>
      </c>
      <c r="AK282">
        <f t="shared" si="78"/>
        <v>1</v>
      </c>
      <c r="AL282">
        <f t="shared" si="79"/>
        <v>0</v>
      </c>
      <c r="AM282">
        <f t="shared" si="80"/>
        <v>0</v>
      </c>
      <c r="AN282">
        <f t="shared" si="81"/>
        <v>0</v>
      </c>
      <c r="AO282">
        <f t="shared" si="82"/>
        <v>0</v>
      </c>
      <c r="AP282">
        <f t="shared" si="83"/>
        <v>0</v>
      </c>
      <c r="AQ282">
        <f t="shared" si="84"/>
        <v>0</v>
      </c>
    </row>
    <row r="283" spans="1:43">
      <c r="A283" t="s">
        <v>948</v>
      </c>
      <c r="B283" s="5">
        <v>45863</v>
      </c>
      <c r="C283" s="5">
        <v>45865</v>
      </c>
      <c r="D283" s="13">
        <f t="shared" si="68"/>
        <v>2</v>
      </c>
      <c r="E283" t="s">
        <v>949</v>
      </c>
      <c r="F283" t="s">
        <v>264</v>
      </c>
      <c r="G283" t="s">
        <v>24</v>
      </c>
      <c r="H283" t="s">
        <v>38</v>
      </c>
      <c r="I283" t="s">
        <v>228</v>
      </c>
      <c r="J283" t="s">
        <v>229</v>
      </c>
      <c r="K283" t="s">
        <v>28</v>
      </c>
      <c r="L283" t="s">
        <v>153</v>
      </c>
      <c r="M283" t="s">
        <v>950</v>
      </c>
      <c r="N283" t="s">
        <v>31</v>
      </c>
      <c r="O283">
        <v>6</v>
      </c>
      <c r="P283">
        <v>3438.38</v>
      </c>
      <c r="Q283" s="11">
        <v>0.2</v>
      </c>
      <c r="R283">
        <v>16504.22</v>
      </c>
      <c r="S283">
        <v>11262.71</v>
      </c>
      <c r="T283">
        <v>5241.51</v>
      </c>
      <c r="U283" t="s">
        <v>32</v>
      </c>
      <c r="V283" t="s">
        <v>33</v>
      </c>
      <c r="X283" s="8" t="str">
        <f>IF(C283&gt;=B283,"Valid", "Invalid-Date")</f>
        <v>Valid</v>
      </c>
      <c r="Y283" s="8" t="str">
        <f t="shared" si="69"/>
        <v>Valid</v>
      </c>
      <c r="Z283" s="8" t="str">
        <f t="shared" si="70"/>
        <v>Pass</v>
      </c>
      <c r="AA283" s="8" t="str">
        <f t="shared" si="71"/>
        <v>Pass</v>
      </c>
      <c r="AB283" s="8" t="str">
        <f>TEXT(B283,"mmmm")</f>
        <v>July</v>
      </c>
      <c r="AC283" s="8" t="str">
        <f>TEXT(B283,"yyyy")</f>
        <v>2025</v>
      </c>
      <c r="AE283">
        <f t="shared" si="72"/>
        <v>20630.28</v>
      </c>
      <c r="AF283" s="11">
        <f t="shared" si="73"/>
        <v>16504.223999999998</v>
      </c>
      <c r="AG283">
        <f t="shared" si="74"/>
        <v>9367.57</v>
      </c>
      <c r="AH283" s="11">
        <f t="shared" si="75"/>
        <v>0.45406897046477313</v>
      </c>
      <c r="AI283" s="9">
        <f t="shared" si="76"/>
        <v>0.45406897046477313</v>
      </c>
      <c r="AJ283">
        <f t="shared" si="77"/>
        <v>16504.22</v>
      </c>
      <c r="AK283">
        <f t="shared" si="78"/>
        <v>1</v>
      </c>
      <c r="AL283">
        <f t="shared" si="79"/>
        <v>0</v>
      </c>
      <c r="AM283">
        <f t="shared" si="80"/>
        <v>0</v>
      </c>
      <c r="AN283">
        <f t="shared" si="81"/>
        <v>0</v>
      </c>
      <c r="AO283">
        <f t="shared" si="82"/>
        <v>0</v>
      </c>
      <c r="AP283">
        <f t="shared" si="83"/>
        <v>0</v>
      </c>
      <c r="AQ283">
        <f t="shared" si="84"/>
        <v>0</v>
      </c>
    </row>
    <row r="284" spans="1:43">
      <c r="A284" t="s">
        <v>951</v>
      </c>
      <c r="B284" s="5">
        <v>45566</v>
      </c>
      <c r="C284" s="5">
        <v>45332</v>
      </c>
      <c r="D284" s="13">
        <f t="shared" si="68"/>
        <v>-234</v>
      </c>
      <c r="E284" t="s">
        <v>952</v>
      </c>
      <c r="F284" t="s">
        <v>23</v>
      </c>
      <c r="G284" t="s">
        <v>95</v>
      </c>
      <c r="H284" t="s">
        <v>38</v>
      </c>
      <c r="I284" t="s">
        <v>166</v>
      </c>
      <c r="J284" t="s">
        <v>167</v>
      </c>
      <c r="K284" t="s">
        <v>41</v>
      </c>
      <c r="L284" t="s">
        <v>42</v>
      </c>
      <c r="M284" t="s">
        <v>953</v>
      </c>
      <c r="N284" t="s">
        <v>31</v>
      </c>
      <c r="O284">
        <v>2</v>
      </c>
      <c r="P284">
        <v>2298</v>
      </c>
      <c r="Q284" s="11">
        <v>0</v>
      </c>
      <c r="R284">
        <v>4596</v>
      </c>
      <c r="S284">
        <v>3220.33</v>
      </c>
      <c r="T284">
        <v>1375.67</v>
      </c>
      <c r="U284" t="s">
        <v>32</v>
      </c>
      <c r="V284" t="s">
        <v>33</v>
      </c>
      <c r="X284" s="8" t="str">
        <f>IF(C284&gt;=B284,"Valid", "Invalid-Date")</f>
        <v>Invalid-Date</v>
      </c>
      <c r="Y284" s="8" t="str">
        <f t="shared" si="69"/>
        <v>Valid</v>
      </c>
      <c r="Z284" s="8" t="str">
        <f t="shared" si="70"/>
        <v>Pass</v>
      </c>
      <c r="AA284" s="8" t="str">
        <f t="shared" si="71"/>
        <v>Pass</v>
      </c>
      <c r="AB284" s="8" t="str">
        <f>TEXT(B284,"mmmm")</f>
        <v>October</v>
      </c>
      <c r="AC284" s="8" t="str">
        <f>TEXT(B284,"yyyy")</f>
        <v>2024</v>
      </c>
      <c r="AE284">
        <f t="shared" si="72"/>
        <v>4596</v>
      </c>
      <c r="AF284" s="11">
        <f t="shared" si="73"/>
        <v>4596</v>
      </c>
      <c r="AG284">
        <f t="shared" si="74"/>
        <v>1375.67</v>
      </c>
      <c r="AH284" s="11">
        <f t="shared" si="75"/>
        <v>0.29931897302001742</v>
      </c>
      <c r="AI284" s="9">
        <f t="shared" si="76"/>
        <v>0.29931897302001742</v>
      </c>
      <c r="AJ284">
        <f t="shared" si="77"/>
        <v>4596</v>
      </c>
      <c r="AK284">
        <f t="shared" si="78"/>
        <v>1</v>
      </c>
      <c r="AL284">
        <f t="shared" si="79"/>
        <v>0</v>
      </c>
      <c r="AM284">
        <f t="shared" si="80"/>
        <v>0</v>
      </c>
      <c r="AN284">
        <f t="shared" si="81"/>
        <v>0</v>
      </c>
      <c r="AO284">
        <f t="shared" si="82"/>
        <v>0</v>
      </c>
      <c r="AP284">
        <f t="shared" si="83"/>
        <v>0</v>
      </c>
      <c r="AQ284">
        <f t="shared" si="84"/>
        <v>0</v>
      </c>
    </row>
    <row r="285" spans="1:43">
      <c r="A285" t="s">
        <v>954</v>
      </c>
      <c r="B285" s="5">
        <v>45729</v>
      </c>
      <c r="C285" s="5">
        <v>45736</v>
      </c>
      <c r="D285" s="13">
        <f t="shared" si="68"/>
        <v>7</v>
      </c>
      <c r="E285" t="s">
        <v>955</v>
      </c>
      <c r="F285" t="s">
        <v>71</v>
      </c>
      <c r="G285" t="s">
        <v>24</v>
      </c>
      <c r="H285" t="s">
        <v>63</v>
      </c>
      <c r="I285" t="s">
        <v>64</v>
      </c>
      <c r="J285" t="s">
        <v>65</v>
      </c>
      <c r="K285" t="s">
        <v>41</v>
      </c>
      <c r="L285" t="s">
        <v>57</v>
      </c>
      <c r="M285" t="s">
        <v>956</v>
      </c>
      <c r="N285" t="s">
        <v>50</v>
      </c>
      <c r="O285">
        <v>1</v>
      </c>
      <c r="P285">
        <v>1814.01</v>
      </c>
      <c r="Q285" s="11">
        <v>0</v>
      </c>
      <c r="R285">
        <v>1814.01</v>
      </c>
      <c r="S285">
        <v>1033.47</v>
      </c>
      <c r="T285">
        <v>780.54</v>
      </c>
      <c r="U285" t="s">
        <v>32</v>
      </c>
      <c r="V285" t="s">
        <v>33</v>
      </c>
      <c r="X285" s="8" t="str">
        <f>IF(C285&gt;=B285,"Valid", "Invalid-Date")</f>
        <v>Valid</v>
      </c>
      <c r="Y285" s="8" t="str">
        <f t="shared" si="69"/>
        <v>Valid</v>
      </c>
      <c r="Z285" s="8" t="str">
        <f t="shared" si="70"/>
        <v>Pass</v>
      </c>
      <c r="AA285" s="8" t="str">
        <f t="shared" si="71"/>
        <v>Pass</v>
      </c>
      <c r="AB285" s="8" t="str">
        <f>TEXT(B285,"mmmm")</f>
        <v>March</v>
      </c>
      <c r="AC285" s="8" t="str">
        <f>TEXT(B285,"yyyy")</f>
        <v>2025</v>
      </c>
      <c r="AE285">
        <f t="shared" si="72"/>
        <v>1814.01</v>
      </c>
      <c r="AF285" s="11">
        <f t="shared" si="73"/>
        <v>1814.01</v>
      </c>
      <c r="AG285">
        <f t="shared" si="74"/>
        <v>780.54</v>
      </c>
      <c r="AH285" s="11">
        <f t="shared" si="75"/>
        <v>0.43028428729720342</v>
      </c>
      <c r="AI285" s="9">
        <f t="shared" si="76"/>
        <v>0.43028428729720342</v>
      </c>
      <c r="AJ285">
        <f t="shared" si="77"/>
        <v>1814.01</v>
      </c>
      <c r="AK285">
        <f t="shared" si="78"/>
        <v>1</v>
      </c>
      <c r="AL285">
        <f t="shared" si="79"/>
        <v>0</v>
      </c>
      <c r="AM285">
        <f t="shared" si="80"/>
        <v>0</v>
      </c>
      <c r="AN285">
        <f t="shared" si="81"/>
        <v>0</v>
      </c>
      <c r="AO285">
        <f t="shared" si="82"/>
        <v>0</v>
      </c>
      <c r="AP285">
        <f t="shared" si="83"/>
        <v>0</v>
      </c>
      <c r="AQ285">
        <f t="shared" si="84"/>
        <v>0</v>
      </c>
    </row>
    <row r="286" spans="1:43">
      <c r="A286" t="s">
        <v>957</v>
      </c>
      <c r="B286" s="5">
        <v>45516</v>
      </c>
      <c r="C286" s="5">
        <v>45640</v>
      </c>
      <c r="D286" s="13">
        <f t="shared" si="68"/>
        <v>124</v>
      </c>
      <c r="E286" t="s">
        <v>958</v>
      </c>
      <c r="F286" t="s">
        <v>23</v>
      </c>
      <c r="G286" t="s">
        <v>24</v>
      </c>
      <c r="H286" t="s">
        <v>38</v>
      </c>
      <c r="I286" t="s">
        <v>39</v>
      </c>
      <c r="J286" t="s">
        <v>40</v>
      </c>
      <c r="K286" t="s">
        <v>41</v>
      </c>
      <c r="L286" t="s">
        <v>42</v>
      </c>
      <c r="M286" t="s">
        <v>959</v>
      </c>
      <c r="N286" t="s">
        <v>44</v>
      </c>
      <c r="O286">
        <v>3</v>
      </c>
      <c r="P286">
        <v>1576.92</v>
      </c>
      <c r="Q286" s="11">
        <v>0</v>
      </c>
      <c r="R286">
        <v>4730.76</v>
      </c>
      <c r="S286">
        <v>3139.73</v>
      </c>
      <c r="T286">
        <v>1591.03</v>
      </c>
      <c r="U286" t="s">
        <v>32</v>
      </c>
      <c r="V286" t="s">
        <v>103</v>
      </c>
      <c r="X286" s="8" t="str">
        <f>IF(C286&gt;=B286,"Valid", "Invalid-Date")</f>
        <v>Valid</v>
      </c>
      <c r="Y286" s="8" t="str">
        <f t="shared" si="69"/>
        <v>Valid</v>
      </c>
      <c r="Z286" s="8" t="str">
        <f t="shared" si="70"/>
        <v>Pass</v>
      </c>
      <c r="AA286" s="8" t="str">
        <f t="shared" si="71"/>
        <v>Pass</v>
      </c>
      <c r="AB286" s="8" t="str">
        <f>TEXT(B286,"mmmm")</f>
        <v>August</v>
      </c>
      <c r="AC286" s="8" t="str">
        <f>TEXT(B286,"yyyy")</f>
        <v>2024</v>
      </c>
      <c r="AE286">
        <f t="shared" si="72"/>
        <v>4730.76</v>
      </c>
      <c r="AF286" s="11">
        <f t="shared" si="73"/>
        <v>4730.76</v>
      </c>
      <c r="AG286">
        <f t="shared" si="74"/>
        <v>1591.0300000000002</v>
      </c>
      <c r="AH286" s="11">
        <f t="shared" si="75"/>
        <v>0.33631594077907145</v>
      </c>
      <c r="AI286" s="9">
        <f t="shared" si="76"/>
        <v>0.33631594077907145</v>
      </c>
      <c r="AJ286">
        <f t="shared" si="77"/>
        <v>0</v>
      </c>
      <c r="AK286">
        <f t="shared" si="78"/>
        <v>0</v>
      </c>
      <c r="AL286">
        <f t="shared" si="79"/>
        <v>0</v>
      </c>
      <c r="AM286">
        <f t="shared" si="80"/>
        <v>0</v>
      </c>
      <c r="AN286">
        <f t="shared" si="81"/>
        <v>0</v>
      </c>
      <c r="AO286">
        <f t="shared" si="82"/>
        <v>0</v>
      </c>
      <c r="AP286">
        <f t="shared" si="83"/>
        <v>4730.76</v>
      </c>
      <c r="AQ286">
        <f t="shared" si="84"/>
        <v>1</v>
      </c>
    </row>
    <row r="287" spans="1:43">
      <c r="A287" t="s">
        <v>960</v>
      </c>
      <c r="B287" s="5">
        <v>45884</v>
      </c>
      <c r="C287" s="5">
        <v>45889</v>
      </c>
      <c r="D287" s="13">
        <f t="shared" si="68"/>
        <v>5</v>
      </c>
      <c r="E287" t="s">
        <v>961</v>
      </c>
      <c r="F287" t="s">
        <v>79</v>
      </c>
      <c r="G287" t="s">
        <v>95</v>
      </c>
      <c r="H287" t="s">
        <v>25</v>
      </c>
      <c r="I287" t="s">
        <v>26</v>
      </c>
      <c r="J287" t="s">
        <v>27</v>
      </c>
      <c r="K287" t="s">
        <v>28</v>
      </c>
      <c r="L287" t="s">
        <v>124</v>
      </c>
      <c r="M287" t="s">
        <v>962</v>
      </c>
      <c r="N287" t="s">
        <v>59</v>
      </c>
      <c r="O287">
        <v>9</v>
      </c>
      <c r="P287">
        <v>4081.77</v>
      </c>
      <c r="Q287" s="11">
        <v>0</v>
      </c>
      <c r="R287">
        <v>36735.93</v>
      </c>
      <c r="S287">
        <v>30820.84</v>
      </c>
      <c r="T287">
        <v>5915.09</v>
      </c>
      <c r="U287" t="s">
        <v>32</v>
      </c>
      <c r="V287" t="s">
        <v>33</v>
      </c>
      <c r="X287" s="8" t="str">
        <f>IF(C287&gt;=B287,"Valid", "Invalid-Date")</f>
        <v>Valid</v>
      </c>
      <c r="Y287" s="8" t="str">
        <f t="shared" si="69"/>
        <v>Valid</v>
      </c>
      <c r="Z287" s="8" t="str">
        <f t="shared" si="70"/>
        <v>Pass</v>
      </c>
      <c r="AA287" s="8" t="str">
        <f t="shared" si="71"/>
        <v>Pass</v>
      </c>
      <c r="AB287" s="8" t="str">
        <f>TEXT(B287,"mmmm")</f>
        <v>August</v>
      </c>
      <c r="AC287" s="8" t="str">
        <f>TEXT(B287,"yyyy")</f>
        <v>2025</v>
      </c>
      <c r="AE287">
        <f t="shared" si="72"/>
        <v>36735.93</v>
      </c>
      <c r="AF287" s="11">
        <f t="shared" si="73"/>
        <v>36735.93</v>
      </c>
      <c r="AG287">
        <f t="shared" si="74"/>
        <v>5915.09</v>
      </c>
      <c r="AH287" s="11">
        <f t="shared" si="75"/>
        <v>0.16101647624001897</v>
      </c>
      <c r="AI287" s="9">
        <f t="shared" si="76"/>
        <v>0.16101647624001897</v>
      </c>
      <c r="AJ287">
        <f t="shared" si="77"/>
        <v>36735.93</v>
      </c>
      <c r="AK287">
        <f t="shared" si="78"/>
        <v>1</v>
      </c>
      <c r="AL287">
        <f t="shared" si="79"/>
        <v>0</v>
      </c>
      <c r="AM287">
        <f t="shared" si="80"/>
        <v>0</v>
      </c>
      <c r="AN287">
        <f t="shared" si="81"/>
        <v>0</v>
      </c>
      <c r="AO287">
        <f t="shared" si="82"/>
        <v>0</v>
      </c>
      <c r="AP287">
        <f t="shared" si="83"/>
        <v>0</v>
      </c>
      <c r="AQ287">
        <f t="shared" si="84"/>
        <v>0</v>
      </c>
    </row>
    <row r="288" spans="1:43">
      <c r="A288" t="s">
        <v>963</v>
      </c>
      <c r="B288" s="5">
        <v>45350</v>
      </c>
      <c r="C288" s="5">
        <v>45325</v>
      </c>
      <c r="D288" s="13">
        <f t="shared" si="68"/>
        <v>-25</v>
      </c>
      <c r="E288" t="s">
        <v>964</v>
      </c>
      <c r="F288" t="s">
        <v>114</v>
      </c>
      <c r="G288" t="s">
        <v>37</v>
      </c>
      <c r="H288" t="s">
        <v>25</v>
      </c>
      <c r="I288" t="s">
        <v>350</v>
      </c>
      <c r="J288" t="s">
        <v>351</v>
      </c>
      <c r="K288" t="s">
        <v>41</v>
      </c>
      <c r="L288" t="s">
        <v>57</v>
      </c>
      <c r="M288" t="s">
        <v>965</v>
      </c>
      <c r="N288" t="s">
        <v>50</v>
      </c>
      <c r="O288">
        <v>7</v>
      </c>
      <c r="P288">
        <v>701.8</v>
      </c>
      <c r="Q288" s="11">
        <v>0.1</v>
      </c>
      <c r="R288">
        <v>4421.34</v>
      </c>
      <c r="S288">
        <v>2489.98</v>
      </c>
      <c r="T288">
        <v>1931.36</v>
      </c>
      <c r="U288" t="s">
        <v>111</v>
      </c>
      <c r="V288" t="s">
        <v>103</v>
      </c>
      <c r="X288" s="8" t="str">
        <f>IF(C288&gt;=B288,"Valid", "Invalid-Date")</f>
        <v>Invalid-Date</v>
      </c>
      <c r="Y288" s="8" t="str">
        <f t="shared" si="69"/>
        <v>Valid</v>
      </c>
      <c r="Z288" s="8" t="str">
        <f t="shared" si="70"/>
        <v>Pass</v>
      </c>
      <c r="AA288" s="8" t="str">
        <f t="shared" si="71"/>
        <v>Pass</v>
      </c>
      <c r="AB288" s="8" t="str">
        <f>TEXT(B288,"mmmm")</f>
        <v>February</v>
      </c>
      <c r="AC288" s="8" t="str">
        <f>TEXT(B288,"yyyy")</f>
        <v>2024</v>
      </c>
      <c r="AE288">
        <f t="shared" si="72"/>
        <v>4912.5999999999995</v>
      </c>
      <c r="AF288" s="11">
        <f t="shared" si="73"/>
        <v>4421.3399999999992</v>
      </c>
      <c r="AG288">
        <f t="shared" si="74"/>
        <v>2422.6199999999994</v>
      </c>
      <c r="AH288" s="11">
        <f t="shared" si="75"/>
        <v>0.49314415991531974</v>
      </c>
      <c r="AI288" s="9">
        <f t="shared" si="76"/>
        <v>0.49314415991531974</v>
      </c>
      <c r="AJ288">
        <f t="shared" si="77"/>
        <v>0</v>
      </c>
      <c r="AK288">
        <f t="shared" si="78"/>
        <v>0</v>
      </c>
      <c r="AL288">
        <f t="shared" si="79"/>
        <v>0</v>
      </c>
      <c r="AM288">
        <f t="shared" si="80"/>
        <v>0</v>
      </c>
      <c r="AN288">
        <f t="shared" si="81"/>
        <v>0</v>
      </c>
      <c r="AO288">
        <f t="shared" si="82"/>
        <v>0</v>
      </c>
      <c r="AP288">
        <f t="shared" si="83"/>
        <v>4421.34</v>
      </c>
      <c r="AQ288">
        <f t="shared" si="84"/>
        <v>1</v>
      </c>
    </row>
    <row r="289" spans="1:43">
      <c r="A289" t="s">
        <v>966</v>
      </c>
      <c r="B289" s="5">
        <v>45421</v>
      </c>
      <c r="C289" s="5">
        <v>45542</v>
      </c>
      <c r="D289" s="13">
        <f t="shared" si="68"/>
        <v>121</v>
      </c>
      <c r="E289" t="s">
        <v>967</v>
      </c>
      <c r="F289" t="s">
        <v>79</v>
      </c>
      <c r="G289" t="s">
        <v>37</v>
      </c>
      <c r="H289" t="s">
        <v>54</v>
      </c>
      <c r="I289" t="s">
        <v>247</v>
      </c>
      <c r="J289" t="s">
        <v>248</v>
      </c>
      <c r="K289" t="s">
        <v>74</v>
      </c>
      <c r="L289" t="s">
        <v>80</v>
      </c>
      <c r="M289" t="s">
        <v>968</v>
      </c>
      <c r="N289" t="s">
        <v>59</v>
      </c>
      <c r="O289">
        <v>3</v>
      </c>
      <c r="P289">
        <v>2555.66</v>
      </c>
      <c r="Q289" s="11">
        <v>0.15</v>
      </c>
      <c r="R289">
        <v>6516.93</v>
      </c>
      <c r="S289">
        <v>4511.54</v>
      </c>
      <c r="T289">
        <v>2005.39</v>
      </c>
      <c r="U289" t="s">
        <v>32</v>
      </c>
      <c r="V289" t="s">
        <v>68</v>
      </c>
      <c r="X289" s="8" t="str">
        <f>IF(C289&gt;=B289,"Valid", "Invalid-Date")</f>
        <v>Valid</v>
      </c>
      <c r="Y289" s="8" t="str">
        <f t="shared" si="69"/>
        <v>Valid</v>
      </c>
      <c r="Z289" s="8" t="str">
        <f t="shared" si="70"/>
        <v>Pass</v>
      </c>
      <c r="AA289" s="8" t="str">
        <f t="shared" si="71"/>
        <v>Pass</v>
      </c>
      <c r="AB289" s="8" t="str">
        <f>TEXT(B289,"mmmm")</f>
        <v>May</v>
      </c>
      <c r="AC289" s="8" t="str">
        <f>TEXT(B289,"yyyy")</f>
        <v>2024</v>
      </c>
      <c r="AE289">
        <f t="shared" si="72"/>
        <v>7666.98</v>
      </c>
      <c r="AF289" s="11">
        <f t="shared" si="73"/>
        <v>6516.9329999999991</v>
      </c>
      <c r="AG289">
        <f t="shared" si="74"/>
        <v>3155.4399999999996</v>
      </c>
      <c r="AH289" s="11">
        <f t="shared" si="75"/>
        <v>0.41156231006211047</v>
      </c>
      <c r="AI289" s="9">
        <f t="shared" si="76"/>
        <v>0.41156231006211047</v>
      </c>
      <c r="AJ289">
        <f t="shared" si="77"/>
        <v>0</v>
      </c>
      <c r="AK289">
        <f t="shared" si="78"/>
        <v>0</v>
      </c>
      <c r="AL289">
        <f t="shared" si="79"/>
        <v>6516.93</v>
      </c>
      <c r="AM289">
        <f t="shared" si="80"/>
        <v>1</v>
      </c>
      <c r="AN289">
        <f t="shared" si="81"/>
        <v>0</v>
      </c>
      <c r="AO289">
        <f t="shared" si="82"/>
        <v>0</v>
      </c>
      <c r="AP289">
        <f t="shared" si="83"/>
        <v>0</v>
      </c>
      <c r="AQ289">
        <f t="shared" si="84"/>
        <v>0</v>
      </c>
    </row>
    <row r="290" spans="1:43">
      <c r="A290" t="s">
        <v>969</v>
      </c>
      <c r="B290" s="5">
        <v>45467</v>
      </c>
      <c r="C290" s="5">
        <v>45467</v>
      </c>
      <c r="D290" s="13">
        <f t="shared" si="68"/>
        <v>0</v>
      </c>
      <c r="E290" t="s">
        <v>970</v>
      </c>
      <c r="F290" t="s">
        <v>141</v>
      </c>
      <c r="G290" t="s">
        <v>37</v>
      </c>
      <c r="H290" t="s">
        <v>38</v>
      </c>
      <c r="I290" t="s">
        <v>145</v>
      </c>
      <c r="J290" t="s">
        <v>146</v>
      </c>
      <c r="K290" t="s">
        <v>28</v>
      </c>
      <c r="L290" t="s">
        <v>153</v>
      </c>
      <c r="M290" t="s">
        <v>971</v>
      </c>
      <c r="N290" t="s">
        <v>44</v>
      </c>
      <c r="O290">
        <v>2</v>
      </c>
      <c r="P290">
        <v>4359.8999999999996</v>
      </c>
      <c r="Q290" s="11">
        <v>0.15</v>
      </c>
      <c r="R290">
        <v>7411.83</v>
      </c>
      <c r="S290">
        <v>4904.63</v>
      </c>
      <c r="T290">
        <v>2507.1999999999998</v>
      </c>
      <c r="U290" t="s">
        <v>32</v>
      </c>
      <c r="V290" t="s">
        <v>33</v>
      </c>
      <c r="X290" s="8" t="str">
        <f>IF(C290&gt;=B290,"Valid", "Invalid-Date")</f>
        <v>Valid</v>
      </c>
      <c r="Y290" s="8" t="str">
        <f t="shared" si="69"/>
        <v>Valid</v>
      </c>
      <c r="Z290" s="8" t="str">
        <f t="shared" si="70"/>
        <v>Pass</v>
      </c>
      <c r="AA290" s="8" t="str">
        <f t="shared" si="71"/>
        <v>Pass</v>
      </c>
      <c r="AB290" s="8" t="str">
        <f>TEXT(B290,"mmmm")</f>
        <v>June</v>
      </c>
      <c r="AC290" s="8" t="str">
        <f>TEXT(B290,"yyyy")</f>
        <v>2024</v>
      </c>
      <c r="AE290">
        <f t="shared" si="72"/>
        <v>8719.7999999999993</v>
      </c>
      <c r="AF290" s="11">
        <f t="shared" si="73"/>
        <v>7411.829999999999</v>
      </c>
      <c r="AG290">
        <f t="shared" si="74"/>
        <v>3815.1699999999992</v>
      </c>
      <c r="AH290" s="11">
        <f t="shared" si="75"/>
        <v>0.4375295304938186</v>
      </c>
      <c r="AI290" s="9">
        <f t="shared" si="76"/>
        <v>0.4375295304938186</v>
      </c>
      <c r="AJ290">
        <f t="shared" si="77"/>
        <v>7411.83</v>
      </c>
      <c r="AK290">
        <f t="shared" si="78"/>
        <v>1</v>
      </c>
      <c r="AL290">
        <f t="shared" si="79"/>
        <v>0</v>
      </c>
      <c r="AM290">
        <f t="shared" si="80"/>
        <v>0</v>
      </c>
      <c r="AN290">
        <f t="shared" si="81"/>
        <v>0</v>
      </c>
      <c r="AO290">
        <f t="shared" si="82"/>
        <v>0</v>
      </c>
      <c r="AP290">
        <f t="shared" si="83"/>
        <v>0</v>
      </c>
      <c r="AQ290">
        <f t="shared" si="84"/>
        <v>0</v>
      </c>
    </row>
    <row r="291" spans="1:43">
      <c r="A291" t="s">
        <v>972</v>
      </c>
      <c r="B291" s="5">
        <v>45827</v>
      </c>
      <c r="C291" s="5">
        <v>45835</v>
      </c>
      <c r="D291" s="13">
        <f t="shared" si="68"/>
        <v>8</v>
      </c>
      <c r="E291" t="s">
        <v>973</v>
      </c>
      <c r="F291" t="s">
        <v>23</v>
      </c>
      <c r="G291" t="s">
        <v>95</v>
      </c>
      <c r="H291" t="s">
        <v>54</v>
      </c>
      <c r="I291" t="s">
        <v>247</v>
      </c>
      <c r="J291" t="s">
        <v>248</v>
      </c>
      <c r="K291" t="s">
        <v>41</v>
      </c>
      <c r="L291" t="s">
        <v>158</v>
      </c>
      <c r="M291" t="s">
        <v>974</v>
      </c>
      <c r="N291" t="s">
        <v>50</v>
      </c>
      <c r="O291">
        <v>2</v>
      </c>
      <c r="P291">
        <v>4346.6899999999996</v>
      </c>
      <c r="Q291" s="11">
        <v>0.05</v>
      </c>
      <c r="R291">
        <v>8258.7099999999991</v>
      </c>
      <c r="S291">
        <v>7018.97</v>
      </c>
      <c r="T291">
        <v>1239.74</v>
      </c>
      <c r="U291" t="s">
        <v>32</v>
      </c>
      <c r="V291" t="s">
        <v>33</v>
      </c>
      <c r="X291" s="8" t="str">
        <f>IF(C291&gt;=B291,"Valid", "Invalid-Date")</f>
        <v>Valid</v>
      </c>
      <c r="Y291" s="8" t="str">
        <f t="shared" si="69"/>
        <v>Valid</v>
      </c>
      <c r="Z291" s="8" t="str">
        <f t="shared" si="70"/>
        <v>Pass</v>
      </c>
      <c r="AA291" s="8" t="str">
        <f t="shared" si="71"/>
        <v>Pass</v>
      </c>
      <c r="AB291" s="8" t="str">
        <f>TEXT(B291,"mmmm")</f>
        <v>June</v>
      </c>
      <c r="AC291" s="8" t="str">
        <f>TEXT(B291,"yyyy")</f>
        <v>2025</v>
      </c>
      <c r="AE291">
        <f t="shared" si="72"/>
        <v>8693.3799999999992</v>
      </c>
      <c r="AF291" s="11">
        <f t="shared" si="73"/>
        <v>8258.7109999999993</v>
      </c>
      <c r="AG291">
        <f t="shared" si="74"/>
        <v>1674.4099999999989</v>
      </c>
      <c r="AH291" s="11">
        <f t="shared" si="75"/>
        <v>0.19260747833408859</v>
      </c>
      <c r="AI291" s="9">
        <f t="shared" si="76"/>
        <v>0.19260747833408859</v>
      </c>
      <c r="AJ291">
        <f t="shared" si="77"/>
        <v>8258.7099999999991</v>
      </c>
      <c r="AK291">
        <f t="shared" si="78"/>
        <v>1</v>
      </c>
      <c r="AL291">
        <f t="shared" si="79"/>
        <v>0</v>
      </c>
      <c r="AM291">
        <f t="shared" si="80"/>
        <v>0</v>
      </c>
      <c r="AN291">
        <f t="shared" si="81"/>
        <v>0</v>
      </c>
      <c r="AO291">
        <f t="shared" si="82"/>
        <v>0</v>
      </c>
      <c r="AP291">
        <f t="shared" si="83"/>
        <v>0</v>
      </c>
      <c r="AQ291">
        <f t="shared" si="84"/>
        <v>0</v>
      </c>
    </row>
    <row r="292" spans="1:43">
      <c r="A292" t="s">
        <v>975</v>
      </c>
      <c r="B292" s="5">
        <v>45891</v>
      </c>
      <c r="C292" s="5">
        <v>45895</v>
      </c>
      <c r="D292" s="13">
        <f t="shared" si="68"/>
        <v>4</v>
      </c>
      <c r="E292" t="s">
        <v>976</v>
      </c>
      <c r="F292" t="s">
        <v>162</v>
      </c>
      <c r="G292" t="s">
        <v>95</v>
      </c>
      <c r="H292" t="s">
        <v>38</v>
      </c>
      <c r="I292" t="s">
        <v>228</v>
      </c>
      <c r="J292" t="s">
        <v>229</v>
      </c>
      <c r="K292" t="s">
        <v>41</v>
      </c>
      <c r="L292" t="s">
        <v>42</v>
      </c>
      <c r="M292" t="s">
        <v>977</v>
      </c>
      <c r="N292" t="s">
        <v>59</v>
      </c>
      <c r="O292">
        <v>1</v>
      </c>
      <c r="P292">
        <v>1842.63</v>
      </c>
      <c r="Q292" s="11">
        <v>0.1</v>
      </c>
      <c r="R292">
        <v>1658.37</v>
      </c>
      <c r="S292">
        <v>971.12</v>
      </c>
      <c r="T292">
        <v>687.25</v>
      </c>
      <c r="U292" t="s">
        <v>32</v>
      </c>
      <c r="V292" t="s">
        <v>33</v>
      </c>
      <c r="X292" s="8" t="str">
        <f>IF(C292&gt;=B292,"Valid", "Invalid-Date")</f>
        <v>Valid</v>
      </c>
      <c r="Y292" s="8" t="str">
        <f t="shared" si="69"/>
        <v>Valid</v>
      </c>
      <c r="Z292" s="8" t="str">
        <f t="shared" si="70"/>
        <v>Pass</v>
      </c>
      <c r="AA292" s="8" t="str">
        <f t="shared" si="71"/>
        <v>Pass</v>
      </c>
      <c r="AB292" s="8" t="str">
        <f>TEXT(B292,"mmmm")</f>
        <v>August</v>
      </c>
      <c r="AC292" s="8" t="str">
        <f>TEXT(B292,"yyyy")</f>
        <v>2025</v>
      </c>
      <c r="AE292">
        <f t="shared" si="72"/>
        <v>1842.63</v>
      </c>
      <c r="AF292" s="11">
        <f t="shared" si="73"/>
        <v>1658.3670000000002</v>
      </c>
      <c r="AG292">
        <f t="shared" si="74"/>
        <v>871.5100000000001</v>
      </c>
      <c r="AH292" s="11">
        <f t="shared" si="75"/>
        <v>0.47297069948931691</v>
      </c>
      <c r="AI292" s="9">
        <f t="shared" si="76"/>
        <v>0.47297069948931691</v>
      </c>
      <c r="AJ292">
        <f t="shared" si="77"/>
        <v>1658.37</v>
      </c>
      <c r="AK292">
        <f t="shared" si="78"/>
        <v>1</v>
      </c>
      <c r="AL292">
        <f t="shared" si="79"/>
        <v>0</v>
      </c>
      <c r="AM292">
        <f t="shared" si="80"/>
        <v>0</v>
      </c>
      <c r="AN292">
        <f t="shared" si="81"/>
        <v>0</v>
      </c>
      <c r="AO292">
        <f t="shared" si="82"/>
        <v>0</v>
      </c>
      <c r="AP292">
        <f t="shared" si="83"/>
        <v>0</v>
      </c>
      <c r="AQ292">
        <f t="shared" si="84"/>
        <v>0</v>
      </c>
    </row>
    <row r="293" spans="1:43">
      <c r="A293" t="s">
        <v>978</v>
      </c>
      <c r="B293" s="5">
        <v>45416</v>
      </c>
      <c r="C293" s="5">
        <v>45569</v>
      </c>
      <c r="D293" s="13">
        <f t="shared" si="68"/>
        <v>153</v>
      </c>
      <c r="E293" t="s">
        <v>979</v>
      </c>
      <c r="F293" t="s">
        <v>114</v>
      </c>
      <c r="G293" t="s">
        <v>95</v>
      </c>
      <c r="H293" t="s">
        <v>25</v>
      </c>
      <c r="I293" t="s">
        <v>26</v>
      </c>
      <c r="J293" t="s">
        <v>27</v>
      </c>
      <c r="K293" t="s">
        <v>28</v>
      </c>
      <c r="L293" t="s">
        <v>153</v>
      </c>
      <c r="M293" t="s">
        <v>980</v>
      </c>
      <c r="N293" t="s">
        <v>59</v>
      </c>
      <c r="O293">
        <v>4</v>
      </c>
      <c r="P293">
        <v>3228.66</v>
      </c>
      <c r="Q293" s="11">
        <v>0.25</v>
      </c>
      <c r="R293">
        <v>9685.98</v>
      </c>
      <c r="S293">
        <v>7730.04</v>
      </c>
      <c r="T293">
        <v>1955.94</v>
      </c>
      <c r="U293" t="s">
        <v>32</v>
      </c>
      <c r="V293" t="s">
        <v>33</v>
      </c>
      <c r="X293" s="8" t="str">
        <f>IF(C293&gt;=B293,"Valid", "Invalid-Date")</f>
        <v>Valid</v>
      </c>
      <c r="Y293" s="8" t="str">
        <f t="shared" si="69"/>
        <v>Valid</v>
      </c>
      <c r="Z293" s="8" t="str">
        <f t="shared" si="70"/>
        <v>Pass</v>
      </c>
      <c r="AA293" s="8" t="str">
        <f t="shared" si="71"/>
        <v>Pass</v>
      </c>
      <c r="AB293" s="8" t="str">
        <f>TEXT(B293,"mmmm")</f>
        <v>May</v>
      </c>
      <c r="AC293" s="8" t="str">
        <f>TEXT(B293,"yyyy")</f>
        <v>2024</v>
      </c>
      <c r="AE293">
        <f t="shared" si="72"/>
        <v>12914.64</v>
      </c>
      <c r="AF293" s="11">
        <f t="shared" si="73"/>
        <v>9685.98</v>
      </c>
      <c r="AG293">
        <f t="shared" si="74"/>
        <v>5184.5999999999995</v>
      </c>
      <c r="AH293" s="11">
        <f t="shared" si="75"/>
        <v>0.40145137611269072</v>
      </c>
      <c r="AI293" s="9">
        <f t="shared" si="76"/>
        <v>0.40145137611269072</v>
      </c>
      <c r="AJ293">
        <f t="shared" si="77"/>
        <v>9685.98</v>
      </c>
      <c r="AK293">
        <f t="shared" si="78"/>
        <v>1</v>
      </c>
      <c r="AL293">
        <f t="shared" si="79"/>
        <v>0</v>
      </c>
      <c r="AM293">
        <f t="shared" si="80"/>
        <v>0</v>
      </c>
      <c r="AN293">
        <f t="shared" si="81"/>
        <v>0</v>
      </c>
      <c r="AO293">
        <f t="shared" si="82"/>
        <v>0</v>
      </c>
      <c r="AP293">
        <f t="shared" si="83"/>
        <v>0</v>
      </c>
      <c r="AQ293">
        <f t="shared" si="84"/>
        <v>0</v>
      </c>
    </row>
    <row r="294" spans="1:43">
      <c r="A294" t="s">
        <v>981</v>
      </c>
      <c r="B294" s="5">
        <v>45716</v>
      </c>
      <c r="C294" s="5">
        <v>45719</v>
      </c>
      <c r="D294" s="13">
        <f t="shared" si="68"/>
        <v>3</v>
      </c>
      <c r="E294" t="s">
        <v>982</v>
      </c>
      <c r="F294" t="s">
        <v>264</v>
      </c>
      <c r="G294" t="s">
        <v>95</v>
      </c>
      <c r="H294" t="s">
        <v>25</v>
      </c>
      <c r="I294" t="s">
        <v>236</v>
      </c>
      <c r="J294" t="s">
        <v>237</v>
      </c>
      <c r="K294" t="s">
        <v>28</v>
      </c>
      <c r="L294" t="s">
        <v>48</v>
      </c>
      <c r="M294" t="s">
        <v>983</v>
      </c>
      <c r="N294" t="s">
        <v>44</v>
      </c>
      <c r="O294">
        <v>9</v>
      </c>
      <c r="P294">
        <v>3748.95</v>
      </c>
      <c r="Q294" s="11">
        <v>0</v>
      </c>
      <c r="R294">
        <v>33740.550000000003</v>
      </c>
      <c r="S294">
        <v>24621.89</v>
      </c>
      <c r="T294">
        <v>9118.66</v>
      </c>
      <c r="U294" t="s">
        <v>111</v>
      </c>
      <c r="V294" t="s">
        <v>68</v>
      </c>
      <c r="X294" s="8" t="str">
        <f>IF(C294&gt;=B294,"Valid", "Invalid-Date")</f>
        <v>Valid</v>
      </c>
      <c r="Y294" s="8" t="str">
        <f t="shared" si="69"/>
        <v>Valid</v>
      </c>
      <c r="Z294" s="8" t="str">
        <f t="shared" si="70"/>
        <v>Pass</v>
      </c>
      <c r="AA294" s="8" t="str">
        <f t="shared" si="71"/>
        <v>Pass</v>
      </c>
      <c r="AB294" s="8" t="str">
        <f>TEXT(B294,"mmmm")</f>
        <v>February</v>
      </c>
      <c r="AC294" s="8" t="str">
        <f>TEXT(B294,"yyyy")</f>
        <v>2025</v>
      </c>
      <c r="AE294">
        <f t="shared" si="72"/>
        <v>33740.549999999996</v>
      </c>
      <c r="AF294" s="11">
        <f t="shared" si="73"/>
        <v>33740.549999999996</v>
      </c>
      <c r="AG294">
        <f t="shared" si="74"/>
        <v>9118.6599999999962</v>
      </c>
      <c r="AH294" s="11">
        <f t="shared" si="75"/>
        <v>0.2702581908119458</v>
      </c>
      <c r="AI294" s="9">
        <f t="shared" si="76"/>
        <v>0.2702581908119458</v>
      </c>
      <c r="AJ294">
        <f t="shared" si="77"/>
        <v>0</v>
      </c>
      <c r="AK294">
        <f t="shared" si="78"/>
        <v>0</v>
      </c>
      <c r="AL294">
        <f t="shared" si="79"/>
        <v>33740.550000000003</v>
      </c>
      <c r="AM294">
        <f t="shared" si="80"/>
        <v>1</v>
      </c>
      <c r="AN294">
        <f t="shared" si="81"/>
        <v>0</v>
      </c>
      <c r="AO294">
        <f t="shared" si="82"/>
        <v>0</v>
      </c>
      <c r="AP294">
        <f t="shared" si="83"/>
        <v>0</v>
      </c>
      <c r="AQ294">
        <f t="shared" si="84"/>
        <v>0</v>
      </c>
    </row>
    <row r="295" spans="1:43">
      <c r="A295" t="s">
        <v>984</v>
      </c>
      <c r="B295" s="5">
        <v>45476</v>
      </c>
      <c r="C295" s="5">
        <v>45362</v>
      </c>
      <c r="D295" s="13">
        <f t="shared" si="68"/>
        <v>-114</v>
      </c>
      <c r="E295" t="s">
        <v>985</v>
      </c>
      <c r="F295" t="s">
        <v>53</v>
      </c>
      <c r="G295" t="s">
        <v>95</v>
      </c>
      <c r="H295" t="s">
        <v>54</v>
      </c>
      <c r="I295" t="s">
        <v>55</v>
      </c>
      <c r="J295" t="s">
        <v>56</v>
      </c>
      <c r="K295" t="s">
        <v>74</v>
      </c>
      <c r="L295" t="s">
        <v>171</v>
      </c>
      <c r="M295" t="s">
        <v>986</v>
      </c>
      <c r="N295" t="s">
        <v>50</v>
      </c>
      <c r="O295">
        <v>2</v>
      </c>
      <c r="P295">
        <v>4401.51</v>
      </c>
      <c r="Q295" s="11">
        <v>0.65</v>
      </c>
      <c r="R295">
        <v>8362.8700000000008</v>
      </c>
      <c r="S295">
        <v>6541.04</v>
      </c>
      <c r="T295">
        <v>1821.83</v>
      </c>
      <c r="U295" t="s">
        <v>32</v>
      </c>
      <c r="V295" t="s">
        <v>33</v>
      </c>
      <c r="X295" s="8" t="str">
        <f>IF(C295&gt;=B295,"Valid", "Invalid-Date")</f>
        <v>Invalid-Date</v>
      </c>
      <c r="Y295" s="8" t="str">
        <f t="shared" si="69"/>
        <v>Invalid-Discount</v>
      </c>
      <c r="Z295" s="8" t="str">
        <f t="shared" si="70"/>
        <v>Pass</v>
      </c>
      <c r="AA295" s="8" t="str">
        <f t="shared" si="71"/>
        <v>Pass</v>
      </c>
      <c r="AB295" s="8" t="str">
        <f>TEXT(B295,"mmmm")</f>
        <v>July</v>
      </c>
      <c r="AC295" s="8" t="str">
        <f>TEXT(B295,"yyyy")</f>
        <v>2024</v>
      </c>
      <c r="AE295">
        <f t="shared" si="72"/>
        <v>8803.02</v>
      </c>
      <c r="AF295" s="11">
        <f t="shared" si="73"/>
        <v>3081.0569999999998</v>
      </c>
      <c r="AG295">
        <f t="shared" si="74"/>
        <v>2261.9800000000005</v>
      </c>
      <c r="AH295" s="11">
        <f t="shared" si="75"/>
        <v>0.25695499953425077</v>
      </c>
      <c r="AI295" s="9">
        <f t="shared" si="76"/>
        <v>0.25695499953425077</v>
      </c>
      <c r="AJ295">
        <f t="shared" si="77"/>
        <v>8362.8700000000008</v>
      </c>
      <c r="AK295">
        <f t="shared" si="78"/>
        <v>1</v>
      </c>
      <c r="AL295">
        <f t="shared" si="79"/>
        <v>0</v>
      </c>
      <c r="AM295">
        <f t="shared" si="80"/>
        <v>0</v>
      </c>
      <c r="AN295">
        <f t="shared" si="81"/>
        <v>0</v>
      </c>
      <c r="AO295">
        <f t="shared" si="82"/>
        <v>0</v>
      </c>
      <c r="AP295">
        <f t="shared" si="83"/>
        <v>0</v>
      </c>
      <c r="AQ295">
        <f t="shared" si="84"/>
        <v>0</v>
      </c>
    </row>
    <row r="296" spans="1:43">
      <c r="A296" t="s">
        <v>987</v>
      </c>
      <c r="B296" s="5">
        <v>45854</v>
      </c>
      <c r="C296" s="5">
        <v>45860</v>
      </c>
      <c r="D296" s="13">
        <f t="shared" si="68"/>
        <v>6</v>
      </c>
      <c r="E296" t="s">
        <v>988</v>
      </c>
      <c r="F296" t="s">
        <v>114</v>
      </c>
      <c r="G296" t="s">
        <v>24</v>
      </c>
      <c r="H296" t="s">
        <v>38</v>
      </c>
      <c r="I296" t="s">
        <v>39</v>
      </c>
      <c r="J296" t="s">
        <v>40</v>
      </c>
      <c r="K296" t="s">
        <v>74</v>
      </c>
      <c r="L296" t="s">
        <v>171</v>
      </c>
      <c r="M296" t="s">
        <v>989</v>
      </c>
      <c r="N296" t="s">
        <v>31</v>
      </c>
      <c r="O296">
        <v>6</v>
      </c>
      <c r="P296">
        <v>4159.33</v>
      </c>
      <c r="Q296" s="11">
        <v>0.25</v>
      </c>
      <c r="R296">
        <v>18716.990000000002</v>
      </c>
      <c r="S296">
        <v>12282.43</v>
      </c>
      <c r="T296">
        <v>6434.56</v>
      </c>
      <c r="U296" t="s">
        <v>32</v>
      </c>
      <c r="V296" t="s">
        <v>103</v>
      </c>
      <c r="X296" s="8" t="str">
        <f>IF(C296&gt;=B296,"Valid", "Invalid-Date")</f>
        <v>Valid</v>
      </c>
      <c r="Y296" s="8" t="str">
        <f t="shared" si="69"/>
        <v>Valid</v>
      </c>
      <c r="Z296" s="8" t="str">
        <f t="shared" si="70"/>
        <v>Pass</v>
      </c>
      <c r="AA296" s="8" t="str">
        <f t="shared" si="71"/>
        <v>Pass</v>
      </c>
      <c r="AB296" s="8" t="str">
        <f>TEXT(B296,"mmmm")</f>
        <v>July</v>
      </c>
      <c r="AC296" s="8" t="str">
        <f>TEXT(B296,"yyyy")</f>
        <v>2025</v>
      </c>
      <c r="AE296">
        <f t="shared" si="72"/>
        <v>24955.98</v>
      </c>
      <c r="AF296" s="11">
        <f t="shared" si="73"/>
        <v>18716.985000000001</v>
      </c>
      <c r="AG296">
        <f t="shared" si="74"/>
        <v>12673.55</v>
      </c>
      <c r="AH296" s="11">
        <f t="shared" si="75"/>
        <v>0.50783619797739854</v>
      </c>
      <c r="AI296" s="9">
        <f t="shared" si="76"/>
        <v>0.50783619797739854</v>
      </c>
      <c r="AJ296">
        <f t="shared" si="77"/>
        <v>0</v>
      </c>
      <c r="AK296">
        <f t="shared" si="78"/>
        <v>0</v>
      </c>
      <c r="AL296">
        <f t="shared" si="79"/>
        <v>0</v>
      </c>
      <c r="AM296">
        <f t="shared" si="80"/>
        <v>0</v>
      </c>
      <c r="AN296">
        <f t="shared" si="81"/>
        <v>0</v>
      </c>
      <c r="AO296">
        <f t="shared" si="82"/>
        <v>0</v>
      </c>
      <c r="AP296">
        <f t="shared" si="83"/>
        <v>18716.990000000002</v>
      </c>
      <c r="AQ296">
        <f t="shared" si="84"/>
        <v>1</v>
      </c>
    </row>
    <row r="297" spans="1:43">
      <c r="A297" t="s">
        <v>990</v>
      </c>
      <c r="B297" s="5">
        <v>45833</v>
      </c>
      <c r="C297" s="5">
        <v>45836</v>
      </c>
      <c r="D297" s="13">
        <f t="shared" si="68"/>
        <v>3</v>
      </c>
      <c r="E297" t="s">
        <v>991</v>
      </c>
      <c r="F297" t="s">
        <v>89</v>
      </c>
      <c r="G297" t="s">
        <v>37</v>
      </c>
      <c r="H297" t="s">
        <v>38</v>
      </c>
      <c r="I297" t="s">
        <v>166</v>
      </c>
      <c r="J297" t="s">
        <v>167</v>
      </c>
      <c r="K297" t="s">
        <v>28</v>
      </c>
      <c r="L297" t="s">
        <v>153</v>
      </c>
      <c r="M297" t="s">
        <v>992</v>
      </c>
      <c r="N297" t="s">
        <v>59</v>
      </c>
      <c r="O297">
        <v>3</v>
      </c>
      <c r="P297">
        <v>3476.05</v>
      </c>
      <c r="Q297" s="11">
        <v>0.1</v>
      </c>
      <c r="R297">
        <v>9385.34</v>
      </c>
      <c r="S297">
        <v>5828.54</v>
      </c>
      <c r="T297">
        <v>3556.8</v>
      </c>
      <c r="U297" t="s">
        <v>32</v>
      </c>
      <c r="V297" t="s">
        <v>33</v>
      </c>
      <c r="X297" s="8" t="str">
        <f>IF(C297&gt;=B297,"Valid", "Invalid-Date")</f>
        <v>Valid</v>
      </c>
      <c r="Y297" s="8" t="str">
        <f t="shared" si="69"/>
        <v>Valid</v>
      </c>
      <c r="Z297" s="8" t="str">
        <f t="shared" si="70"/>
        <v>Pass</v>
      </c>
      <c r="AA297" s="8" t="str">
        <f t="shared" si="71"/>
        <v>Pass</v>
      </c>
      <c r="AB297" s="8" t="str">
        <f>TEXT(B297,"mmmm")</f>
        <v>June</v>
      </c>
      <c r="AC297" s="8" t="str">
        <f>TEXT(B297,"yyyy")</f>
        <v>2025</v>
      </c>
      <c r="AE297">
        <f t="shared" si="72"/>
        <v>10428.150000000001</v>
      </c>
      <c r="AF297" s="11">
        <f t="shared" si="73"/>
        <v>9385.3350000000009</v>
      </c>
      <c r="AG297">
        <f t="shared" si="74"/>
        <v>4599.6100000000015</v>
      </c>
      <c r="AH297" s="11">
        <f t="shared" si="75"/>
        <v>0.44107631746762377</v>
      </c>
      <c r="AI297" s="9">
        <f t="shared" si="76"/>
        <v>0.44107631746762377</v>
      </c>
      <c r="AJ297">
        <f t="shared" si="77"/>
        <v>9385.34</v>
      </c>
      <c r="AK297">
        <f t="shared" si="78"/>
        <v>1</v>
      </c>
      <c r="AL297">
        <f t="shared" si="79"/>
        <v>0</v>
      </c>
      <c r="AM297">
        <f t="shared" si="80"/>
        <v>0</v>
      </c>
      <c r="AN297">
        <f t="shared" si="81"/>
        <v>0</v>
      </c>
      <c r="AO297">
        <f t="shared" si="82"/>
        <v>0</v>
      </c>
      <c r="AP297">
        <f t="shared" si="83"/>
        <v>0</v>
      </c>
      <c r="AQ297">
        <f t="shared" si="84"/>
        <v>0</v>
      </c>
    </row>
    <row r="298" spans="1:43">
      <c r="A298" t="s">
        <v>993</v>
      </c>
      <c r="B298" s="5">
        <v>45801</v>
      </c>
      <c r="C298" s="5">
        <v>45803</v>
      </c>
      <c r="D298" s="13">
        <f t="shared" si="68"/>
        <v>2</v>
      </c>
      <c r="E298" t="s">
        <v>994</v>
      </c>
      <c r="F298" t="s">
        <v>89</v>
      </c>
      <c r="G298" t="s">
        <v>95</v>
      </c>
      <c r="H298" t="s">
        <v>25</v>
      </c>
      <c r="I298" t="s">
        <v>236</v>
      </c>
      <c r="J298" t="s">
        <v>237</v>
      </c>
      <c r="K298" t="s">
        <v>41</v>
      </c>
      <c r="L298" t="s">
        <v>57</v>
      </c>
      <c r="M298" t="s">
        <v>995</v>
      </c>
      <c r="N298" t="s">
        <v>44</v>
      </c>
      <c r="O298">
        <v>6</v>
      </c>
      <c r="P298">
        <v>3495.41</v>
      </c>
      <c r="Q298" s="11">
        <v>0.15</v>
      </c>
      <c r="R298">
        <v>17826.59</v>
      </c>
      <c r="S298">
        <v>10855.35</v>
      </c>
      <c r="T298">
        <v>6971.24</v>
      </c>
      <c r="U298" t="s">
        <v>32</v>
      </c>
      <c r="V298" t="s">
        <v>33</v>
      </c>
      <c r="X298" s="8" t="str">
        <f>IF(C298&gt;=B298,"Valid", "Invalid-Date")</f>
        <v>Valid</v>
      </c>
      <c r="Y298" s="8" t="str">
        <f t="shared" si="69"/>
        <v>Valid</v>
      </c>
      <c r="Z298" s="8" t="str">
        <f t="shared" si="70"/>
        <v>Pass</v>
      </c>
      <c r="AA298" s="8" t="str">
        <f t="shared" si="71"/>
        <v>Pass</v>
      </c>
      <c r="AB298" s="8" t="str">
        <f>TEXT(B298,"mmmm")</f>
        <v>May</v>
      </c>
      <c r="AC298" s="8" t="str">
        <f>TEXT(B298,"yyyy")</f>
        <v>2025</v>
      </c>
      <c r="AE298">
        <f t="shared" si="72"/>
        <v>20972.46</v>
      </c>
      <c r="AF298" s="11">
        <f t="shared" si="73"/>
        <v>17826.591</v>
      </c>
      <c r="AG298">
        <f t="shared" si="74"/>
        <v>10117.109999999999</v>
      </c>
      <c r="AH298" s="11">
        <f t="shared" si="75"/>
        <v>0.48239977570585418</v>
      </c>
      <c r="AI298" s="9">
        <f t="shared" si="76"/>
        <v>0.48239977570585418</v>
      </c>
      <c r="AJ298">
        <f t="shared" si="77"/>
        <v>17826.59</v>
      </c>
      <c r="AK298">
        <f t="shared" si="78"/>
        <v>1</v>
      </c>
      <c r="AL298">
        <f t="shared" si="79"/>
        <v>0</v>
      </c>
      <c r="AM298">
        <f t="shared" si="80"/>
        <v>0</v>
      </c>
      <c r="AN298">
        <f t="shared" si="81"/>
        <v>0</v>
      </c>
      <c r="AO298">
        <f t="shared" si="82"/>
        <v>0</v>
      </c>
      <c r="AP298">
        <f t="shared" si="83"/>
        <v>0</v>
      </c>
      <c r="AQ298">
        <f t="shared" si="84"/>
        <v>0</v>
      </c>
    </row>
    <row r="299" spans="1:43">
      <c r="A299" t="s">
        <v>996</v>
      </c>
      <c r="B299" s="5">
        <v>45594</v>
      </c>
      <c r="C299" s="5">
        <v>45602</v>
      </c>
      <c r="D299" s="13">
        <f t="shared" si="68"/>
        <v>8</v>
      </c>
      <c r="E299" t="s">
        <v>997</v>
      </c>
      <c r="F299" t="s">
        <v>132</v>
      </c>
      <c r="G299" t="s">
        <v>90</v>
      </c>
      <c r="H299" t="s">
        <v>54</v>
      </c>
      <c r="I299" t="s">
        <v>247</v>
      </c>
      <c r="J299" t="s">
        <v>248</v>
      </c>
      <c r="K299" t="s">
        <v>74</v>
      </c>
      <c r="L299" t="s">
        <v>80</v>
      </c>
      <c r="M299" t="s">
        <v>998</v>
      </c>
      <c r="N299" t="s">
        <v>44</v>
      </c>
      <c r="O299">
        <v>6</v>
      </c>
      <c r="P299">
        <v>1169.92</v>
      </c>
      <c r="Q299" s="11">
        <v>0.15</v>
      </c>
      <c r="R299">
        <v>5966.59</v>
      </c>
      <c r="S299">
        <v>3994.72</v>
      </c>
      <c r="T299">
        <v>1971.87</v>
      </c>
      <c r="U299" t="s">
        <v>32</v>
      </c>
      <c r="V299" t="s">
        <v>33</v>
      </c>
      <c r="X299" s="8" t="str">
        <f>IF(C299&gt;=B299,"Valid", "Invalid-Date")</f>
        <v>Valid</v>
      </c>
      <c r="Y299" s="8" t="str">
        <f t="shared" si="69"/>
        <v>Valid</v>
      </c>
      <c r="Z299" s="8" t="str">
        <f t="shared" si="70"/>
        <v>Pass</v>
      </c>
      <c r="AA299" s="8" t="str">
        <f t="shared" si="71"/>
        <v>Pass</v>
      </c>
      <c r="AB299" s="8" t="str">
        <f>TEXT(B299,"mmmm")</f>
        <v>October</v>
      </c>
      <c r="AC299" s="8" t="str">
        <f>TEXT(B299,"yyyy")</f>
        <v>2024</v>
      </c>
      <c r="AE299">
        <f t="shared" si="72"/>
        <v>7019.52</v>
      </c>
      <c r="AF299" s="11">
        <f t="shared" si="73"/>
        <v>5966.5920000000006</v>
      </c>
      <c r="AG299">
        <f t="shared" si="74"/>
        <v>3024.8000000000006</v>
      </c>
      <c r="AH299" s="11">
        <f t="shared" si="75"/>
        <v>0.43091265499635312</v>
      </c>
      <c r="AI299" s="9">
        <f t="shared" si="76"/>
        <v>0.43091265499635312</v>
      </c>
      <c r="AJ299">
        <f t="shared" si="77"/>
        <v>5966.59</v>
      </c>
      <c r="AK299">
        <f t="shared" si="78"/>
        <v>1</v>
      </c>
      <c r="AL299">
        <f t="shared" si="79"/>
        <v>0</v>
      </c>
      <c r="AM299">
        <f t="shared" si="80"/>
        <v>0</v>
      </c>
      <c r="AN299">
        <f t="shared" si="81"/>
        <v>0</v>
      </c>
      <c r="AO299">
        <f t="shared" si="82"/>
        <v>0</v>
      </c>
      <c r="AP299">
        <f t="shared" si="83"/>
        <v>0</v>
      </c>
      <c r="AQ299">
        <f t="shared" si="84"/>
        <v>0</v>
      </c>
    </row>
    <row r="300" spans="1:43">
      <c r="A300" t="s">
        <v>999</v>
      </c>
      <c r="B300" s="5">
        <v>45680</v>
      </c>
      <c r="C300" s="5">
        <v>45683</v>
      </c>
      <c r="D300" s="13">
        <f t="shared" si="68"/>
        <v>3</v>
      </c>
      <c r="E300" t="s">
        <v>1000</v>
      </c>
      <c r="F300" t="s">
        <v>47</v>
      </c>
      <c r="G300" t="s">
        <v>24</v>
      </c>
      <c r="H300" t="s">
        <v>54</v>
      </c>
      <c r="I300" t="s">
        <v>185</v>
      </c>
      <c r="J300" t="s">
        <v>186</v>
      </c>
      <c r="K300" t="s">
        <v>74</v>
      </c>
      <c r="L300" t="s">
        <v>80</v>
      </c>
      <c r="M300" t="s">
        <v>1001</v>
      </c>
      <c r="N300" t="s">
        <v>50</v>
      </c>
      <c r="O300">
        <v>7</v>
      </c>
      <c r="P300">
        <v>348.49</v>
      </c>
      <c r="Q300" s="11">
        <v>0.2</v>
      </c>
      <c r="R300">
        <v>1951.54</v>
      </c>
      <c r="S300">
        <v>1609.95</v>
      </c>
      <c r="T300">
        <v>341.59</v>
      </c>
      <c r="U300" t="s">
        <v>155</v>
      </c>
      <c r="V300" t="s">
        <v>103</v>
      </c>
      <c r="X300" s="8" t="str">
        <f>IF(C300&gt;=B300,"Valid", "Invalid-Date")</f>
        <v>Valid</v>
      </c>
      <c r="Y300" s="8" t="str">
        <f t="shared" si="69"/>
        <v>Valid</v>
      </c>
      <c r="Z300" s="8" t="str">
        <f t="shared" si="70"/>
        <v>Pass</v>
      </c>
      <c r="AA300" s="8" t="str">
        <f t="shared" si="71"/>
        <v>Pass</v>
      </c>
      <c r="AB300" s="8" t="str">
        <f>TEXT(B300,"mmmm")</f>
        <v>January</v>
      </c>
      <c r="AC300" s="8" t="str">
        <f>TEXT(B300,"yyyy")</f>
        <v>2025</v>
      </c>
      <c r="AE300">
        <f t="shared" si="72"/>
        <v>2439.4300000000003</v>
      </c>
      <c r="AF300" s="11">
        <f t="shared" si="73"/>
        <v>1951.5440000000003</v>
      </c>
      <c r="AG300">
        <f t="shared" si="74"/>
        <v>829.48000000000025</v>
      </c>
      <c r="AH300" s="11">
        <f t="shared" si="75"/>
        <v>0.3400302529689313</v>
      </c>
      <c r="AI300" s="9">
        <f t="shared" si="76"/>
        <v>0.3400302529689313</v>
      </c>
      <c r="AJ300">
        <f t="shared" si="77"/>
        <v>0</v>
      </c>
      <c r="AK300">
        <f t="shared" si="78"/>
        <v>0</v>
      </c>
      <c r="AL300">
        <f t="shared" si="79"/>
        <v>0</v>
      </c>
      <c r="AM300">
        <f t="shared" si="80"/>
        <v>0</v>
      </c>
      <c r="AN300">
        <f t="shared" si="81"/>
        <v>1951.54</v>
      </c>
      <c r="AO300">
        <f t="shared" si="82"/>
        <v>1</v>
      </c>
      <c r="AP300">
        <f t="shared" si="83"/>
        <v>1951.54</v>
      </c>
      <c r="AQ300">
        <f t="shared" si="84"/>
        <v>1</v>
      </c>
    </row>
    <row r="301" spans="1:43">
      <c r="A301" t="s">
        <v>1002</v>
      </c>
      <c r="B301" s="5">
        <v>45602</v>
      </c>
      <c r="C301" s="5">
        <v>45637</v>
      </c>
      <c r="D301" s="13">
        <f t="shared" si="68"/>
        <v>35</v>
      </c>
      <c r="E301" t="s">
        <v>1003</v>
      </c>
      <c r="F301" t="s">
        <v>118</v>
      </c>
      <c r="G301" t="s">
        <v>37</v>
      </c>
      <c r="H301" t="s">
        <v>63</v>
      </c>
      <c r="I301" t="s">
        <v>180</v>
      </c>
      <c r="J301" t="s">
        <v>181</v>
      </c>
      <c r="K301" t="s">
        <v>74</v>
      </c>
      <c r="L301" t="s">
        <v>75</v>
      </c>
      <c r="M301" t="s">
        <v>1004</v>
      </c>
      <c r="N301" t="s">
        <v>59</v>
      </c>
      <c r="O301">
        <v>7</v>
      </c>
      <c r="P301">
        <v>1719.05</v>
      </c>
      <c r="Q301" s="11">
        <v>0.1</v>
      </c>
      <c r="R301">
        <v>10830.02</v>
      </c>
      <c r="S301">
        <v>7055.31</v>
      </c>
      <c r="T301">
        <v>3774.71</v>
      </c>
      <c r="U301" t="s">
        <v>32</v>
      </c>
      <c r="V301" t="s">
        <v>33</v>
      </c>
      <c r="X301" s="8" t="str">
        <f>IF(C301&gt;=B301,"Valid", "Invalid-Date")</f>
        <v>Valid</v>
      </c>
      <c r="Y301" s="8" t="str">
        <f t="shared" si="69"/>
        <v>Valid</v>
      </c>
      <c r="Z301" s="8" t="str">
        <f t="shared" si="70"/>
        <v>Pass</v>
      </c>
      <c r="AA301" s="8" t="str">
        <f t="shared" si="71"/>
        <v>Pass</v>
      </c>
      <c r="AB301" s="8" t="str">
        <f>TEXT(B301,"mmmm")</f>
        <v>November</v>
      </c>
      <c r="AC301" s="8" t="str">
        <f>TEXT(B301,"yyyy")</f>
        <v>2024</v>
      </c>
      <c r="AE301">
        <f t="shared" si="72"/>
        <v>12033.35</v>
      </c>
      <c r="AF301" s="11">
        <f t="shared" si="73"/>
        <v>10830.015000000001</v>
      </c>
      <c r="AG301">
        <f t="shared" si="74"/>
        <v>4978.04</v>
      </c>
      <c r="AH301" s="11">
        <f t="shared" si="75"/>
        <v>0.41368696165240765</v>
      </c>
      <c r="AI301" s="9">
        <f t="shared" si="76"/>
        <v>0.41368696165240765</v>
      </c>
      <c r="AJ301">
        <f t="shared" si="77"/>
        <v>10830.02</v>
      </c>
      <c r="AK301">
        <f t="shared" si="78"/>
        <v>1</v>
      </c>
      <c r="AL301">
        <f t="shared" si="79"/>
        <v>0</v>
      </c>
      <c r="AM301">
        <f t="shared" si="80"/>
        <v>0</v>
      </c>
      <c r="AN301">
        <f t="shared" si="81"/>
        <v>0</v>
      </c>
      <c r="AO301">
        <f t="shared" si="82"/>
        <v>0</v>
      </c>
      <c r="AP301">
        <f t="shared" si="83"/>
        <v>0</v>
      </c>
      <c r="AQ301">
        <f t="shared" si="84"/>
        <v>0</v>
      </c>
    </row>
    <row r="302" spans="1:43">
      <c r="A302" t="s">
        <v>1005</v>
      </c>
      <c r="B302" s="5">
        <v>45397</v>
      </c>
      <c r="C302" s="5">
        <v>45405</v>
      </c>
      <c r="D302" s="13">
        <f t="shared" si="68"/>
        <v>8</v>
      </c>
      <c r="E302" t="s">
        <v>1006</v>
      </c>
      <c r="F302" t="s">
        <v>162</v>
      </c>
      <c r="G302" t="s">
        <v>37</v>
      </c>
      <c r="H302" t="s">
        <v>25</v>
      </c>
      <c r="I302" t="s">
        <v>122</v>
      </c>
      <c r="J302" t="s">
        <v>123</v>
      </c>
      <c r="K302" t="s">
        <v>74</v>
      </c>
      <c r="L302" t="s">
        <v>75</v>
      </c>
      <c r="M302" t="s">
        <v>1007</v>
      </c>
      <c r="N302" t="s">
        <v>31</v>
      </c>
      <c r="O302">
        <v>9</v>
      </c>
      <c r="P302">
        <v>3893.74</v>
      </c>
      <c r="Q302" s="11">
        <v>0.1</v>
      </c>
      <c r="R302">
        <v>31539.29</v>
      </c>
      <c r="S302">
        <v>22100.14</v>
      </c>
      <c r="T302">
        <v>9439.15</v>
      </c>
      <c r="U302" t="s">
        <v>32</v>
      </c>
      <c r="V302" t="s">
        <v>33</v>
      </c>
      <c r="X302" s="8" t="str">
        <f>IF(C302&gt;=B302,"Valid", "Invalid-Date")</f>
        <v>Valid</v>
      </c>
      <c r="Y302" s="8" t="str">
        <f t="shared" si="69"/>
        <v>Valid</v>
      </c>
      <c r="Z302" s="8" t="str">
        <f t="shared" si="70"/>
        <v>Pass</v>
      </c>
      <c r="AA302" s="8" t="str">
        <f t="shared" si="71"/>
        <v>Pass</v>
      </c>
      <c r="AB302" s="8" t="str">
        <f>TEXT(B302,"mmmm")</f>
        <v>April</v>
      </c>
      <c r="AC302" s="8" t="str">
        <f>TEXT(B302,"yyyy")</f>
        <v>2024</v>
      </c>
      <c r="AE302">
        <f t="shared" si="72"/>
        <v>35043.659999999996</v>
      </c>
      <c r="AF302" s="11">
        <f t="shared" si="73"/>
        <v>31539.293999999998</v>
      </c>
      <c r="AG302">
        <f t="shared" si="74"/>
        <v>12943.519999999997</v>
      </c>
      <c r="AH302" s="11">
        <f t="shared" si="75"/>
        <v>0.36935411426774484</v>
      </c>
      <c r="AI302" s="9">
        <f t="shared" si="76"/>
        <v>0.36935411426774484</v>
      </c>
      <c r="AJ302">
        <f t="shared" si="77"/>
        <v>31539.29</v>
      </c>
      <c r="AK302">
        <f t="shared" si="78"/>
        <v>1</v>
      </c>
      <c r="AL302">
        <f t="shared" si="79"/>
        <v>0</v>
      </c>
      <c r="AM302">
        <f t="shared" si="80"/>
        <v>0</v>
      </c>
      <c r="AN302">
        <f t="shared" si="81"/>
        <v>0</v>
      </c>
      <c r="AO302">
        <f t="shared" si="82"/>
        <v>0</v>
      </c>
      <c r="AP302">
        <f t="shared" si="83"/>
        <v>0</v>
      </c>
      <c r="AQ302">
        <f t="shared" si="84"/>
        <v>0</v>
      </c>
    </row>
    <row r="303" spans="1:43">
      <c r="A303" t="s">
        <v>1008</v>
      </c>
      <c r="B303" s="5">
        <v>45805</v>
      </c>
      <c r="C303" s="5">
        <v>45809</v>
      </c>
      <c r="D303" s="13">
        <f t="shared" si="68"/>
        <v>4</v>
      </c>
      <c r="E303" t="s">
        <v>1009</v>
      </c>
      <c r="F303" t="s">
        <v>47</v>
      </c>
      <c r="G303" t="s">
        <v>95</v>
      </c>
      <c r="H303" t="s">
        <v>38</v>
      </c>
      <c r="I303" t="s">
        <v>145</v>
      </c>
      <c r="J303" t="s">
        <v>146</v>
      </c>
      <c r="K303" t="s">
        <v>74</v>
      </c>
      <c r="L303" t="s">
        <v>171</v>
      </c>
      <c r="M303" t="s">
        <v>1010</v>
      </c>
      <c r="N303" t="s">
        <v>44</v>
      </c>
      <c r="O303">
        <v>4</v>
      </c>
      <c r="P303">
        <v>1654.11</v>
      </c>
      <c r="Q303" s="11">
        <v>0.05</v>
      </c>
      <c r="R303">
        <v>6285.62</v>
      </c>
      <c r="S303">
        <v>3705.38</v>
      </c>
      <c r="T303">
        <v>2580.2399999999998</v>
      </c>
      <c r="U303" t="s">
        <v>32</v>
      </c>
      <c r="V303" t="s">
        <v>33</v>
      </c>
      <c r="X303" s="8" t="str">
        <f>IF(C303&gt;=B303,"Valid", "Invalid-Date")</f>
        <v>Valid</v>
      </c>
      <c r="Y303" s="8" t="str">
        <f t="shared" si="69"/>
        <v>Valid</v>
      </c>
      <c r="Z303" s="8" t="str">
        <f t="shared" si="70"/>
        <v>Pass</v>
      </c>
      <c r="AA303" s="8" t="str">
        <f t="shared" si="71"/>
        <v>Pass</v>
      </c>
      <c r="AB303" s="8" t="str">
        <f>TEXT(B303,"mmmm")</f>
        <v>May</v>
      </c>
      <c r="AC303" s="8" t="str">
        <f>TEXT(B303,"yyyy")</f>
        <v>2025</v>
      </c>
      <c r="AE303">
        <f t="shared" si="72"/>
        <v>6616.44</v>
      </c>
      <c r="AF303" s="11">
        <f t="shared" si="73"/>
        <v>6285.6179999999995</v>
      </c>
      <c r="AG303">
        <f t="shared" si="74"/>
        <v>2911.0599999999995</v>
      </c>
      <c r="AH303" s="11">
        <f t="shared" si="75"/>
        <v>0.43997376232535923</v>
      </c>
      <c r="AI303" s="9">
        <f t="shared" si="76"/>
        <v>0.43997376232535923</v>
      </c>
      <c r="AJ303">
        <f t="shared" si="77"/>
        <v>6285.62</v>
      </c>
      <c r="AK303">
        <f t="shared" si="78"/>
        <v>1</v>
      </c>
      <c r="AL303">
        <f t="shared" si="79"/>
        <v>0</v>
      </c>
      <c r="AM303">
        <f t="shared" si="80"/>
        <v>0</v>
      </c>
      <c r="AN303">
        <f t="shared" si="81"/>
        <v>0</v>
      </c>
      <c r="AO303">
        <f t="shared" si="82"/>
        <v>0</v>
      </c>
      <c r="AP303">
        <f t="shared" si="83"/>
        <v>0</v>
      </c>
      <c r="AQ303">
        <f t="shared" si="84"/>
        <v>0</v>
      </c>
    </row>
    <row r="304" spans="1:43">
      <c r="A304" t="s">
        <v>1011</v>
      </c>
      <c r="B304" s="5">
        <v>45812</v>
      </c>
      <c r="C304" s="5">
        <v>45997</v>
      </c>
      <c r="D304" s="13">
        <f t="shared" si="68"/>
        <v>185</v>
      </c>
      <c r="E304" t="s">
        <v>1012</v>
      </c>
      <c r="F304" t="s">
        <v>79</v>
      </c>
      <c r="G304" t="s">
        <v>24</v>
      </c>
      <c r="H304" t="s">
        <v>63</v>
      </c>
      <c r="I304" t="s">
        <v>190</v>
      </c>
      <c r="J304" t="s">
        <v>191</v>
      </c>
      <c r="K304" t="s">
        <v>28</v>
      </c>
      <c r="L304" t="s">
        <v>124</v>
      </c>
      <c r="M304" t="s">
        <v>1013</v>
      </c>
      <c r="N304" t="s">
        <v>44</v>
      </c>
      <c r="O304">
        <v>2</v>
      </c>
      <c r="P304">
        <v>2703.28</v>
      </c>
      <c r="Q304" s="11">
        <v>0.25</v>
      </c>
      <c r="R304">
        <v>4054.92</v>
      </c>
      <c r="S304">
        <v>2424.83</v>
      </c>
      <c r="T304">
        <v>1630.09</v>
      </c>
      <c r="U304" t="s">
        <v>32</v>
      </c>
      <c r="V304" t="s">
        <v>33</v>
      </c>
      <c r="X304" s="8" t="str">
        <f>IF(C304&gt;=B304,"Valid", "Invalid-Date")</f>
        <v>Valid</v>
      </c>
      <c r="Y304" s="8" t="str">
        <f t="shared" si="69"/>
        <v>Valid</v>
      </c>
      <c r="Z304" s="8" t="str">
        <f t="shared" si="70"/>
        <v>Pass</v>
      </c>
      <c r="AA304" s="8" t="str">
        <f t="shared" si="71"/>
        <v>Pass</v>
      </c>
      <c r="AB304" s="8" t="str">
        <f>TEXT(B304,"mmmm")</f>
        <v>June</v>
      </c>
      <c r="AC304" s="8" t="str">
        <f>TEXT(B304,"yyyy")</f>
        <v>2025</v>
      </c>
      <c r="AE304">
        <f t="shared" si="72"/>
        <v>5406.56</v>
      </c>
      <c r="AF304" s="11">
        <f t="shared" si="73"/>
        <v>4054.92</v>
      </c>
      <c r="AG304">
        <f t="shared" si="74"/>
        <v>2981.7300000000005</v>
      </c>
      <c r="AH304" s="11">
        <f t="shared" si="75"/>
        <v>0.55150224911958812</v>
      </c>
      <c r="AI304" s="9">
        <f t="shared" si="76"/>
        <v>0.55150224911958812</v>
      </c>
      <c r="AJ304">
        <f t="shared" si="77"/>
        <v>4054.92</v>
      </c>
      <c r="AK304">
        <f t="shared" si="78"/>
        <v>1</v>
      </c>
      <c r="AL304">
        <f t="shared" si="79"/>
        <v>0</v>
      </c>
      <c r="AM304">
        <f t="shared" si="80"/>
        <v>0</v>
      </c>
      <c r="AN304">
        <f t="shared" si="81"/>
        <v>0</v>
      </c>
      <c r="AO304">
        <f t="shared" si="82"/>
        <v>0</v>
      </c>
      <c r="AP304">
        <f t="shared" si="83"/>
        <v>0</v>
      </c>
      <c r="AQ304">
        <f t="shared" si="84"/>
        <v>0</v>
      </c>
    </row>
    <row r="305" spans="1:43">
      <c r="A305" t="s">
        <v>1014</v>
      </c>
      <c r="B305" s="5">
        <v>45466</v>
      </c>
      <c r="C305" s="5">
        <v>45471</v>
      </c>
      <c r="D305" s="13">
        <f t="shared" si="68"/>
        <v>5</v>
      </c>
      <c r="E305" t="s">
        <v>1015</v>
      </c>
      <c r="F305" t="s">
        <v>162</v>
      </c>
      <c r="G305" t="s">
        <v>95</v>
      </c>
      <c r="H305" t="s">
        <v>63</v>
      </c>
      <c r="I305" t="s">
        <v>180</v>
      </c>
      <c r="J305" t="s">
        <v>181</v>
      </c>
      <c r="K305" t="s">
        <v>41</v>
      </c>
      <c r="L305" t="s">
        <v>66</v>
      </c>
      <c r="M305" t="s">
        <v>1016</v>
      </c>
      <c r="N305" t="s">
        <v>59</v>
      </c>
      <c r="O305">
        <v>2</v>
      </c>
      <c r="P305">
        <v>1313.14</v>
      </c>
      <c r="Q305" s="11">
        <v>0.1</v>
      </c>
      <c r="R305">
        <v>2363.65</v>
      </c>
      <c r="S305">
        <v>1876.1</v>
      </c>
      <c r="T305">
        <v>487.55</v>
      </c>
      <c r="U305" t="s">
        <v>111</v>
      </c>
      <c r="V305" t="s">
        <v>103</v>
      </c>
      <c r="X305" s="8" t="str">
        <f>IF(C305&gt;=B305,"Valid", "Invalid-Date")</f>
        <v>Valid</v>
      </c>
      <c r="Y305" s="8" t="str">
        <f t="shared" si="69"/>
        <v>Valid</v>
      </c>
      <c r="Z305" s="8" t="str">
        <f t="shared" si="70"/>
        <v>Pass</v>
      </c>
      <c r="AA305" s="8" t="str">
        <f t="shared" si="71"/>
        <v>Pass</v>
      </c>
      <c r="AB305" s="8" t="str">
        <f>TEXT(B305,"mmmm")</f>
        <v>June</v>
      </c>
      <c r="AC305" s="8" t="str">
        <f>TEXT(B305,"yyyy")</f>
        <v>2024</v>
      </c>
      <c r="AE305">
        <f t="shared" si="72"/>
        <v>2626.28</v>
      </c>
      <c r="AF305" s="11">
        <f t="shared" si="73"/>
        <v>2363.652</v>
      </c>
      <c r="AG305">
        <f t="shared" si="74"/>
        <v>750.18000000000029</v>
      </c>
      <c r="AH305" s="11">
        <f t="shared" si="75"/>
        <v>0.28564357189637063</v>
      </c>
      <c r="AI305" s="9">
        <f t="shared" si="76"/>
        <v>0.28564357189637063</v>
      </c>
      <c r="AJ305">
        <f t="shared" si="77"/>
        <v>0</v>
      </c>
      <c r="AK305">
        <f t="shared" si="78"/>
        <v>0</v>
      </c>
      <c r="AL305">
        <f t="shared" si="79"/>
        <v>0</v>
      </c>
      <c r="AM305">
        <f t="shared" si="80"/>
        <v>0</v>
      </c>
      <c r="AN305">
        <f t="shared" si="81"/>
        <v>0</v>
      </c>
      <c r="AO305">
        <f t="shared" si="82"/>
        <v>0</v>
      </c>
      <c r="AP305">
        <f t="shared" si="83"/>
        <v>2363.65</v>
      </c>
      <c r="AQ305">
        <f t="shared" si="84"/>
        <v>1</v>
      </c>
    </row>
    <row r="306" spans="1:43">
      <c r="A306" t="s">
        <v>1017</v>
      </c>
      <c r="B306" s="5">
        <v>45446</v>
      </c>
      <c r="C306" s="5">
        <v>45364</v>
      </c>
      <c r="D306" s="13">
        <f t="shared" si="68"/>
        <v>-82</v>
      </c>
      <c r="E306" t="s">
        <v>1018</v>
      </c>
      <c r="F306" t="s">
        <v>23</v>
      </c>
      <c r="G306" t="s">
        <v>24</v>
      </c>
      <c r="H306" t="s">
        <v>25</v>
      </c>
      <c r="I306" t="s">
        <v>122</v>
      </c>
      <c r="J306" t="s">
        <v>123</v>
      </c>
      <c r="K306" t="s">
        <v>41</v>
      </c>
      <c r="L306" t="s">
        <v>57</v>
      </c>
      <c r="M306" t="s">
        <v>1019</v>
      </c>
      <c r="N306" t="s">
        <v>59</v>
      </c>
      <c r="O306">
        <v>6</v>
      </c>
      <c r="P306">
        <v>2403.0500000000002</v>
      </c>
      <c r="Q306" s="11">
        <v>0.1</v>
      </c>
      <c r="R306">
        <v>12976.47</v>
      </c>
      <c r="S306">
        <v>10019.98</v>
      </c>
      <c r="T306">
        <v>2956.49</v>
      </c>
      <c r="U306" t="s">
        <v>32</v>
      </c>
      <c r="V306" t="s">
        <v>33</v>
      </c>
      <c r="X306" s="8" t="str">
        <f>IF(C306&gt;=B306,"Valid", "Invalid-Date")</f>
        <v>Invalid-Date</v>
      </c>
      <c r="Y306" s="8" t="str">
        <f t="shared" si="69"/>
        <v>Valid</v>
      </c>
      <c r="Z306" s="8" t="str">
        <f t="shared" si="70"/>
        <v>Pass</v>
      </c>
      <c r="AA306" s="8" t="str">
        <f t="shared" si="71"/>
        <v>Pass</v>
      </c>
      <c r="AB306" s="8" t="str">
        <f>TEXT(B306,"mmmm")</f>
        <v>June</v>
      </c>
      <c r="AC306" s="8" t="str">
        <f>TEXT(B306,"yyyy")</f>
        <v>2024</v>
      </c>
      <c r="AE306">
        <f t="shared" si="72"/>
        <v>14418.300000000001</v>
      </c>
      <c r="AF306" s="11">
        <f t="shared" si="73"/>
        <v>12976.470000000001</v>
      </c>
      <c r="AG306">
        <f t="shared" si="74"/>
        <v>4398.3200000000015</v>
      </c>
      <c r="AH306" s="11">
        <f t="shared" si="75"/>
        <v>0.30505121963060838</v>
      </c>
      <c r="AI306" s="9">
        <f t="shared" si="76"/>
        <v>0.30505121963060838</v>
      </c>
      <c r="AJ306">
        <f t="shared" si="77"/>
        <v>12976.47</v>
      </c>
      <c r="AK306">
        <f t="shared" si="78"/>
        <v>1</v>
      </c>
      <c r="AL306">
        <f t="shared" si="79"/>
        <v>0</v>
      </c>
      <c r="AM306">
        <f t="shared" si="80"/>
        <v>0</v>
      </c>
      <c r="AN306">
        <f t="shared" si="81"/>
        <v>0</v>
      </c>
      <c r="AO306">
        <f t="shared" si="82"/>
        <v>0</v>
      </c>
      <c r="AP306">
        <f t="shared" si="83"/>
        <v>0</v>
      </c>
      <c r="AQ306">
        <f t="shared" si="84"/>
        <v>0</v>
      </c>
    </row>
    <row r="307" spans="1:43">
      <c r="A307" t="s">
        <v>1020</v>
      </c>
      <c r="B307" s="5">
        <v>45413</v>
      </c>
      <c r="C307" s="5">
        <v>45327</v>
      </c>
      <c r="D307" s="13">
        <f t="shared" si="68"/>
        <v>-86</v>
      </c>
      <c r="E307" t="s">
        <v>1021</v>
      </c>
      <c r="F307" t="s">
        <v>62</v>
      </c>
      <c r="G307" t="s">
        <v>24</v>
      </c>
      <c r="H307" t="s">
        <v>38</v>
      </c>
      <c r="I307" t="s">
        <v>166</v>
      </c>
      <c r="J307" t="s">
        <v>167</v>
      </c>
      <c r="K307" t="s">
        <v>41</v>
      </c>
      <c r="L307" t="s">
        <v>66</v>
      </c>
      <c r="M307" t="s">
        <v>1022</v>
      </c>
      <c r="N307" t="s">
        <v>50</v>
      </c>
      <c r="O307">
        <v>4</v>
      </c>
      <c r="P307">
        <v>4156.0600000000004</v>
      </c>
      <c r="Q307" s="11">
        <v>0.55000000000000004</v>
      </c>
      <c r="R307">
        <v>13299.39</v>
      </c>
      <c r="S307">
        <v>9851.91</v>
      </c>
      <c r="T307">
        <v>3447.48</v>
      </c>
      <c r="U307" t="s">
        <v>32</v>
      </c>
      <c r="V307" t="s">
        <v>68</v>
      </c>
      <c r="X307" s="8" t="str">
        <f>IF(C307&gt;=B307,"Valid", "Invalid-Date")</f>
        <v>Invalid-Date</v>
      </c>
      <c r="Y307" s="8" t="str">
        <f t="shared" si="69"/>
        <v>Invalid-Discount</v>
      </c>
      <c r="Z307" s="8" t="str">
        <f t="shared" si="70"/>
        <v>Pass</v>
      </c>
      <c r="AA307" s="8" t="str">
        <f t="shared" si="71"/>
        <v>Pass</v>
      </c>
      <c r="AB307" s="8" t="str">
        <f>TEXT(B307,"mmmm")</f>
        <v>May</v>
      </c>
      <c r="AC307" s="8" t="str">
        <f>TEXT(B307,"yyyy")</f>
        <v>2024</v>
      </c>
      <c r="AE307">
        <f t="shared" si="72"/>
        <v>16624.240000000002</v>
      </c>
      <c r="AF307" s="11">
        <f t="shared" si="73"/>
        <v>7480.9080000000004</v>
      </c>
      <c r="AG307">
        <f t="shared" si="74"/>
        <v>6772.3300000000017</v>
      </c>
      <c r="AH307" s="11">
        <f t="shared" si="75"/>
        <v>0.40737681842899293</v>
      </c>
      <c r="AI307" s="9">
        <f t="shared" si="76"/>
        <v>0.40737681842899293</v>
      </c>
      <c r="AJ307">
        <f t="shared" si="77"/>
        <v>0</v>
      </c>
      <c r="AK307">
        <f t="shared" si="78"/>
        <v>0</v>
      </c>
      <c r="AL307">
        <f t="shared" si="79"/>
        <v>13299.39</v>
      </c>
      <c r="AM307">
        <f t="shared" si="80"/>
        <v>1</v>
      </c>
      <c r="AN307">
        <f t="shared" si="81"/>
        <v>0</v>
      </c>
      <c r="AO307">
        <f t="shared" si="82"/>
        <v>0</v>
      </c>
      <c r="AP307">
        <f t="shared" si="83"/>
        <v>0</v>
      </c>
      <c r="AQ307">
        <f t="shared" si="84"/>
        <v>0</v>
      </c>
    </row>
    <row r="308" spans="1:43">
      <c r="A308" t="s">
        <v>1023</v>
      </c>
      <c r="B308" s="5">
        <v>45708</v>
      </c>
      <c r="C308" s="5">
        <v>45711</v>
      </c>
      <c r="D308" s="13">
        <f t="shared" si="68"/>
        <v>3</v>
      </c>
      <c r="E308" t="s">
        <v>1024</v>
      </c>
      <c r="F308" t="s">
        <v>128</v>
      </c>
      <c r="G308" t="s">
        <v>24</v>
      </c>
      <c r="H308" t="s">
        <v>25</v>
      </c>
      <c r="I308" t="s">
        <v>26</v>
      </c>
      <c r="J308" t="s">
        <v>27</v>
      </c>
      <c r="K308" t="s">
        <v>74</v>
      </c>
      <c r="L308" t="s">
        <v>171</v>
      </c>
      <c r="M308" t="s">
        <v>1025</v>
      </c>
      <c r="N308" t="s">
        <v>31</v>
      </c>
      <c r="O308">
        <v>4</v>
      </c>
      <c r="P308">
        <v>3673.11</v>
      </c>
      <c r="Q308" s="11">
        <v>0</v>
      </c>
      <c r="R308">
        <v>14692.44</v>
      </c>
      <c r="S308">
        <v>10082.19</v>
      </c>
      <c r="T308">
        <v>4610.25</v>
      </c>
      <c r="U308" t="s">
        <v>32</v>
      </c>
      <c r="V308" t="s">
        <v>33</v>
      </c>
      <c r="X308" s="8" t="str">
        <f>IF(C308&gt;=B308,"Valid", "Invalid-Date")</f>
        <v>Valid</v>
      </c>
      <c r="Y308" s="8" t="str">
        <f t="shared" si="69"/>
        <v>Valid</v>
      </c>
      <c r="Z308" s="8" t="str">
        <f t="shared" si="70"/>
        <v>Pass</v>
      </c>
      <c r="AA308" s="8" t="str">
        <f t="shared" si="71"/>
        <v>Pass</v>
      </c>
      <c r="AB308" s="8" t="str">
        <f>TEXT(B308,"mmmm")</f>
        <v>February</v>
      </c>
      <c r="AC308" s="8" t="str">
        <f>TEXT(B308,"yyyy")</f>
        <v>2025</v>
      </c>
      <c r="AE308">
        <f t="shared" si="72"/>
        <v>14692.44</v>
      </c>
      <c r="AF308" s="11">
        <f t="shared" si="73"/>
        <v>14692.44</v>
      </c>
      <c r="AG308">
        <f t="shared" si="74"/>
        <v>4610.25</v>
      </c>
      <c r="AH308" s="11">
        <f t="shared" si="75"/>
        <v>0.31378382351740075</v>
      </c>
      <c r="AI308" s="9">
        <f t="shared" si="76"/>
        <v>0.31378382351740075</v>
      </c>
      <c r="AJ308">
        <f t="shared" si="77"/>
        <v>14692.44</v>
      </c>
      <c r="AK308">
        <f t="shared" si="78"/>
        <v>1</v>
      </c>
      <c r="AL308">
        <f t="shared" si="79"/>
        <v>0</v>
      </c>
      <c r="AM308">
        <f t="shared" si="80"/>
        <v>0</v>
      </c>
      <c r="AN308">
        <f t="shared" si="81"/>
        <v>0</v>
      </c>
      <c r="AO308">
        <f t="shared" si="82"/>
        <v>0</v>
      </c>
      <c r="AP308">
        <f t="shared" si="83"/>
        <v>0</v>
      </c>
      <c r="AQ308">
        <f t="shared" si="84"/>
        <v>0</v>
      </c>
    </row>
    <row r="309" spans="1:43">
      <c r="A309" t="s">
        <v>1026</v>
      </c>
      <c r="B309" s="5">
        <v>45850</v>
      </c>
      <c r="C309" s="5">
        <v>45857</v>
      </c>
      <c r="D309" s="13">
        <f t="shared" si="68"/>
        <v>7</v>
      </c>
      <c r="E309" t="s">
        <v>1027</v>
      </c>
      <c r="F309" t="s">
        <v>62</v>
      </c>
      <c r="G309" t="s">
        <v>90</v>
      </c>
      <c r="H309" t="s">
        <v>25</v>
      </c>
      <c r="I309" t="s">
        <v>136</v>
      </c>
      <c r="J309" t="s">
        <v>137</v>
      </c>
      <c r="K309" t="s">
        <v>41</v>
      </c>
      <c r="L309" t="s">
        <v>42</v>
      </c>
      <c r="M309" t="s">
        <v>1028</v>
      </c>
      <c r="N309" t="s">
        <v>50</v>
      </c>
      <c r="O309">
        <v>9</v>
      </c>
      <c r="P309">
        <v>4093.04</v>
      </c>
      <c r="Q309" s="11">
        <v>0.2</v>
      </c>
      <c r="R309">
        <v>29469.89</v>
      </c>
      <c r="S309">
        <v>18935.509999999998</v>
      </c>
      <c r="T309">
        <v>10534.38</v>
      </c>
      <c r="U309" t="s">
        <v>111</v>
      </c>
      <c r="V309" t="s">
        <v>68</v>
      </c>
      <c r="X309" s="8" t="str">
        <f>IF(C309&gt;=B309,"Valid", "Invalid-Date")</f>
        <v>Valid</v>
      </c>
      <c r="Y309" s="8" t="str">
        <f t="shared" si="69"/>
        <v>Valid</v>
      </c>
      <c r="Z309" s="8" t="str">
        <f t="shared" si="70"/>
        <v>Pass</v>
      </c>
      <c r="AA309" s="8" t="str">
        <f t="shared" si="71"/>
        <v>Pass</v>
      </c>
      <c r="AB309" s="8" t="str">
        <f>TEXT(B309,"mmmm")</f>
        <v>July</v>
      </c>
      <c r="AC309" s="8" t="str">
        <f>TEXT(B309,"yyyy")</f>
        <v>2025</v>
      </c>
      <c r="AE309">
        <f t="shared" si="72"/>
        <v>36837.360000000001</v>
      </c>
      <c r="AF309" s="11">
        <f t="shared" si="73"/>
        <v>29469.888000000003</v>
      </c>
      <c r="AG309">
        <f t="shared" si="74"/>
        <v>17901.850000000002</v>
      </c>
      <c r="AH309" s="11">
        <f t="shared" si="75"/>
        <v>0.48596995007242655</v>
      </c>
      <c r="AI309" s="9">
        <f t="shared" si="76"/>
        <v>0.48596995007242655</v>
      </c>
      <c r="AJ309">
        <f t="shared" si="77"/>
        <v>0</v>
      </c>
      <c r="AK309">
        <f t="shared" si="78"/>
        <v>0</v>
      </c>
      <c r="AL309">
        <f t="shared" si="79"/>
        <v>29469.89</v>
      </c>
      <c r="AM309">
        <f t="shared" si="80"/>
        <v>1</v>
      </c>
      <c r="AN309">
        <f t="shared" si="81"/>
        <v>0</v>
      </c>
      <c r="AO309">
        <f t="shared" si="82"/>
        <v>0</v>
      </c>
      <c r="AP309">
        <f t="shared" si="83"/>
        <v>0</v>
      </c>
      <c r="AQ309">
        <f t="shared" si="84"/>
        <v>0</v>
      </c>
    </row>
    <row r="310" spans="1:43">
      <c r="A310" t="s">
        <v>1029</v>
      </c>
      <c r="B310" s="5">
        <v>45821</v>
      </c>
      <c r="C310" s="5">
        <v>45827</v>
      </c>
      <c r="D310" s="13">
        <f t="shared" si="68"/>
        <v>6</v>
      </c>
      <c r="E310" t="s">
        <v>1030</v>
      </c>
      <c r="F310" t="s">
        <v>141</v>
      </c>
      <c r="G310" t="s">
        <v>24</v>
      </c>
      <c r="H310" t="s">
        <v>25</v>
      </c>
      <c r="I310" t="s">
        <v>26</v>
      </c>
      <c r="J310" t="s">
        <v>27</v>
      </c>
      <c r="K310" t="s">
        <v>41</v>
      </c>
      <c r="L310" t="s">
        <v>42</v>
      </c>
      <c r="M310" t="s">
        <v>1031</v>
      </c>
      <c r="N310" t="s">
        <v>50</v>
      </c>
      <c r="O310">
        <v>4</v>
      </c>
      <c r="P310">
        <v>731.57</v>
      </c>
      <c r="Q310" s="11">
        <v>0.2</v>
      </c>
      <c r="R310">
        <v>2341.02</v>
      </c>
      <c r="S310">
        <v>1565.49</v>
      </c>
      <c r="T310">
        <v>775.53</v>
      </c>
      <c r="U310" t="s">
        <v>32</v>
      </c>
      <c r="V310" t="s">
        <v>33</v>
      </c>
      <c r="X310" s="8" t="str">
        <f>IF(C310&gt;=B310,"Valid", "Invalid-Date")</f>
        <v>Valid</v>
      </c>
      <c r="Y310" s="8" t="str">
        <f t="shared" si="69"/>
        <v>Valid</v>
      </c>
      <c r="Z310" s="8" t="str">
        <f t="shared" si="70"/>
        <v>Pass</v>
      </c>
      <c r="AA310" s="8" t="str">
        <f t="shared" si="71"/>
        <v>Pass</v>
      </c>
      <c r="AB310" s="8" t="str">
        <f>TEXT(B310,"mmmm")</f>
        <v>June</v>
      </c>
      <c r="AC310" s="8" t="str">
        <f>TEXT(B310,"yyyy")</f>
        <v>2025</v>
      </c>
      <c r="AE310">
        <f t="shared" si="72"/>
        <v>2926.28</v>
      </c>
      <c r="AF310" s="11">
        <f t="shared" si="73"/>
        <v>2341.0240000000003</v>
      </c>
      <c r="AG310">
        <f t="shared" si="74"/>
        <v>1360.7900000000002</v>
      </c>
      <c r="AH310" s="11">
        <f t="shared" si="75"/>
        <v>0.46502385280971065</v>
      </c>
      <c r="AI310" s="9">
        <f t="shared" si="76"/>
        <v>0.46502385280971065</v>
      </c>
      <c r="AJ310">
        <f t="shared" si="77"/>
        <v>2341.02</v>
      </c>
      <c r="AK310">
        <f t="shared" si="78"/>
        <v>1</v>
      </c>
      <c r="AL310">
        <f t="shared" si="79"/>
        <v>0</v>
      </c>
      <c r="AM310">
        <f t="shared" si="80"/>
        <v>0</v>
      </c>
      <c r="AN310">
        <f t="shared" si="81"/>
        <v>0</v>
      </c>
      <c r="AO310">
        <f t="shared" si="82"/>
        <v>0</v>
      </c>
      <c r="AP310">
        <f t="shared" si="83"/>
        <v>0</v>
      </c>
      <c r="AQ310">
        <f t="shared" si="84"/>
        <v>0</v>
      </c>
    </row>
    <row r="311" spans="1:43">
      <c r="A311" t="s">
        <v>1032</v>
      </c>
      <c r="B311" s="5">
        <v>45493</v>
      </c>
      <c r="C311" s="5">
        <v>45495</v>
      </c>
      <c r="D311" s="13">
        <f t="shared" si="68"/>
        <v>2</v>
      </c>
      <c r="E311" t="s">
        <v>1033</v>
      </c>
      <c r="F311" t="s">
        <v>62</v>
      </c>
      <c r="G311" t="s">
        <v>24</v>
      </c>
      <c r="H311" t="s">
        <v>54</v>
      </c>
      <c r="I311" t="s">
        <v>247</v>
      </c>
      <c r="J311" t="s">
        <v>248</v>
      </c>
      <c r="K311" t="s">
        <v>41</v>
      </c>
      <c r="L311" t="s">
        <v>42</v>
      </c>
      <c r="M311" t="s">
        <v>1034</v>
      </c>
      <c r="N311" t="s">
        <v>50</v>
      </c>
      <c r="O311">
        <v>7</v>
      </c>
      <c r="P311">
        <v>2060.73</v>
      </c>
      <c r="Q311" s="11">
        <v>0.1</v>
      </c>
      <c r="R311">
        <v>12982.6</v>
      </c>
      <c r="S311">
        <v>7246.36</v>
      </c>
      <c r="T311">
        <v>5736.24</v>
      </c>
      <c r="U311" t="s">
        <v>32</v>
      </c>
      <c r="V311" t="s">
        <v>68</v>
      </c>
      <c r="X311" s="8" t="str">
        <f>IF(C311&gt;=B311,"Valid", "Invalid-Date")</f>
        <v>Valid</v>
      </c>
      <c r="Y311" s="8" t="str">
        <f t="shared" si="69"/>
        <v>Valid</v>
      </c>
      <c r="Z311" s="8" t="str">
        <f t="shared" si="70"/>
        <v>Pass</v>
      </c>
      <c r="AA311" s="8" t="str">
        <f t="shared" si="71"/>
        <v>Pass</v>
      </c>
      <c r="AB311" s="8" t="str">
        <f>TEXT(B311,"mmmm")</f>
        <v>July</v>
      </c>
      <c r="AC311" s="8" t="str">
        <f>TEXT(B311,"yyyy")</f>
        <v>2024</v>
      </c>
      <c r="AE311">
        <f t="shared" si="72"/>
        <v>14425.11</v>
      </c>
      <c r="AF311" s="11">
        <f t="shared" si="73"/>
        <v>12982.599</v>
      </c>
      <c r="AG311">
        <f t="shared" si="74"/>
        <v>7178.7500000000009</v>
      </c>
      <c r="AH311" s="11">
        <f t="shared" si="75"/>
        <v>0.4976565170040298</v>
      </c>
      <c r="AI311" s="9">
        <f t="shared" si="76"/>
        <v>0.4976565170040298</v>
      </c>
      <c r="AJ311">
        <f t="shared" si="77"/>
        <v>0</v>
      </c>
      <c r="AK311">
        <f t="shared" si="78"/>
        <v>0</v>
      </c>
      <c r="AL311">
        <f t="shared" si="79"/>
        <v>12982.6</v>
      </c>
      <c r="AM311">
        <f t="shared" si="80"/>
        <v>1</v>
      </c>
      <c r="AN311">
        <f t="shared" si="81"/>
        <v>0</v>
      </c>
      <c r="AO311">
        <f t="shared" si="82"/>
        <v>0</v>
      </c>
      <c r="AP311">
        <f t="shared" si="83"/>
        <v>0</v>
      </c>
      <c r="AQ311">
        <f t="shared" si="84"/>
        <v>0</v>
      </c>
    </row>
    <row r="312" spans="1:43">
      <c r="A312" t="s">
        <v>1035</v>
      </c>
      <c r="B312" s="5">
        <v>45477</v>
      </c>
      <c r="C312" s="5">
        <v>45481</v>
      </c>
      <c r="D312" s="13">
        <f t="shared" si="68"/>
        <v>4</v>
      </c>
      <c r="E312" t="s">
        <v>1036</v>
      </c>
      <c r="F312" t="s">
        <v>141</v>
      </c>
      <c r="G312" t="s">
        <v>37</v>
      </c>
      <c r="H312" t="s">
        <v>54</v>
      </c>
      <c r="I312" t="s">
        <v>247</v>
      </c>
      <c r="J312" t="s">
        <v>248</v>
      </c>
      <c r="K312" t="s">
        <v>74</v>
      </c>
      <c r="L312" t="s">
        <v>274</v>
      </c>
      <c r="M312" t="s">
        <v>1037</v>
      </c>
      <c r="N312" t="s">
        <v>50</v>
      </c>
      <c r="O312">
        <v>8</v>
      </c>
      <c r="P312">
        <v>2034.25</v>
      </c>
      <c r="Q312" s="11">
        <v>0</v>
      </c>
      <c r="R312">
        <v>16274</v>
      </c>
      <c r="S312">
        <v>9424.25</v>
      </c>
      <c r="T312">
        <v>6849.75</v>
      </c>
      <c r="U312" t="s">
        <v>32</v>
      </c>
      <c r="V312" t="s">
        <v>33</v>
      </c>
      <c r="X312" s="8" t="str">
        <f>IF(C312&gt;=B312,"Valid", "Invalid-Date")</f>
        <v>Valid</v>
      </c>
      <c r="Y312" s="8" t="str">
        <f t="shared" si="69"/>
        <v>Valid</v>
      </c>
      <c r="Z312" s="8" t="str">
        <f t="shared" si="70"/>
        <v>Pass</v>
      </c>
      <c r="AA312" s="8" t="str">
        <f t="shared" si="71"/>
        <v>Pass</v>
      </c>
      <c r="AB312" s="8" t="str">
        <f>TEXT(B312,"mmmm")</f>
        <v>July</v>
      </c>
      <c r="AC312" s="8" t="str">
        <f>TEXT(B312,"yyyy")</f>
        <v>2024</v>
      </c>
      <c r="AE312">
        <f t="shared" si="72"/>
        <v>16274</v>
      </c>
      <c r="AF312" s="11">
        <f t="shared" si="73"/>
        <v>16274</v>
      </c>
      <c r="AG312">
        <f t="shared" si="74"/>
        <v>6849.75</v>
      </c>
      <c r="AH312" s="11">
        <f t="shared" si="75"/>
        <v>0.42090143787636719</v>
      </c>
      <c r="AI312" s="9">
        <f t="shared" si="76"/>
        <v>0.42090143787636719</v>
      </c>
      <c r="AJ312">
        <f t="shared" si="77"/>
        <v>16274</v>
      </c>
      <c r="AK312">
        <f t="shared" si="78"/>
        <v>1</v>
      </c>
      <c r="AL312">
        <f t="shared" si="79"/>
        <v>0</v>
      </c>
      <c r="AM312">
        <f t="shared" si="80"/>
        <v>0</v>
      </c>
      <c r="AN312">
        <f t="shared" si="81"/>
        <v>0</v>
      </c>
      <c r="AO312">
        <f t="shared" si="82"/>
        <v>0</v>
      </c>
      <c r="AP312">
        <f t="shared" si="83"/>
        <v>0</v>
      </c>
      <c r="AQ312">
        <f t="shared" si="84"/>
        <v>0</v>
      </c>
    </row>
    <row r="313" spans="1:43">
      <c r="A313" t="s">
        <v>1038</v>
      </c>
      <c r="B313" s="5">
        <v>45409</v>
      </c>
      <c r="C313" s="5">
        <v>45414</v>
      </c>
      <c r="D313" s="13">
        <f t="shared" si="68"/>
        <v>5</v>
      </c>
      <c r="E313" t="s">
        <v>1039</v>
      </c>
      <c r="F313" t="s">
        <v>36</v>
      </c>
      <c r="G313" t="s">
        <v>90</v>
      </c>
      <c r="H313" t="s">
        <v>54</v>
      </c>
      <c r="I313" t="s">
        <v>175</v>
      </c>
      <c r="J313" t="s">
        <v>176</v>
      </c>
      <c r="K313" t="s">
        <v>28</v>
      </c>
      <c r="L313" t="s">
        <v>153</v>
      </c>
      <c r="M313" t="s">
        <v>1040</v>
      </c>
      <c r="N313" t="s">
        <v>31</v>
      </c>
      <c r="O313">
        <v>5</v>
      </c>
      <c r="P313">
        <v>554.04</v>
      </c>
      <c r="Q313" s="11">
        <v>0.1</v>
      </c>
      <c r="R313">
        <v>2493.1799999999998</v>
      </c>
      <c r="S313">
        <v>1764</v>
      </c>
      <c r="T313">
        <v>729.18</v>
      </c>
      <c r="U313" t="s">
        <v>32</v>
      </c>
      <c r="V313" t="s">
        <v>33</v>
      </c>
      <c r="X313" s="8" t="str">
        <f>IF(C313&gt;=B313,"Valid", "Invalid-Date")</f>
        <v>Valid</v>
      </c>
      <c r="Y313" s="8" t="str">
        <f t="shared" si="69"/>
        <v>Valid</v>
      </c>
      <c r="Z313" s="8" t="str">
        <f t="shared" si="70"/>
        <v>Pass</v>
      </c>
      <c r="AA313" s="8" t="str">
        <f t="shared" si="71"/>
        <v>Pass</v>
      </c>
      <c r="AB313" s="8" t="str">
        <f>TEXT(B313,"mmmm")</f>
        <v>April</v>
      </c>
      <c r="AC313" s="8" t="str">
        <f>TEXT(B313,"yyyy")</f>
        <v>2024</v>
      </c>
      <c r="AE313">
        <f t="shared" si="72"/>
        <v>2770.2</v>
      </c>
      <c r="AF313" s="11">
        <f t="shared" si="73"/>
        <v>2493.1799999999998</v>
      </c>
      <c r="AG313">
        <f t="shared" si="74"/>
        <v>1006.1999999999998</v>
      </c>
      <c r="AH313" s="11">
        <f t="shared" si="75"/>
        <v>0.3632228719948018</v>
      </c>
      <c r="AI313" s="9">
        <f t="shared" si="76"/>
        <v>0.3632228719948018</v>
      </c>
      <c r="AJ313">
        <f t="shared" si="77"/>
        <v>2493.1799999999998</v>
      </c>
      <c r="AK313">
        <f t="shared" si="78"/>
        <v>1</v>
      </c>
      <c r="AL313">
        <f t="shared" si="79"/>
        <v>0</v>
      </c>
      <c r="AM313">
        <f t="shared" si="80"/>
        <v>0</v>
      </c>
      <c r="AN313">
        <f t="shared" si="81"/>
        <v>0</v>
      </c>
      <c r="AO313">
        <f t="shared" si="82"/>
        <v>0</v>
      </c>
      <c r="AP313">
        <f t="shared" si="83"/>
        <v>0</v>
      </c>
      <c r="AQ313">
        <f t="shared" si="84"/>
        <v>0</v>
      </c>
    </row>
    <row r="314" spans="1:43">
      <c r="A314" t="s">
        <v>1041</v>
      </c>
      <c r="B314" s="5">
        <v>45504</v>
      </c>
      <c r="C314" s="5">
        <v>45508</v>
      </c>
      <c r="D314" s="13">
        <f t="shared" si="68"/>
        <v>4</v>
      </c>
      <c r="E314" t="s">
        <v>1042</v>
      </c>
      <c r="F314" t="s">
        <v>23</v>
      </c>
      <c r="G314" t="s">
        <v>37</v>
      </c>
      <c r="H314" t="s">
        <v>38</v>
      </c>
      <c r="I314" t="s">
        <v>166</v>
      </c>
      <c r="J314" t="s">
        <v>167</v>
      </c>
      <c r="K314" t="s">
        <v>74</v>
      </c>
      <c r="L314" t="s">
        <v>171</v>
      </c>
      <c r="M314" t="s">
        <v>1043</v>
      </c>
      <c r="N314" t="s">
        <v>59</v>
      </c>
      <c r="O314">
        <v>8</v>
      </c>
      <c r="P314">
        <v>2614.7399999999998</v>
      </c>
      <c r="Q314" s="11">
        <v>0</v>
      </c>
      <c r="R314">
        <v>15688.44</v>
      </c>
      <c r="S314">
        <v>10047.33</v>
      </c>
      <c r="T314">
        <v>5641.11</v>
      </c>
      <c r="U314" t="s">
        <v>32</v>
      </c>
      <c r="V314" t="s">
        <v>68</v>
      </c>
      <c r="X314" s="8" t="str">
        <f>IF(C314&gt;=B314,"Valid", "Invalid-Date")</f>
        <v>Valid</v>
      </c>
      <c r="Y314" s="8" t="str">
        <f t="shared" si="69"/>
        <v>Valid</v>
      </c>
      <c r="Z314" s="8" t="str">
        <f t="shared" si="70"/>
        <v>Pass</v>
      </c>
      <c r="AA314" s="8" t="str">
        <f t="shared" si="71"/>
        <v>Pass</v>
      </c>
      <c r="AB314" s="8" t="str">
        <f>TEXT(B314,"mmmm")</f>
        <v>July</v>
      </c>
      <c r="AC314" s="8" t="str">
        <f>TEXT(B314,"yyyy")</f>
        <v>2024</v>
      </c>
      <c r="AE314">
        <f t="shared" si="72"/>
        <v>20917.919999999998</v>
      </c>
      <c r="AF314" s="11">
        <f t="shared" si="73"/>
        <v>20917.919999999998</v>
      </c>
      <c r="AG314">
        <f t="shared" si="74"/>
        <v>10870.589999999998</v>
      </c>
      <c r="AH314" s="11">
        <f t="shared" si="75"/>
        <v>0.5196783427797792</v>
      </c>
      <c r="AI314" s="9">
        <f t="shared" si="76"/>
        <v>0.5196783427797792</v>
      </c>
      <c r="AJ314">
        <f t="shared" si="77"/>
        <v>0</v>
      </c>
      <c r="AK314">
        <f t="shared" si="78"/>
        <v>0</v>
      </c>
      <c r="AL314">
        <f t="shared" si="79"/>
        <v>15688.44</v>
      </c>
      <c r="AM314">
        <f t="shared" si="80"/>
        <v>1</v>
      </c>
      <c r="AN314">
        <f t="shared" si="81"/>
        <v>0</v>
      </c>
      <c r="AO314">
        <f t="shared" si="82"/>
        <v>0</v>
      </c>
      <c r="AP314">
        <f t="shared" si="83"/>
        <v>0</v>
      </c>
      <c r="AQ314">
        <f t="shared" si="84"/>
        <v>0</v>
      </c>
    </row>
    <row r="315" spans="1:43">
      <c r="A315" t="s">
        <v>1044</v>
      </c>
      <c r="B315" s="5">
        <v>45807</v>
      </c>
      <c r="C315" s="5">
        <v>45808</v>
      </c>
      <c r="D315" s="13">
        <f t="shared" si="68"/>
        <v>1</v>
      </c>
      <c r="E315" t="s">
        <v>1045</v>
      </c>
      <c r="F315" t="s">
        <v>118</v>
      </c>
      <c r="G315" t="s">
        <v>90</v>
      </c>
      <c r="H315" t="s">
        <v>25</v>
      </c>
      <c r="I315" t="s">
        <v>136</v>
      </c>
      <c r="J315" t="s">
        <v>137</v>
      </c>
      <c r="K315" t="s">
        <v>74</v>
      </c>
      <c r="L315" t="s">
        <v>171</v>
      </c>
      <c r="M315" t="s">
        <v>1046</v>
      </c>
      <c r="N315" t="s">
        <v>50</v>
      </c>
      <c r="O315">
        <v>8</v>
      </c>
      <c r="P315">
        <v>2081.4299999999998</v>
      </c>
      <c r="Q315" s="11">
        <v>0.25</v>
      </c>
      <c r="R315">
        <v>12488.58</v>
      </c>
      <c r="S315">
        <v>10717.4</v>
      </c>
      <c r="T315">
        <v>1771.18</v>
      </c>
      <c r="U315" t="s">
        <v>102</v>
      </c>
      <c r="V315" t="s">
        <v>68</v>
      </c>
      <c r="X315" s="8" t="str">
        <f>IF(C315&gt;=B315,"Valid", "Invalid-Date")</f>
        <v>Valid</v>
      </c>
      <c r="Y315" s="8" t="str">
        <f t="shared" si="69"/>
        <v>Valid</v>
      </c>
      <c r="Z315" s="8" t="str">
        <f t="shared" si="70"/>
        <v>Pass</v>
      </c>
      <c r="AA315" s="8" t="str">
        <f t="shared" si="71"/>
        <v>Pass</v>
      </c>
      <c r="AB315" s="8" t="str">
        <f>TEXT(B315,"mmmm")</f>
        <v>May</v>
      </c>
      <c r="AC315" s="8" t="str">
        <f>TEXT(B315,"yyyy")</f>
        <v>2025</v>
      </c>
      <c r="AE315">
        <f t="shared" si="72"/>
        <v>16651.439999999999</v>
      </c>
      <c r="AF315" s="11">
        <f t="shared" si="73"/>
        <v>12488.579999999998</v>
      </c>
      <c r="AG315">
        <f t="shared" si="74"/>
        <v>5934.0399999999991</v>
      </c>
      <c r="AH315" s="11">
        <f t="shared" si="75"/>
        <v>0.35636797778450391</v>
      </c>
      <c r="AI315" s="9">
        <f t="shared" si="76"/>
        <v>0.35636797778450391</v>
      </c>
      <c r="AJ315">
        <f t="shared" si="77"/>
        <v>0</v>
      </c>
      <c r="AK315">
        <f t="shared" si="78"/>
        <v>0</v>
      </c>
      <c r="AL315">
        <f t="shared" si="79"/>
        <v>12488.58</v>
      </c>
      <c r="AM315">
        <f t="shared" si="80"/>
        <v>1</v>
      </c>
      <c r="AN315">
        <f t="shared" si="81"/>
        <v>0</v>
      </c>
      <c r="AO315">
        <f t="shared" si="82"/>
        <v>0</v>
      </c>
      <c r="AP315">
        <f t="shared" si="83"/>
        <v>0</v>
      </c>
      <c r="AQ315">
        <f t="shared" si="84"/>
        <v>0</v>
      </c>
    </row>
    <row r="316" spans="1:43" s="15" customFormat="1">
      <c r="A316" s="15" t="s">
        <v>1047</v>
      </c>
      <c r="B316" s="16">
        <v>45795</v>
      </c>
      <c r="C316" s="16">
        <v>45797</v>
      </c>
      <c r="D316" s="17">
        <f t="shared" si="68"/>
        <v>2</v>
      </c>
      <c r="E316" s="15" t="s">
        <v>1048</v>
      </c>
      <c r="F316" s="15" t="s">
        <v>47</v>
      </c>
      <c r="G316" s="15" t="s">
        <v>90</v>
      </c>
      <c r="H316" s="15" t="s">
        <v>63</v>
      </c>
      <c r="I316" s="15" t="s">
        <v>72</v>
      </c>
      <c r="J316" s="15" t="s">
        <v>73</v>
      </c>
      <c r="K316" s="15" t="s">
        <v>28</v>
      </c>
      <c r="L316" s="15" t="s">
        <v>91</v>
      </c>
      <c r="M316" s="15" t="s">
        <v>1049</v>
      </c>
      <c r="N316" s="15" t="s">
        <v>59</v>
      </c>
      <c r="O316" s="15">
        <v>9</v>
      </c>
      <c r="P316" s="15">
        <v>847.76</v>
      </c>
      <c r="Q316" s="18">
        <v>0.15</v>
      </c>
      <c r="R316" s="15">
        <v>6485.36</v>
      </c>
      <c r="S316" s="15">
        <v>5376.17</v>
      </c>
      <c r="T316" s="15">
        <v>1109.19</v>
      </c>
      <c r="U316" s="15" t="s">
        <v>155</v>
      </c>
      <c r="V316" s="15" t="s">
        <v>103</v>
      </c>
      <c r="W316" s="25"/>
      <c r="X316" s="8" t="str">
        <f>IF(C316&gt;=B316,"Valid", "Invalid-Date")</f>
        <v>Valid</v>
      </c>
      <c r="Y316" s="8" t="str">
        <f t="shared" si="69"/>
        <v>Valid</v>
      </c>
      <c r="Z316" s="19" t="str">
        <f t="shared" si="70"/>
        <v>Pass</v>
      </c>
      <c r="AA316" s="19" t="str">
        <f t="shared" si="71"/>
        <v>Pass</v>
      </c>
      <c r="AB316" s="19" t="str">
        <f>TEXT(B316,"mmmm")</f>
        <v>May</v>
      </c>
      <c r="AC316" s="19" t="str">
        <f>TEXT(B316,"yyyy")</f>
        <v>2025</v>
      </c>
      <c r="AD316" s="20"/>
      <c r="AE316" s="15">
        <f t="shared" si="72"/>
        <v>7629.84</v>
      </c>
      <c r="AF316" s="11">
        <f t="shared" si="73"/>
        <v>6485.3639999999996</v>
      </c>
      <c r="AG316" s="15">
        <f t="shared" si="74"/>
        <v>2253.67</v>
      </c>
      <c r="AH316" s="18">
        <f t="shared" si="75"/>
        <v>0.29537578769672757</v>
      </c>
      <c r="AI316" s="21">
        <f t="shared" si="76"/>
        <v>0.29537578769672757</v>
      </c>
      <c r="AJ316">
        <f t="shared" si="77"/>
        <v>0</v>
      </c>
      <c r="AK316">
        <f t="shared" si="78"/>
        <v>0</v>
      </c>
      <c r="AL316">
        <f t="shared" si="79"/>
        <v>0</v>
      </c>
      <c r="AM316">
        <f t="shared" si="80"/>
        <v>0</v>
      </c>
      <c r="AN316">
        <f t="shared" si="81"/>
        <v>6485.36</v>
      </c>
      <c r="AO316">
        <f t="shared" si="82"/>
        <v>1</v>
      </c>
      <c r="AP316">
        <f t="shared" si="83"/>
        <v>6485.36</v>
      </c>
      <c r="AQ316">
        <f t="shared" si="84"/>
        <v>1</v>
      </c>
    </row>
    <row r="317" spans="1:43">
      <c r="A317" t="s">
        <v>1050</v>
      </c>
      <c r="B317" s="5">
        <v>45475</v>
      </c>
      <c r="C317" s="5">
        <v>45511</v>
      </c>
      <c r="D317" s="13">
        <f t="shared" si="68"/>
        <v>36</v>
      </c>
      <c r="E317" t="s">
        <v>1051</v>
      </c>
      <c r="F317" t="s">
        <v>141</v>
      </c>
      <c r="G317" t="s">
        <v>24</v>
      </c>
      <c r="H317" t="s">
        <v>25</v>
      </c>
      <c r="I317" t="s">
        <v>350</v>
      </c>
      <c r="J317" t="s">
        <v>351</v>
      </c>
      <c r="K317" t="s">
        <v>28</v>
      </c>
      <c r="L317" t="s">
        <v>29</v>
      </c>
      <c r="M317" t="s">
        <v>1052</v>
      </c>
      <c r="N317" t="s">
        <v>59</v>
      </c>
      <c r="O317">
        <v>9</v>
      </c>
      <c r="P317">
        <v>3450.4</v>
      </c>
      <c r="Q317" s="11">
        <v>0.05</v>
      </c>
      <c r="R317">
        <v>29500.92</v>
      </c>
      <c r="S317">
        <v>17989.68</v>
      </c>
      <c r="T317">
        <v>11511.24</v>
      </c>
      <c r="U317" t="s">
        <v>111</v>
      </c>
      <c r="V317" t="s">
        <v>103</v>
      </c>
      <c r="X317" s="8" t="str">
        <f>IF(C317&gt;=B317,"Valid", "Invalid-Date")</f>
        <v>Valid</v>
      </c>
      <c r="Y317" s="8" t="str">
        <f t="shared" si="69"/>
        <v>Valid</v>
      </c>
      <c r="Z317" s="8" t="str">
        <f t="shared" si="70"/>
        <v>Pass</v>
      </c>
      <c r="AA317" s="8" t="str">
        <f t="shared" si="71"/>
        <v>Pass</v>
      </c>
      <c r="AB317" s="8" t="str">
        <f>TEXT(B317,"mmmm")</f>
        <v>July</v>
      </c>
      <c r="AC317" s="8" t="str">
        <f>TEXT(B317,"yyyy")</f>
        <v>2024</v>
      </c>
      <c r="AE317">
        <f t="shared" si="72"/>
        <v>31053.600000000002</v>
      </c>
      <c r="AF317" s="11">
        <f t="shared" si="73"/>
        <v>29500.920000000002</v>
      </c>
      <c r="AG317">
        <f t="shared" si="74"/>
        <v>13063.920000000002</v>
      </c>
      <c r="AH317" s="11">
        <f t="shared" si="75"/>
        <v>0.42068938866991268</v>
      </c>
      <c r="AI317" s="9">
        <f t="shared" si="76"/>
        <v>0.42068938866991268</v>
      </c>
      <c r="AJ317">
        <f t="shared" si="77"/>
        <v>0</v>
      </c>
      <c r="AK317">
        <f t="shared" si="78"/>
        <v>0</v>
      </c>
      <c r="AL317">
        <f t="shared" si="79"/>
        <v>0</v>
      </c>
      <c r="AM317">
        <f t="shared" si="80"/>
        <v>0</v>
      </c>
      <c r="AN317">
        <f t="shared" si="81"/>
        <v>0</v>
      </c>
      <c r="AO317">
        <f t="shared" si="82"/>
        <v>0</v>
      </c>
      <c r="AP317">
        <f t="shared" si="83"/>
        <v>29500.92</v>
      </c>
      <c r="AQ317">
        <f t="shared" si="84"/>
        <v>1</v>
      </c>
    </row>
    <row r="318" spans="1:43">
      <c r="A318" t="s">
        <v>1053</v>
      </c>
      <c r="B318" s="5">
        <v>45338</v>
      </c>
      <c r="C318" s="5">
        <v>45340</v>
      </c>
      <c r="D318" s="13">
        <f t="shared" si="68"/>
        <v>2</v>
      </c>
      <c r="E318" t="s">
        <v>1054</v>
      </c>
      <c r="F318" t="s">
        <v>23</v>
      </c>
      <c r="G318" t="s">
        <v>90</v>
      </c>
      <c r="H318" t="s">
        <v>25</v>
      </c>
      <c r="I318" t="s">
        <v>122</v>
      </c>
      <c r="J318" t="s">
        <v>123</v>
      </c>
      <c r="K318" t="s">
        <v>28</v>
      </c>
      <c r="L318" t="s">
        <v>91</v>
      </c>
      <c r="M318" t="s">
        <v>1055</v>
      </c>
      <c r="N318" t="s">
        <v>59</v>
      </c>
      <c r="O318">
        <v>2</v>
      </c>
      <c r="P318">
        <v>1947.53</v>
      </c>
      <c r="Q318" s="11">
        <v>0.2</v>
      </c>
      <c r="R318">
        <v>3116.05</v>
      </c>
      <c r="S318">
        <v>1956.63</v>
      </c>
      <c r="T318">
        <v>1159.42</v>
      </c>
      <c r="U318" t="s">
        <v>32</v>
      </c>
      <c r="V318" t="s">
        <v>68</v>
      </c>
      <c r="X318" s="8" t="str">
        <f>IF(C318&gt;=B318,"Valid", "Invalid-Date")</f>
        <v>Valid</v>
      </c>
      <c r="Y318" s="8" t="str">
        <f t="shared" si="69"/>
        <v>Valid</v>
      </c>
      <c r="Z318" s="8" t="str">
        <f t="shared" si="70"/>
        <v>Pass</v>
      </c>
      <c r="AA318" s="8" t="str">
        <f t="shared" si="71"/>
        <v>Pass</v>
      </c>
      <c r="AB318" s="8" t="str">
        <f>TEXT(B318,"mmmm")</f>
        <v>February</v>
      </c>
      <c r="AC318" s="8" t="str">
        <f>TEXT(B318,"yyyy")</f>
        <v>2024</v>
      </c>
      <c r="AE318">
        <f t="shared" si="72"/>
        <v>3895.06</v>
      </c>
      <c r="AF318" s="11">
        <f t="shared" si="73"/>
        <v>3116.0480000000002</v>
      </c>
      <c r="AG318">
        <f t="shared" si="74"/>
        <v>1938.4299999999998</v>
      </c>
      <c r="AH318" s="11">
        <f t="shared" si="75"/>
        <v>0.49766370736265936</v>
      </c>
      <c r="AI318" s="9">
        <f t="shared" si="76"/>
        <v>0.49766370736265936</v>
      </c>
      <c r="AJ318">
        <f t="shared" si="77"/>
        <v>0</v>
      </c>
      <c r="AK318">
        <f t="shared" si="78"/>
        <v>0</v>
      </c>
      <c r="AL318">
        <f t="shared" si="79"/>
        <v>3116.05</v>
      </c>
      <c r="AM318">
        <f t="shared" si="80"/>
        <v>1</v>
      </c>
      <c r="AN318">
        <f t="shared" si="81"/>
        <v>0</v>
      </c>
      <c r="AO318">
        <f t="shared" si="82"/>
        <v>0</v>
      </c>
      <c r="AP318">
        <f t="shared" si="83"/>
        <v>0</v>
      </c>
      <c r="AQ318">
        <f t="shared" si="84"/>
        <v>0</v>
      </c>
    </row>
    <row r="319" spans="1:43">
      <c r="A319" t="s">
        <v>1056</v>
      </c>
      <c r="B319" s="5">
        <v>45898</v>
      </c>
      <c r="C319" s="5">
        <v>45756</v>
      </c>
      <c r="D319" s="13">
        <f t="shared" si="68"/>
        <v>-142</v>
      </c>
      <c r="E319" t="s">
        <v>1057</v>
      </c>
      <c r="F319" t="s">
        <v>79</v>
      </c>
      <c r="G319" t="s">
        <v>90</v>
      </c>
      <c r="H319" t="s">
        <v>54</v>
      </c>
      <c r="I319" t="s">
        <v>185</v>
      </c>
      <c r="J319" t="s">
        <v>186</v>
      </c>
      <c r="K319" t="s">
        <v>41</v>
      </c>
      <c r="L319" t="s">
        <v>42</v>
      </c>
      <c r="M319" t="s">
        <v>1058</v>
      </c>
      <c r="N319" t="s">
        <v>50</v>
      </c>
      <c r="O319">
        <v>9</v>
      </c>
      <c r="P319">
        <v>2996.97</v>
      </c>
      <c r="Q319" s="11">
        <v>0.15</v>
      </c>
      <c r="R319">
        <v>22926.82</v>
      </c>
      <c r="S319">
        <v>14621.59</v>
      </c>
      <c r="T319">
        <v>8305.23</v>
      </c>
      <c r="U319" t="s">
        <v>32</v>
      </c>
      <c r="V319" t="s">
        <v>33</v>
      </c>
      <c r="X319" s="8" t="str">
        <f>IF(C319&gt;=B319,"Valid", "Invalid-Date")</f>
        <v>Invalid-Date</v>
      </c>
      <c r="Y319" s="8" t="str">
        <f t="shared" si="69"/>
        <v>Valid</v>
      </c>
      <c r="Z319" s="8" t="str">
        <f t="shared" si="70"/>
        <v>Pass</v>
      </c>
      <c r="AA319" s="8" t="str">
        <f t="shared" si="71"/>
        <v>Pass</v>
      </c>
      <c r="AB319" s="8" t="str">
        <f>TEXT(B319,"mmmm")</f>
        <v>August</v>
      </c>
      <c r="AC319" s="8" t="str">
        <f>TEXT(B319,"yyyy")</f>
        <v>2025</v>
      </c>
      <c r="AE319">
        <f t="shared" si="72"/>
        <v>26972.73</v>
      </c>
      <c r="AF319" s="11">
        <f t="shared" si="73"/>
        <v>22926.820499999998</v>
      </c>
      <c r="AG319">
        <f t="shared" si="74"/>
        <v>12351.14</v>
      </c>
      <c r="AH319" s="11">
        <f t="shared" si="75"/>
        <v>0.45791212087171002</v>
      </c>
      <c r="AI319" s="9">
        <f t="shared" si="76"/>
        <v>0.45791212087171002</v>
      </c>
      <c r="AJ319">
        <f t="shared" si="77"/>
        <v>22926.82</v>
      </c>
      <c r="AK319">
        <f t="shared" si="78"/>
        <v>1</v>
      </c>
      <c r="AL319">
        <f t="shared" si="79"/>
        <v>0</v>
      </c>
      <c r="AM319">
        <f t="shared" si="80"/>
        <v>0</v>
      </c>
      <c r="AN319">
        <f t="shared" si="81"/>
        <v>0</v>
      </c>
      <c r="AO319">
        <f t="shared" si="82"/>
        <v>0</v>
      </c>
      <c r="AP319">
        <f t="shared" si="83"/>
        <v>0</v>
      </c>
      <c r="AQ319">
        <f t="shared" si="84"/>
        <v>0</v>
      </c>
    </row>
    <row r="320" spans="1:43">
      <c r="A320" t="s">
        <v>1059</v>
      </c>
      <c r="B320" s="5">
        <v>45407</v>
      </c>
      <c r="C320" s="5">
        <v>45412</v>
      </c>
      <c r="D320" s="13">
        <f t="shared" si="68"/>
        <v>5</v>
      </c>
      <c r="E320" t="s">
        <v>1060</v>
      </c>
      <c r="F320" t="s">
        <v>36</v>
      </c>
      <c r="G320" t="s">
        <v>37</v>
      </c>
      <c r="H320" t="s">
        <v>54</v>
      </c>
      <c r="I320" t="s">
        <v>175</v>
      </c>
      <c r="J320" t="s">
        <v>176</v>
      </c>
      <c r="K320" t="s">
        <v>74</v>
      </c>
      <c r="L320" t="s">
        <v>171</v>
      </c>
      <c r="M320" t="s">
        <v>1061</v>
      </c>
      <c r="N320" t="s">
        <v>59</v>
      </c>
      <c r="O320">
        <v>3</v>
      </c>
      <c r="P320">
        <v>4149.46</v>
      </c>
      <c r="Q320" s="11">
        <v>0.1</v>
      </c>
      <c r="R320">
        <v>11203.54</v>
      </c>
      <c r="S320">
        <v>8452.93</v>
      </c>
      <c r="T320">
        <v>2750.61</v>
      </c>
      <c r="U320" t="s">
        <v>32</v>
      </c>
      <c r="V320" t="s">
        <v>33</v>
      </c>
      <c r="X320" s="8" t="str">
        <f>IF(C320&gt;=B320,"Valid", "Invalid-Date")</f>
        <v>Valid</v>
      </c>
      <c r="Y320" s="8" t="str">
        <f t="shared" si="69"/>
        <v>Valid</v>
      </c>
      <c r="Z320" s="8" t="str">
        <f t="shared" si="70"/>
        <v>Pass</v>
      </c>
      <c r="AA320" s="8" t="str">
        <f t="shared" si="71"/>
        <v>Pass</v>
      </c>
      <c r="AB320" s="8" t="str">
        <f>TEXT(B320,"mmmm")</f>
        <v>April</v>
      </c>
      <c r="AC320" s="8" t="str">
        <f>TEXT(B320,"yyyy")</f>
        <v>2024</v>
      </c>
      <c r="AE320">
        <f t="shared" si="72"/>
        <v>12448.380000000001</v>
      </c>
      <c r="AF320" s="11">
        <f t="shared" si="73"/>
        <v>11203.542000000001</v>
      </c>
      <c r="AG320">
        <f t="shared" si="74"/>
        <v>3995.4500000000007</v>
      </c>
      <c r="AH320" s="11">
        <f t="shared" si="75"/>
        <v>0.32096144237242119</v>
      </c>
      <c r="AI320" s="9">
        <f t="shared" si="76"/>
        <v>0.32096144237242119</v>
      </c>
      <c r="AJ320">
        <f t="shared" si="77"/>
        <v>11203.54</v>
      </c>
      <c r="AK320">
        <f t="shared" si="78"/>
        <v>1</v>
      </c>
      <c r="AL320">
        <f t="shared" si="79"/>
        <v>0</v>
      </c>
      <c r="AM320">
        <f t="shared" si="80"/>
        <v>0</v>
      </c>
      <c r="AN320">
        <f t="shared" si="81"/>
        <v>0</v>
      </c>
      <c r="AO320">
        <f t="shared" si="82"/>
        <v>0</v>
      </c>
      <c r="AP320">
        <f t="shared" si="83"/>
        <v>0</v>
      </c>
      <c r="AQ320">
        <f t="shared" si="84"/>
        <v>0</v>
      </c>
    </row>
    <row r="321" spans="1:43">
      <c r="A321" t="s">
        <v>1062</v>
      </c>
      <c r="B321" s="5">
        <v>45525</v>
      </c>
      <c r="C321" s="5">
        <v>45529</v>
      </c>
      <c r="D321" s="13">
        <f t="shared" si="68"/>
        <v>4</v>
      </c>
      <c r="E321" t="s">
        <v>1063</v>
      </c>
      <c r="F321" t="s">
        <v>162</v>
      </c>
      <c r="G321" t="s">
        <v>24</v>
      </c>
      <c r="H321" t="s">
        <v>63</v>
      </c>
      <c r="I321" t="s">
        <v>180</v>
      </c>
      <c r="J321" t="s">
        <v>181</v>
      </c>
      <c r="K321" t="s">
        <v>28</v>
      </c>
      <c r="L321" t="s">
        <v>153</v>
      </c>
      <c r="M321" t="s">
        <v>1064</v>
      </c>
      <c r="N321" t="s">
        <v>50</v>
      </c>
      <c r="O321">
        <v>1</v>
      </c>
      <c r="P321">
        <v>270.27999999999997</v>
      </c>
      <c r="Q321" s="11">
        <v>0</v>
      </c>
      <c r="R321">
        <v>270.27999999999997</v>
      </c>
      <c r="S321">
        <v>156.34</v>
      </c>
      <c r="T321">
        <v>113.94</v>
      </c>
      <c r="U321" t="s">
        <v>32</v>
      </c>
      <c r="V321" t="s">
        <v>33</v>
      </c>
      <c r="X321" s="8" t="str">
        <f>IF(C321&gt;=B321,"Valid", "Invalid-Date")</f>
        <v>Valid</v>
      </c>
      <c r="Y321" s="8" t="str">
        <f t="shared" si="69"/>
        <v>Valid</v>
      </c>
      <c r="Z321" s="8" t="str">
        <f t="shared" si="70"/>
        <v>Pass</v>
      </c>
      <c r="AA321" s="8" t="str">
        <f t="shared" si="71"/>
        <v>Pass</v>
      </c>
      <c r="AB321" s="8" t="str">
        <f>TEXT(B321,"mmmm")</f>
        <v>August</v>
      </c>
      <c r="AC321" s="8" t="str">
        <f>TEXT(B321,"yyyy")</f>
        <v>2024</v>
      </c>
      <c r="AE321">
        <f t="shared" si="72"/>
        <v>270.27999999999997</v>
      </c>
      <c r="AF321" s="11">
        <f t="shared" si="73"/>
        <v>270.27999999999997</v>
      </c>
      <c r="AG321">
        <f t="shared" si="74"/>
        <v>113.93999999999997</v>
      </c>
      <c r="AH321" s="11">
        <f t="shared" si="75"/>
        <v>0.42156282373834536</v>
      </c>
      <c r="AI321" s="9">
        <f t="shared" si="76"/>
        <v>0.42156282373834536</v>
      </c>
      <c r="AJ321">
        <f t="shared" si="77"/>
        <v>270.27999999999997</v>
      </c>
      <c r="AK321">
        <f t="shared" si="78"/>
        <v>1</v>
      </c>
      <c r="AL321">
        <f t="shared" si="79"/>
        <v>0</v>
      </c>
      <c r="AM321">
        <f t="shared" si="80"/>
        <v>0</v>
      </c>
      <c r="AN321">
        <f t="shared" si="81"/>
        <v>0</v>
      </c>
      <c r="AO321">
        <f t="shared" si="82"/>
        <v>0</v>
      </c>
      <c r="AP321">
        <f t="shared" si="83"/>
        <v>0</v>
      </c>
      <c r="AQ321">
        <f t="shared" si="84"/>
        <v>0</v>
      </c>
    </row>
    <row r="322" spans="1:43">
      <c r="A322" t="s">
        <v>1065</v>
      </c>
      <c r="B322" s="5">
        <v>45394</v>
      </c>
      <c r="C322" s="5">
        <v>45455</v>
      </c>
      <c r="D322" s="13">
        <f t="shared" si="68"/>
        <v>61</v>
      </c>
      <c r="E322" t="s">
        <v>1066</v>
      </c>
      <c r="F322" t="s">
        <v>128</v>
      </c>
      <c r="G322" t="s">
        <v>95</v>
      </c>
      <c r="H322" t="s">
        <v>38</v>
      </c>
      <c r="I322" t="s">
        <v>99</v>
      </c>
      <c r="J322" t="s">
        <v>100</v>
      </c>
      <c r="K322" t="s">
        <v>28</v>
      </c>
      <c r="L322" t="s">
        <v>48</v>
      </c>
      <c r="M322" t="s">
        <v>1067</v>
      </c>
      <c r="N322" t="s">
        <v>31</v>
      </c>
      <c r="O322">
        <v>3</v>
      </c>
      <c r="P322">
        <v>876.14</v>
      </c>
      <c r="Q322" s="11">
        <v>0.7</v>
      </c>
      <c r="R322">
        <v>2628.42</v>
      </c>
      <c r="S322">
        <v>1541.54</v>
      </c>
      <c r="T322">
        <v>1086.8800000000001</v>
      </c>
      <c r="U322" t="s">
        <v>111</v>
      </c>
      <c r="V322" t="s">
        <v>103</v>
      </c>
      <c r="X322" s="8" t="str">
        <f>IF(C322&gt;=B322,"Valid", "Invalid-Date")</f>
        <v>Valid</v>
      </c>
      <c r="Y322" s="8" t="str">
        <f t="shared" si="69"/>
        <v>Invalid-Discount</v>
      </c>
      <c r="Z322" s="8" t="str">
        <f t="shared" si="70"/>
        <v>Pass</v>
      </c>
      <c r="AA322" s="8" t="str">
        <f t="shared" si="71"/>
        <v>Pass</v>
      </c>
      <c r="AB322" s="8" t="str">
        <f>TEXT(B322,"mmmm")</f>
        <v>April</v>
      </c>
      <c r="AC322" s="8" t="str">
        <f>TEXT(B322,"yyyy")</f>
        <v>2024</v>
      </c>
      <c r="AE322">
        <f t="shared" si="72"/>
        <v>2628.42</v>
      </c>
      <c r="AF322" s="11">
        <f t="shared" si="73"/>
        <v>788.52600000000018</v>
      </c>
      <c r="AG322">
        <f t="shared" si="74"/>
        <v>1086.8800000000001</v>
      </c>
      <c r="AH322" s="11">
        <f t="shared" si="75"/>
        <v>0.41351077833831734</v>
      </c>
      <c r="AI322" s="9">
        <f t="shared" si="76"/>
        <v>0.41351077833831734</v>
      </c>
      <c r="AJ322">
        <f t="shared" si="77"/>
        <v>0</v>
      </c>
      <c r="AK322">
        <f t="shared" si="78"/>
        <v>0</v>
      </c>
      <c r="AL322">
        <f t="shared" si="79"/>
        <v>0</v>
      </c>
      <c r="AM322">
        <f t="shared" si="80"/>
        <v>0</v>
      </c>
      <c r="AN322">
        <f t="shared" si="81"/>
        <v>0</v>
      </c>
      <c r="AO322">
        <f t="shared" si="82"/>
        <v>0</v>
      </c>
      <c r="AP322">
        <f t="shared" si="83"/>
        <v>2628.42</v>
      </c>
      <c r="AQ322">
        <f t="shared" si="84"/>
        <v>1</v>
      </c>
    </row>
    <row r="323" spans="1:43">
      <c r="A323" t="s">
        <v>1068</v>
      </c>
      <c r="B323" s="5">
        <v>45466</v>
      </c>
      <c r="C323" s="5">
        <v>45473</v>
      </c>
      <c r="D323" s="13">
        <f t="shared" ref="D323:D386" si="85">C323-B323</f>
        <v>7</v>
      </c>
      <c r="E323" t="s">
        <v>1069</v>
      </c>
      <c r="F323" t="s">
        <v>79</v>
      </c>
      <c r="G323" t="s">
        <v>37</v>
      </c>
      <c r="H323" t="s">
        <v>63</v>
      </c>
      <c r="I323" t="s">
        <v>190</v>
      </c>
      <c r="J323" t="s">
        <v>191</v>
      </c>
      <c r="K323" t="s">
        <v>74</v>
      </c>
      <c r="L323" t="s">
        <v>75</v>
      </c>
      <c r="M323" t="s">
        <v>1070</v>
      </c>
      <c r="N323" t="s">
        <v>44</v>
      </c>
      <c r="O323">
        <v>4</v>
      </c>
      <c r="P323">
        <v>674.82</v>
      </c>
      <c r="Q323" s="11">
        <v>0</v>
      </c>
      <c r="R323">
        <v>2699.28</v>
      </c>
      <c r="S323">
        <v>1759.76</v>
      </c>
      <c r="T323">
        <v>939.52</v>
      </c>
      <c r="U323" t="s">
        <v>155</v>
      </c>
      <c r="V323" t="s">
        <v>68</v>
      </c>
      <c r="X323" s="8" t="str">
        <f>IF(C323&gt;=B323,"Valid", "Invalid-Date")</f>
        <v>Valid</v>
      </c>
      <c r="Y323" s="8" t="str">
        <f t="shared" ref="Y323:Y386" si="86">IF(OR(Q323&lt;0, Q323&gt;0.5), "Invalid-Discount", "Valid")</f>
        <v>Valid</v>
      </c>
      <c r="Z323" s="8" t="str">
        <f t="shared" ref="Z323:Z386" si="87">IF(N323="Unknown","Flagged","Pass")</f>
        <v>Pass</v>
      </c>
      <c r="AA323" s="8" t="str">
        <f t="shared" ref="AA323:AA386" si="88">IF(H323="Unknown","Flagged","Pass")</f>
        <v>Pass</v>
      </c>
      <c r="AB323" s="8" t="str">
        <f>TEXT(B323,"mmmm")</f>
        <v>June</v>
      </c>
      <c r="AC323" s="8" t="str">
        <f>TEXT(B323,"yyyy")</f>
        <v>2024</v>
      </c>
      <c r="AE323">
        <f t="shared" ref="AE323:AE386" si="89">O323*P323</f>
        <v>2699.28</v>
      </c>
      <c r="AF323" s="11">
        <f t="shared" ref="AF323:AF386" si="90">AE323*(1-Q323)</f>
        <v>2699.28</v>
      </c>
      <c r="AG323">
        <f t="shared" ref="AG323:AG386" si="91">AE323-S323</f>
        <v>939.52000000000021</v>
      </c>
      <c r="AH323" s="11">
        <f t="shared" ref="AH323:AH386" si="92">AG323/AE323</f>
        <v>0.34806318722029583</v>
      </c>
      <c r="AI323" s="9">
        <f t="shared" ref="AI323:AI386" si="93">AG323/AE323</f>
        <v>0.34806318722029583</v>
      </c>
      <c r="AJ323">
        <f t="shared" ref="AJ323:AJ386" si="94">SUMIFS(R323, V323, "Completed", U323, "Paid")</f>
        <v>0</v>
      </c>
      <c r="AK323">
        <f t="shared" ref="AK323:AK386" si="95">COUNTIFS(V323, "Completed", U323, "Paid")</f>
        <v>0</v>
      </c>
      <c r="AL323">
        <f t="shared" ref="AL323:AL386" si="96">SUMIFS(R323, V323, "Cancelled")</f>
        <v>2699.28</v>
      </c>
      <c r="AM323">
        <f t="shared" ref="AM323:AM386" si="97">COUNTIFS(V323, "Cancelled")</f>
        <v>1</v>
      </c>
      <c r="AN323">
        <f t="shared" ref="AN323:AN386" si="98">SUMIFS(R323, U323, "Failed")</f>
        <v>2699.28</v>
      </c>
      <c r="AO323">
        <f t="shared" ref="AO323:AO386" si="99">COUNTIFS(U323, "Failed")</f>
        <v>1</v>
      </c>
      <c r="AP323">
        <f t="shared" ref="AP323:AP386" si="100">SUMIFS(R323, V323, "Returned")</f>
        <v>0</v>
      </c>
      <c r="AQ323">
        <f t="shared" ref="AQ323:AQ386" si="101">COUNTIFS(V323, "Returned")</f>
        <v>0</v>
      </c>
    </row>
    <row r="324" spans="1:43">
      <c r="A324" t="s">
        <v>1071</v>
      </c>
      <c r="B324" s="5">
        <v>45608</v>
      </c>
      <c r="C324" s="5">
        <v>45608</v>
      </c>
      <c r="D324" s="13">
        <f t="shared" si="85"/>
        <v>0</v>
      </c>
      <c r="E324" t="s">
        <v>1072</v>
      </c>
      <c r="F324" t="s">
        <v>47</v>
      </c>
      <c r="G324" t="s">
        <v>24</v>
      </c>
      <c r="H324" t="s">
        <v>25</v>
      </c>
      <c r="I324" t="s">
        <v>136</v>
      </c>
      <c r="J324" t="s">
        <v>137</v>
      </c>
      <c r="K324" t="s">
        <v>74</v>
      </c>
      <c r="L324" t="s">
        <v>171</v>
      </c>
      <c r="M324" t="s">
        <v>1073</v>
      </c>
      <c r="N324" t="s">
        <v>31</v>
      </c>
      <c r="O324">
        <v>6</v>
      </c>
      <c r="P324">
        <v>1369.48</v>
      </c>
      <c r="Q324" s="11">
        <v>0.15</v>
      </c>
      <c r="R324">
        <v>6984.35</v>
      </c>
      <c r="S324">
        <v>4023.63</v>
      </c>
      <c r="T324">
        <v>2960.72</v>
      </c>
      <c r="U324" t="s">
        <v>32</v>
      </c>
      <c r="V324" t="s">
        <v>33</v>
      </c>
      <c r="X324" s="8" t="str">
        <f>IF(C324&gt;=B324,"Valid", "Invalid-Date")</f>
        <v>Valid</v>
      </c>
      <c r="Y324" s="8" t="str">
        <f t="shared" si="86"/>
        <v>Valid</v>
      </c>
      <c r="Z324" s="8" t="str">
        <f t="shared" si="87"/>
        <v>Pass</v>
      </c>
      <c r="AA324" s="8" t="str">
        <f t="shared" si="88"/>
        <v>Pass</v>
      </c>
      <c r="AB324" s="8" t="str">
        <f>TEXT(B324,"mmmm")</f>
        <v>November</v>
      </c>
      <c r="AC324" s="8" t="str">
        <f>TEXT(B324,"yyyy")</f>
        <v>2024</v>
      </c>
      <c r="AE324">
        <f t="shared" si="89"/>
        <v>8216.880000000001</v>
      </c>
      <c r="AF324" s="11">
        <f t="shared" si="90"/>
        <v>6984.3480000000009</v>
      </c>
      <c r="AG324">
        <f t="shared" si="91"/>
        <v>4193.2500000000009</v>
      </c>
      <c r="AH324" s="11">
        <f t="shared" si="92"/>
        <v>0.51032143587347023</v>
      </c>
      <c r="AI324" s="9">
        <f t="shared" si="93"/>
        <v>0.51032143587347023</v>
      </c>
      <c r="AJ324">
        <f t="shared" si="94"/>
        <v>6984.35</v>
      </c>
      <c r="AK324">
        <f t="shared" si="95"/>
        <v>1</v>
      </c>
      <c r="AL324">
        <f t="shared" si="96"/>
        <v>0</v>
      </c>
      <c r="AM324">
        <f t="shared" si="97"/>
        <v>0</v>
      </c>
      <c r="AN324">
        <f t="shared" si="98"/>
        <v>0</v>
      </c>
      <c r="AO324">
        <f t="shared" si="99"/>
        <v>0</v>
      </c>
      <c r="AP324">
        <f t="shared" si="100"/>
        <v>0</v>
      </c>
      <c r="AQ324">
        <f t="shared" si="101"/>
        <v>0</v>
      </c>
    </row>
    <row r="325" spans="1:43">
      <c r="A325" t="s">
        <v>1074</v>
      </c>
      <c r="B325" s="5">
        <v>45347</v>
      </c>
      <c r="C325" s="5">
        <v>45351</v>
      </c>
      <c r="D325" s="13">
        <f t="shared" si="85"/>
        <v>4</v>
      </c>
      <c r="E325" t="s">
        <v>1075</v>
      </c>
      <c r="F325" t="s">
        <v>47</v>
      </c>
      <c r="G325" t="s">
        <v>37</v>
      </c>
      <c r="H325" t="s">
        <v>63</v>
      </c>
      <c r="I325" t="s">
        <v>190</v>
      </c>
      <c r="J325" t="s">
        <v>191</v>
      </c>
      <c r="K325" t="s">
        <v>41</v>
      </c>
      <c r="L325" t="s">
        <v>57</v>
      </c>
      <c r="M325" t="s">
        <v>150</v>
      </c>
      <c r="N325" t="s">
        <v>59</v>
      </c>
      <c r="O325">
        <v>9</v>
      </c>
      <c r="P325">
        <v>1331.46</v>
      </c>
      <c r="Q325" s="11">
        <v>0.15</v>
      </c>
      <c r="R325">
        <v>10185.67</v>
      </c>
      <c r="S325">
        <v>6479.31</v>
      </c>
      <c r="T325">
        <v>3706.36</v>
      </c>
      <c r="U325" t="s">
        <v>32</v>
      </c>
      <c r="V325" t="s">
        <v>33</v>
      </c>
      <c r="X325" s="8" t="str">
        <f>IF(C325&gt;=B325,"Valid", "Invalid-Date")</f>
        <v>Valid</v>
      </c>
      <c r="Y325" s="8" t="str">
        <f t="shared" si="86"/>
        <v>Valid</v>
      </c>
      <c r="Z325" s="8" t="str">
        <f t="shared" si="87"/>
        <v>Pass</v>
      </c>
      <c r="AA325" s="8" t="str">
        <f t="shared" si="88"/>
        <v>Pass</v>
      </c>
      <c r="AB325" s="8" t="str">
        <f>TEXT(B325,"mmmm")</f>
        <v>February</v>
      </c>
      <c r="AC325" s="8" t="str">
        <f>TEXT(B325,"yyyy")</f>
        <v>2024</v>
      </c>
      <c r="AE325">
        <f t="shared" si="89"/>
        <v>11983.14</v>
      </c>
      <c r="AF325" s="11">
        <f t="shared" si="90"/>
        <v>10185.669</v>
      </c>
      <c r="AG325">
        <f t="shared" si="91"/>
        <v>5503.829999999999</v>
      </c>
      <c r="AH325" s="11">
        <f t="shared" si="92"/>
        <v>0.45929781342786608</v>
      </c>
      <c r="AI325" s="9">
        <f t="shared" si="93"/>
        <v>0.45929781342786608</v>
      </c>
      <c r="AJ325">
        <f t="shared" si="94"/>
        <v>10185.67</v>
      </c>
      <c r="AK325">
        <f t="shared" si="95"/>
        <v>1</v>
      </c>
      <c r="AL325">
        <f t="shared" si="96"/>
        <v>0</v>
      </c>
      <c r="AM325">
        <f t="shared" si="97"/>
        <v>0</v>
      </c>
      <c r="AN325">
        <f t="shared" si="98"/>
        <v>0</v>
      </c>
      <c r="AO325">
        <f t="shared" si="99"/>
        <v>0</v>
      </c>
      <c r="AP325">
        <f t="shared" si="100"/>
        <v>0</v>
      </c>
      <c r="AQ325">
        <f t="shared" si="101"/>
        <v>0</v>
      </c>
    </row>
    <row r="326" spans="1:43">
      <c r="A326" t="s">
        <v>1076</v>
      </c>
      <c r="B326" s="5">
        <v>45869</v>
      </c>
      <c r="C326" s="5">
        <v>45871</v>
      </c>
      <c r="D326" s="13">
        <f t="shared" si="85"/>
        <v>2</v>
      </c>
      <c r="E326" t="s">
        <v>1077</v>
      </c>
      <c r="F326" t="s">
        <v>141</v>
      </c>
      <c r="G326" t="s">
        <v>95</v>
      </c>
      <c r="H326" t="s">
        <v>54</v>
      </c>
      <c r="I326" t="s">
        <v>84</v>
      </c>
      <c r="J326" t="s">
        <v>85</v>
      </c>
      <c r="K326" t="s">
        <v>28</v>
      </c>
      <c r="L326" t="s">
        <v>91</v>
      </c>
      <c r="M326" t="s">
        <v>1078</v>
      </c>
      <c r="N326" t="s">
        <v>44</v>
      </c>
      <c r="O326">
        <v>1</v>
      </c>
      <c r="P326">
        <v>1947.88</v>
      </c>
      <c r="Q326" s="11">
        <v>0.15</v>
      </c>
      <c r="R326">
        <v>1655.7</v>
      </c>
      <c r="S326">
        <v>1354.8</v>
      </c>
      <c r="T326">
        <v>300.89999999999998</v>
      </c>
      <c r="U326" t="s">
        <v>32</v>
      </c>
      <c r="V326" t="s">
        <v>103</v>
      </c>
      <c r="X326" s="8" t="str">
        <f>IF(C326&gt;=B326,"Valid", "Invalid-Date")</f>
        <v>Valid</v>
      </c>
      <c r="Y326" s="8" t="str">
        <f t="shared" si="86"/>
        <v>Valid</v>
      </c>
      <c r="Z326" s="8" t="str">
        <f t="shared" si="87"/>
        <v>Pass</v>
      </c>
      <c r="AA326" s="8" t="str">
        <f t="shared" si="88"/>
        <v>Pass</v>
      </c>
      <c r="AB326" s="8" t="str">
        <f>TEXT(B326,"mmmm")</f>
        <v>July</v>
      </c>
      <c r="AC326" s="8" t="str">
        <f>TEXT(B326,"yyyy")</f>
        <v>2025</v>
      </c>
      <c r="AE326">
        <f t="shared" si="89"/>
        <v>1947.88</v>
      </c>
      <c r="AF326" s="11">
        <f t="shared" si="90"/>
        <v>1655.6980000000001</v>
      </c>
      <c r="AG326">
        <f t="shared" si="91"/>
        <v>593.08000000000015</v>
      </c>
      <c r="AH326" s="11">
        <f t="shared" si="92"/>
        <v>0.304474608292092</v>
      </c>
      <c r="AI326" s="9">
        <f t="shared" si="93"/>
        <v>0.304474608292092</v>
      </c>
      <c r="AJ326">
        <f t="shared" si="94"/>
        <v>0</v>
      </c>
      <c r="AK326">
        <f t="shared" si="95"/>
        <v>0</v>
      </c>
      <c r="AL326">
        <f t="shared" si="96"/>
        <v>0</v>
      </c>
      <c r="AM326">
        <f t="shared" si="97"/>
        <v>0</v>
      </c>
      <c r="AN326">
        <f t="shared" si="98"/>
        <v>0</v>
      </c>
      <c r="AO326">
        <f t="shared" si="99"/>
        <v>0</v>
      </c>
      <c r="AP326">
        <f t="shared" si="100"/>
        <v>1655.7</v>
      </c>
      <c r="AQ326">
        <f t="shared" si="101"/>
        <v>1</v>
      </c>
    </row>
    <row r="327" spans="1:43">
      <c r="A327" t="s">
        <v>1079</v>
      </c>
      <c r="B327" s="5">
        <v>45916</v>
      </c>
      <c r="C327" s="5">
        <v>45922</v>
      </c>
      <c r="D327" s="13">
        <f t="shared" si="85"/>
        <v>6</v>
      </c>
      <c r="E327" t="s">
        <v>1080</v>
      </c>
      <c r="F327" t="s">
        <v>132</v>
      </c>
      <c r="G327" t="s">
        <v>95</v>
      </c>
      <c r="H327" t="s">
        <v>38</v>
      </c>
      <c r="I327" t="s">
        <v>99</v>
      </c>
      <c r="J327" t="s">
        <v>100</v>
      </c>
      <c r="K327" t="s">
        <v>74</v>
      </c>
      <c r="L327" t="s">
        <v>80</v>
      </c>
      <c r="M327" t="s">
        <v>1081</v>
      </c>
      <c r="N327" t="s">
        <v>31</v>
      </c>
      <c r="O327">
        <v>5</v>
      </c>
      <c r="P327">
        <v>3671.2</v>
      </c>
      <c r="Q327" s="11">
        <v>0.15</v>
      </c>
      <c r="R327">
        <v>15602.6</v>
      </c>
      <c r="S327">
        <v>11908.52</v>
      </c>
      <c r="T327">
        <v>3694.08</v>
      </c>
      <c r="U327" t="s">
        <v>32</v>
      </c>
      <c r="V327" t="s">
        <v>33</v>
      </c>
      <c r="X327" s="8" t="str">
        <f>IF(C327&gt;=B327,"Valid", "Invalid-Date")</f>
        <v>Valid</v>
      </c>
      <c r="Y327" s="8" t="str">
        <f t="shared" si="86"/>
        <v>Valid</v>
      </c>
      <c r="Z327" s="8" t="str">
        <f t="shared" si="87"/>
        <v>Pass</v>
      </c>
      <c r="AA327" s="8" t="str">
        <f t="shared" si="88"/>
        <v>Pass</v>
      </c>
      <c r="AB327" s="8" t="str">
        <f>TEXT(B327,"mmmm")</f>
        <v>September</v>
      </c>
      <c r="AC327" s="8" t="str">
        <f>TEXT(B327,"yyyy")</f>
        <v>2025</v>
      </c>
      <c r="AE327">
        <f t="shared" si="89"/>
        <v>18356</v>
      </c>
      <c r="AF327" s="11">
        <f t="shared" si="90"/>
        <v>15602.6</v>
      </c>
      <c r="AG327">
        <f t="shared" si="91"/>
        <v>6447.48</v>
      </c>
      <c r="AH327" s="11">
        <f t="shared" si="92"/>
        <v>0.35124645892351275</v>
      </c>
      <c r="AI327" s="9">
        <f t="shared" si="93"/>
        <v>0.35124645892351275</v>
      </c>
      <c r="AJ327">
        <f t="shared" si="94"/>
        <v>15602.6</v>
      </c>
      <c r="AK327">
        <f t="shared" si="95"/>
        <v>1</v>
      </c>
      <c r="AL327">
        <f t="shared" si="96"/>
        <v>0</v>
      </c>
      <c r="AM327">
        <f t="shared" si="97"/>
        <v>0</v>
      </c>
      <c r="AN327">
        <f t="shared" si="98"/>
        <v>0</v>
      </c>
      <c r="AO327">
        <f t="shared" si="99"/>
        <v>0</v>
      </c>
      <c r="AP327">
        <f t="shared" si="100"/>
        <v>0</v>
      </c>
      <c r="AQ327">
        <f t="shared" si="101"/>
        <v>0</v>
      </c>
    </row>
    <row r="328" spans="1:43">
      <c r="A328" t="s">
        <v>1082</v>
      </c>
      <c r="B328" s="5">
        <v>45860</v>
      </c>
      <c r="C328" s="5">
        <v>45860</v>
      </c>
      <c r="D328" s="13">
        <f t="shared" si="85"/>
        <v>0</v>
      </c>
      <c r="E328" t="s">
        <v>1083</v>
      </c>
      <c r="F328" t="s">
        <v>132</v>
      </c>
      <c r="G328" t="s">
        <v>90</v>
      </c>
      <c r="H328" t="s">
        <v>38</v>
      </c>
      <c r="I328" t="s">
        <v>228</v>
      </c>
      <c r="J328" t="s">
        <v>229</v>
      </c>
      <c r="K328" t="s">
        <v>41</v>
      </c>
      <c r="L328" t="s">
        <v>57</v>
      </c>
      <c r="M328" t="s">
        <v>1084</v>
      </c>
      <c r="N328" t="s">
        <v>44</v>
      </c>
      <c r="O328">
        <v>5</v>
      </c>
      <c r="P328">
        <v>3187.05</v>
      </c>
      <c r="Q328" s="11">
        <v>0.05</v>
      </c>
      <c r="R328">
        <v>15138.49</v>
      </c>
      <c r="S328">
        <v>11235.72</v>
      </c>
      <c r="T328">
        <v>3902.77</v>
      </c>
      <c r="U328" t="s">
        <v>32</v>
      </c>
      <c r="V328" t="s">
        <v>33</v>
      </c>
      <c r="X328" s="8" t="str">
        <f>IF(C328&gt;=B328,"Valid", "Invalid-Date")</f>
        <v>Valid</v>
      </c>
      <c r="Y328" s="8" t="str">
        <f t="shared" si="86"/>
        <v>Valid</v>
      </c>
      <c r="Z328" s="8" t="str">
        <f t="shared" si="87"/>
        <v>Pass</v>
      </c>
      <c r="AA328" s="8" t="str">
        <f t="shared" si="88"/>
        <v>Pass</v>
      </c>
      <c r="AB328" s="8" t="str">
        <f>TEXT(B328,"mmmm")</f>
        <v>July</v>
      </c>
      <c r="AC328" s="8" t="str">
        <f>TEXT(B328,"yyyy")</f>
        <v>2025</v>
      </c>
      <c r="AE328">
        <f t="shared" si="89"/>
        <v>15935.25</v>
      </c>
      <c r="AF328" s="11">
        <f t="shared" si="90"/>
        <v>15138.487499999999</v>
      </c>
      <c r="AG328">
        <f t="shared" si="91"/>
        <v>4699.5300000000007</v>
      </c>
      <c r="AH328" s="11">
        <f t="shared" si="92"/>
        <v>0.29491410552077946</v>
      </c>
      <c r="AI328" s="9">
        <f t="shared" si="93"/>
        <v>0.29491410552077946</v>
      </c>
      <c r="AJ328">
        <f t="shared" si="94"/>
        <v>15138.49</v>
      </c>
      <c r="AK328">
        <f t="shared" si="95"/>
        <v>1</v>
      </c>
      <c r="AL328">
        <f t="shared" si="96"/>
        <v>0</v>
      </c>
      <c r="AM328">
        <f t="shared" si="97"/>
        <v>0</v>
      </c>
      <c r="AN328">
        <f t="shared" si="98"/>
        <v>0</v>
      </c>
      <c r="AO328">
        <f t="shared" si="99"/>
        <v>0</v>
      </c>
      <c r="AP328">
        <f t="shared" si="100"/>
        <v>0</v>
      </c>
      <c r="AQ328">
        <f t="shared" si="101"/>
        <v>0</v>
      </c>
    </row>
    <row r="329" spans="1:43">
      <c r="A329" t="s">
        <v>1085</v>
      </c>
      <c r="B329" s="5">
        <v>45497</v>
      </c>
      <c r="C329" s="5">
        <v>45500</v>
      </c>
      <c r="D329" s="13">
        <f t="shared" si="85"/>
        <v>3</v>
      </c>
      <c r="E329" t="s">
        <v>1086</v>
      </c>
      <c r="F329" t="s">
        <v>47</v>
      </c>
      <c r="G329" t="s">
        <v>24</v>
      </c>
      <c r="H329" t="s">
        <v>63</v>
      </c>
      <c r="I329" t="s">
        <v>26</v>
      </c>
      <c r="J329" t="s">
        <v>109</v>
      </c>
      <c r="K329" t="s">
        <v>74</v>
      </c>
      <c r="L329" t="s">
        <v>75</v>
      </c>
      <c r="M329" t="s">
        <v>1087</v>
      </c>
      <c r="N329" t="s">
        <v>31</v>
      </c>
      <c r="O329">
        <v>3</v>
      </c>
      <c r="P329">
        <v>1834.55</v>
      </c>
      <c r="Q329" s="11">
        <v>0.2</v>
      </c>
      <c r="R329">
        <v>4402.92</v>
      </c>
      <c r="S329">
        <v>2993.94</v>
      </c>
      <c r="T329">
        <v>1408.98</v>
      </c>
      <c r="U329" t="s">
        <v>111</v>
      </c>
      <c r="V329" t="s">
        <v>68</v>
      </c>
      <c r="X329" s="8" t="str">
        <f>IF(C329&gt;=B329,"Valid", "Invalid-Date")</f>
        <v>Valid</v>
      </c>
      <c r="Y329" s="8" t="str">
        <f t="shared" si="86"/>
        <v>Valid</v>
      </c>
      <c r="Z329" s="8" t="str">
        <f t="shared" si="87"/>
        <v>Pass</v>
      </c>
      <c r="AA329" s="8" t="str">
        <f t="shared" si="88"/>
        <v>Pass</v>
      </c>
      <c r="AB329" s="8" t="str">
        <f>TEXT(B329,"mmmm")</f>
        <v>July</v>
      </c>
      <c r="AC329" s="8" t="str">
        <f>TEXT(B329,"yyyy")</f>
        <v>2024</v>
      </c>
      <c r="AE329">
        <f t="shared" si="89"/>
        <v>5503.65</v>
      </c>
      <c r="AF329" s="11">
        <f t="shared" si="90"/>
        <v>4402.92</v>
      </c>
      <c r="AG329">
        <f t="shared" si="91"/>
        <v>2509.7099999999996</v>
      </c>
      <c r="AH329" s="11">
        <f t="shared" si="92"/>
        <v>0.45600828541059113</v>
      </c>
      <c r="AI329" s="9">
        <f t="shared" si="93"/>
        <v>0.45600828541059113</v>
      </c>
      <c r="AJ329">
        <f t="shared" si="94"/>
        <v>0</v>
      </c>
      <c r="AK329">
        <f t="shared" si="95"/>
        <v>0</v>
      </c>
      <c r="AL329">
        <f t="shared" si="96"/>
        <v>4402.92</v>
      </c>
      <c r="AM329">
        <f t="shared" si="97"/>
        <v>1</v>
      </c>
      <c r="AN329">
        <f t="shared" si="98"/>
        <v>0</v>
      </c>
      <c r="AO329">
        <f t="shared" si="99"/>
        <v>0</v>
      </c>
      <c r="AP329">
        <f t="shared" si="100"/>
        <v>0</v>
      </c>
      <c r="AQ329">
        <f t="shared" si="101"/>
        <v>0</v>
      </c>
    </row>
    <row r="330" spans="1:43">
      <c r="A330" t="s">
        <v>1088</v>
      </c>
      <c r="B330" s="5">
        <v>45806</v>
      </c>
      <c r="C330" s="5">
        <v>45753</v>
      </c>
      <c r="D330" s="13">
        <f t="shared" si="85"/>
        <v>-53</v>
      </c>
      <c r="E330" t="s">
        <v>1089</v>
      </c>
      <c r="F330" t="s">
        <v>162</v>
      </c>
      <c r="G330" t="s">
        <v>24</v>
      </c>
      <c r="H330" t="s">
        <v>63</v>
      </c>
      <c r="I330" t="s">
        <v>64</v>
      </c>
      <c r="J330" t="s">
        <v>65</v>
      </c>
      <c r="K330" t="s">
        <v>28</v>
      </c>
      <c r="L330" t="s">
        <v>124</v>
      </c>
      <c r="M330" t="s">
        <v>1090</v>
      </c>
      <c r="N330" t="s">
        <v>50</v>
      </c>
      <c r="O330">
        <v>6</v>
      </c>
      <c r="P330">
        <v>3100.68</v>
      </c>
      <c r="Q330" s="11">
        <v>0</v>
      </c>
      <c r="R330">
        <v>18604.080000000002</v>
      </c>
      <c r="S330">
        <v>15834.3</v>
      </c>
      <c r="T330">
        <v>2769.78</v>
      </c>
      <c r="U330" t="s">
        <v>32</v>
      </c>
      <c r="V330" t="s">
        <v>33</v>
      </c>
      <c r="X330" s="8" t="str">
        <f>IF(C330&gt;=B330,"Valid", "Invalid-Date")</f>
        <v>Invalid-Date</v>
      </c>
      <c r="Y330" s="8" t="str">
        <f t="shared" si="86"/>
        <v>Valid</v>
      </c>
      <c r="Z330" s="8" t="str">
        <f t="shared" si="87"/>
        <v>Pass</v>
      </c>
      <c r="AA330" s="8" t="str">
        <f t="shared" si="88"/>
        <v>Pass</v>
      </c>
      <c r="AB330" s="8" t="str">
        <f>TEXT(B330,"mmmm")</f>
        <v>May</v>
      </c>
      <c r="AC330" s="8" t="str">
        <f>TEXT(B330,"yyyy")</f>
        <v>2025</v>
      </c>
      <c r="AE330">
        <f t="shared" si="89"/>
        <v>18604.079999999998</v>
      </c>
      <c r="AF330" s="11">
        <f t="shared" si="90"/>
        <v>18604.079999999998</v>
      </c>
      <c r="AG330">
        <f t="shared" si="91"/>
        <v>2769.7799999999988</v>
      </c>
      <c r="AH330" s="11">
        <f t="shared" si="92"/>
        <v>0.1488802456235406</v>
      </c>
      <c r="AI330" s="9">
        <f t="shared" si="93"/>
        <v>0.1488802456235406</v>
      </c>
      <c r="AJ330">
        <f t="shared" si="94"/>
        <v>18604.080000000002</v>
      </c>
      <c r="AK330">
        <f t="shared" si="95"/>
        <v>1</v>
      </c>
      <c r="AL330">
        <f t="shared" si="96"/>
        <v>0</v>
      </c>
      <c r="AM330">
        <f t="shared" si="97"/>
        <v>0</v>
      </c>
      <c r="AN330">
        <f t="shared" si="98"/>
        <v>0</v>
      </c>
      <c r="AO330">
        <f t="shared" si="99"/>
        <v>0</v>
      </c>
      <c r="AP330">
        <f t="shared" si="100"/>
        <v>0</v>
      </c>
      <c r="AQ330">
        <f t="shared" si="101"/>
        <v>0</v>
      </c>
    </row>
    <row r="331" spans="1:43">
      <c r="A331" t="s">
        <v>1091</v>
      </c>
      <c r="B331" s="5">
        <v>45789</v>
      </c>
      <c r="C331" s="5">
        <v>45795</v>
      </c>
      <c r="D331" s="13">
        <f t="shared" si="85"/>
        <v>6</v>
      </c>
      <c r="E331" t="s">
        <v>1092</v>
      </c>
      <c r="F331" t="s">
        <v>79</v>
      </c>
      <c r="G331" t="s">
        <v>37</v>
      </c>
      <c r="H331" t="s">
        <v>63</v>
      </c>
      <c r="I331" t="s">
        <v>64</v>
      </c>
      <c r="J331" t="s">
        <v>65</v>
      </c>
      <c r="K331" t="s">
        <v>28</v>
      </c>
      <c r="L331" t="s">
        <v>124</v>
      </c>
      <c r="M331" t="s">
        <v>1093</v>
      </c>
      <c r="N331" t="s">
        <v>59</v>
      </c>
      <c r="O331">
        <v>4</v>
      </c>
      <c r="P331">
        <v>4053.03</v>
      </c>
      <c r="Q331" s="11">
        <v>0.05</v>
      </c>
      <c r="R331">
        <v>15401.51</v>
      </c>
      <c r="S331">
        <v>8650.42</v>
      </c>
      <c r="T331">
        <v>6751.09</v>
      </c>
      <c r="U331" t="s">
        <v>32</v>
      </c>
      <c r="V331" t="s">
        <v>33</v>
      </c>
      <c r="X331" s="8" t="str">
        <f>IF(C331&gt;=B331,"Valid", "Invalid-Date")</f>
        <v>Valid</v>
      </c>
      <c r="Y331" s="8" t="str">
        <f t="shared" si="86"/>
        <v>Valid</v>
      </c>
      <c r="Z331" s="8" t="str">
        <f t="shared" si="87"/>
        <v>Pass</v>
      </c>
      <c r="AA331" s="8" t="str">
        <f t="shared" si="88"/>
        <v>Pass</v>
      </c>
      <c r="AB331" s="8" t="str">
        <f>TEXT(B331,"mmmm")</f>
        <v>May</v>
      </c>
      <c r="AC331" s="8" t="str">
        <f>TEXT(B331,"yyyy")</f>
        <v>2025</v>
      </c>
      <c r="AE331">
        <f t="shared" si="89"/>
        <v>16212.12</v>
      </c>
      <c r="AF331" s="11">
        <f t="shared" si="90"/>
        <v>15401.513999999999</v>
      </c>
      <c r="AG331">
        <f t="shared" si="91"/>
        <v>7561.7000000000007</v>
      </c>
      <c r="AH331" s="11">
        <f t="shared" si="92"/>
        <v>0.46642265169515157</v>
      </c>
      <c r="AI331" s="9">
        <f t="shared" si="93"/>
        <v>0.46642265169515157</v>
      </c>
      <c r="AJ331">
        <f t="shared" si="94"/>
        <v>15401.51</v>
      </c>
      <c r="AK331">
        <f t="shared" si="95"/>
        <v>1</v>
      </c>
      <c r="AL331">
        <f t="shared" si="96"/>
        <v>0</v>
      </c>
      <c r="AM331">
        <f t="shared" si="97"/>
        <v>0</v>
      </c>
      <c r="AN331">
        <f t="shared" si="98"/>
        <v>0</v>
      </c>
      <c r="AO331">
        <f t="shared" si="99"/>
        <v>0</v>
      </c>
      <c r="AP331">
        <f t="shared" si="100"/>
        <v>0</v>
      </c>
      <c r="AQ331">
        <f t="shared" si="101"/>
        <v>0</v>
      </c>
    </row>
    <row r="332" spans="1:43">
      <c r="A332" t="s">
        <v>1094</v>
      </c>
      <c r="B332" s="5">
        <v>45428</v>
      </c>
      <c r="C332" s="5">
        <v>45436</v>
      </c>
      <c r="D332" s="13">
        <f t="shared" si="85"/>
        <v>8</v>
      </c>
      <c r="E332" t="s">
        <v>1095</v>
      </c>
      <c r="F332" t="s">
        <v>53</v>
      </c>
      <c r="G332" t="s">
        <v>95</v>
      </c>
      <c r="H332" t="s">
        <v>25</v>
      </c>
      <c r="I332" t="s">
        <v>122</v>
      </c>
      <c r="J332" t="s">
        <v>123</v>
      </c>
      <c r="K332" t="s">
        <v>74</v>
      </c>
      <c r="L332" t="s">
        <v>75</v>
      </c>
      <c r="M332" t="s">
        <v>1096</v>
      </c>
      <c r="N332" t="s">
        <v>44</v>
      </c>
      <c r="O332">
        <v>1</v>
      </c>
      <c r="P332">
        <v>783.09</v>
      </c>
      <c r="Q332" s="11">
        <v>0</v>
      </c>
      <c r="R332">
        <v>783.09</v>
      </c>
      <c r="S332">
        <v>503.89</v>
      </c>
      <c r="T332">
        <v>279.2</v>
      </c>
      <c r="U332" t="s">
        <v>155</v>
      </c>
      <c r="V332" t="s">
        <v>68</v>
      </c>
      <c r="X332" s="8" t="str">
        <f>IF(C332&gt;=B332,"Valid", "Invalid-Date")</f>
        <v>Valid</v>
      </c>
      <c r="Y332" s="8" t="str">
        <f t="shared" si="86"/>
        <v>Valid</v>
      </c>
      <c r="Z332" s="8" t="str">
        <f t="shared" si="87"/>
        <v>Pass</v>
      </c>
      <c r="AA332" s="8" t="str">
        <f t="shared" si="88"/>
        <v>Pass</v>
      </c>
      <c r="AB332" s="8" t="str">
        <f>TEXT(B332,"mmmm")</f>
        <v>May</v>
      </c>
      <c r="AC332" s="8" t="str">
        <f>TEXT(B332,"yyyy")</f>
        <v>2024</v>
      </c>
      <c r="AE332">
        <f t="shared" si="89"/>
        <v>783.09</v>
      </c>
      <c r="AF332" s="11">
        <f t="shared" si="90"/>
        <v>783.09</v>
      </c>
      <c r="AG332">
        <f t="shared" si="91"/>
        <v>279.20000000000005</v>
      </c>
      <c r="AH332" s="11">
        <f t="shared" si="92"/>
        <v>0.3565362857398256</v>
      </c>
      <c r="AI332" s="9">
        <f t="shared" si="93"/>
        <v>0.3565362857398256</v>
      </c>
      <c r="AJ332">
        <f t="shared" si="94"/>
        <v>0</v>
      </c>
      <c r="AK332">
        <f t="shared" si="95"/>
        <v>0</v>
      </c>
      <c r="AL332">
        <f t="shared" si="96"/>
        <v>783.09</v>
      </c>
      <c r="AM332">
        <f t="shared" si="97"/>
        <v>1</v>
      </c>
      <c r="AN332">
        <f t="shared" si="98"/>
        <v>783.09</v>
      </c>
      <c r="AO332">
        <f t="shared" si="99"/>
        <v>1</v>
      </c>
      <c r="AP332">
        <f t="shared" si="100"/>
        <v>0</v>
      </c>
      <c r="AQ332">
        <f t="shared" si="101"/>
        <v>0</v>
      </c>
    </row>
    <row r="333" spans="1:43" s="15" customFormat="1">
      <c r="A333" s="15" t="s">
        <v>1097</v>
      </c>
      <c r="B333" s="16">
        <v>45630</v>
      </c>
      <c r="C333" s="16">
        <v>45455</v>
      </c>
      <c r="D333" s="17">
        <f t="shared" si="85"/>
        <v>-175</v>
      </c>
      <c r="E333" s="15" t="s">
        <v>1098</v>
      </c>
      <c r="F333" s="15" t="s">
        <v>132</v>
      </c>
      <c r="G333" s="15" t="s">
        <v>95</v>
      </c>
      <c r="H333" s="15" t="s">
        <v>38</v>
      </c>
      <c r="I333" s="15" t="s">
        <v>39</v>
      </c>
      <c r="J333" s="15" t="s">
        <v>40</v>
      </c>
      <c r="K333" s="15" t="s">
        <v>28</v>
      </c>
      <c r="L333" s="15" t="s">
        <v>153</v>
      </c>
      <c r="M333" s="15" t="s">
        <v>1099</v>
      </c>
      <c r="N333" s="15" t="s">
        <v>31</v>
      </c>
      <c r="O333" s="15">
        <v>4</v>
      </c>
      <c r="P333" s="15">
        <v>2685.66</v>
      </c>
      <c r="Q333" s="18">
        <v>0</v>
      </c>
      <c r="R333" s="15">
        <v>10742.64</v>
      </c>
      <c r="S333" s="15">
        <v>6477.37</v>
      </c>
      <c r="T333" s="15">
        <v>4265.2700000000004</v>
      </c>
      <c r="U333" s="15" t="s">
        <v>32</v>
      </c>
      <c r="V333" s="15" t="s">
        <v>103</v>
      </c>
      <c r="W333" s="25"/>
      <c r="X333" s="8" t="str">
        <f>IF(C333&gt;=B333,"Valid", "Invalid-Date")</f>
        <v>Invalid-Date</v>
      </c>
      <c r="Y333" s="8" t="str">
        <f t="shared" si="86"/>
        <v>Valid</v>
      </c>
      <c r="Z333" s="19" t="str">
        <f t="shared" si="87"/>
        <v>Pass</v>
      </c>
      <c r="AA333" s="19" t="str">
        <f t="shared" si="88"/>
        <v>Pass</v>
      </c>
      <c r="AB333" s="19" t="str">
        <f>TEXT(B333,"mmmm")</f>
        <v>December</v>
      </c>
      <c r="AC333" s="19" t="str">
        <f>TEXT(B333,"yyyy")</f>
        <v>2024</v>
      </c>
      <c r="AD333" s="20"/>
      <c r="AE333" s="15">
        <f t="shared" si="89"/>
        <v>10742.64</v>
      </c>
      <c r="AF333" s="11">
        <f t="shared" si="90"/>
        <v>10742.64</v>
      </c>
      <c r="AG333" s="15">
        <f t="shared" si="91"/>
        <v>4265.2699999999995</v>
      </c>
      <c r="AH333" s="18">
        <f t="shared" si="92"/>
        <v>0.39704113700170535</v>
      </c>
      <c r="AI333" s="21">
        <f t="shared" si="93"/>
        <v>0.39704113700170535</v>
      </c>
      <c r="AJ333">
        <f t="shared" si="94"/>
        <v>0</v>
      </c>
      <c r="AK333">
        <f t="shared" si="95"/>
        <v>0</v>
      </c>
      <c r="AL333">
        <f t="shared" si="96"/>
        <v>0</v>
      </c>
      <c r="AM333">
        <f t="shared" si="97"/>
        <v>0</v>
      </c>
      <c r="AN333">
        <f t="shared" si="98"/>
        <v>0</v>
      </c>
      <c r="AO333">
        <f t="shared" si="99"/>
        <v>0</v>
      </c>
      <c r="AP333">
        <f t="shared" si="100"/>
        <v>10742.64</v>
      </c>
      <c r="AQ333">
        <f t="shared" si="101"/>
        <v>1</v>
      </c>
    </row>
    <row r="334" spans="1:43">
      <c r="A334" t="s">
        <v>1100</v>
      </c>
      <c r="B334" s="5">
        <v>45804</v>
      </c>
      <c r="C334" s="5">
        <v>45805</v>
      </c>
      <c r="D334" s="13">
        <f t="shared" si="85"/>
        <v>1</v>
      </c>
      <c r="E334" t="s">
        <v>1101</v>
      </c>
      <c r="F334" t="s">
        <v>128</v>
      </c>
      <c r="G334" t="s">
        <v>24</v>
      </c>
      <c r="H334" t="s">
        <v>54</v>
      </c>
      <c r="I334" t="s">
        <v>84</v>
      </c>
      <c r="J334" t="s">
        <v>85</v>
      </c>
      <c r="K334" t="s">
        <v>74</v>
      </c>
      <c r="L334" t="s">
        <v>274</v>
      </c>
      <c r="M334" t="s">
        <v>1102</v>
      </c>
      <c r="N334" t="s">
        <v>31</v>
      </c>
      <c r="O334">
        <v>2</v>
      </c>
      <c r="P334">
        <v>3911.96</v>
      </c>
      <c r="Q334" s="11">
        <v>0</v>
      </c>
      <c r="R334">
        <v>7823.92</v>
      </c>
      <c r="S334">
        <v>6034.63</v>
      </c>
      <c r="T334">
        <v>1789.29</v>
      </c>
      <c r="U334" t="s">
        <v>32</v>
      </c>
      <c r="V334" t="s">
        <v>33</v>
      </c>
      <c r="X334" s="8" t="str">
        <f>IF(C334&gt;=B334,"Valid", "Invalid-Date")</f>
        <v>Valid</v>
      </c>
      <c r="Y334" s="8" t="str">
        <f t="shared" si="86"/>
        <v>Valid</v>
      </c>
      <c r="Z334" s="8" t="str">
        <f t="shared" si="87"/>
        <v>Pass</v>
      </c>
      <c r="AA334" s="8" t="str">
        <f t="shared" si="88"/>
        <v>Pass</v>
      </c>
      <c r="AB334" s="8" t="str">
        <f>TEXT(B334,"mmmm")</f>
        <v>May</v>
      </c>
      <c r="AC334" s="8" t="str">
        <f>TEXT(B334,"yyyy")</f>
        <v>2025</v>
      </c>
      <c r="AE334">
        <f t="shared" si="89"/>
        <v>7823.92</v>
      </c>
      <c r="AF334" s="11">
        <f t="shared" si="90"/>
        <v>7823.92</v>
      </c>
      <c r="AG334">
        <f t="shared" si="91"/>
        <v>1789.29</v>
      </c>
      <c r="AH334" s="11">
        <f t="shared" si="92"/>
        <v>0.22869482305545047</v>
      </c>
      <c r="AI334" s="9">
        <f t="shared" si="93"/>
        <v>0.22869482305545047</v>
      </c>
      <c r="AJ334">
        <f t="shared" si="94"/>
        <v>7823.92</v>
      </c>
      <c r="AK334">
        <f t="shared" si="95"/>
        <v>1</v>
      </c>
      <c r="AL334">
        <f t="shared" si="96"/>
        <v>0</v>
      </c>
      <c r="AM334">
        <f t="shared" si="97"/>
        <v>0</v>
      </c>
      <c r="AN334">
        <f t="shared" si="98"/>
        <v>0</v>
      </c>
      <c r="AO334">
        <f t="shared" si="99"/>
        <v>0</v>
      </c>
      <c r="AP334">
        <f t="shared" si="100"/>
        <v>0</v>
      </c>
      <c r="AQ334">
        <f t="shared" si="101"/>
        <v>0</v>
      </c>
    </row>
    <row r="335" spans="1:43">
      <c r="A335" t="s">
        <v>1103</v>
      </c>
      <c r="B335" s="5">
        <v>45830</v>
      </c>
      <c r="C335" s="5">
        <v>45835</v>
      </c>
      <c r="D335" s="13">
        <f t="shared" si="85"/>
        <v>5</v>
      </c>
      <c r="E335" t="s">
        <v>1104</v>
      </c>
      <c r="F335" t="s">
        <v>141</v>
      </c>
      <c r="G335" t="s">
        <v>95</v>
      </c>
      <c r="H335" t="s">
        <v>2785</v>
      </c>
      <c r="I335" t="s">
        <v>350</v>
      </c>
      <c r="J335" t="s">
        <v>351</v>
      </c>
      <c r="K335" t="s">
        <v>74</v>
      </c>
      <c r="L335" t="s">
        <v>171</v>
      </c>
      <c r="M335" t="s">
        <v>1105</v>
      </c>
      <c r="N335" t="s">
        <v>50</v>
      </c>
      <c r="O335">
        <v>2</v>
      </c>
      <c r="P335">
        <v>1468.05</v>
      </c>
      <c r="Q335" s="11">
        <v>0</v>
      </c>
      <c r="R335">
        <v>2936.1</v>
      </c>
      <c r="S335">
        <v>1923.1</v>
      </c>
      <c r="T335">
        <v>1013</v>
      </c>
      <c r="U335" t="s">
        <v>32</v>
      </c>
      <c r="V335" t="s">
        <v>33</v>
      </c>
      <c r="X335" s="8" t="str">
        <f>IF(C335&gt;=B335,"Valid", "Invalid-Date")</f>
        <v>Valid</v>
      </c>
      <c r="Y335" s="8" t="str">
        <f t="shared" si="86"/>
        <v>Valid</v>
      </c>
      <c r="Z335" s="8" t="str">
        <f t="shared" si="87"/>
        <v>Pass</v>
      </c>
      <c r="AA335" s="8" t="str">
        <f t="shared" si="88"/>
        <v>Flagged</v>
      </c>
      <c r="AB335" s="8" t="str">
        <f>TEXT(B335,"mmmm")</f>
        <v>June</v>
      </c>
      <c r="AC335" s="8" t="str">
        <f>TEXT(B335,"yyyy")</f>
        <v>2025</v>
      </c>
      <c r="AE335">
        <f t="shared" si="89"/>
        <v>2936.1</v>
      </c>
      <c r="AF335" s="11">
        <f t="shared" si="90"/>
        <v>2936.1</v>
      </c>
      <c r="AG335">
        <f t="shared" si="91"/>
        <v>1013</v>
      </c>
      <c r="AH335" s="11">
        <f t="shared" si="92"/>
        <v>0.34501549674738602</v>
      </c>
      <c r="AI335" s="9">
        <f t="shared" si="93"/>
        <v>0.34501549674738602</v>
      </c>
      <c r="AJ335">
        <f t="shared" si="94"/>
        <v>2936.1</v>
      </c>
      <c r="AK335">
        <f t="shared" si="95"/>
        <v>1</v>
      </c>
      <c r="AL335">
        <f t="shared" si="96"/>
        <v>0</v>
      </c>
      <c r="AM335">
        <f t="shared" si="97"/>
        <v>0</v>
      </c>
      <c r="AN335">
        <f t="shared" si="98"/>
        <v>0</v>
      </c>
      <c r="AO335">
        <f t="shared" si="99"/>
        <v>0</v>
      </c>
      <c r="AP335">
        <f t="shared" si="100"/>
        <v>0</v>
      </c>
      <c r="AQ335">
        <f t="shared" si="101"/>
        <v>0</v>
      </c>
    </row>
    <row r="336" spans="1:43">
      <c r="A336" t="s">
        <v>1106</v>
      </c>
      <c r="B336" s="5">
        <v>45547</v>
      </c>
      <c r="C336" s="5">
        <v>45552</v>
      </c>
      <c r="D336" s="13">
        <f t="shared" si="85"/>
        <v>5</v>
      </c>
      <c r="E336" t="s">
        <v>1107</v>
      </c>
      <c r="F336" t="s">
        <v>62</v>
      </c>
      <c r="G336" t="s">
        <v>24</v>
      </c>
      <c r="H336" t="s">
        <v>38</v>
      </c>
      <c r="I336" t="s">
        <v>228</v>
      </c>
      <c r="J336" t="s">
        <v>229</v>
      </c>
      <c r="K336" t="s">
        <v>28</v>
      </c>
      <c r="L336" t="s">
        <v>124</v>
      </c>
      <c r="M336" t="s">
        <v>1108</v>
      </c>
      <c r="N336" t="s">
        <v>50</v>
      </c>
      <c r="O336">
        <v>9</v>
      </c>
      <c r="P336">
        <v>1921.47</v>
      </c>
      <c r="Q336" s="11">
        <v>0.25</v>
      </c>
      <c r="R336">
        <v>12969.92</v>
      </c>
      <c r="S336">
        <v>9398.4599999999991</v>
      </c>
      <c r="T336">
        <v>3571.46</v>
      </c>
      <c r="U336" t="s">
        <v>32</v>
      </c>
      <c r="V336" t="s">
        <v>33</v>
      </c>
      <c r="X336" s="8" t="str">
        <f>IF(C336&gt;=B336,"Valid", "Invalid-Date")</f>
        <v>Valid</v>
      </c>
      <c r="Y336" s="8" t="str">
        <f t="shared" si="86"/>
        <v>Valid</v>
      </c>
      <c r="Z336" s="8" t="str">
        <f t="shared" si="87"/>
        <v>Pass</v>
      </c>
      <c r="AA336" s="8" t="str">
        <f t="shared" si="88"/>
        <v>Pass</v>
      </c>
      <c r="AB336" s="8" t="str">
        <f>TEXT(B336,"mmmm")</f>
        <v>September</v>
      </c>
      <c r="AC336" s="8" t="str">
        <f>TEXT(B336,"yyyy")</f>
        <v>2024</v>
      </c>
      <c r="AE336">
        <f t="shared" si="89"/>
        <v>17293.23</v>
      </c>
      <c r="AF336" s="11">
        <f t="shared" si="90"/>
        <v>12969.922500000001</v>
      </c>
      <c r="AG336">
        <f t="shared" si="91"/>
        <v>7894.77</v>
      </c>
      <c r="AH336" s="11">
        <f t="shared" si="92"/>
        <v>0.45652373790205764</v>
      </c>
      <c r="AI336" s="9">
        <f t="shared" si="93"/>
        <v>0.45652373790205764</v>
      </c>
      <c r="AJ336">
        <f t="shared" si="94"/>
        <v>12969.92</v>
      </c>
      <c r="AK336">
        <f t="shared" si="95"/>
        <v>1</v>
      </c>
      <c r="AL336">
        <f t="shared" si="96"/>
        <v>0</v>
      </c>
      <c r="AM336">
        <f t="shared" si="97"/>
        <v>0</v>
      </c>
      <c r="AN336">
        <f t="shared" si="98"/>
        <v>0</v>
      </c>
      <c r="AO336">
        <f t="shared" si="99"/>
        <v>0</v>
      </c>
      <c r="AP336">
        <f t="shared" si="100"/>
        <v>0</v>
      </c>
      <c r="AQ336">
        <f t="shared" si="101"/>
        <v>0</v>
      </c>
    </row>
    <row r="337" spans="1:43" s="15" customFormat="1">
      <c r="A337" s="15" t="s">
        <v>1109</v>
      </c>
      <c r="B337" s="16">
        <v>45824</v>
      </c>
      <c r="C337" s="16">
        <v>45826</v>
      </c>
      <c r="D337" s="17">
        <f t="shared" si="85"/>
        <v>2</v>
      </c>
      <c r="E337" s="15" t="s">
        <v>1110</v>
      </c>
      <c r="F337" s="15" t="s">
        <v>118</v>
      </c>
      <c r="G337" s="15" t="s">
        <v>95</v>
      </c>
      <c r="H337" s="15" t="s">
        <v>63</v>
      </c>
      <c r="I337" s="15" t="s">
        <v>72</v>
      </c>
      <c r="J337" s="15" t="s">
        <v>73</v>
      </c>
      <c r="K337" s="15" t="s">
        <v>28</v>
      </c>
      <c r="L337" s="15" t="s">
        <v>29</v>
      </c>
      <c r="M337" s="15" t="s">
        <v>1111</v>
      </c>
      <c r="N337" s="15" t="s">
        <v>50</v>
      </c>
      <c r="O337" s="15">
        <v>3</v>
      </c>
      <c r="P337" s="15">
        <v>4289.37</v>
      </c>
      <c r="Q337" s="18">
        <v>0.1</v>
      </c>
      <c r="R337" s="15">
        <v>11581.3</v>
      </c>
      <c r="S337" s="15">
        <v>6829.43</v>
      </c>
      <c r="T337" s="15">
        <v>4751.87</v>
      </c>
      <c r="U337" s="15" t="s">
        <v>32</v>
      </c>
      <c r="V337" s="15" t="s">
        <v>33</v>
      </c>
      <c r="W337" s="25"/>
      <c r="X337" s="8" t="str">
        <f>IF(C337&gt;=B337,"Valid", "Invalid-Date")</f>
        <v>Valid</v>
      </c>
      <c r="Y337" s="8" t="str">
        <f t="shared" si="86"/>
        <v>Valid</v>
      </c>
      <c r="Z337" s="19" t="str">
        <f t="shared" si="87"/>
        <v>Pass</v>
      </c>
      <c r="AA337" s="19" t="str">
        <f t="shared" si="88"/>
        <v>Pass</v>
      </c>
      <c r="AB337" s="19" t="str">
        <f>TEXT(B337,"mmmm")</f>
        <v>June</v>
      </c>
      <c r="AC337" s="19" t="str">
        <f>TEXT(B337,"yyyy")</f>
        <v>2025</v>
      </c>
      <c r="AD337" s="20"/>
      <c r="AE337" s="15">
        <f t="shared" si="89"/>
        <v>12868.11</v>
      </c>
      <c r="AF337" s="11">
        <f t="shared" si="90"/>
        <v>11581.299000000001</v>
      </c>
      <c r="AG337" s="15">
        <f t="shared" si="91"/>
        <v>6038.68</v>
      </c>
      <c r="AH337" s="18">
        <f t="shared" si="92"/>
        <v>0.46927481968991563</v>
      </c>
      <c r="AI337" s="21">
        <f t="shared" si="93"/>
        <v>0.46927481968991563</v>
      </c>
      <c r="AJ337">
        <f t="shared" si="94"/>
        <v>11581.3</v>
      </c>
      <c r="AK337">
        <f t="shared" si="95"/>
        <v>1</v>
      </c>
      <c r="AL337">
        <f t="shared" si="96"/>
        <v>0</v>
      </c>
      <c r="AM337">
        <f t="shared" si="97"/>
        <v>0</v>
      </c>
      <c r="AN337">
        <f t="shared" si="98"/>
        <v>0</v>
      </c>
      <c r="AO337">
        <f t="shared" si="99"/>
        <v>0</v>
      </c>
      <c r="AP337">
        <f t="shared" si="100"/>
        <v>0</v>
      </c>
      <c r="AQ337">
        <f t="shared" si="101"/>
        <v>0</v>
      </c>
    </row>
    <row r="338" spans="1:43">
      <c r="A338" t="s">
        <v>1112</v>
      </c>
      <c r="B338" s="5">
        <v>45368</v>
      </c>
      <c r="C338" s="5">
        <v>45372</v>
      </c>
      <c r="D338" s="13">
        <f t="shared" si="85"/>
        <v>4</v>
      </c>
      <c r="E338" t="s">
        <v>864</v>
      </c>
      <c r="F338" t="s">
        <v>128</v>
      </c>
      <c r="G338" t="s">
        <v>24</v>
      </c>
      <c r="H338" t="s">
        <v>25</v>
      </c>
      <c r="I338" t="s">
        <v>26</v>
      </c>
      <c r="J338" t="s">
        <v>27</v>
      </c>
      <c r="K338" t="s">
        <v>74</v>
      </c>
      <c r="L338" t="s">
        <v>80</v>
      </c>
      <c r="M338" t="s">
        <v>1113</v>
      </c>
      <c r="N338" t="s">
        <v>50</v>
      </c>
      <c r="O338">
        <v>8</v>
      </c>
      <c r="P338">
        <v>1992.57</v>
      </c>
      <c r="Q338" s="11">
        <v>0</v>
      </c>
      <c r="R338">
        <v>15940.56</v>
      </c>
      <c r="S338">
        <v>12347.15</v>
      </c>
      <c r="T338">
        <v>3593.41</v>
      </c>
      <c r="U338" t="s">
        <v>32</v>
      </c>
      <c r="V338" t="s">
        <v>33</v>
      </c>
      <c r="X338" s="8" t="str">
        <f>IF(C338&gt;=B338,"Valid", "Invalid-Date")</f>
        <v>Valid</v>
      </c>
      <c r="Y338" s="8" t="str">
        <f t="shared" si="86"/>
        <v>Valid</v>
      </c>
      <c r="Z338" s="8" t="str">
        <f t="shared" si="87"/>
        <v>Pass</v>
      </c>
      <c r="AA338" s="8" t="str">
        <f t="shared" si="88"/>
        <v>Pass</v>
      </c>
      <c r="AB338" s="8" t="str">
        <f>TEXT(B338,"mmmm")</f>
        <v>March</v>
      </c>
      <c r="AC338" s="8" t="str">
        <f>TEXT(B338,"yyyy")</f>
        <v>2024</v>
      </c>
      <c r="AE338">
        <f t="shared" si="89"/>
        <v>15940.56</v>
      </c>
      <c r="AF338" s="11">
        <f t="shared" si="90"/>
        <v>15940.56</v>
      </c>
      <c r="AG338">
        <f t="shared" si="91"/>
        <v>3593.41</v>
      </c>
      <c r="AH338" s="11">
        <f t="shared" si="92"/>
        <v>0.2254255810335396</v>
      </c>
      <c r="AI338" s="9">
        <f t="shared" si="93"/>
        <v>0.2254255810335396</v>
      </c>
      <c r="AJ338">
        <f t="shared" si="94"/>
        <v>15940.56</v>
      </c>
      <c r="AK338">
        <f t="shared" si="95"/>
        <v>1</v>
      </c>
      <c r="AL338">
        <f t="shared" si="96"/>
        <v>0</v>
      </c>
      <c r="AM338">
        <f t="shared" si="97"/>
        <v>0</v>
      </c>
      <c r="AN338">
        <f t="shared" si="98"/>
        <v>0</v>
      </c>
      <c r="AO338">
        <f t="shared" si="99"/>
        <v>0</v>
      </c>
      <c r="AP338">
        <f t="shared" si="100"/>
        <v>0</v>
      </c>
      <c r="AQ338">
        <f t="shared" si="101"/>
        <v>0</v>
      </c>
    </row>
    <row r="339" spans="1:43">
      <c r="A339" t="s">
        <v>1114</v>
      </c>
      <c r="B339" s="5">
        <v>45516</v>
      </c>
      <c r="C339" s="5">
        <v>45522</v>
      </c>
      <c r="D339" s="13">
        <f t="shared" si="85"/>
        <v>6</v>
      </c>
      <c r="E339" t="s">
        <v>1115</v>
      </c>
      <c r="F339" t="s">
        <v>62</v>
      </c>
      <c r="G339" t="s">
        <v>24</v>
      </c>
      <c r="H339" t="s">
        <v>38</v>
      </c>
      <c r="I339" t="s">
        <v>166</v>
      </c>
      <c r="J339" t="s">
        <v>167</v>
      </c>
      <c r="K339" t="s">
        <v>28</v>
      </c>
      <c r="L339" t="s">
        <v>91</v>
      </c>
      <c r="M339" t="s">
        <v>1116</v>
      </c>
      <c r="N339" t="s">
        <v>44</v>
      </c>
      <c r="O339">
        <v>6</v>
      </c>
      <c r="P339">
        <v>1181.74</v>
      </c>
      <c r="Q339" s="11">
        <v>0</v>
      </c>
      <c r="R339">
        <v>7090.44</v>
      </c>
      <c r="S339">
        <v>5672.27</v>
      </c>
      <c r="T339">
        <v>1262.8699999999999</v>
      </c>
      <c r="U339" t="s">
        <v>32</v>
      </c>
      <c r="V339" t="s">
        <v>33</v>
      </c>
      <c r="X339" s="8" t="str">
        <f>IF(C339&gt;=B339,"Valid", "Invalid-Date")</f>
        <v>Valid</v>
      </c>
      <c r="Y339" s="8" t="str">
        <f t="shared" si="86"/>
        <v>Valid</v>
      </c>
      <c r="Z339" s="8" t="str">
        <f t="shared" si="87"/>
        <v>Pass</v>
      </c>
      <c r="AA339" s="8" t="str">
        <f t="shared" si="88"/>
        <v>Pass</v>
      </c>
      <c r="AB339" s="8" t="str">
        <f>TEXT(B339,"mmmm")</f>
        <v>August</v>
      </c>
      <c r="AC339" s="8" t="str">
        <f>TEXT(B339,"yyyy")</f>
        <v>2024</v>
      </c>
      <c r="AE339">
        <f t="shared" si="89"/>
        <v>7090.4400000000005</v>
      </c>
      <c r="AF339" s="11">
        <f t="shared" si="90"/>
        <v>7090.4400000000005</v>
      </c>
      <c r="AG339">
        <f t="shared" si="91"/>
        <v>1418.17</v>
      </c>
      <c r="AH339" s="11">
        <f t="shared" si="92"/>
        <v>0.20001156486762456</v>
      </c>
      <c r="AI339" s="9">
        <f t="shared" si="93"/>
        <v>0.20001156486762456</v>
      </c>
      <c r="AJ339">
        <f t="shared" si="94"/>
        <v>7090.44</v>
      </c>
      <c r="AK339">
        <f t="shared" si="95"/>
        <v>1</v>
      </c>
      <c r="AL339">
        <f t="shared" si="96"/>
        <v>0</v>
      </c>
      <c r="AM339">
        <f t="shared" si="97"/>
        <v>0</v>
      </c>
      <c r="AN339">
        <f t="shared" si="98"/>
        <v>0</v>
      </c>
      <c r="AO339">
        <f t="shared" si="99"/>
        <v>0</v>
      </c>
      <c r="AP339">
        <f t="shared" si="100"/>
        <v>0</v>
      </c>
      <c r="AQ339">
        <f t="shared" si="101"/>
        <v>0</v>
      </c>
    </row>
    <row r="340" spans="1:43">
      <c r="A340" t="s">
        <v>1117</v>
      </c>
      <c r="B340" s="5">
        <v>45634</v>
      </c>
      <c r="C340" s="5">
        <v>45516</v>
      </c>
      <c r="D340" s="13">
        <f t="shared" si="85"/>
        <v>-118</v>
      </c>
      <c r="E340" t="s">
        <v>1118</v>
      </c>
      <c r="F340" t="s">
        <v>53</v>
      </c>
      <c r="G340" t="s">
        <v>37</v>
      </c>
      <c r="H340" t="s">
        <v>54</v>
      </c>
      <c r="I340" t="s">
        <v>84</v>
      </c>
      <c r="J340" t="s">
        <v>85</v>
      </c>
      <c r="K340" t="s">
        <v>74</v>
      </c>
      <c r="L340" t="s">
        <v>75</v>
      </c>
      <c r="M340" t="s">
        <v>1119</v>
      </c>
      <c r="N340" t="s">
        <v>50</v>
      </c>
      <c r="O340">
        <v>8</v>
      </c>
      <c r="P340">
        <v>4402.3599999999997</v>
      </c>
      <c r="Q340" s="11">
        <v>0.25</v>
      </c>
      <c r="R340">
        <v>26414.16</v>
      </c>
      <c r="S340">
        <v>21822.53</v>
      </c>
      <c r="T340">
        <v>4591.63</v>
      </c>
      <c r="U340" t="s">
        <v>32</v>
      </c>
      <c r="V340" t="s">
        <v>33</v>
      </c>
      <c r="X340" s="8" t="str">
        <f>IF(C340&gt;=B340,"Valid", "Invalid-Date")</f>
        <v>Invalid-Date</v>
      </c>
      <c r="Y340" s="8" t="str">
        <f t="shared" si="86"/>
        <v>Valid</v>
      </c>
      <c r="Z340" s="8" t="str">
        <f t="shared" si="87"/>
        <v>Pass</v>
      </c>
      <c r="AA340" s="8" t="str">
        <f t="shared" si="88"/>
        <v>Pass</v>
      </c>
      <c r="AB340" s="8" t="str">
        <f>TEXT(B340,"mmmm")</f>
        <v>December</v>
      </c>
      <c r="AC340" s="8" t="str">
        <f>TEXT(B340,"yyyy")</f>
        <v>2024</v>
      </c>
      <c r="AE340">
        <f t="shared" si="89"/>
        <v>35218.879999999997</v>
      </c>
      <c r="AF340" s="11">
        <f t="shared" si="90"/>
        <v>26414.159999999996</v>
      </c>
      <c r="AG340">
        <f t="shared" si="91"/>
        <v>13396.349999999999</v>
      </c>
      <c r="AH340" s="11">
        <f t="shared" si="92"/>
        <v>0.38037410616124079</v>
      </c>
      <c r="AI340" s="9">
        <f t="shared" si="93"/>
        <v>0.38037410616124079</v>
      </c>
      <c r="AJ340">
        <f t="shared" si="94"/>
        <v>26414.16</v>
      </c>
      <c r="AK340">
        <f t="shared" si="95"/>
        <v>1</v>
      </c>
      <c r="AL340">
        <f t="shared" si="96"/>
        <v>0</v>
      </c>
      <c r="AM340">
        <f t="shared" si="97"/>
        <v>0</v>
      </c>
      <c r="AN340">
        <f t="shared" si="98"/>
        <v>0</v>
      </c>
      <c r="AO340">
        <f t="shared" si="99"/>
        <v>0</v>
      </c>
      <c r="AP340">
        <f t="shared" si="100"/>
        <v>0</v>
      </c>
      <c r="AQ340">
        <f t="shared" si="101"/>
        <v>0</v>
      </c>
    </row>
    <row r="341" spans="1:43">
      <c r="A341" t="s">
        <v>1120</v>
      </c>
      <c r="B341" s="5">
        <v>45708</v>
      </c>
      <c r="C341" s="5">
        <v>45710</v>
      </c>
      <c r="D341" s="13">
        <f t="shared" si="85"/>
        <v>2</v>
      </c>
      <c r="E341" t="s">
        <v>1121</v>
      </c>
      <c r="F341" t="s">
        <v>79</v>
      </c>
      <c r="G341" t="s">
        <v>90</v>
      </c>
      <c r="H341" t="s">
        <v>38</v>
      </c>
      <c r="I341" t="s">
        <v>228</v>
      </c>
      <c r="J341" t="s">
        <v>229</v>
      </c>
      <c r="K341" t="s">
        <v>41</v>
      </c>
      <c r="L341" t="s">
        <v>158</v>
      </c>
      <c r="M341" t="s">
        <v>1122</v>
      </c>
      <c r="N341" t="s">
        <v>59</v>
      </c>
      <c r="O341">
        <v>8</v>
      </c>
      <c r="P341">
        <v>3265.76</v>
      </c>
      <c r="Q341" s="11">
        <v>0.2</v>
      </c>
      <c r="R341">
        <v>20900.86</v>
      </c>
      <c r="S341">
        <v>12513.14</v>
      </c>
      <c r="T341">
        <v>8387.7199999999993</v>
      </c>
      <c r="U341" t="s">
        <v>32</v>
      </c>
      <c r="V341" t="s">
        <v>33</v>
      </c>
      <c r="X341" s="8" t="str">
        <f>IF(C341&gt;=B341,"Valid", "Invalid-Date")</f>
        <v>Valid</v>
      </c>
      <c r="Y341" s="8" t="str">
        <f t="shared" si="86"/>
        <v>Valid</v>
      </c>
      <c r="Z341" s="8" t="str">
        <f t="shared" si="87"/>
        <v>Pass</v>
      </c>
      <c r="AA341" s="8" t="str">
        <f t="shared" si="88"/>
        <v>Pass</v>
      </c>
      <c r="AB341" s="8" t="str">
        <f>TEXT(B341,"mmmm")</f>
        <v>February</v>
      </c>
      <c r="AC341" s="8" t="str">
        <f>TEXT(B341,"yyyy")</f>
        <v>2025</v>
      </c>
      <c r="AE341">
        <f t="shared" si="89"/>
        <v>26126.080000000002</v>
      </c>
      <c r="AF341" s="11">
        <f t="shared" si="90"/>
        <v>20900.864000000001</v>
      </c>
      <c r="AG341">
        <f t="shared" si="91"/>
        <v>13612.940000000002</v>
      </c>
      <c r="AH341" s="11">
        <f t="shared" si="92"/>
        <v>0.52104793371221403</v>
      </c>
      <c r="AI341" s="9">
        <f t="shared" si="93"/>
        <v>0.52104793371221403</v>
      </c>
      <c r="AJ341">
        <f t="shared" si="94"/>
        <v>20900.86</v>
      </c>
      <c r="AK341">
        <f t="shared" si="95"/>
        <v>1</v>
      </c>
      <c r="AL341">
        <f t="shared" si="96"/>
        <v>0</v>
      </c>
      <c r="AM341">
        <f t="shared" si="97"/>
        <v>0</v>
      </c>
      <c r="AN341">
        <f t="shared" si="98"/>
        <v>0</v>
      </c>
      <c r="AO341">
        <f t="shared" si="99"/>
        <v>0</v>
      </c>
      <c r="AP341">
        <f t="shared" si="100"/>
        <v>0</v>
      </c>
      <c r="AQ341">
        <f t="shared" si="101"/>
        <v>0</v>
      </c>
    </row>
    <row r="342" spans="1:43">
      <c r="A342" t="s">
        <v>1123</v>
      </c>
      <c r="B342" s="5">
        <v>45312</v>
      </c>
      <c r="C342" s="5">
        <v>45320</v>
      </c>
      <c r="D342" s="13">
        <f t="shared" si="85"/>
        <v>8</v>
      </c>
      <c r="E342" t="s">
        <v>1124</v>
      </c>
      <c r="F342" t="s">
        <v>79</v>
      </c>
      <c r="G342" t="s">
        <v>24</v>
      </c>
      <c r="H342" t="s">
        <v>54</v>
      </c>
      <c r="I342" t="s">
        <v>175</v>
      </c>
      <c r="J342" t="s">
        <v>176</v>
      </c>
      <c r="K342" t="s">
        <v>28</v>
      </c>
      <c r="L342" t="s">
        <v>153</v>
      </c>
      <c r="M342" t="s">
        <v>1125</v>
      </c>
      <c r="N342" t="s">
        <v>59</v>
      </c>
      <c r="O342">
        <v>5</v>
      </c>
      <c r="P342">
        <v>4058.08</v>
      </c>
      <c r="Q342" s="11">
        <v>0.1</v>
      </c>
      <c r="R342">
        <v>18261.36</v>
      </c>
      <c r="S342">
        <v>11399.94</v>
      </c>
      <c r="T342">
        <v>6861.42</v>
      </c>
      <c r="U342" t="s">
        <v>32</v>
      </c>
      <c r="V342" t="s">
        <v>33</v>
      </c>
      <c r="X342" s="8" t="str">
        <f>IF(C342&gt;=B342,"Valid", "Invalid-Date")</f>
        <v>Valid</v>
      </c>
      <c r="Y342" s="8" t="str">
        <f t="shared" si="86"/>
        <v>Valid</v>
      </c>
      <c r="Z342" s="8" t="str">
        <f t="shared" si="87"/>
        <v>Pass</v>
      </c>
      <c r="AA342" s="8" t="str">
        <f t="shared" si="88"/>
        <v>Pass</v>
      </c>
      <c r="AB342" s="8" t="str">
        <f>TEXT(B342,"mmmm")</f>
        <v>January</v>
      </c>
      <c r="AC342" s="8" t="str">
        <f>TEXT(B342,"yyyy")</f>
        <v>2024</v>
      </c>
      <c r="AE342">
        <f t="shared" si="89"/>
        <v>20290.400000000001</v>
      </c>
      <c r="AF342" s="11">
        <f t="shared" si="90"/>
        <v>18261.36</v>
      </c>
      <c r="AG342">
        <f t="shared" si="91"/>
        <v>8890.4600000000009</v>
      </c>
      <c r="AH342" s="11">
        <f t="shared" si="92"/>
        <v>0.43816090367858695</v>
      </c>
      <c r="AI342" s="9">
        <f t="shared" si="93"/>
        <v>0.43816090367858695</v>
      </c>
      <c r="AJ342">
        <f t="shared" si="94"/>
        <v>18261.36</v>
      </c>
      <c r="AK342">
        <f t="shared" si="95"/>
        <v>1</v>
      </c>
      <c r="AL342">
        <f t="shared" si="96"/>
        <v>0</v>
      </c>
      <c r="AM342">
        <f t="shared" si="97"/>
        <v>0</v>
      </c>
      <c r="AN342">
        <f t="shared" si="98"/>
        <v>0</v>
      </c>
      <c r="AO342">
        <f t="shared" si="99"/>
        <v>0</v>
      </c>
      <c r="AP342">
        <f t="shared" si="100"/>
        <v>0</v>
      </c>
      <c r="AQ342">
        <f t="shared" si="101"/>
        <v>0</v>
      </c>
    </row>
    <row r="343" spans="1:43">
      <c r="A343" t="s">
        <v>1126</v>
      </c>
      <c r="B343" s="5">
        <v>45908</v>
      </c>
      <c r="C343" s="5">
        <v>45909</v>
      </c>
      <c r="D343" s="13">
        <f t="shared" si="85"/>
        <v>1</v>
      </c>
      <c r="E343" t="s">
        <v>1127</v>
      </c>
      <c r="F343" t="s">
        <v>141</v>
      </c>
      <c r="G343" t="s">
        <v>95</v>
      </c>
      <c r="H343" t="s">
        <v>63</v>
      </c>
      <c r="I343" t="s">
        <v>180</v>
      </c>
      <c r="J343" t="s">
        <v>181</v>
      </c>
      <c r="K343" t="s">
        <v>41</v>
      </c>
      <c r="L343" t="s">
        <v>66</v>
      </c>
      <c r="M343" t="s">
        <v>1128</v>
      </c>
      <c r="N343" t="s">
        <v>31</v>
      </c>
      <c r="O343">
        <v>2</v>
      </c>
      <c r="P343">
        <v>3960.33</v>
      </c>
      <c r="Q343" s="11">
        <v>0.05</v>
      </c>
      <c r="R343">
        <v>7524.63</v>
      </c>
      <c r="S343">
        <v>6229.6</v>
      </c>
      <c r="T343">
        <v>1295.03</v>
      </c>
      <c r="U343" t="s">
        <v>32</v>
      </c>
      <c r="V343" t="s">
        <v>33</v>
      </c>
      <c r="X343" s="8" t="str">
        <f>IF(C343&gt;=B343,"Valid", "Invalid-Date")</f>
        <v>Valid</v>
      </c>
      <c r="Y343" s="8" t="str">
        <f t="shared" si="86"/>
        <v>Valid</v>
      </c>
      <c r="Z343" s="8" t="str">
        <f t="shared" si="87"/>
        <v>Pass</v>
      </c>
      <c r="AA343" s="8" t="str">
        <f t="shared" si="88"/>
        <v>Pass</v>
      </c>
      <c r="AB343" s="8" t="str">
        <f>TEXT(B343,"mmmm")</f>
        <v>September</v>
      </c>
      <c r="AC343" s="8" t="str">
        <f>TEXT(B343,"yyyy")</f>
        <v>2025</v>
      </c>
      <c r="AE343">
        <f t="shared" si="89"/>
        <v>7920.66</v>
      </c>
      <c r="AF343" s="11">
        <f t="shared" si="90"/>
        <v>7524.6269999999995</v>
      </c>
      <c r="AG343">
        <f t="shared" si="91"/>
        <v>1691.0599999999995</v>
      </c>
      <c r="AH343" s="11">
        <f t="shared" si="92"/>
        <v>0.21349988511058415</v>
      </c>
      <c r="AI343" s="9">
        <f t="shared" si="93"/>
        <v>0.21349988511058415</v>
      </c>
      <c r="AJ343">
        <f t="shared" si="94"/>
        <v>7524.63</v>
      </c>
      <c r="AK343">
        <f t="shared" si="95"/>
        <v>1</v>
      </c>
      <c r="AL343">
        <f t="shared" si="96"/>
        <v>0</v>
      </c>
      <c r="AM343">
        <f t="shared" si="97"/>
        <v>0</v>
      </c>
      <c r="AN343">
        <f t="shared" si="98"/>
        <v>0</v>
      </c>
      <c r="AO343">
        <f t="shared" si="99"/>
        <v>0</v>
      </c>
      <c r="AP343">
        <f t="shared" si="100"/>
        <v>0</v>
      </c>
      <c r="AQ343">
        <f t="shared" si="101"/>
        <v>0</v>
      </c>
    </row>
    <row r="344" spans="1:43">
      <c r="A344" t="s">
        <v>1129</v>
      </c>
      <c r="B344" s="5">
        <v>45862</v>
      </c>
      <c r="C344" s="5">
        <v>45870</v>
      </c>
      <c r="D344" s="13">
        <f t="shared" si="85"/>
        <v>8</v>
      </c>
      <c r="E344" t="s">
        <v>1130</v>
      </c>
      <c r="F344" t="s">
        <v>264</v>
      </c>
      <c r="G344" t="s">
        <v>37</v>
      </c>
      <c r="H344" t="s">
        <v>38</v>
      </c>
      <c r="I344" t="s">
        <v>228</v>
      </c>
      <c r="J344" t="s">
        <v>229</v>
      </c>
      <c r="K344" t="s">
        <v>28</v>
      </c>
      <c r="L344" t="s">
        <v>153</v>
      </c>
      <c r="M344" t="s">
        <v>1131</v>
      </c>
      <c r="N344" t="s">
        <v>50</v>
      </c>
      <c r="O344">
        <v>8</v>
      </c>
      <c r="P344">
        <v>1528.92</v>
      </c>
      <c r="Q344" s="11">
        <v>0</v>
      </c>
      <c r="R344">
        <v>12231.36</v>
      </c>
      <c r="S344">
        <v>8766.9</v>
      </c>
      <c r="T344">
        <v>3464.46</v>
      </c>
      <c r="U344" t="s">
        <v>32</v>
      </c>
      <c r="V344" t="s">
        <v>33</v>
      </c>
      <c r="X344" s="8" t="str">
        <f>IF(C344&gt;=B344,"Valid", "Invalid-Date")</f>
        <v>Valid</v>
      </c>
      <c r="Y344" s="8" t="str">
        <f t="shared" si="86"/>
        <v>Valid</v>
      </c>
      <c r="Z344" s="8" t="str">
        <f t="shared" si="87"/>
        <v>Pass</v>
      </c>
      <c r="AA344" s="8" t="str">
        <f t="shared" si="88"/>
        <v>Pass</v>
      </c>
      <c r="AB344" s="8" t="str">
        <f>TEXT(B344,"mmmm")</f>
        <v>July</v>
      </c>
      <c r="AC344" s="8" t="str">
        <f>TEXT(B344,"yyyy")</f>
        <v>2025</v>
      </c>
      <c r="AE344">
        <f t="shared" si="89"/>
        <v>12231.36</v>
      </c>
      <c r="AF344" s="11">
        <f t="shared" si="90"/>
        <v>12231.36</v>
      </c>
      <c r="AG344">
        <f t="shared" si="91"/>
        <v>3464.4600000000009</v>
      </c>
      <c r="AH344" s="11">
        <f t="shared" si="92"/>
        <v>0.28324405462679547</v>
      </c>
      <c r="AI344" s="9">
        <f t="shared" si="93"/>
        <v>0.28324405462679547</v>
      </c>
      <c r="AJ344">
        <f t="shared" si="94"/>
        <v>12231.36</v>
      </c>
      <c r="AK344">
        <f t="shared" si="95"/>
        <v>1</v>
      </c>
      <c r="AL344">
        <f t="shared" si="96"/>
        <v>0</v>
      </c>
      <c r="AM344">
        <f t="shared" si="97"/>
        <v>0</v>
      </c>
      <c r="AN344">
        <f t="shared" si="98"/>
        <v>0</v>
      </c>
      <c r="AO344">
        <f t="shared" si="99"/>
        <v>0</v>
      </c>
      <c r="AP344">
        <f t="shared" si="100"/>
        <v>0</v>
      </c>
      <c r="AQ344">
        <f t="shared" si="101"/>
        <v>0</v>
      </c>
    </row>
    <row r="345" spans="1:43">
      <c r="A345" t="s">
        <v>1132</v>
      </c>
      <c r="B345" s="5">
        <v>45726</v>
      </c>
      <c r="C345" s="5">
        <v>45879</v>
      </c>
      <c r="D345" s="13">
        <f t="shared" si="85"/>
        <v>153</v>
      </c>
      <c r="E345" t="s">
        <v>1133</v>
      </c>
      <c r="F345" t="s">
        <v>128</v>
      </c>
      <c r="G345" t="s">
        <v>90</v>
      </c>
      <c r="H345" t="s">
        <v>63</v>
      </c>
      <c r="I345" t="s">
        <v>72</v>
      </c>
      <c r="J345" t="s">
        <v>73</v>
      </c>
      <c r="K345" t="s">
        <v>74</v>
      </c>
      <c r="L345" t="s">
        <v>274</v>
      </c>
      <c r="M345" t="s">
        <v>1134</v>
      </c>
      <c r="N345" t="s">
        <v>44</v>
      </c>
      <c r="O345">
        <v>9</v>
      </c>
      <c r="P345">
        <v>3837</v>
      </c>
      <c r="Q345" s="11">
        <v>0.1</v>
      </c>
      <c r="R345">
        <v>31079.7</v>
      </c>
      <c r="S345">
        <v>17758.25</v>
      </c>
      <c r="T345">
        <v>13321.45</v>
      </c>
      <c r="U345" t="s">
        <v>32</v>
      </c>
      <c r="V345" t="s">
        <v>33</v>
      </c>
      <c r="X345" s="8" t="str">
        <f>IF(C345&gt;=B345,"Valid", "Invalid-Date")</f>
        <v>Valid</v>
      </c>
      <c r="Y345" s="8" t="str">
        <f t="shared" si="86"/>
        <v>Valid</v>
      </c>
      <c r="Z345" s="8" t="str">
        <f t="shared" si="87"/>
        <v>Pass</v>
      </c>
      <c r="AA345" s="8" t="str">
        <f t="shared" si="88"/>
        <v>Pass</v>
      </c>
      <c r="AB345" s="8" t="str">
        <f>TEXT(B345,"mmmm")</f>
        <v>March</v>
      </c>
      <c r="AC345" s="8" t="str">
        <f>TEXT(B345,"yyyy")</f>
        <v>2025</v>
      </c>
      <c r="AE345">
        <f t="shared" si="89"/>
        <v>34533</v>
      </c>
      <c r="AF345" s="11">
        <f t="shared" si="90"/>
        <v>31079.7</v>
      </c>
      <c r="AG345">
        <f t="shared" si="91"/>
        <v>16774.75</v>
      </c>
      <c r="AH345" s="11">
        <f t="shared" si="92"/>
        <v>0.4857599976833753</v>
      </c>
      <c r="AI345" s="9">
        <f t="shared" si="93"/>
        <v>0.4857599976833753</v>
      </c>
      <c r="AJ345">
        <f t="shared" si="94"/>
        <v>31079.7</v>
      </c>
      <c r="AK345">
        <f t="shared" si="95"/>
        <v>1</v>
      </c>
      <c r="AL345">
        <f t="shared" si="96"/>
        <v>0</v>
      </c>
      <c r="AM345">
        <f t="shared" si="97"/>
        <v>0</v>
      </c>
      <c r="AN345">
        <f t="shared" si="98"/>
        <v>0</v>
      </c>
      <c r="AO345">
        <f t="shared" si="99"/>
        <v>0</v>
      </c>
      <c r="AP345">
        <f t="shared" si="100"/>
        <v>0</v>
      </c>
      <c r="AQ345">
        <f t="shared" si="101"/>
        <v>0</v>
      </c>
    </row>
    <row r="346" spans="1:43">
      <c r="A346" t="s">
        <v>1135</v>
      </c>
      <c r="B346" s="5">
        <v>45362</v>
      </c>
      <c r="C346" s="5">
        <v>45362</v>
      </c>
      <c r="D346" s="13">
        <f t="shared" si="85"/>
        <v>0</v>
      </c>
      <c r="E346" t="s">
        <v>1136</v>
      </c>
      <c r="F346" t="s">
        <v>114</v>
      </c>
      <c r="G346" t="s">
        <v>24</v>
      </c>
      <c r="H346" t="s">
        <v>25</v>
      </c>
      <c r="I346" t="s">
        <v>122</v>
      </c>
      <c r="J346" t="s">
        <v>123</v>
      </c>
      <c r="K346" t="s">
        <v>41</v>
      </c>
      <c r="L346" t="s">
        <v>158</v>
      </c>
      <c r="M346" t="s">
        <v>1137</v>
      </c>
      <c r="N346" t="s">
        <v>44</v>
      </c>
      <c r="O346">
        <v>9</v>
      </c>
      <c r="P346">
        <v>3456.38</v>
      </c>
      <c r="Q346" s="11">
        <v>0</v>
      </c>
      <c r="R346">
        <v>31107.42</v>
      </c>
      <c r="S346">
        <v>20146.66</v>
      </c>
      <c r="T346">
        <v>10960.76</v>
      </c>
      <c r="U346" t="s">
        <v>111</v>
      </c>
      <c r="V346" t="s">
        <v>103</v>
      </c>
      <c r="X346" s="8" t="str">
        <f>IF(C346&gt;=B346,"Valid", "Invalid-Date")</f>
        <v>Valid</v>
      </c>
      <c r="Y346" s="8" t="str">
        <f t="shared" si="86"/>
        <v>Valid</v>
      </c>
      <c r="Z346" s="8" t="str">
        <f t="shared" si="87"/>
        <v>Pass</v>
      </c>
      <c r="AA346" s="8" t="str">
        <f t="shared" si="88"/>
        <v>Pass</v>
      </c>
      <c r="AB346" s="8" t="str">
        <f>TEXT(B346,"mmmm")</f>
        <v>March</v>
      </c>
      <c r="AC346" s="8" t="str">
        <f>TEXT(B346,"yyyy")</f>
        <v>2024</v>
      </c>
      <c r="AE346">
        <f t="shared" si="89"/>
        <v>31107.420000000002</v>
      </c>
      <c r="AF346" s="11">
        <f t="shared" si="90"/>
        <v>31107.420000000002</v>
      </c>
      <c r="AG346">
        <f t="shared" si="91"/>
        <v>10960.760000000002</v>
      </c>
      <c r="AH346" s="11">
        <f t="shared" si="92"/>
        <v>0.3523519468988428</v>
      </c>
      <c r="AI346" s="9">
        <f t="shared" si="93"/>
        <v>0.3523519468988428</v>
      </c>
      <c r="AJ346">
        <f t="shared" si="94"/>
        <v>0</v>
      </c>
      <c r="AK346">
        <f t="shared" si="95"/>
        <v>0</v>
      </c>
      <c r="AL346">
        <f t="shared" si="96"/>
        <v>0</v>
      </c>
      <c r="AM346">
        <f t="shared" si="97"/>
        <v>0</v>
      </c>
      <c r="AN346">
        <f t="shared" si="98"/>
        <v>0</v>
      </c>
      <c r="AO346">
        <f t="shared" si="99"/>
        <v>0</v>
      </c>
      <c r="AP346">
        <f t="shared" si="100"/>
        <v>31107.42</v>
      </c>
      <c r="AQ346">
        <f t="shared" si="101"/>
        <v>1</v>
      </c>
    </row>
    <row r="347" spans="1:43">
      <c r="A347" t="s">
        <v>1138</v>
      </c>
      <c r="B347" s="5">
        <v>45549</v>
      </c>
      <c r="C347" s="5">
        <v>45557</v>
      </c>
      <c r="D347" s="13">
        <f t="shared" si="85"/>
        <v>8</v>
      </c>
      <c r="E347" t="s">
        <v>1139</v>
      </c>
      <c r="F347" t="s">
        <v>23</v>
      </c>
      <c r="G347" t="s">
        <v>24</v>
      </c>
      <c r="H347" t="s">
        <v>63</v>
      </c>
      <c r="I347" t="s">
        <v>72</v>
      </c>
      <c r="J347" t="s">
        <v>73</v>
      </c>
      <c r="K347" t="s">
        <v>41</v>
      </c>
      <c r="L347" t="s">
        <v>57</v>
      </c>
      <c r="M347" t="s">
        <v>1140</v>
      </c>
      <c r="N347" t="s">
        <v>31</v>
      </c>
      <c r="O347">
        <v>2</v>
      </c>
      <c r="P347">
        <v>2765.3</v>
      </c>
      <c r="Q347" s="11">
        <v>0</v>
      </c>
      <c r="R347">
        <v>5530.6</v>
      </c>
      <c r="S347">
        <v>4453.1099999999997</v>
      </c>
      <c r="T347">
        <v>1077.49</v>
      </c>
      <c r="U347" t="s">
        <v>32</v>
      </c>
      <c r="V347" t="s">
        <v>33</v>
      </c>
      <c r="X347" s="8" t="str">
        <f>IF(C347&gt;=B347,"Valid", "Invalid-Date")</f>
        <v>Valid</v>
      </c>
      <c r="Y347" s="8" t="str">
        <f t="shared" si="86"/>
        <v>Valid</v>
      </c>
      <c r="Z347" s="8" t="str">
        <f t="shared" si="87"/>
        <v>Pass</v>
      </c>
      <c r="AA347" s="8" t="str">
        <f t="shared" si="88"/>
        <v>Pass</v>
      </c>
      <c r="AB347" s="8" t="str">
        <f>TEXT(B347,"mmmm")</f>
        <v>September</v>
      </c>
      <c r="AC347" s="8" t="str">
        <f>TEXT(B347,"yyyy")</f>
        <v>2024</v>
      </c>
      <c r="AE347">
        <f t="shared" si="89"/>
        <v>5530.6</v>
      </c>
      <c r="AF347" s="11">
        <f t="shared" si="90"/>
        <v>5530.6</v>
      </c>
      <c r="AG347">
        <f t="shared" si="91"/>
        <v>1077.4900000000007</v>
      </c>
      <c r="AH347" s="11">
        <f t="shared" si="92"/>
        <v>0.19482334647235391</v>
      </c>
      <c r="AI347" s="9">
        <f t="shared" si="93"/>
        <v>0.19482334647235391</v>
      </c>
      <c r="AJ347">
        <f t="shared" si="94"/>
        <v>5530.6</v>
      </c>
      <c r="AK347">
        <f t="shared" si="95"/>
        <v>1</v>
      </c>
      <c r="AL347">
        <f t="shared" si="96"/>
        <v>0</v>
      </c>
      <c r="AM347">
        <f t="shared" si="97"/>
        <v>0</v>
      </c>
      <c r="AN347">
        <f t="shared" si="98"/>
        <v>0</v>
      </c>
      <c r="AO347">
        <f t="shared" si="99"/>
        <v>0</v>
      </c>
      <c r="AP347">
        <f t="shared" si="100"/>
        <v>0</v>
      </c>
      <c r="AQ347">
        <f t="shared" si="101"/>
        <v>0</v>
      </c>
    </row>
    <row r="348" spans="1:43">
      <c r="A348" t="s">
        <v>1141</v>
      </c>
      <c r="B348" s="5">
        <v>45860</v>
      </c>
      <c r="C348" s="5">
        <v>45866</v>
      </c>
      <c r="D348" s="13">
        <f t="shared" si="85"/>
        <v>6</v>
      </c>
      <c r="E348" t="s">
        <v>1142</v>
      </c>
      <c r="F348" t="s">
        <v>118</v>
      </c>
      <c r="G348" t="s">
        <v>90</v>
      </c>
      <c r="H348" t="s">
        <v>54</v>
      </c>
      <c r="I348" t="s">
        <v>185</v>
      </c>
      <c r="J348" t="s">
        <v>186</v>
      </c>
      <c r="K348" t="s">
        <v>41</v>
      </c>
      <c r="L348" t="s">
        <v>66</v>
      </c>
      <c r="M348" t="s">
        <v>1143</v>
      </c>
      <c r="N348" t="s">
        <v>31</v>
      </c>
      <c r="O348">
        <v>6</v>
      </c>
      <c r="P348">
        <v>1607.46</v>
      </c>
      <c r="Q348" s="11">
        <v>0.2</v>
      </c>
      <c r="R348">
        <v>7715.81</v>
      </c>
      <c r="S348">
        <v>4258.42</v>
      </c>
      <c r="T348">
        <v>3457.39</v>
      </c>
      <c r="U348" t="s">
        <v>32</v>
      </c>
      <c r="V348" t="s">
        <v>33</v>
      </c>
      <c r="X348" s="8" t="str">
        <f>IF(C348&gt;=B348,"Valid", "Invalid-Date")</f>
        <v>Valid</v>
      </c>
      <c r="Y348" s="8" t="str">
        <f t="shared" si="86"/>
        <v>Valid</v>
      </c>
      <c r="Z348" s="8" t="str">
        <f t="shared" si="87"/>
        <v>Pass</v>
      </c>
      <c r="AA348" s="8" t="str">
        <f t="shared" si="88"/>
        <v>Pass</v>
      </c>
      <c r="AB348" s="8" t="str">
        <f>TEXT(B348,"mmmm")</f>
        <v>July</v>
      </c>
      <c r="AC348" s="8" t="str">
        <f>TEXT(B348,"yyyy")</f>
        <v>2025</v>
      </c>
      <c r="AE348">
        <f t="shared" si="89"/>
        <v>9644.76</v>
      </c>
      <c r="AF348" s="11">
        <f t="shared" si="90"/>
        <v>7715.8080000000009</v>
      </c>
      <c r="AG348">
        <f t="shared" si="91"/>
        <v>5386.34</v>
      </c>
      <c r="AH348" s="11">
        <f t="shared" si="92"/>
        <v>0.55847320202887374</v>
      </c>
      <c r="AI348" s="9">
        <f t="shared" si="93"/>
        <v>0.55847320202887374</v>
      </c>
      <c r="AJ348">
        <f t="shared" si="94"/>
        <v>7715.81</v>
      </c>
      <c r="AK348">
        <f t="shared" si="95"/>
        <v>1</v>
      </c>
      <c r="AL348">
        <f t="shared" si="96"/>
        <v>0</v>
      </c>
      <c r="AM348">
        <f t="shared" si="97"/>
        <v>0</v>
      </c>
      <c r="AN348">
        <f t="shared" si="98"/>
        <v>0</v>
      </c>
      <c r="AO348">
        <f t="shared" si="99"/>
        <v>0</v>
      </c>
      <c r="AP348">
        <f t="shared" si="100"/>
        <v>0</v>
      </c>
      <c r="AQ348">
        <f t="shared" si="101"/>
        <v>0</v>
      </c>
    </row>
    <row r="349" spans="1:43">
      <c r="A349" t="s">
        <v>1144</v>
      </c>
      <c r="B349" s="5">
        <v>45627</v>
      </c>
      <c r="C349" s="5">
        <v>45516</v>
      </c>
      <c r="D349" s="13">
        <f t="shared" si="85"/>
        <v>-111</v>
      </c>
      <c r="E349" t="s">
        <v>1145</v>
      </c>
      <c r="F349" t="s">
        <v>128</v>
      </c>
      <c r="G349" t="s">
        <v>37</v>
      </c>
      <c r="H349" t="s">
        <v>63</v>
      </c>
      <c r="I349" t="s">
        <v>190</v>
      </c>
      <c r="J349" t="s">
        <v>191</v>
      </c>
      <c r="K349" t="s">
        <v>41</v>
      </c>
      <c r="L349" t="s">
        <v>66</v>
      </c>
      <c r="M349" t="s">
        <v>1146</v>
      </c>
      <c r="N349" t="s">
        <v>31</v>
      </c>
      <c r="O349">
        <v>5</v>
      </c>
      <c r="P349">
        <v>2981.49</v>
      </c>
      <c r="Q349" s="11">
        <v>0.2</v>
      </c>
      <c r="R349">
        <v>11925.96</v>
      </c>
      <c r="S349">
        <v>10103.51</v>
      </c>
      <c r="T349">
        <v>1822.45</v>
      </c>
      <c r="U349" t="s">
        <v>102</v>
      </c>
      <c r="V349" t="s">
        <v>103</v>
      </c>
      <c r="X349" s="8" t="str">
        <f>IF(C349&gt;=B349,"Valid", "Invalid-Date")</f>
        <v>Invalid-Date</v>
      </c>
      <c r="Y349" s="8" t="str">
        <f t="shared" si="86"/>
        <v>Valid</v>
      </c>
      <c r="Z349" s="8" t="str">
        <f t="shared" si="87"/>
        <v>Pass</v>
      </c>
      <c r="AA349" s="8" t="str">
        <f t="shared" si="88"/>
        <v>Pass</v>
      </c>
      <c r="AB349" s="8" t="str">
        <f>TEXT(B349,"mmmm")</f>
        <v>December</v>
      </c>
      <c r="AC349" s="8" t="str">
        <f>TEXT(B349,"yyyy")</f>
        <v>2024</v>
      </c>
      <c r="AE349">
        <f t="shared" si="89"/>
        <v>14907.449999999999</v>
      </c>
      <c r="AF349" s="11">
        <f t="shared" si="90"/>
        <v>11925.96</v>
      </c>
      <c r="AG349">
        <f t="shared" si="91"/>
        <v>4803.9399999999987</v>
      </c>
      <c r="AH349" s="11">
        <f t="shared" si="92"/>
        <v>0.322250955059383</v>
      </c>
      <c r="AI349" s="9">
        <f t="shared" si="93"/>
        <v>0.322250955059383</v>
      </c>
      <c r="AJ349">
        <f t="shared" si="94"/>
        <v>0</v>
      </c>
      <c r="AK349">
        <f t="shared" si="95"/>
        <v>0</v>
      </c>
      <c r="AL349">
        <f t="shared" si="96"/>
        <v>0</v>
      </c>
      <c r="AM349">
        <f t="shared" si="97"/>
        <v>0</v>
      </c>
      <c r="AN349">
        <f t="shared" si="98"/>
        <v>0</v>
      </c>
      <c r="AO349">
        <f t="shared" si="99"/>
        <v>0</v>
      </c>
      <c r="AP349">
        <f t="shared" si="100"/>
        <v>11925.96</v>
      </c>
      <c r="AQ349">
        <f t="shared" si="101"/>
        <v>1</v>
      </c>
    </row>
    <row r="350" spans="1:43">
      <c r="A350" t="s">
        <v>1147</v>
      </c>
      <c r="B350" s="5">
        <v>45328</v>
      </c>
      <c r="C350" s="5">
        <v>45479</v>
      </c>
      <c r="D350" s="13">
        <f t="shared" si="85"/>
        <v>151</v>
      </c>
      <c r="E350" t="s">
        <v>1148</v>
      </c>
      <c r="F350" t="s">
        <v>128</v>
      </c>
      <c r="G350" t="s">
        <v>90</v>
      </c>
      <c r="H350" t="s">
        <v>54</v>
      </c>
      <c r="I350" t="s">
        <v>175</v>
      </c>
      <c r="J350" t="s">
        <v>176</v>
      </c>
      <c r="K350" t="s">
        <v>74</v>
      </c>
      <c r="L350" t="s">
        <v>171</v>
      </c>
      <c r="M350" t="s">
        <v>1149</v>
      </c>
      <c r="N350" t="s">
        <v>44</v>
      </c>
      <c r="O350">
        <v>9</v>
      </c>
      <c r="P350">
        <v>2860.26</v>
      </c>
      <c r="Q350" s="11">
        <v>0.25</v>
      </c>
      <c r="R350">
        <v>19306.759999999998</v>
      </c>
      <c r="S350">
        <v>14442.38</v>
      </c>
      <c r="T350">
        <v>4864.38</v>
      </c>
      <c r="U350" t="s">
        <v>32</v>
      </c>
      <c r="V350" t="s">
        <v>33</v>
      </c>
      <c r="X350" s="8" t="str">
        <f>IF(C350&gt;=B350,"Valid", "Invalid-Date")</f>
        <v>Valid</v>
      </c>
      <c r="Y350" s="8" t="str">
        <f t="shared" si="86"/>
        <v>Valid</v>
      </c>
      <c r="Z350" s="8" t="str">
        <f t="shared" si="87"/>
        <v>Pass</v>
      </c>
      <c r="AA350" s="8" t="str">
        <f t="shared" si="88"/>
        <v>Pass</v>
      </c>
      <c r="AB350" s="8" t="str">
        <f>TEXT(B350,"mmmm")</f>
        <v>February</v>
      </c>
      <c r="AC350" s="8" t="str">
        <f>TEXT(B350,"yyyy")</f>
        <v>2024</v>
      </c>
      <c r="AE350">
        <f t="shared" si="89"/>
        <v>25742.340000000004</v>
      </c>
      <c r="AF350" s="11">
        <f t="shared" si="90"/>
        <v>19306.755000000005</v>
      </c>
      <c r="AG350">
        <f t="shared" si="91"/>
        <v>11299.960000000005</v>
      </c>
      <c r="AH350" s="11">
        <f t="shared" si="92"/>
        <v>0.43896397918759533</v>
      </c>
      <c r="AI350" s="9">
        <f t="shared" si="93"/>
        <v>0.43896397918759533</v>
      </c>
      <c r="AJ350">
        <f t="shared" si="94"/>
        <v>19306.759999999998</v>
      </c>
      <c r="AK350">
        <f t="shared" si="95"/>
        <v>1</v>
      </c>
      <c r="AL350">
        <f t="shared" si="96"/>
        <v>0</v>
      </c>
      <c r="AM350">
        <f t="shared" si="97"/>
        <v>0</v>
      </c>
      <c r="AN350">
        <f t="shared" si="98"/>
        <v>0</v>
      </c>
      <c r="AO350">
        <f t="shared" si="99"/>
        <v>0</v>
      </c>
      <c r="AP350">
        <f t="shared" si="100"/>
        <v>0</v>
      </c>
      <c r="AQ350">
        <f t="shared" si="101"/>
        <v>0</v>
      </c>
    </row>
    <row r="351" spans="1:43">
      <c r="A351" t="s">
        <v>1150</v>
      </c>
      <c r="B351" s="5">
        <v>45927</v>
      </c>
      <c r="C351" s="5">
        <v>45929</v>
      </c>
      <c r="D351" s="13">
        <f t="shared" si="85"/>
        <v>2</v>
      </c>
      <c r="E351" t="s">
        <v>1151</v>
      </c>
      <c r="F351" t="s">
        <v>264</v>
      </c>
      <c r="G351" t="s">
        <v>95</v>
      </c>
      <c r="H351" t="s">
        <v>38</v>
      </c>
      <c r="I351" t="s">
        <v>228</v>
      </c>
      <c r="J351" t="s">
        <v>229</v>
      </c>
      <c r="K351" t="s">
        <v>41</v>
      </c>
      <c r="L351" t="s">
        <v>57</v>
      </c>
      <c r="M351" t="s">
        <v>1152</v>
      </c>
      <c r="N351" t="s">
        <v>31</v>
      </c>
      <c r="O351">
        <v>9</v>
      </c>
      <c r="P351">
        <v>2867.55</v>
      </c>
      <c r="Q351" s="11">
        <v>0.25</v>
      </c>
      <c r="R351">
        <v>19355.96</v>
      </c>
      <c r="S351">
        <v>15012.45</v>
      </c>
      <c r="T351">
        <v>4017.4</v>
      </c>
      <c r="U351" t="s">
        <v>32</v>
      </c>
      <c r="V351" t="s">
        <v>33</v>
      </c>
      <c r="X351" s="8" t="str">
        <f>IF(C351&gt;=B351,"Valid", "Invalid-Date")</f>
        <v>Valid</v>
      </c>
      <c r="Y351" s="8" t="str">
        <f t="shared" si="86"/>
        <v>Valid</v>
      </c>
      <c r="Z351" s="8" t="str">
        <f t="shared" si="87"/>
        <v>Pass</v>
      </c>
      <c r="AA351" s="8" t="str">
        <f t="shared" si="88"/>
        <v>Pass</v>
      </c>
      <c r="AB351" s="8" t="str">
        <f>TEXT(B351,"mmmm")</f>
        <v>September</v>
      </c>
      <c r="AC351" s="8" t="str">
        <f>TEXT(B351,"yyyy")</f>
        <v>2025</v>
      </c>
      <c r="AE351">
        <f t="shared" si="89"/>
        <v>25807.95</v>
      </c>
      <c r="AF351" s="11">
        <f t="shared" si="90"/>
        <v>19355.962500000001</v>
      </c>
      <c r="AG351">
        <f t="shared" si="91"/>
        <v>10795.5</v>
      </c>
      <c r="AH351" s="11">
        <f t="shared" si="92"/>
        <v>0.41830133737859843</v>
      </c>
      <c r="AI351" s="9">
        <f t="shared" si="93"/>
        <v>0.41830133737859843</v>
      </c>
      <c r="AJ351">
        <f t="shared" si="94"/>
        <v>19355.96</v>
      </c>
      <c r="AK351">
        <f t="shared" si="95"/>
        <v>1</v>
      </c>
      <c r="AL351">
        <f t="shared" si="96"/>
        <v>0</v>
      </c>
      <c r="AM351">
        <f t="shared" si="97"/>
        <v>0</v>
      </c>
      <c r="AN351">
        <f t="shared" si="98"/>
        <v>0</v>
      </c>
      <c r="AO351">
        <f t="shared" si="99"/>
        <v>0</v>
      </c>
      <c r="AP351">
        <f t="shared" si="100"/>
        <v>0</v>
      </c>
      <c r="AQ351">
        <f t="shared" si="101"/>
        <v>0</v>
      </c>
    </row>
    <row r="352" spans="1:43">
      <c r="A352" t="s">
        <v>1153</v>
      </c>
      <c r="B352" s="5">
        <v>45298</v>
      </c>
      <c r="C352" s="5">
        <v>45305</v>
      </c>
      <c r="D352" s="13">
        <f t="shared" si="85"/>
        <v>7</v>
      </c>
      <c r="E352" t="s">
        <v>1154</v>
      </c>
      <c r="F352" t="s">
        <v>132</v>
      </c>
      <c r="G352" t="s">
        <v>37</v>
      </c>
      <c r="H352" t="s">
        <v>38</v>
      </c>
      <c r="I352" t="s">
        <v>228</v>
      </c>
      <c r="J352" t="s">
        <v>229</v>
      </c>
      <c r="K352" t="s">
        <v>41</v>
      </c>
      <c r="L352" t="s">
        <v>57</v>
      </c>
      <c r="M352" t="s">
        <v>1155</v>
      </c>
      <c r="N352" t="s">
        <v>31</v>
      </c>
      <c r="O352">
        <v>4</v>
      </c>
      <c r="P352">
        <v>3309.54</v>
      </c>
      <c r="Q352" s="11">
        <v>0.1</v>
      </c>
      <c r="R352">
        <v>11914.34</v>
      </c>
      <c r="S352">
        <v>9771.24</v>
      </c>
      <c r="T352">
        <v>2143.1</v>
      </c>
      <c r="U352" t="s">
        <v>102</v>
      </c>
      <c r="V352" t="s">
        <v>103</v>
      </c>
      <c r="X352" s="8" t="str">
        <f>IF(C352&gt;=B352,"Valid", "Invalid-Date")</f>
        <v>Valid</v>
      </c>
      <c r="Y352" s="8" t="str">
        <f t="shared" si="86"/>
        <v>Valid</v>
      </c>
      <c r="Z352" s="8" t="str">
        <f t="shared" si="87"/>
        <v>Pass</v>
      </c>
      <c r="AA352" s="8" t="str">
        <f t="shared" si="88"/>
        <v>Pass</v>
      </c>
      <c r="AB352" s="8" t="str">
        <f>TEXT(B352,"mmmm")</f>
        <v>January</v>
      </c>
      <c r="AC352" s="8" t="str">
        <f>TEXT(B352,"yyyy")</f>
        <v>2024</v>
      </c>
      <c r="AE352">
        <f t="shared" si="89"/>
        <v>13238.16</v>
      </c>
      <c r="AF352" s="11">
        <f t="shared" si="90"/>
        <v>11914.344000000001</v>
      </c>
      <c r="AG352">
        <f t="shared" si="91"/>
        <v>3466.92</v>
      </c>
      <c r="AH352" s="11">
        <f t="shared" si="92"/>
        <v>0.26188835910730796</v>
      </c>
      <c r="AI352" s="9">
        <f t="shared" si="93"/>
        <v>0.26188835910730796</v>
      </c>
      <c r="AJ352">
        <f t="shared" si="94"/>
        <v>0</v>
      </c>
      <c r="AK352">
        <f t="shared" si="95"/>
        <v>0</v>
      </c>
      <c r="AL352">
        <f t="shared" si="96"/>
        <v>0</v>
      </c>
      <c r="AM352">
        <f t="shared" si="97"/>
        <v>0</v>
      </c>
      <c r="AN352">
        <f t="shared" si="98"/>
        <v>0</v>
      </c>
      <c r="AO352">
        <f t="shared" si="99"/>
        <v>0</v>
      </c>
      <c r="AP352">
        <f t="shared" si="100"/>
        <v>11914.34</v>
      </c>
      <c r="AQ352">
        <f t="shared" si="101"/>
        <v>1</v>
      </c>
    </row>
    <row r="353" spans="1:43">
      <c r="A353" t="s">
        <v>1156</v>
      </c>
      <c r="B353" s="5">
        <v>45800</v>
      </c>
      <c r="C353" s="5">
        <v>45804</v>
      </c>
      <c r="D353" s="13">
        <f t="shared" si="85"/>
        <v>4</v>
      </c>
      <c r="E353" t="s">
        <v>1157</v>
      </c>
      <c r="F353" t="s">
        <v>71</v>
      </c>
      <c r="G353" t="s">
        <v>37</v>
      </c>
      <c r="H353" t="s">
        <v>54</v>
      </c>
      <c r="I353" t="s">
        <v>55</v>
      </c>
      <c r="J353" t="s">
        <v>56</v>
      </c>
      <c r="K353" t="s">
        <v>28</v>
      </c>
      <c r="L353" t="s">
        <v>124</v>
      </c>
      <c r="M353" t="s">
        <v>1158</v>
      </c>
      <c r="N353" t="s">
        <v>50</v>
      </c>
      <c r="O353">
        <v>6</v>
      </c>
      <c r="P353">
        <v>719.44</v>
      </c>
      <c r="Q353" s="11">
        <v>0.25</v>
      </c>
      <c r="R353">
        <v>3237.48</v>
      </c>
      <c r="S353">
        <v>2118.34</v>
      </c>
      <c r="T353">
        <v>1119.1400000000001</v>
      </c>
      <c r="U353" t="s">
        <v>111</v>
      </c>
      <c r="V353" t="s">
        <v>68</v>
      </c>
      <c r="X353" s="8" t="str">
        <f>IF(C353&gt;=B353,"Valid", "Invalid-Date")</f>
        <v>Valid</v>
      </c>
      <c r="Y353" s="8" t="str">
        <f t="shared" si="86"/>
        <v>Valid</v>
      </c>
      <c r="Z353" s="8" t="str">
        <f t="shared" si="87"/>
        <v>Pass</v>
      </c>
      <c r="AA353" s="8" t="str">
        <f t="shared" si="88"/>
        <v>Pass</v>
      </c>
      <c r="AB353" s="8" t="str">
        <f>TEXT(B353,"mmmm")</f>
        <v>May</v>
      </c>
      <c r="AC353" s="8" t="str">
        <f>TEXT(B353,"yyyy")</f>
        <v>2025</v>
      </c>
      <c r="AE353">
        <f t="shared" si="89"/>
        <v>4316.6400000000003</v>
      </c>
      <c r="AF353" s="11">
        <f t="shared" si="90"/>
        <v>3237.4800000000005</v>
      </c>
      <c r="AG353">
        <f t="shared" si="91"/>
        <v>2198.3000000000002</v>
      </c>
      <c r="AH353" s="11">
        <f t="shared" si="92"/>
        <v>0.50926183327773455</v>
      </c>
      <c r="AI353" s="9">
        <f t="shared" si="93"/>
        <v>0.50926183327773455</v>
      </c>
      <c r="AJ353">
        <f t="shared" si="94"/>
        <v>0</v>
      </c>
      <c r="AK353">
        <f t="shared" si="95"/>
        <v>0</v>
      </c>
      <c r="AL353">
        <f t="shared" si="96"/>
        <v>3237.48</v>
      </c>
      <c r="AM353">
        <f t="shared" si="97"/>
        <v>1</v>
      </c>
      <c r="AN353">
        <f t="shared" si="98"/>
        <v>0</v>
      </c>
      <c r="AO353">
        <f t="shared" si="99"/>
        <v>0</v>
      </c>
      <c r="AP353">
        <f t="shared" si="100"/>
        <v>0</v>
      </c>
      <c r="AQ353">
        <f t="shared" si="101"/>
        <v>0</v>
      </c>
    </row>
    <row r="354" spans="1:43">
      <c r="A354" t="s">
        <v>1159</v>
      </c>
      <c r="B354" s="5">
        <v>45884</v>
      </c>
      <c r="C354" s="5">
        <v>45886</v>
      </c>
      <c r="D354" s="13">
        <f t="shared" si="85"/>
        <v>2</v>
      </c>
      <c r="E354" t="s">
        <v>1160</v>
      </c>
      <c r="F354" t="s">
        <v>162</v>
      </c>
      <c r="G354" t="s">
        <v>37</v>
      </c>
      <c r="H354" t="s">
        <v>38</v>
      </c>
      <c r="I354" t="s">
        <v>166</v>
      </c>
      <c r="J354" t="s">
        <v>167</v>
      </c>
      <c r="K354" t="s">
        <v>74</v>
      </c>
      <c r="L354" t="s">
        <v>80</v>
      </c>
      <c r="M354" t="s">
        <v>1161</v>
      </c>
      <c r="N354" t="s">
        <v>50</v>
      </c>
      <c r="O354">
        <v>5</v>
      </c>
      <c r="P354">
        <v>2862.6</v>
      </c>
      <c r="Q354" s="11">
        <v>0.25</v>
      </c>
      <c r="R354">
        <v>10734.75</v>
      </c>
      <c r="S354">
        <v>6475.73</v>
      </c>
      <c r="T354">
        <v>4259.0200000000004</v>
      </c>
      <c r="U354" t="s">
        <v>32</v>
      </c>
      <c r="V354" t="s">
        <v>33</v>
      </c>
      <c r="X354" s="8" t="str">
        <f>IF(C354&gt;=B354,"Valid", "Invalid-Date")</f>
        <v>Valid</v>
      </c>
      <c r="Y354" s="8" t="str">
        <f t="shared" si="86"/>
        <v>Valid</v>
      </c>
      <c r="Z354" s="8" t="str">
        <f t="shared" si="87"/>
        <v>Pass</v>
      </c>
      <c r="AA354" s="8" t="str">
        <f t="shared" si="88"/>
        <v>Pass</v>
      </c>
      <c r="AB354" s="8" t="str">
        <f>TEXT(B354,"mmmm")</f>
        <v>August</v>
      </c>
      <c r="AC354" s="8" t="str">
        <f>TEXT(B354,"yyyy")</f>
        <v>2025</v>
      </c>
      <c r="AE354">
        <f t="shared" si="89"/>
        <v>14313</v>
      </c>
      <c r="AF354" s="11">
        <f t="shared" si="90"/>
        <v>10734.75</v>
      </c>
      <c r="AG354">
        <f t="shared" si="91"/>
        <v>7837.27</v>
      </c>
      <c r="AH354" s="11">
        <f t="shared" si="92"/>
        <v>0.54756305456577936</v>
      </c>
      <c r="AI354" s="9">
        <f t="shared" si="93"/>
        <v>0.54756305456577936</v>
      </c>
      <c r="AJ354">
        <f t="shared" si="94"/>
        <v>10734.75</v>
      </c>
      <c r="AK354">
        <f t="shared" si="95"/>
        <v>1</v>
      </c>
      <c r="AL354">
        <f t="shared" si="96"/>
        <v>0</v>
      </c>
      <c r="AM354">
        <f t="shared" si="97"/>
        <v>0</v>
      </c>
      <c r="AN354">
        <f t="shared" si="98"/>
        <v>0</v>
      </c>
      <c r="AO354">
        <f t="shared" si="99"/>
        <v>0</v>
      </c>
      <c r="AP354">
        <f t="shared" si="100"/>
        <v>0</v>
      </c>
      <c r="AQ354">
        <f t="shared" si="101"/>
        <v>0</v>
      </c>
    </row>
    <row r="355" spans="1:43">
      <c r="A355" t="s">
        <v>1162</v>
      </c>
      <c r="B355" s="5">
        <v>45709</v>
      </c>
      <c r="C355" s="5">
        <v>45715</v>
      </c>
      <c r="D355" s="13">
        <f t="shared" si="85"/>
        <v>6</v>
      </c>
      <c r="E355" t="s">
        <v>1163</v>
      </c>
      <c r="F355" t="s">
        <v>62</v>
      </c>
      <c r="G355" t="s">
        <v>24</v>
      </c>
      <c r="H355" t="s">
        <v>25</v>
      </c>
      <c r="I355" t="s">
        <v>26</v>
      </c>
      <c r="J355" t="s">
        <v>27</v>
      </c>
      <c r="K355" t="s">
        <v>28</v>
      </c>
      <c r="L355" t="s">
        <v>48</v>
      </c>
      <c r="M355" t="s">
        <v>1164</v>
      </c>
      <c r="N355" t="s">
        <v>44</v>
      </c>
      <c r="O355">
        <v>9</v>
      </c>
      <c r="P355">
        <v>1431.67</v>
      </c>
      <c r="Q355" s="11">
        <v>0.2</v>
      </c>
      <c r="R355">
        <v>10308.02</v>
      </c>
      <c r="S355">
        <v>5822.31</v>
      </c>
      <c r="T355">
        <v>4485.71</v>
      </c>
      <c r="U355" t="s">
        <v>32</v>
      </c>
      <c r="V355" t="s">
        <v>33</v>
      </c>
      <c r="X355" s="8" t="str">
        <f>IF(C355&gt;=B355,"Valid", "Invalid-Date")</f>
        <v>Valid</v>
      </c>
      <c r="Y355" s="8" t="str">
        <f t="shared" si="86"/>
        <v>Valid</v>
      </c>
      <c r="Z355" s="8" t="str">
        <f t="shared" si="87"/>
        <v>Pass</v>
      </c>
      <c r="AA355" s="8" t="str">
        <f t="shared" si="88"/>
        <v>Pass</v>
      </c>
      <c r="AB355" s="8" t="str">
        <f>TEXT(B355,"mmmm")</f>
        <v>February</v>
      </c>
      <c r="AC355" s="8" t="str">
        <f>TEXT(B355,"yyyy")</f>
        <v>2025</v>
      </c>
      <c r="AE355">
        <f t="shared" si="89"/>
        <v>12885.03</v>
      </c>
      <c r="AF355" s="11">
        <f t="shared" si="90"/>
        <v>10308.024000000001</v>
      </c>
      <c r="AG355">
        <f t="shared" si="91"/>
        <v>7062.72</v>
      </c>
      <c r="AH355" s="11">
        <f t="shared" si="92"/>
        <v>0.54813376453139806</v>
      </c>
      <c r="AI355" s="9">
        <f t="shared" si="93"/>
        <v>0.54813376453139806</v>
      </c>
      <c r="AJ355">
        <f t="shared" si="94"/>
        <v>10308.02</v>
      </c>
      <c r="AK355">
        <f t="shared" si="95"/>
        <v>1</v>
      </c>
      <c r="AL355">
        <f t="shared" si="96"/>
        <v>0</v>
      </c>
      <c r="AM355">
        <f t="shared" si="97"/>
        <v>0</v>
      </c>
      <c r="AN355">
        <f t="shared" si="98"/>
        <v>0</v>
      </c>
      <c r="AO355">
        <f t="shared" si="99"/>
        <v>0</v>
      </c>
      <c r="AP355">
        <f t="shared" si="100"/>
        <v>0</v>
      </c>
      <c r="AQ355">
        <f t="shared" si="101"/>
        <v>0</v>
      </c>
    </row>
    <row r="356" spans="1:43">
      <c r="A356" t="s">
        <v>1165</v>
      </c>
      <c r="B356" s="5">
        <v>45653</v>
      </c>
      <c r="C356" s="5">
        <v>45657</v>
      </c>
      <c r="D356" s="13">
        <f t="shared" si="85"/>
        <v>4</v>
      </c>
      <c r="E356" t="s">
        <v>1166</v>
      </c>
      <c r="F356" t="s">
        <v>264</v>
      </c>
      <c r="G356" t="s">
        <v>90</v>
      </c>
      <c r="H356" t="s">
        <v>25</v>
      </c>
      <c r="I356" t="s">
        <v>122</v>
      </c>
      <c r="J356" t="s">
        <v>123</v>
      </c>
      <c r="K356" t="s">
        <v>41</v>
      </c>
      <c r="L356" t="s">
        <v>57</v>
      </c>
      <c r="M356" t="s">
        <v>1167</v>
      </c>
      <c r="N356" t="s">
        <v>59</v>
      </c>
      <c r="O356">
        <v>6</v>
      </c>
      <c r="P356">
        <v>3346.78</v>
      </c>
      <c r="Q356" s="11">
        <v>-0.06</v>
      </c>
      <c r="R356">
        <v>20080.68</v>
      </c>
      <c r="S356">
        <v>12908.84</v>
      </c>
      <c r="T356">
        <v>7171.84</v>
      </c>
      <c r="U356" t="s">
        <v>111</v>
      </c>
      <c r="V356" t="s">
        <v>68</v>
      </c>
      <c r="X356" s="8" t="str">
        <f>IF(C356&gt;=B356,"Valid", "Invalid-Date")</f>
        <v>Valid</v>
      </c>
      <c r="Y356" s="8" t="str">
        <f t="shared" si="86"/>
        <v>Invalid-Discount</v>
      </c>
      <c r="Z356" s="8" t="str">
        <f t="shared" si="87"/>
        <v>Pass</v>
      </c>
      <c r="AA356" s="8" t="str">
        <f t="shared" si="88"/>
        <v>Pass</v>
      </c>
      <c r="AB356" s="8" t="str">
        <f>TEXT(B356,"mmmm")</f>
        <v>December</v>
      </c>
      <c r="AC356" s="8" t="str">
        <f>TEXT(B356,"yyyy")</f>
        <v>2024</v>
      </c>
      <c r="AE356">
        <f t="shared" si="89"/>
        <v>20080.68</v>
      </c>
      <c r="AF356" s="11">
        <f t="shared" si="90"/>
        <v>21285.520800000002</v>
      </c>
      <c r="AG356">
        <f t="shared" si="91"/>
        <v>7171.84</v>
      </c>
      <c r="AH356" s="11">
        <f t="shared" si="92"/>
        <v>0.35715125185003693</v>
      </c>
      <c r="AI356" s="9">
        <f t="shared" si="93"/>
        <v>0.35715125185003693</v>
      </c>
      <c r="AJ356">
        <f t="shared" si="94"/>
        <v>0</v>
      </c>
      <c r="AK356">
        <f t="shared" si="95"/>
        <v>0</v>
      </c>
      <c r="AL356">
        <f t="shared" si="96"/>
        <v>20080.68</v>
      </c>
      <c r="AM356">
        <f t="shared" si="97"/>
        <v>1</v>
      </c>
      <c r="AN356">
        <f t="shared" si="98"/>
        <v>0</v>
      </c>
      <c r="AO356">
        <f t="shared" si="99"/>
        <v>0</v>
      </c>
      <c r="AP356">
        <f t="shared" si="100"/>
        <v>0</v>
      </c>
      <c r="AQ356">
        <f t="shared" si="101"/>
        <v>0</v>
      </c>
    </row>
    <row r="357" spans="1:43">
      <c r="A357" t="s">
        <v>1168</v>
      </c>
      <c r="B357" s="5">
        <v>45424</v>
      </c>
      <c r="C357" s="5">
        <v>45540</v>
      </c>
      <c r="D357" s="13">
        <f t="shared" si="85"/>
        <v>116</v>
      </c>
      <c r="E357" t="s">
        <v>1169</v>
      </c>
      <c r="F357" t="s">
        <v>114</v>
      </c>
      <c r="G357" t="s">
        <v>90</v>
      </c>
      <c r="H357" t="s">
        <v>63</v>
      </c>
      <c r="I357" t="s">
        <v>26</v>
      </c>
      <c r="J357" t="s">
        <v>109</v>
      </c>
      <c r="K357" t="s">
        <v>41</v>
      </c>
      <c r="L357" t="s">
        <v>42</v>
      </c>
      <c r="M357" t="s">
        <v>1170</v>
      </c>
      <c r="N357" t="s">
        <v>59</v>
      </c>
      <c r="O357">
        <v>5</v>
      </c>
      <c r="P357">
        <v>3203.48</v>
      </c>
      <c r="Q357" s="11">
        <v>0</v>
      </c>
      <c r="R357">
        <v>16017.4</v>
      </c>
      <c r="S357">
        <v>9557.7999999999993</v>
      </c>
      <c r="T357">
        <v>6459.6</v>
      </c>
      <c r="U357" t="s">
        <v>111</v>
      </c>
      <c r="V357" t="s">
        <v>68</v>
      </c>
      <c r="X357" s="8" t="str">
        <f>IF(C357&gt;=B357,"Valid", "Invalid-Date")</f>
        <v>Valid</v>
      </c>
      <c r="Y357" s="8" t="str">
        <f t="shared" si="86"/>
        <v>Valid</v>
      </c>
      <c r="Z357" s="8" t="str">
        <f t="shared" si="87"/>
        <v>Pass</v>
      </c>
      <c r="AA357" s="8" t="str">
        <f t="shared" si="88"/>
        <v>Pass</v>
      </c>
      <c r="AB357" s="8" t="str">
        <f>TEXT(B357,"mmmm")</f>
        <v>May</v>
      </c>
      <c r="AC357" s="8" t="str">
        <f>TEXT(B357,"yyyy")</f>
        <v>2024</v>
      </c>
      <c r="AE357">
        <f t="shared" si="89"/>
        <v>16017.4</v>
      </c>
      <c r="AF357" s="11">
        <f t="shared" si="90"/>
        <v>16017.4</v>
      </c>
      <c r="AG357">
        <f t="shared" si="91"/>
        <v>6459.6</v>
      </c>
      <c r="AH357" s="11">
        <f t="shared" si="92"/>
        <v>0.40328642601171227</v>
      </c>
      <c r="AI357" s="9">
        <f t="shared" si="93"/>
        <v>0.40328642601171227</v>
      </c>
      <c r="AJ357">
        <f t="shared" si="94"/>
        <v>0</v>
      </c>
      <c r="AK357">
        <f t="shared" si="95"/>
        <v>0</v>
      </c>
      <c r="AL357">
        <f t="shared" si="96"/>
        <v>16017.4</v>
      </c>
      <c r="AM357">
        <f t="shared" si="97"/>
        <v>1</v>
      </c>
      <c r="AN357">
        <f t="shared" si="98"/>
        <v>0</v>
      </c>
      <c r="AO357">
        <f t="shared" si="99"/>
        <v>0</v>
      </c>
      <c r="AP357">
        <f t="shared" si="100"/>
        <v>0</v>
      </c>
      <c r="AQ357">
        <f t="shared" si="101"/>
        <v>0</v>
      </c>
    </row>
    <row r="358" spans="1:43">
      <c r="A358" t="s">
        <v>1171</v>
      </c>
      <c r="B358" s="5">
        <v>45835</v>
      </c>
      <c r="C358" s="5">
        <v>45837</v>
      </c>
      <c r="D358" s="13">
        <f t="shared" si="85"/>
        <v>2</v>
      </c>
      <c r="E358" t="s">
        <v>1172</v>
      </c>
      <c r="F358" t="s">
        <v>141</v>
      </c>
      <c r="G358" t="s">
        <v>95</v>
      </c>
      <c r="H358" t="s">
        <v>54</v>
      </c>
      <c r="I358" t="s">
        <v>55</v>
      </c>
      <c r="J358" t="s">
        <v>56</v>
      </c>
      <c r="K358" t="s">
        <v>41</v>
      </c>
      <c r="L358" t="s">
        <v>66</v>
      </c>
      <c r="M358" t="s">
        <v>1173</v>
      </c>
      <c r="N358" t="s">
        <v>50</v>
      </c>
      <c r="O358">
        <v>5</v>
      </c>
      <c r="P358">
        <v>621.70000000000005</v>
      </c>
      <c r="Q358" s="11">
        <v>0.2</v>
      </c>
      <c r="R358">
        <v>2486.8000000000002</v>
      </c>
      <c r="S358">
        <v>2131.73</v>
      </c>
      <c r="T358">
        <v>355.07</v>
      </c>
      <c r="U358" t="s">
        <v>111</v>
      </c>
      <c r="V358" t="s">
        <v>103</v>
      </c>
      <c r="X358" s="8" t="str">
        <f>IF(C358&gt;=B358,"Valid", "Invalid-Date")</f>
        <v>Valid</v>
      </c>
      <c r="Y358" s="8" t="str">
        <f t="shared" si="86"/>
        <v>Valid</v>
      </c>
      <c r="Z358" s="8" t="str">
        <f t="shared" si="87"/>
        <v>Pass</v>
      </c>
      <c r="AA358" s="8" t="str">
        <f t="shared" si="88"/>
        <v>Pass</v>
      </c>
      <c r="AB358" s="8" t="str">
        <f>TEXT(B358,"mmmm")</f>
        <v>June</v>
      </c>
      <c r="AC358" s="8" t="str">
        <f>TEXT(B358,"yyyy")</f>
        <v>2025</v>
      </c>
      <c r="AE358">
        <f t="shared" si="89"/>
        <v>3108.5</v>
      </c>
      <c r="AF358" s="11">
        <f t="shared" si="90"/>
        <v>2486.8000000000002</v>
      </c>
      <c r="AG358">
        <f t="shared" si="91"/>
        <v>976.77</v>
      </c>
      <c r="AH358" s="11">
        <f t="shared" si="92"/>
        <v>0.31422551069647742</v>
      </c>
      <c r="AI358" s="9">
        <f t="shared" si="93"/>
        <v>0.31422551069647742</v>
      </c>
      <c r="AJ358">
        <f t="shared" si="94"/>
        <v>0</v>
      </c>
      <c r="AK358">
        <f t="shared" si="95"/>
        <v>0</v>
      </c>
      <c r="AL358">
        <f t="shared" si="96"/>
        <v>0</v>
      </c>
      <c r="AM358">
        <f t="shared" si="97"/>
        <v>0</v>
      </c>
      <c r="AN358">
        <f t="shared" si="98"/>
        <v>0</v>
      </c>
      <c r="AO358">
        <f t="shared" si="99"/>
        <v>0</v>
      </c>
      <c r="AP358">
        <f t="shared" si="100"/>
        <v>2486.8000000000002</v>
      </c>
      <c r="AQ358">
        <f t="shared" si="101"/>
        <v>1</v>
      </c>
    </row>
    <row r="359" spans="1:43">
      <c r="A359" t="s">
        <v>1174</v>
      </c>
      <c r="B359" s="5">
        <v>45678</v>
      </c>
      <c r="C359" s="5">
        <v>45686</v>
      </c>
      <c r="D359" s="13">
        <f t="shared" si="85"/>
        <v>8</v>
      </c>
      <c r="E359" t="s">
        <v>1175</v>
      </c>
      <c r="F359" t="s">
        <v>36</v>
      </c>
      <c r="G359" t="s">
        <v>95</v>
      </c>
      <c r="H359" t="s">
        <v>54</v>
      </c>
      <c r="I359" t="s">
        <v>84</v>
      </c>
      <c r="J359" t="s">
        <v>85</v>
      </c>
      <c r="K359" t="s">
        <v>74</v>
      </c>
      <c r="L359" t="s">
        <v>274</v>
      </c>
      <c r="M359" t="s">
        <v>1176</v>
      </c>
      <c r="N359" t="s">
        <v>31</v>
      </c>
      <c r="O359">
        <v>8</v>
      </c>
      <c r="P359">
        <v>546.13</v>
      </c>
      <c r="Q359" s="11">
        <v>0</v>
      </c>
      <c r="R359">
        <v>4369.04</v>
      </c>
      <c r="S359">
        <v>3716.88</v>
      </c>
      <c r="T359">
        <v>652.16</v>
      </c>
      <c r="U359" t="s">
        <v>32</v>
      </c>
      <c r="V359" t="s">
        <v>68</v>
      </c>
      <c r="X359" s="8" t="str">
        <f>IF(C359&gt;=B359,"Valid", "Invalid-Date")</f>
        <v>Valid</v>
      </c>
      <c r="Y359" s="8" t="str">
        <f t="shared" si="86"/>
        <v>Valid</v>
      </c>
      <c r="Z359" s="8" t="str">
        <f t="shared" si="87"/>
        <v>Pass</v>
      </c>
      <c r="AA359" s="8" t="str">
        <f t="shared" si="88"/>
        <v>Pass</v>
      </c>
      <c r="AB359" s="8" t="str">
        <f>TEXT(B359,"mmmm")</f>
        <v>January</v>
      </c>
      <c r="AC359" s="8" t="str">
        <f>TEXT(B359,"yyyy")</f>
        <v>2025</v>
      </c>
      <c r="AE359">
        <f t="shared" si="89"/>
        <v>4369.04</v>
      </c>
      <c r="AF359" s="11">
        <f t="shared" si="90"/>
        <v>4369.04</v>
      </c>
      <c r="AG359">
        <f t="shared" si="91"/>
        <v>652.15999999999985</v>
      </c>
      <c r="AH359" s="11">
        <f t="shared" si="92"/>
        <v>0.14926848918755603</v>
      </c>
      <c r="AI359" s="9">
        <f t="shared" si="93"/>
        <v>0.14926848918755603</v>
      </c>
      <c r="AJ359">
        <f t="shared" si="94"/>
        <v>0</v>
      </c>
      <c r="AK359">
        <f t="shared" si="95"/>
        <v>0</v>
      </c>
      <c r="AL359">
        <f t="shared" si="96"/>
        <v>4369.04</v>
      </c>
      <c r="AM359">
        <f t="shared" si="97"/>
        <v>1</v>
      </c>
      <c r="AN359">
        <f t="shared" si="98"/>
        <v>0</v>
      </c>
      <c r="AO359">
        <f t="shared" si="99"/>
        <v>0</v>
      </c>
      <c r="AP359">
        <f t="shared" si="100"/>
        <v>0</v>
      </c>
      <c r="AQ359">
        <f t="shared" si="101"/>
        <v>0</v>
      </c>
    </row>
    <row r="360" spans="1:43">
      <c r="A360" t="s">
        <v>1177</v>
      </c>
      <c r="B360" s="5">
        <v>45908</v>
      </c>
      <c r="C360" s="5">
        <v>45846</v>
      </c>
      <c r="D360" s="13">
        <f t="shared" si="85"/>
        <v>-62</v>
      </c>
      <c r="E360" t="s">
        <v>1178</v>
      </c>
      <c r="F360" t="s">
        <v>71</v>
      </c>
      <c r="G360" t="s">
        <v>95</v>
      </c>
      <c r="H360" t="s">
        <v>63</v>
      </c>
      <c r="I360" t="s">
        <v>180</v>
      </c>
      <c r="J360" t="s">
        <v>181</v>
      </c>
      <c r="K360" t="s">
        <v>41</v>
      </c>
      <c r="L360" t="s">
        <v>158</v>
      </c>
      <c r="M360" t="s">
        <v>1179</v>
      </c>
      <c r="N360" t="s">
        <v>31</v>
      </c>
      <c r="O360">
        <v>5</v>
      </c>
      <c r="P360">
        <v>1253.92</v>
      </c>
      <c r="Q360" s="11">
        <v>0.05</v>
      </c>
      <c r="R360">
        <v>5956.12</v>
      </c>
      <c r="S360">
        <v>4379.18</v>
      </c>
      <c r="T360">
        <v>1576.94</v>
      </c>
      <c r="U360" t="s">
        <v>111</v>
      </c>
      <c r="V360" t="s">
        <v>103</v>
      </c>
      <c r="X360" s="8" t="str">
        <f>IF(C360&gt;=B360,"Valid", "Invalid-Date")</f>
        <v>Invalid-Date</v>
      </c>
      <c r="Y360" s="8" t="str">
        <f t="shared" si="86"/>
        <v>Valid</v>
      </c>
      <c r="Z360" s="8" t="str">
        <f t="shared" si="87"/>
        <v>Pass</v>
      </c>
      <c r="AA360" s="8" t="str">
        <f t="shared" si="88"/>
        <v>Pass</v>
      </c>
      <c r="AB360" s="8" t="str">
        <f>TEXT(B360,"mmmm")</f>
        <v>September</v>
      </c>
      <c r="AC360" s="8" t="str">
        <f>TEXT(B360,"yyyy")</f>
        <v>2025</v>
      </c>
      <c r="AE360">
        <f t="shared" si="89"/>
        <v>6269.6</v>
      </c>
      <c r="AF360" s="11">
        <f t="shared" si="90"/>
        <v>5956.12</v>
      </c>
      <c r="AG360">
        <f t="shared" si="91"/>
        <v>1890.42</v>
      </c>
      <c r="AH360" s="11">
        <f t="shared" si="92"/>
        <v>0.30152162817404621</v>
      </c>
      <c r="AI360" s="9">
        <f t="shared" si="93"/>
        <v>0.30152162817404621</v>
      </c>
      <c r="AJ360">
        <f t="shared" si="94"/>
        <v>0</v>
      </c>
      <c r="AK360">
        <f t="shared" si="95"/>
        <v>0</v>
      </c>
      <c r="AL360">
        <f t="shared" si="96"/>
        <v>0</v>
      </c>
      <c r="AM360">
        <f t="shared" si="97"/>
        <v>0</v>
      </c>
      <c r="AN360">
        <f t="shared" si="98"/>
        <v>0</v>
      </c>
      <c r="AO360">
        <f t="shared" si="99"/>
        <v>0</v>
      </c>
      <c r="AP360">
        <f t="shared" si="100"/>
        <v>5956.12</v>
      </c>
      <c r="AQ360">
        <f t="shared" si="101"/>
        <v>1</v>
      </c>
    </row>
    <row r="361" spans="1:43">
      <c r="A361" t="s">
        <v>1180</v>
      </c>
      <c r="B361" s="5">
        <v>45525</v>
      </c>
      <c r="C361" s="5">
        <v>45526</v>
      </c>
      <c r="D361" s="13">
        <f t="shared" si="85"/>
        <v>1</v>
      </c>
      <c r="E361" t="s">
        <v>1181</v>
      </c>
      <c r="F361" t="s">
        <v>47</v>
      </c>
      <c r="G361" t="s">
        <v>24</v>
      </c>
      <c r="H361" t="s">
        <v>54</v>
      </c>
      <c r="I361" t="s">
        <v>247</v>
      </c>
      <c r="J361" t="s">
        <v>248</v>
      </c>
      <c r="K361" t="s">
        <v>74</v>
      </c>
      <c r="L361" t="s">
        <v>171</v>
      </c>
      <c r="M361" t="s">
        <v>1182</v>
      </c>
      <c r="N361" t="s">
        <v>44</v>
      </c>
      <c r="O361">
        <v>9</v>
      </c>
      <c r="P361">
        <v>616.96</v>
      </c>
      <c r="Q361" s="11">
        <v>0.1</v>
      </c>
      <c r="R361">
        <v>4997.38</v>
      </c>
      <c r="S361">
        <v>2971.39</v>
      </c>
      <c r="T361">
        <v>2025.99</v>
      </c>
      <c r="U361" t="s">
        <v>32</v>
      </c>
      <c r="V361" t="s">
        <v>33</v>
      </c>
      <c r="X361" s="8" t="str">
        <f>IF(C361&gt;=B361,"Valid", "Invalid-Date")</f>
        <v>Valid</v>
      </c>
      <c r="Y361" s="8" t="str">
        <f t="shared" si="86"/>
        <v>Valid</v>
      </c>
      <c r="Z361" s="8" t="str">
        <f t="shared" si="87"/>
        <v>Pass</v>
      </c>
      <c r="AA361" s="8" t="str">
        <f t="shared" si="88"/>
        <v>Pass</v>
      </c>
      <c r="AB361" s="8" t="str">
        <f>TEXT(B361,"mmmm")</f>
        <v>August</v>
      </c>
      <c r="AC361" s="8" t="str">
        <f>TEXT(B361,"yyyy")</f>
        <v>2024</v>
      </c>
      <c r="AE361">
        <f t="shared" si="89"/>
        <v>5552.64</v>
      </c>
      <c r="AF361" s="11">
        <f t="shared" si="90"/>
        <v>4997.3760000000002</v>
      </c>
      <c r="AG361">
        <f t="shared" si="91"/>
        <v>2581.2500000000005</v>
      </c>
      <c r="AH361" s="11">
        <f t="shared" si="92"/>
        <v>0.46486896323190413</v>
      </c>
      <c r="AI361" s="9">
        <f t="shared" si="93"/>
        <v>0.46486896323190413</v>
      </c>
      <c r="AJ361">
        <f t="shared" si="94"/>
        <v>4997.38</v>
      </c>
      <c r="AK361">
        <f t="shared" si="95"/>
        <v>1</v>
      </c>
      <c r="AL361">
        <f t="shared" si="96"/>
        <v>0</v>
      </c>
      <c r="AM361">
        <f t="shared" si="97"/>
        <v>0</v>
      </c>
      <c r="AN361">
        <f t="shared" si="98"/>
        <v>0</v>
      </c>
      <c r="AO361">
        <f t="shared" si="99"/>
        <v>0</v>
      </c>
      <c r="AP361">
        <f t="shared" si="100"/>
        <v>0</v>
      </c>
      <c r="AQ361">
        <f t="shared" si="101"/>
        <v>0</v>
      </c>
    </row>
    <row r="362" spans="1:43">
      <c r="A362" t="s">
        <v>1183</v>
      </c>
      <c r="B362" s="5">
        <v>45460</v>
      </c>
      <c r="C362" s="5">
        <v>45463</v>
      </c>
      <c r="D362" s="13">
        <f t="shared" si="85"/>
        <v>3</v>
      </c>
      <c r="E362" t="s">
        <v>1184</v>
      </c>
      <c r="F362" t="s">
        <v>132</v>
      </c>
      <c r="G362" t="s">
        <v>37</v>
      </c>
      <c r="H362" t="s">
        <v>63</v>
      </c>
      <c r="I362" t="s">
        <v>180</v>
      </c>
      <c r="J362" t="s">
        <v>181</v>
      </c>
      <c r="K362" t="s">
        <v>41</v>
      </c>
      <c r="L362" t="s">
        <v>57</v>
      </c>
      <c r="M362" t="s">
        <v>1185</v>
      </c>
      <c r="N362" t="s">
        <v>59</v>
      </c>
      <c r="O362">
        <v>7</v>
      </c>
      <c r="P362">
        <v>3155.25</v>
      </c>
      <c r="Q362" s="11">
        <v>0.2</v>
      </c>
      <c r="R362">
        <v>17669.400000000001</v>
      </c>
      <c r="S362">
        <v>13718.77</v>
      </c>
      <c r="T362">
        <v>3950.63</v>
      </c>
      <c r="U362" t="s">
        <v>102</v>
      </c>
      <c r="V362" t="s">
        <v>68</v>
      </c>
      <c r="X362" s="8" t="str">
        <f>IF(C362&gt;=B362,"Valid", "Invalid-Date")</f>
        <v>Valid</v>
      </c>
      <c r="Y362" s="8" t="str">
        <f t="shared" si="86"/>
        <v>Valid</v>
      </c>
      <c r="Z362" s="8" t="str">
        <f t="shared" si="87"/>
        <v>Pass</v>
      </c>
      <c r="AA362" s="8" t="str">
        <f t="shared" si="88"/>
        <v>Pass</v>
      </c>
      <c r="AB362" s="8" t="str">
        <f>TEXT(B362,"mmmm")</f>
        <v>June</v>
      </c>
      <c r="AC362" s="8" t="str">
        <f>TEXT(B362,"yyyy")</f>
        <v>2024</v>
      </c>
      <c r="AE362">
        <f t="shared" si="89"/>
        <v>22086.75</v>
      </c>
      <c r="AF362" s="11">
        <f t="shared" si="90"/>
        <v>17669.400000000001</v>
      </c>
      <c r="AG362">
        <f t="shared" si="91"/>
        <v>8367.98</v>
      </c>
      <c r="AH362" s="11">
        <f t="shared" si="92"/>
        <v>0.37886877879271508</v>
      </c>
      <c r="AI362" s="9">
        <f t="shared" si="93"/>
        <v>0.37886877879271508</v>
      </c>
      <c r="AJ362">
        <f t="shared" si="94"/>
        <v>0</v>
      </c>
      <c r="AK362">
        <f t="shared" si="95"/>
        <v>0</v>
      </c>
      <c r="AL362">
        <f t="shared" si="96"/>
        <v>17669.400000000001</v>
      </c>
      <c r="AM362">
        <f t="shared" si="97"/>
        <v>1</v>
      </c>
      <c r="AN362">
        <f t="shared" si="98"/>
        <v>0</v>
      </c>
      <c r="AO362">
        <f t="shared" si="99"/>
        <v>0</v>
      </c>
      <c r="AP362">
        <f t="shared" si="100"/>
        <v>0</v>
      </c>
      <c r="AQ362">
        <f t="shared" si="101"/>
        <v>0</v>
      </c>
    </row>
    <row r="363" spans="1:43">
      <c r="A363" t="s">
        <v>1186</v>
      </c>
      <c r="B363" s="5">
        <v>45748</v>
      </c>
      <c r="C363" s="5">
        <v>45692</v>
      </c>
      <c r="D363" s="13">
        <f t="shared" si="85"/>
        <v>-56</v>
      </c>
      <c r="E363" t="s">
        <v>1187</v>
      </c>
      <c r="F363" t="s">
        <v>141</v>
      </c>
      <c r="G363" t="s">
        <v>90</v>
      </c>
      <c r="H363" t="s">
        <v>38</v>
      </c>
      <c r="I363" t="s">
        <v>39</v>
      </c>
      <c r="J363" t="s">
        <v>40</v>
      </c>
      <c r="K363" t="s">
        <v>41</v>
      </c>
      <c r="L363" t="s">
        <v>66</v>
      </c>
      <c r="M363" t="s">
        <v>1188</v>
      </c>
      <c r="N363" t="s">
        <v>31</v>
      </c>
      <c r="O363">
        <v>9</v>
      </c>
      <c r="P363">
        <v>4165.58</v>
      </c>
      <c r="Q363" s="11">
        <v>0.05</v>
      </c>
      <c r="R363">
        <v>35615.71</v>
      </c>
      <c r="S363">
        <v>20389.71</v>
      </c>
      <c r="T363">
        <v>15226</v>
      </c>
      <c r="U363" t="s">
        <v>111</v>
      </c>
      <c r="V363" t="s">
        <v>103</v>
      </c>
      <c r="X363" s="8" t="str">
        <f>IF(C363&gt;=B363,"Valid", "Invalid-Date")</f>
        <v>Invalid-Date</v>
      </c>
      <c r="Y363" s="8" t="str">
        <f t="shared" si="86"/>
        <v>Valid</v>
      </c>
      <c r="Z363" s="8" t="str">
        <f t="shared" si="87"/>
        <v>Pass</v>
      </c>
      <c r="AA363" s="8" t="str">
        <f t="shared" si="88"/>
        <v>Pass</v>
      </c>
      <c r="AB363" s="8" t="str">
        <f>TEXT(B363,"mmmm")</f>
        <v>April</v>
      </c>
      <c r="AC363" s="8" t="str">
        <f>TEXT(B363,"yyyy")</f>
        <v>2025</v>
      </c>
      <c r="AE363">
        <f t="shared" si="89"/>
        <v>37490.22</v>
      </c>
      <c r="AF363" s="11">
        <f t="shared" si="90"/>
        <v>35615.709000000003</v>
      </c>
      <c r="AG363">
        <f t="shared" si="91"/>
        <v>17100.510000000002</v>
      </c>
      <c r="AH363" s="11">
        <f t="shared" si="92"/>
        <v>0.45613255937148411</v>
      </c>
      <c r="AI363" s="9">
        <f t="shared" si="93"/>
        <v>0.45613255937148411</v>
      </c>
      <c r="AJ363">
        <f t="shared" si="94"/>
        <v>0</v>
      </c>
      <c r="AK363">
        <f t="shared" si="95"/>
        <v>0</v>
      </c>
      <c r="AL363">
        <f t="shared" si="96"/>
        <v>0</v>
      </c>
      <c r="AM363">
        <f t="shared" si="97"/>
        <v>0</v>
      </c>
      <c r="AN363">
        <f t="shared" si="98"/>
        <v>0</v>
      </c>
      <c r="AO363">
        <f t="shared" si="99"/>
        <v>0</v>
      </c>
      <c r="AP363">
        <f t="shared" si="100"/>
        <v>35615.71</v>
      </c>
      <c r="AQ363">
        <f t="shared" si="101"/>
        <v>1</v>
      </c>
    </row>
    <row r="364" spans="1:43">
      <c r="A364" t="s">
        <v>1189</v>
      </c>
      <c r="B364" s="5">
        <v>45527</v>
      </c>
      <c r="C364" s="5">
        <v>45529</v>
      </c>
      <c r="D364" s="13">
        <f t="shared" si="85"/>
        <v>2</v>
      </c>
      <c r="E364" t="s">
        <v>1190</v>
      </c>
      <c r="F364" t="s">
        <v>71</v>
      </c>
      <c r="G364" t="s">
        <v>24</v>
      </c>
      <c r="H364" t="s">
        <v>63</v>
      </c>
      <c r="I364" t="s">
        <v>190</v>
      </c>
      <c r="J364" t="s">
        <v>191</v>
      </c>
      <c r="K364" t="s">
        <v>74</v>
      </c>
      <c r="L364" t="s">
        <v>274</v>
      </c>
      <c r="M364" t="s">
        <v>1191</v>
      </c>
      <c r="N364" t="s">
        <v>44</v>
      </c>
      <c r="O364">
        <v>4</v>
      </c>
      <c r="P364">
        <v>491.16</v>
      </c>
      <c r="Q364" s="11">
        <v>0.05</v>
      </c>
      <c r="R364">
        <v>1866.41</v>
      </c>
      <c r="S364">
        <v>1576.49</v>
      </c>
      <c r="T364">
        <v>289.92</v>
      </c>
      <c r="U364" t="s">
        <v>32</v>
      </c>
      <c r="V364" t="s">
        <v>33</v>
      </c>
      <c r="X364" s="8" t="str">
        <f>IF(C364&gt;=B364,"Valid", "Invalid-Date")</f>
        <v>Valid</v>
      </c>
      <c r="Y364" s="8" t="str">
        <f t="shared" si="86"/>
        <v>Valid</v>
      </c>
      <c r="Z364" s="8" t="str">
        <f t="shared" si="87"/>
        <v>Pass</v>
      </c>
      <c r="AA364" s="8" t="str">
        <f t="shared" si="88"/>
        <v>Pass</v>
      </c>
      <c r="AB364" s="8" t="str">
        <f>TEXT(B364,"mmmm")</f>
        <v>August</v>
      </c>
      <c r="AC364" s="8" t="str">
        <f>TEXT(B364,"yyyy")</f>
        <v>2024</v>
      </c>
      <c r="AE364">
        <f t="shared" si="89"/>
        <v>1964.64</v>
      </c>
      <c r="AF364" s="11">
        <f t="shared" si="90"/>
        <v>1866.4079999999999</v>
      </c>
      <c r="AG364">
        <f t="shared" si="91"/>
        <v>388.15000000000009</v>
      </c>
      <c r="AH364" s="11">
        <f t="shared" si="92"/>
        <v>0.19756800228031601</v>
      </c>
      <c r="AI364" s="9">
        <f t="shared" si="93"/>
        <v>0.19756800228031601</v>
      </c>
      <c r="AJ364">
        <f t="shared" si="94"/>
        <v>1866.41</v>
      </c>
      <c r="AK364">
        <f t="shared" si="95"/>
        <v>1</v>
      </c>
      <c r="AL364">
        <f t="shared" si="96"/>
        <v>0</v>
      </c>
      <c r="AM364">
        <f t="shared" si="97"/>
        <v>0</v>
      </c>
      <c r="AN364">
        <f t="shared" si="98"/>
        <v>0</v>
      </c>
      <c r="AO364">
        <f t="shared" si="99"/>
        <v>0</v>
      </c>
      <c r="AP364">
        <f t="shared" si="100"/>
        <v>0</v>
      </c>
      <c r="AQ364">
        <f t="shared" si="101"/>
        <v>0</v>
      </c>
    </row>
    <row r="365" spans="1:43">
      <c r="A365" t="s">
        <v>1192</v>
      </c>
      <c r="B365" s="5">
        <v>45845</v>
      </c>
      <c r="C365" s="5">
        <v>45998</v>
      </c>
      <c r="D365" s="13">
        <f t="shared" si="85"/>
        <v>153</v>
      </c>
      <c r="E365" t="s">
        <v>1193</v>
      </c>
      <c r="F365" t="s">
        <v>162</v>
      </c>
      <c r="G365" t="s">
        <v>90</v>
      </c>
      <c r="H365" t="s">
        <v>38</v>
      </c>
      <c r="I365" t="s">
        <v>99</v>
      </c>
      <c r="J365" t="s">
        <v>100</v>
      </c>
      <c r="K365" t="s">
        <v>41</v>
      </c>
      <c r="L365" t="s">
        <v>42</v>
      </c>
      <c r="M365" t="s">
        <v>1194</v>
      </c>
      <c r="N365" t="s">
        <v>31</v>
      </c>
      <c r="O365">
        <v>5</v>
      </c>
      <c r="P365">
        <v>1831.37</v>
      </c>
      <c r="Q365" s="11">
        <v>0.25</v>
      </c>
      <c r="R365">
        <v>6867.64</v>
      </c>
      <c r="S365">
        <v>5205.3599999999997</v>
      </c>
      <c r="T365">
        <v>1662.28</v>
      </c>
      <c r="U365" t="s">
        <v>32</v>
      </c>
      <c r="V365" t="s">
        <v>33</v>
      </c>
      <c r="X365" s="8" t="str">
        <f>IF(C365&gt;=B365,"Valid", "Invalid-Date")</f>
        <v>Valid</v>
      </c>
      <c r="Y365" s="8" t="str">
        <f t="shared" si="86"/>
        <v>Valid</v>
      </c>
      <c r="Z365" s="8" t="str">
        <f t="shared" si="87"/>
        <v>Pass</v>
      </c>
      <c r="AA365" s="8" t="str">
        <f t="shared" si="88"/>
        <v>Pass</v>
      </c>
      <c r="AB365" s="8" t="str">
        <f>TEXT(B365,"mmmm")</f>
        <v>July</v>
      </c>
      <c r="AC365" s="8" t="str">
        <f>TEXT(B365,"yyyy")</f>
        <v>2025</v>
      </c>
      <c r="AE365">
        <f t="shared" si="89"/>
        <v>9156.8499999999985</v>
      </c>
      <c r="AF365" s="11">
        <f t="shared" si="90"/>
        <v>6867.6374999999989</v>
      </c>
      <c r="AG365">
        <f t="shared" si="91"/>
        <v>3951.4899999999989</v>
      </c>
      <c r="AH365" s="11">
        <f t="shared" si="92"/>
        <v>0.4315337698007502</v>
      </c>
      <c r="AI365" s="9">
        <f t="shared" si="93"/>
        <v>0.4315337698007502</v>
      </c>
      <c r="AJ365">
        <f t="shared" si="94"/>
        <v>6867.64</v>
      </c>
      <c r="AK365">
        <f t="shared" si="95"/>
        <v>1</v>
      </c>
      <c r="AL365">
        <f t="shared" si="96"/>
        <v>0</v>
      </c>
      <c r="AM365">
        <f t="shared" si="97"/>
        <v>0</v>
      </c>
      <c r="AN365">
        <f t="shared" si="98"/>
        <v>0</v>
      </c>
      <c r="AO365">
        <f t="shared" si="99"/>
        <v>0</v>
      </c>
      <c r="AP365">
        <f t="shared" si="100"/>
        <v>0</v>
      </c>
      <c r="AQ365">
        <f t="shared" si="101"/>
        <v>0</v>
      </c>
    </row>
    <row r="366" spans="1:43">
      <c r="A366" t="s">
        <v>1195</v>
      </c>
      <c r="B366" s="5">
        <v>45737</v>
      </c>
      <c r="C366" s="5">
        <v>45740</v>
      </c>
      <c r="D366" s="13">
        <f t="shared" si="85"/>
        <v>3</v>
      </c>
      <c r="E366" t="s">
        <v>1196</v>
      </c>
      <c r="F366" t="s">
        <v>128</v>
      </c>
      <c r="G366" t="s">
        <v>37</v>
      </c>
      <c r="H366" t="s">
        <v>54</v>
      </c>
      <c r="I366" t="s">
        <v>84</v>
      </c>
      <c r="J366" t="s">
        <v>85</v>
      </c>
      <c r="K366" t="s">
        <v>41</v>
      </c>
      <c r="L366" t="s">
        <v>66</v>
      </c>
      <c r="M366" t="s">
        <v>1197</v>
      </c>
      <c r="N366" t="s">
        <v>31</v>
      </c>
      <c r="O366">
        <v>5</v>
      </c>
      <c r="P366">
        <v>1239.1500000000001</v>
      </c>
      <c r="Q366" s="11">
        <v>0</v>
      </c>
      <c r="R366">
        <v>6195.75</v>
      </c>
      <c r="S366">
        <v>3967.02</v>
      </c>
      <c r="T366">
        <v>2228.73</v>
      </c>
      <c r="U366" t="s">
        <v>32</v>
      </c>
      <c r="V366" t="s">
        <v>33</v>
      </c>
      <c r="X366" s="8" t="str">
        <f>IF(C366&gt;=B366,"Valid", "Invalid-Date")</f>
        <v>Valid</v>
      </c>
      <c r="Y366" s="8" t="str">
        <f t="shared" si="86"/>
        <v>Valid</v>
      </c>
      <c r="Z366" s="8" t="str">
        <f t="shared" si="87"/>
        <v>Pass</v>
      </c>
      <c r="AA366" s="8" t="str">
        <f t="shared" si="88"/>
        <v>Pass</v>
      </c>
      <c r="AB366" s="8" t="str">
        <f>TEXT(B366,"mmmm")</f>
        <v>March</v>
      </c>
      <c r="AC366" s="8" t="str">
        <f>TEXT(B366,"yyyy")</f>
        <v>2025</v>
      </c>
      <c r="AE366">
        <f t="shared" si="89"/>
        <v>6195.75</v>
      </c>
      <c r="AF366" s="11">
        <f t="shared" si="90"/>
        <v>6195.75</v>
      </c>
      <c r="AG366">
        <f t="shared" si="91"/>
        <v>2228.73</v>
      </c>
      <c r="AH366" s="11">
        <f t="shared" si="92"/>
        <v>0.35971916232901585</v>
      </c>
      <c r="AI366" s="9">
        <f t="shared" si="93"/>
        <v>0.35971916232901585</v>
      </c>
      <c r="AJ366">
        <f t="shared" si="94"/>
        <v>6195.75</v>
      </c>
      <c r="AK366">
        <f t="shared" si="95"/>
        <v>1</v>
      </c>
      <c r="AL366">
        <f t="shared" si="96"/>
        <v>0</v>
      </c>
      <c r="AM366">
        <f t="shared" si="97"/>
        <v>0</v>
      </c>
      <c r="AN366">
        <f t="shared" si="98"/>
        <v>0</v>
      </c>
      <c r="AO366">
        <f t="shared" si="99"/>
        <v>0</v>
      </c>
      <c r="AP366">
        <f t="shared" si="100"/>
        <v>0</v>
      </c>
      <c r="AQ366">
        <f t="shared" si="101"/>
        <v>0</v>
      </c>
    </row>
    <row r="367" spans="1:43">
      <c r="A367" t="s">
        <v>1198</v>
      </c>
      <c r="B367" s="5">
        <v>45458</v>
      </c>
      <c r="C367" s="5">
        <v>45464</v>
      </c>
      <c r="D367" s="13">
        <f t="shared" si="85"/>
        <v>6</v>
      </c>
      <c r="E367" t="s">
        <v>1199</v>
      </c>
      <c r="F367" t="s">
        <v>89</v>
      </c>
      <c r="G367" t="s">
        <v>90</v>
      </c>
      <c r="H367" t="s">
        <v>63</v>
      </c>
      <c r="I367" t="s">
        <v>190</v>
      </c>
      <c r="J367" t="s">
        <v>191</v>
      </c>
      <c r="K367" t="s">
        <v>74</v>
      </c>
      <c r="L367" t="s">
        <v>75</v>
      </c>
      <c r="M367" t="s">
        <v>1200</v>
      </c>
      <c r="N367" t="s">
        <v>50</v>
      </c>
      <c r="O367">
        <v>8</v>
      </c>
      <c r="P367">
        <v>1706.4</v>
      </c>
      <c r="Q367" s="11">
        <v>0</v>
      </c>
      <c r="R367">
        <v>12968.64</v>
      </c>
      <c r="S367">
        <v>10119.61</v>
      </c>
      <c r="T367">
        <v>2849.03</v>
      </c>
      <c r="U367" t="s">
        <v>32</v>
      </c>
      <c r="V367" t="s">
        <v>33</v>
      </c>
      <c r="X367" s="8" t="str">
        <f>IF(C367&gt;=B367,"Valid", "Invalid-Date")</f>
        <v>Valid</v>
      </c>
      <c r="Y367" s="8" t="str">
        <f t="shared" si="86"/>
        <v>Valid</v>
      </c>
      <c r="Z367" s="8" t="str">
        <f t="shared" si="87"/>
        <v>Pass</v>
      </c>
      <c r="AA367" s="8" t="str">
        <f t="shared" si="88"/>
        <v>Pass</v>
      </c>
      <c r="AB367" s="8" t="str">
        <f>TEXT(B367,"mmmm")</f>
        <v>June</v>
      </c>
      <c r="AC367" s="8" t="str">
        <f>TEXT(B367,"yyyy")</f>
        <v>2024</v>
      </c>
      <c r="AE367">
        <f t="shared" si="89"/>
        <v>13651.2</v>
      </c>
      <c r="AF367" s="11">
        <f t="shared" si="90"/>
        <v>13651.2</v>
      </c>
      <c r="AG367">
        <f t="shared" si="91"/>
        <v>3531.59</v>
      </c>
      <c r="AH367" s="11">
        <f t="shared" si="92"/>
        <v>0.2587017991092358</v>
      </c>
      <c r="AI367" s="9">
        <f t="shared" si="93"/>
        <v>0.2587017991092358</v>
      </c>
      <c r="AJ367">
        <f t="shared" si="94"/>
        <v>12968.64</v>
      </c>
      <c r="AK367">
        <f t="shared" si="95"/>
        <v>1</v>
      </c>
      <c r="AL367">
        <f t="shared" si="96"/>
        <v>0</v>
      </c>
      <c r="AM367">
        <f t="shared" si="97"/>
        <v>0</v>
      </c>
      <c r="AN367">
        <f t="shared" si="98"/>
        <v>0</v>
      </c>
      <c r="AO367">
        <f t="shared" si="99"/>
        <v>0</v>
      </c>
      <c r="AP367">
        <f t="shared" si="100"/>
        <v>0</v>
      </c>
      <c r="AQ367">
        <f t="shared" si="101"/>
        <v>0</v>
      </c>
    </row>
    <row r="368" spans="1:43">
      <c r="A368" t="s">
        <v>1201</v>
      </c>
      <c r="B368" s="5">
        <v>45673</v>
      </c>
      <c r="C368" s="5">
        <v>45679</v>
      </c>
      <c r="D368" s="13">
        <f t="shared" si="85"/>
        <v>6</v>
      </c>
      <c r="E368" t="s">
        <v>1202</v>
      </c>
      <c r="F368" t="s">
        <v>132</v>
      </c>
      <c r="G368" t="s">
        <v>90</v>
      </c>
      <c r="H368" t="s">
        <v>25</v>
      </c>
      <c r="I368" t="s">
        <v>26</v>
      </c>
      <c r="J368" t="s">
        <v>27</v>
      </c>
      <c r="K368" t="s">
        <v>41</v>
      </c>
      <c r="L368" t="s">
        <v>42</v>
      </c>
      <c r="M368" t="s">
        <v>1203</v>
      </c>
      <c r="N368" t="s">
        <v>44</v>
      </c>
      <c r="O368">
        <v>2</v>
      </c>
      <c r="P368">
        <v>4418.28</v>
      </c>
      <c r="Q368" s="11">
        <v>0</v>
      </c>
      <c r="R368">
        <v>8836.56</v>
      </c>
      <c r="S368">
        <v>5867.75</v>
      </c>
      <c r="T368">
        <v>2968.81</v>
      </c>
      <c r="U368" t="s">
        <v>32</v>
      </c>
      <c r="V368" t="s">
        <v>33</v>
      </c>
      <c r="X368" s="8" t="str">
        <f>IF(C368&gt;=B368,"Valid", "Invalid-Date")</f>
        <v>Valid</v>
      </c>
      <c r="Y368" s="8" t="str">
        <f t="shared" si="86"/>
        <v>Valid</v>
      </c>
      <c r="Z368" s="8" t="str">
        <f t="shared" si="87"/>
        <v>Pass</v>
      </c>
      <c r="AA368" s="8" t="str">
        <f t="shared" si="88"/>
        <v>Pass</v>
      </c>
      <c r="AB368" s="8" t="str">
        <f>TEXT(B368,"mmmm")</f>
        <v>January</v>
      </c>
      <c r="AC368" s="8" t="str">
        <f>TEXT(B368,"yyyy")</f>
        <v>2025</v>
      </c>
      <c r="AE368">
        <f t="shared" si="89"/>
        <v>8836.56</v>
      </c>
      <c r="AF368" s="11">
        <f t="shared" si="90"/>
        <v>8836.56</v>
      </c>
      <c r="AG368">
        <f t="shared" si="91"/>
        <v>2968.8099999999995</v>
      </c>
      <c r="AH368" s="11">
        <f t="shared" si="92"/>
        <v>0.33596897435201023</v>
      </c>
      <c r="AI368" s="9">
        <f t="shared" si="93"/>
        <v>0.33596897435201023</v>
      </c>
      <c r="AJ368">
        <f t="shared" si="94"/>
        <v>8836.56</v>
      </c>
      <c r="AK368">
        <f t="shared" si="95"/>
        <v>1</v>
      </c>
      <c r="AL368">
        <f t="shared" si="96"/>
        <v>0</v>
      </c>
      <c r="AM368">
        <f t="shared" si="97"/>
        <v>0</v>
      </c>
      <c r="AN368">
        <f t="shared" si="98"/>
        <v>0</v>
      </c>
      <c r="AO368">
        <f t="shared" si="99"/>
        <v>0</v>
      </c>
      <c r="AP368">
        <f t="shared" si="100"/>
        <v>0</v>
      </c>
      <c r="AQ368">
        <f t="shared" si="101"/>
        <v>0</v>
      </c>
    </row>
    <row r="369" spans="1:43">
      <c r="A369" t="s">
        <v>1204</v>
      </c>
      <c r="B369" s="5">
        <v>45366</v>
      </c>
      <c r="C369" s="5">
        <v>45367</v>
      </c>
      <c r="D369" s="13">
        <f t="shared" si="85"/>
        <v>1</v>
      </c>
      <c r="E369" t="s">
        <v>1205</v>
      </c>
      <c r="F369" t="s">
        <v>141</v>
      </c>
      <c r="G369" t="s">
        <v>24</v>
      </c>
      <c r="H369" t="s">
        <v>25</v>
      </c>
      <c r="I369" t="s">
        <v>350</v>
      </c>
      <c r="J369" t="s">
        <v>351</v>
      </c>
      <c r="K369" t="s">
        <v>28</v>
      </c>
      <c r="L369" t="s">
        <v>48</v>
      </c>
      <c r="M369" t="s">
        <v>1206</v>
      </c>
      <c r="N369" t="s">
        <v>59</v>
      </c>
      <c r="O369">
        <v>6</v>
      </c>
      <c r="P369">
        <v>3815.09</v>
      </c>
      <c r="Q369" s="11">
        <v>0.15</v>
      </c>
      <c r="R369">
        <v>19456.96</v>
      </c>
      <c r="S369">
        <v>14520.06</v>
      </c>
      <c r="T369">
        <v>4936.8999999999996</v>
      </c>
      <c r="U369" t="s">
        <v>155</v>
      </c>
      <c r="V369" t="s">
        <v>68</v>
      </c>
      <c r="X369" s="8" t="str">
        <f>IF(C369&gt;=B369,"Valid", "Invalid-Date")</f>
        <v>Valid</v>
      </c>
      <c r="Y369" s="8" t="str">
        <f t="shared" si="86"/>
        <v>Valid</v>
      </c>
      <c r="Z369" s="8" t="str">
        <f t="shared" si="87"/>
        <v>Pass</v>
      </c>
      <c r="AA369" s="8" t="str">
        <f t="shared" si="88"/>
        <v>Pass</v>
      </c>
      <c r="AB369" s="8" t="str">
        <f>TEXT(B369,"mmmm")</f>
        <v>March</v>
      </c>
      <c r="AC369" s="8" t="str">
        <f>TEXT(B369,"yyyy")</f>
        <v>2024</v>
      </c>
      <c r="AE369">
        <f t="shared" si="89"/>
        <v>22890.54</v>
      </c>
      <c r="AF369" s="11">
        <f t="shared" si="90"/>
        <v>19456.958999999999</v>
      </c>
      <c r="AG369">
        <f t="shared" si="91"/>
        <v>8370.4800000000014</v>
      </c>
      <c r="AH369" s="11">
        <f t="shared" si="92"/>
        <v>0.36567420427827396</v>
      </c>
      <c r="AI369" s="9">
        <f t="shared" si="93"/>
        <v>0.36567420427827396</v>
      </c>
      <c r="AJ369">
        <f t="shared" si="94"/>
        <v>0</v>
      </c>
      <c r="AK369">
        <f t="shared" si="95"/>
        <v>0</v>
      </c>
      <c r="AL369">
        <f t="shared" si="96"/>
        <v>19456.96</v>
      </c>
      <c r="AM369">
        <f t="shared" si="97"/>
        <v>1</v>
      </c>
      <c r="AN369">
        <f t="shared" si="98"/>
        <v>19456.96</v>
      </c>
      <c r="AO369">
        <f t="shared" si="99"/>
        <v>1</v>
      </c>
      <c r="AP369">
        <f t="shared" si="100"/>
        <v>0</v>
      </c>
      <c r="AQ369">
        <f t="shared" si="101"/>
        <v>0</v>
      </c>
    </row>
    <row r="370" spans="1:43">
      <c r="A370" t="s">
        <v>1207</v>
      </c>
      <c r="B370" s="5">
        <v>45844</v>
      </c>
      <c r="C370" s="5">
        <v>45844</v>
      </c>
      <c r="D370" s="13">
        <f t="shared" si="85"/>
        <v>0</v>
      </c>
      <c r="E370" t="s">
        <v>1208</v>
      </c>
      <c r="F370" t="s">
        <v>128</v>
      </c>
      <c r="G370" t="s">
        <v>95</v>
      </c>
      <c r="H370" t="s">
        <v>25</v>
      </c>
      <c r="I370" t="s">
        <v>26</v>
      </c>
      <c r="J370" t="s">
        <v>27</v>
      </c>
      <c r="K370" t="s">
        <v>74</v>
      </c>
      <c r="L370" t="s">
        <v>75</v>
      </c>
      <c r="M370" t="s">
        <v>1209</v>
      </c>
      <c r="N370" t="s">
        <v>44</v>
      </c>
      <c r="O370">
        <v>9</v>
      </c>
      <c r="P370">
        <v>243.19</v>
      </c>
      <c r="Q370" s="11">
        <v>0.05</v>
      </c>
      <c r="R370">
        <v>2079.27</v>
      </c>
      <c r="S370">
        <v>1512.17</v>
      </c>
      <c r="T370">
        <v>567.1</v>
      </c>
      <c r="U370" t="s">
        <v>102</v>
      </c>
      <c r="V370" t="s">
        <v>103</v>
      </c>
      <c r="X370" s="8" t="str">
        <f>IF(C370&gt;=B370,"Valid", "Invalid-Date")</f>
        <v>Valid</v>
      </c>
      <c r="Y370" s="8" t="str">
        <f t="shared" si="86"/>
        <v>Valid</v>
      </c>
      <c r="Z370" s="8" t="str">
        <f t="shared" si="87"/>
        <v>Pass</v>
      </c>
      <c r="AA370" s="8" t="str">
        <f t="shared" si="88"/>
        <v>Pass</v>
      </c>
      <c r="AB370" s="8" t="str">
        <f>TEXT(B370,"mmmm")</f>
        <v>July</v>
      </c>
      <c r="AC370" s="8" t="str">
        <f>TEXT(B370,"yyyy")</f>
        <v>2025</v>
      </c>
      <c r="AE370">
        <f t="shared" si="89"/>
        <v>2188.71</v>
      </c>
      <c r="AF370" s="11">
        <f t="shared" si="90"/>
        <v>2079.2745</v>
      </c>
      <c r="AG370">
        <f t="shared" si="91"/>
        <v>676.54</v>
      </c>
      <c r="AH370" s="11">
        <f t="shared" si="92"/>
        <v>0.30910444965299194</v>
      </c>
      <c r="AI370" s="9">
        <f t="shared" si="93"/>
        <v>0.30910444965299194</v>
      </c>
      <c r="AJ370">
        <f t="shared" si="94"/>
        <v>0</v>
      </c>
      <c r="AK370">
        <f t="shared" si="95"/>
        <v>0</v>
      </c>
      <c r="AL370">
        <f t="shared" si="96"/>
        <v>0</v>
      </c>
      <c r="AM370">
        <f t="shared" si="97"/>
        <v>0</v>
      </c>
      <c r="AN370">
        <f t="shared" si="98"/>
        <v>0</v>
      </c>
      <c r="AO370">
        <f t="shared" si="99"/>
        <v>0</v>
      </c>
      <c r="AP370">
        <f t="shared" si="100"/>
        <v>2079.27</v>
      </c>
      <c r="AQ370">
        <f t="shared" si="101"/>
        <v>1</v>
      </c>
    </row>
    <row r="371" spans="1:43">
      <c r="A371" t="s">
        <v>1210</v>
      </c>
      <c r="B371" s="5">
        <v>45680</v>
      </c>
      <c r="C371" s="5">
        <v>45687</v>
      </c>
      <c r="D371" s="13">
        <f t="shared" si="85"/>
        <v>7</v>
      </c>
      <c r="E371" t="s">
        <v>1211</v>
      </c>
      <c r="F371" t="s">
        <v>114</v>
      </c>
      <c r="G371" t="s">
        <v>24</v>
      </c>
      <c r="H371" t="s">
        <v>25</v>
      </c>
      <c r="I371" t="s">
        <v>350</v>
      </c>
      <c r="J371" t="s">
        <v>351</v>
      </c>
      <c r="K371" t="s">
        <v>28</v>
      </c>
      <c r="L371" t="s">
        <v>91</v>
      </c>
      <c r="M371" t="s">
        <v>1212</v>
      </c>
      <c r="N371" t="s">
        <v>59</v>
      </c>
      <c r="O371">
        <v>9</v>
      </c>
      <c r="P371">
        <v>1169.3699999999999</v>
      </c>
      <c r="Q371" s="11">
        <v>0.15</v>
      </c>
      <c r="R371">
        <v>8945.68</v>
      </c>
      <c r="S371">
        <v>6740.35</v>
      </c>
      <c r="T371">
        <v>2205.33</v>
      </c>
      <c r="U371" t="s">
        <v>32</v>
      </c>
      <c r="V371" t="s">
        <v>33</v>
      </c>
      <c r="X371" s="8" t="str">
        <f>IF(C371&gt;=B371,"Valid", "Invalid-Date")</f>
        <v>Valid</v>
      </c>
      <c r="Y371" s="8" t="str">
        <f t="shared" si="86"/>
        <v>Valid</v>
      </c>
      <c r="Z371" s="8" t="str">
        <f t="shared" si="87"/>
        <v>Pass</v>
      </c>
      <c r="AA371" s="8" t="str">
        <f t="shared" si="88"/>
        <v>Pass</v>
      </c>
      <c r="AB371" s="8" t="str">
        <f>TEXT(B371,"mmmm")</f>
        <v>January</v>
      </c>
      <c r="AC371" s="8" t="str">
        <f>TEXT(B371,"yyyy")</f>
        <v>2025</v>
      </c>
      <c r="AE371">
        <f t="shared" si="89"/>
        <v>10524.329999999998</v>
      </c>
      <c r="AF371" s="11">
        <f t="shared" si="90"/>
        <v>8945.6804999999986</v>
      </c>
      <c r="AG371">
        <f t="shared" si="91"/>
        <v>3783.9799999999977</v>
      </c>
      <c r="AH371" s="11">
        <f t="shared" si="92"/>
        <v>0.35954592833938109</v>
      </c>
      <c r="AI371" s="9">
        <f t="shared" si="93"/>
        <v>0.35954592833938109</v>
      </c>
      <c r="AJ371">
        <f t="shared" si="94"/>
        <v>8945.68</v>
      </c>
      <c r="AK371">
        <f t="shared" si="95"/>
        <v>1</v>
      </c>
      <c r="AL371">
        <f t="shared" si="96"/>
        <v>0</v>
      </c>
      <c r="AM371">
        <f t="shared" si="97"/>
        <v>0</v>
      </c>
      <c r="AN371">
        <f t="shared" si="98"/>
        <v>0</v>
      </c>
      <c r="AO371">
        <f t="shared" si="99"/>
        <v>0</v>
      </c>
      <c r="AP371">
        <f t="shared" si="100"/>
        <v>0</v>
      </c>
      <c r="AQ371">
        <f t="shared" si="101"/>
        <v>0</v>
      </c>
    </row>
    <row r="372" spans="1:43">
      <c r="A372" t="s">
        <v>1213</v>
      </c>
      <c r="B372" s="5">
        <v>45519</v>
      </c>
      <c r="C372" s="5">
        <v>45525</v>
      </c>
      <c r="D372" s="13">
        <f t="shared" si="85"/>
        <v>6</v>
      </c>
      <c r="E372" t="s">
        <v>1214</v>
      </c>
      <c r="F372" t="s">
        <v>62</v>
      </c>
      <c r="G372" t="s">
        <v>37</v>
      </c>
      <c r="H372" t="s">
        <v>63</v>
      </c>
      <c r="I372" t="s">
        <v>26</v>
      </c>
      <c r="J372" t="s">
        <v>109</v>
      </c>
      <c r="K372" t="s">
        <v>74</v>
      </c>
      <c r="L372" t="s">
        <v>80</v>
      </c>
      <c r="M372" t="s">
        <v>1215</v>
      </c>
      <c r="N372" t="s">
        <v>50</v>
      </c>
      <c r="O372">
        <v>7</v>
      </c>
      <c r="P372">
        <v>2333.81</v>
      </c>
      <c r="Q372" s="11">
        <v>0.2</v>
      </c>
      <c r="R372">
        <v>13069.34</v>
      </c>
      <c r="S372">
        <v>8768.59</v>
      </c>
      <c r="T372">
        <v>4300.75</v>
      </c>
      <c r="U372" t="s">
        <v>32</v>
      </c>
      <c r="V372" t="s">
        <v>33</v>
      </c>
      <c r="X372" s="8" t="str">
        <f>IF(C372&gt;=B372,"Valid", "Invalid-Date")</f>
        <v>Valid</v>
      </c>
      <c r="Y372" s="8" t="str">
        <f t="shared" si="86"/>
        <v>Valid</v>
      </c>
      <c r="Z372" s="8" t="str">
        <f t="shared" si="87"/>
        <v>Pass</v>
      </c>
      <c r="AA372" s="8" t="str">
        <f t="shared" si="88"/>
        <v>Pass</v>
      </c>
      <c r="AB372" s="8" t="str">
        <f>TEXT(B372,"mmmm")</f>
        <v>August</v>
      </c>
      <c r="AC372" s="8" t="str">
        <f>TEXT(B372,"yyyy")</f>
        <v>2024</v>
      </c>
      <c r="AE372">
        <f t="shared" si="89"/>
        <v>16336.67</v>
      </c>
      <c r="AF372" s="11">
        <f t="shared" si="90"/>
        <v>13069.336000000001</v>
      </c>
      <c r="AG372">
        <f t="shared" si="91"/>
        <v>7568.08</v>
      </c>
      <c r="AH372" s="11">
        <f t="shared" si="92"/>
        <v>0.46325719990671294</v>
      </c>
      <c r="AI372" s="9">
        <f t="shared" si="93"/>
        <v>0.46325719990671294</v>
      </c>
      <c r="AJ372">
        <f t="shared" si="94"/>
        <v>13069.34</v>
      </c>
      <c r="AK372">
        <f t="shared" si="95"/>
        <v>1</v>
      </c>
      <c r="AL372">
        <f t="shared" si="96"/>
        <v>0</v>
      </c>
      <c r="AM372">
        <f t="shared" si="97"/>
        <v>0</v>
      </c>
      <c r="AN372">
        <f t="shared" si="98"/>
        <v>0</v>
      </c>
      <c r="AO372">
        <f t="shared" si="99"/>
        <v>0</v>
      </c>
      <c r="AP372">
        <f t="shared" si="100"/>
        <v>0</v>
      </c>
      <c r="AQ372">
        <f t="shared" si="101"/>
        <v>0</v>
      </c>
    </row>
    <row r="373" spans="1:43">
      <c r="A373" t="s">
        <v>1216</v>
      </c>
      <c r="B373" s="5">
        <v>45313</v>
      </c>
      <c r="C373" s="5">
        <v>45315</v>
      </c>
      <c r="D373" s="13">
        <f t="shared" si="85"/>
        <v>2</v>
      </c>
      <c r="E373" t="s">
        <v>1217</v>
      </c>
      <c r="F373" t="s">
        <v>162</v>
      </c>
      <c r="G373" t="s">
        <v>95</v>
      </c>
      <c r="H373" t="s">
        <v>63</v>
      </c>
      <c r="I373" t="s">
        <v>64</v>
      </c>
      <c r="J373" t="s">
        <v>65</v>
      </c>
      <c r="K373" t="s">
        <v>28</v>
      </c>
      <c r="L373" t="s">
        <v>48</v>
      </c>
      <c r="M373" t="s">
        <v>1218</v>
      </c>
      <c r="N373" t="s">
        <v>59</v>
      </c>
      <c r="O373">
        <v>6</v>
      </c>
      <c r="P373">
        <v>1026.06</v>
      </c>
      <c r="Q373" s="11">
        <v>0</v>
      </c>
      <c r="R373">
        <v>4617.2700000000004</v>
      </c>
      <c r="S373">
        <v>2981.94</v>
      </c>
      <c r="T373">
        <v>1635.33</v>
      </c>
      <c r="U373" t="s">
        <v>102</v>
      </c>
      <c r="V373" t="s">
        <v>68</v>
      </c>
      <c r="X373" s="8" t="str">
        <f>IF(C373&gt;=B373,"Valid", "Invalid-Date")</f>
        <v>Valid</v>
      </c>
      <c r="Y373" s="8" t="str">
        <f t="shared" si="86"/>
        <v>Valid</v>
      </c>
      <c r="Z373" s="8" t="str">
        <f t="shared" si="87"/>
        <v>Pass</v>
      </c>
      <c r="AA373" s="8" t="str">
        <f t="shared" si="88"/>
        <v>Pass</v>
      </c>
      <c r="AB373" s="8" t="str">
        <f>TEXT(B373,"mmmm")</f>
        <v>January</v>
      </c>
      <c r="AC373" s="8" t="str">
        <f>TEXT(B373,"yyyy")</f>
        <v>2024</v>
      </c>
      <c r="AE373">
        <f t="shared" si="89"/>
        <v>6156.36</v>
      </c>
      <c r="AF373" s="11">
        <f t="shared" si="90"/>
        <v>6156.36</v>
      </c>
      <c r="AG373">
        <f t="shared" si="91"/>
        <v>3174.4199999999996</v>
      </c>
      <c r="AH373" s="11">
        <f t="shared" si="92"/>
        <v>0.51563261407714944</v>
      </c>
      <c r="AI373" s="9">
        <f t="shared" si="93"/>
        <v>0.51563261407714944</v>
      </c>
      <c r="AJ373">
        <f t="shared" si="94"/>
        <v>0</v>
      </c>
      <c r="AK373">
        <f t="shared" si="95"/>
        <v>0</v>
      </c>
      <c r="AL373">
        <f t="shared" si="96"/>
        <v>4617.2700000000004</v>
      </c>
      <c r="AM373">
        <f t="shared" si="97"/>
        <v>1</v>
      </c>
      <c r="AN373">
        <f t="shared" si="98"/>
        <v>0</v>
      </c>
      <c r="AO373">
        <f t="shared" si="99"/>
        <v>0</v>
      </c>
      <c r="AP373">
        <f t="shared" si="100"/>
        <v>0</v>
      </c>
      <c r="AQ373">
        <f t="shared" si="101"/>
        <v>0</v>
      </c>
    </row>
    <row r="374" spans="1:43">
      <c r="A374" t="s">
        <v>1219</v>
      </c>
      <c r="B374" s="5">
        <v>45885</v>
      </c>
      <c r="C374" s="5">
        <v>45887</v>
      </c>
      <c r="D374" s="13">
        <f t="shared" si="85"/>
        <v>2</v>
      </c>
      <c r="E374" t="s">
        <v>641</v>
      </c>
      <c r="F374" t="s">
        <v>264</v>
      </c>
      <c r="G374" t="s">
        <v>24</v>
      </c>
      <c r="H374" t="s">
        <v>38</v>
      </c>
      <c r="I374" t="s">
        <v>228</v>
      </c>
      <c r="J374" t="s">
        <v>229</v>
      </c>
      <c r="K374" t="s">
        <v>41</v>
      </c>
      <c r="L374" t="s">
        <v>66</v>
      </c>
      <c r="M374" t="s">
        <v>1220</v>
      </c>
      <c r="N374" t="s">
        <v>44</v>
      </c>
      <c r="O374">
        <v>5</v>
      </c>
      <c r="P374">
        <v>1530.36</v>
      </c>
      <c r="Q374" s="11">
        <v>0</v>
      </c>
      <c r="R374">
        <v>7651.8</v>
      </c>
      <c r="S374">
        <v>5171.78</v>
      </c>
      <c r="T374">
        <v>2480.02</v>
      </c>
      <c r="U374" t="s">
        <v>32</v>
      </c>
      <c r="V374" t="s">
        <v>33</v>
      </c>
      <c r="X374" s="8" t="str">
        <f>IF(C374&gt;=B374,"Valid", "Invalid-Date")</f>
        <v>Valid</v>
      </c>
      <c r="Y374" s="8" t="str">
        <f t="shared" si="86"/>
        <v>Valid</v>
      </c>
      <c r="Z374" s="8" t="str">
        <f t="shared" si="87"/>
        <v>Pass</v>
      </c>
      <c r="AA374" s="8" t="str">
        <f t="shared" si="88"/>
        <v>Pass</v>
      </c>
      <c r="AB374" s="8" t="str">
        <f>TEXT(B374,"mmmm")</f>
        <v>August</v>
      </c>
      <c r="AC374" s="8" t="str">
        <f>TEXT(B374,"yyyy")</f>
        <v>2025</v>
      </c>
      <c r="AE374">
        <f t="shared" si="89"/>
        <v>7651.7999999999993</v>
      </c>
      <c r="AF374" s="11">
        <f t="shared" si="90"/>
        <v>7651.7999999999993</v>
      </c>
      <c r="AG374">
        <f t="shared" si="91"/>
        <v>2480.0199999999995</v>
      </c>
      <c r="AH374" s="11">
        <f t="shared" si="92"/>
        <v>0.32410935988917638</v>
      </c>
      <c r="AI374" s="9">
        <f t="shared" si="93"/>
        <v>0.32410935988917638</v>
      </c>
      <c r="AJ374">
        <f t="shared" si="94"/>
        <v>7651.8</v>
      </c>
      <c r="AK374">
        <f t="shared" si="95"/>
        <v>1</v>
      </c>
      <c r="AL374">
        <f t="shared" si="96"/>
        <v>0</v>
      </c>
      <c r="AM374">
        <f t="shared" si="97"/>
        <v>0</v>
      </c>
      <c r="AN374">
        <f t="shared" si="98"/>
        <v>0</v>
      </c>
      <c r="AO374">
        <f t="shared" si="99"/>
        <v>0</v>
      </c>
      <c r="AP374">
        <f t="shared" si="100"/>
        <v>0</v>
      </c>
      <c r="AQ374">
        <f t="shared" si="101"/>
        <v>0</v>
      </c>
    </row>
    <row r="375" spans="1:43" s="15" customFormat="1">
      <c r="A375" s="15" t="s">
        <v>1221</v>
      </c>
      <c r="B375" s="16">
        <v>45760</v>
      </c>
      <c r="C375" s="16">
        <v>45760</v>
      </c>
      <c r="D375" s="17">
        <f t="shared" si="85"/>
        <v>0</v>
      </c>
      <c r="E375" s="15" t="s">
        <v>1222</v>
      </c>
      <c r="F375" s="15" t="s">
        <v>132</v>
      </c>
      <c r="G375" s="15" t="s">
        <v>37</v>
      </c>
      <c r="H375" s="15" t="s">
        <v>25</v>
      </c>
      <c r="I375" s="15" t="s">
        <v>136</v>
      </c>
      <c r="J375" s="15" t="s">
        <v>137</v>
      </c>
      <c r="K375" s="15" t="s">
        <v>28</v>
      </c>
      <c r="L375" s="15" t="s">
        <v>124</v>
      </c>
      <c r="M375" s="15" t="s">
        <v>1223</v>
      </c>
      <c r="N375" s="15" t="s">
        <v>31</v>
      </c>
      <c r="O375" s="15">
        <v>9</v>
      </c>
      <c r="P375" s="15">
        <v>1118.68</v>
      </c>
      <c r="Q375" s="18">
        <v>0</v>
      </c>
      <c r="R375" s="15">
        <v>10068.120000000001</v>
      </c>
      <c r="S375" s="15">
        <v>8595.3700000000008</v>
      </c>
      <c r="T375" s="15">
        <v>1472.75</v>
      </c>
      <c r="U375" s="15" t="s">
        <v>32</v>
      </c>
      <c r="V375" s="15" t="s">
        <v>33</v>
      </c>
      <c r="W375" s="25"/>
      <c r="X375" s="8" t="str">
        <f>IF(C375&gt;=B375,"Valid", "Invalid-Date")</f>
        <v>Valid</v>
      </c>
      <c r="Y375" s="8" t="str">
        <f t="shared" si="86"/>
        <v>Valid</v>
      </c>
      <c r="Z375" s="19" t="str">
        <f t="shared" si="87"/>
        <v>Pass</v>
      </c>
      <c r="AA375" s="19" t="str">
        <f t="shared" si="88"/>
        <v>Pass</v>
      </c>
      <c r="AB375" s="19" t="str">
        <f>TEXT(B375,"mmmm")</f>
        <v>April</v>
      </c>
      <c r="AC375" s="19" t="str">
        <f>TEXT(B375,"yyyy")</f>
        <v>2025</v>
      </c>
      <c r="AD375" s="20"/>
      <c r="AE375" s="15">
        <f t="shared" si="89"/>
        <v>10068.120000000001</v>
      </c>
      <c r="AF375" s="11">
        <f t="shared" si="90"/>
        <v>10068.120000000001</v>
      </c>
      <c r="AG375" s="15">
        <f t="shared" si="91"/>
        <v>1472.75</v>
      </c>
      <c r="AH375" s="18">
        <f t="shared" si="92"/>
        <v>0.14627855051389932</v>
      </c>
      <c r="AI375" s="21">
        <f t="shared" si="93"/>
        <v>0.14627855051389932</v>
      </c>
      <c r="AJ375">
        <f t="shared" si="94"/>
        <v>10068.120000000001</v>
      </c>
      <c r="AK375">
        <f t="shared" si="95"/>
        <v>1</v>
      </c>
      <c r="AL375">
        <f t="shared" si="96"/>
        <v>0</v>
      </c>
      <c r="AM375">
        <f t="shared" si="97"/>
        <v>0</v>
      </c>
      <c r="AN375">
        <f t="shared" si="98"/>
        <v>0</v>
      </c>
      <c r="AO375">
        <f t="shared" si="99"/>
        <v>0</v>
      </c>
      <c r="AP375">
        <f t="shared" si="100"/>
        <v>0</v>
      </c>
      <c r="AQ375">
        <f t="shared" si="101"/>
        <v>0</v>
      </c>
    </row>
    <row r="376" spans="1:43">
      <c r="A376" t="s">
        <v>1224</v>
      </c>
      <c r="B376" s="5">
        <v>45715</v>
      </c>
      <c r="C376" s="5">
        <v>45716</v>
      </c>
      <c r="D376" s="13">
        <f t="shared" si="85"/>
        <v>1</v>
      </c>
      <c r="E376" t="s">
        <v>1225</v>
      </c>
      <c r="F376" t="s">
        <v>89</v>
      </c>
      <c r="G376" t="s">
        <v>37</v>
      </c>
      <c r="H376" t="s">
        <v>25</v>
      </c>
      <c r="I376" t="s">
        <v>136</v>
      </c>
      <c r="J376" t="s">
        <v>137</v>
      </c>
      <c r="K376" t="s">
        <v>28</v>
      </c>
      <c r="L376" t="s">
        <v>91</v>
      </c>
      <c r="M376" t="s">
        <v>1226</v>
      </c>
      <c r="N376" t="s">
        <v>59</v>
      </c>
      <c r="O376">
        <v>6</v>
      </c>
      <c r="P376">
        <v>2393.25</v>
      </c>
      <c r="Q376" s="11">
        <v>0</v>
      </c>
      <c r="R376">
        <v>14359.5</v>
      </c>
      <c r="S376">
        <v>8117.71</v>
      </c>
      <c r="T376">
        <v>6241.79</v>
      </c>
      <c r="U376" t="s">
        <v>32</v>
      </c>
      <c r="V376" t="s">
        <v>33</v>
      </c>
      <c r="X376" s="8" t="str">
        <f>IF(C376&gt;=B376,"Valid", "Invalid-Date")</f>
        <v>Valid</v>
      </c>
      <c r="Y376" s="8" t="str">
        <f t="shared" si="86"/>
        <v>Valid</v>
      </c>
      <c r="Z376" s="8" t="str">
        <f t="shared" si="87"/>
        <v>Pass</v>
      </c>
      <c r="AA376" s="8" t="str">
        <f t="shared" si="88"/>
        <v>Pass</v>
      </c>
      <c r="AB376" s="8" t="str">
        <f>TEXT(B376,"mmmm")</f>
        <v>February</v>
      </c>
      <c r="AC376" s="8" t="str">
        <f>TEXT(B376,"yyyy")</f>
        <v>2025</v>
      </c>
      <c r="AE376">
        <f t="shared" si="89"/>
        <v>14359.5</v>
      </c>
      <c r="AF376" s="11">
        <f t="shared" si="90"/>
        <v>14359.5</v>
      </c>
      <c r="AG376">
        <f t="shared" si="91"/>
        <v>6241.79</v>
      </c>
      <c r="AH376" s="11">
        <f t="shared" si="92"/>
        <v>0.43468017688638183</v>
      </c>
      <c r="AI376" s="9">
        <f t="shared" si="93"/>
        <v>0.43468017688638183</v>
      </c>
      <c r="AJ376">
        <f t="shared" si="94"/>
        <v>14359.5</v>
      </c>
      <c r="AK376">
        <f t="shared" si="95"/>
        <v>1</v>
      </c>
      <c r="AL376">
        <f t="shared" si="96"/>
        <v>0</v>
      </c>
      <c r="AM376">
        <f t="shared" si="97"/>
        <v>0</v>
      </c>
      <c r="AN376">
        <f t="shared" si="98"/>
        <v>0</v>
      </c>
      <c r="AO376">
        <f t="shared" si="99"/>
        <v>0</v>
      </c>
      <c r="AP376">
        <f t="shared" si="100"/>
        <v>0</v>
      </c>
      <c r="AQ376">
        <f t="shared" si="101"/>
        <v>0</v>
      </c>
    </row>
    <row r="377" spans="1:43">
      <c r="A377" t="s">
        <v>1227</v>
      </c>
      <c r="B377" s="5">
        <v>45657</v>
      </c>
      <c r="C377" s="5">
        <v>45748</v>
      </c>
      <c r="D377" s="13">
        <f t="shared" si="85"/>
        <v>91</v>
      </c>
      <c r="E377" t="s">
        <v>1228</v>
      </c>
      <c r="F377" t="s">
        <v>71</v>
      </c>
      <c r="G377" t="s">
        <v>24</v>
      </c>
      <c r="H377" t="s">
        <v>25</v>
      </c>
      <c r="I377" t="s">
        <v>350</v>
      </c>
      <c r="J377" t="s">
        <v>351</v>
      </c>
      <c r="K377" t="s">
        <v>41</v>
      </c>
      <c r="L377" t="s">
        <v>66</v>
      </c>
      <c r="M377" t="s">
        <v>1229</v>
      </c>
      <c r="N377" t="s">
        <v>44</v>
      </c>
      <c r="O377">
        <v>3</v>
      </c>
      <c r="P377">
        <v>1166.6099999999999</v>
      </c>
      <c r="Q377" s="11">
        <v>0.25</v>
      </c>
      <c r="R377">
        <v>2624.87</v>
      </c>
      <c r="S377">
        <v>2253.88</v>
      </c>
      <c r="T377">
        <v>370.99</v>
      </c>
      <c r="U377" t="s">
        <v>32</v>
      </c>
      <c r="V377" t="s">
        <v>33</v>
      </c>
      <c r="X377" s="8" t="str">
        <f>IF(C377&gt;=B377,"Valid", "Invalid-Date")</f>
        <v>Valid</v>
      </c>
      <c r="Y377" s="8" t="str">
        <f t="shared" si="86"/>
        <v>Valid</v>
      </c>
      <c r="Z377" s="8" t="str">
        <f t="shared" si="87"/>
        <v>Pass</v>
      </c>
      <c r="AA377" s="8" t="str">
        <f t="shared" si="88"/>
        <v>Pass</v>
      </c>
      <c r="AB377" s="8" t="str">
        <f>TEXT(B377,"mmmm")</f>
        <v>December</v>
      </c>
      <c r="AC377" s="8" t="str">
        <f>TEXT(B377,"yyyy")</f>
        <v>2024</v>
      </c>
      <c r="AE377">
        <f t="shared" si="89"/>
        <v>3499.83</v>
      </c>
      <c r="AF377" s="11">
        <f t="shared" si="90"/>
        <v>2624.8724999999999</v>
      </c>
      <c r="AG377">
        <f t="shared" si="91"/>
        <v>1245.9499999999998</v>
      </c>
      <c r="AH377" s="11">
        <f t="shared" si="92"/>
        <v>0.3560030058602846</v>
      </c>
      <c r="AI377" s="9">
        <f t="shared" si="93"/>
        <v>0.3560030058602846</v>
      </c>
      <c r="AJ377">
        <f t="shared" si="94"/>
        <v>2624.87</v>
      </c>
      <c r="AK377">
        <f t="shared" si="95"/>
        <v>1</v>
      </c>
      <c r="AL377">
        <f t="shared" si="96"/>
        <v>0</v>
      </c>
      <c r="AM377">
        <f t="shared" si="97"/>
        <v>0</v>
      </c>
      <c r="AN377">
        <f t="shared" si="98"/>
        <v>0</v>
      </c>
      <c r="AO377">
        <f t="shared" si="99"/>
        <v>0</v>
      </c>
      <c r="AP377">
        <f t="shared" si="100"/>
        <v>0</v>
      </c>
      <c r="AQ377">
        <f t="shared" si="101"/>
        <v>0</v>
      </c>
    </row>
    <row r="378" spans="1:43">
      <c r="A378" t="s">
        <v>1230</v>
      </c>
      <c r="B378" s="5">
        <v>45655</v>
      </c>
      <c r="C378" s="5">
        <v>45657</v>
      </c>
      <c r="D378" s="13">
        <f t="shared" si="85"/>
        <v>2</v>
      </c>
      <c r="E378" t="s">
        <v>1231</v>
      </c>
      <c r="F378" t="s">
        <v>47</v>
      </c>
      <c r="G378" t="s">
        <v>37</v>
      </c>
      <c r="H378" t="s">
        <v>38</v>
      </c>
      <c r="I378" t="s">
        <v>145</v>
      </c>
      <c r="J378" t="s">
        <v>146</v>
      </c>
      <c r="K378" t="s">
        <v>41</v>
      </c>
      <c r="L378" t="s">
        <v>66</v>
      </c>
      <c r="M378" t="s">
        <v>1232</v>
      </c>
      <c r="N378" t="s">
        <v>50</v>
      </c>
      <c r="O378">
        <v>6</v>
      </c>
      <c r="P378">
        <v>1844.78</v>
      </c>
      <c r="Q378" s="11">
        <v>0.2</v>
      </c>
      <c r="R378">
        <v>8854.94</v>
      </c>
      <c r="S378">
        <v>7433.95</v>
      </c>
      <c r="T378">
        <v>1420.99</v>
      </c>
      <c r="U378" t="s">
        <v>32</v>
      </c>
      <c r="V378" t="s">
        <v>33</v>
      </c>
      <c r="X378" s="8" t="str">
        <f>IF(C378&gt;=B378,"Valid", "Invalid-Date")</f>
        <v>Valid</v>
      </c>
      <c r="Y378" s="8" t="str">
        <f t="shared" si="86"/>
        <v>Valid</v>
      </c>
      <c r="Z378" s="8" t="str">
        <f t="shared" si="87"/>
        <v>Pass</v>
      </c>
      <c r="AA378" s="8" t="str">
        <f t="shared" si="88"/>
        <v>Pass</v>
      </c>
      <c r="AB378" s="8" t="str">
        <f>TEXT(B378,"mmmm")</f>
        <v>December</v>
      </c>
      <c r="AC378" s="8" t="str">
        <f>TEXT(B378,"yyyy")</f>
        <v>2024</v>
      </c>
      <c r="AE378">
        <f t="shared" si="89"/>
        <v>11068.68</v>
      </c>
      <c r="AF378" s="11">
        <f t="shared" si="90"/>
        <v>8854.9440000000013</v>
      </c>
      <c r="AG378">
        <f t="shared" si="91"/>
        <v>3634.7300000000005</v>
      </c>
      <c r="AH378" s="11">
        <f t="shared" si="92"/>
        <v>0.32837971646122216</v>
      </c>
      <c r="AI378" s="9">
        <f t="shared" si="93"/>
        <v>0.32837971646122216</v>
      </c>
      <c r="AJ378">
        <f t="shared" si="94"/>
        <v>8854.94</v>
      </c>
      <c r="AK378">
        <f t="shared" si="95"/>
        <v>1</v>
      </c>
      <c r="AL378">
        <f t="shared" si="96"/>
        <v>0</v>
      </c>
      <c r="AM378">
        <f t="shared" si="97"/>
        <v>0</v>
      </c>
      <c r="AN378">
        <f t="shared" si="98"/>
        <v>0</v>
      </c>
      <c r="AO378">
        <f t="shared" si="99"/>
        <v>0</v>
      </c>
      <c r="AP378">
        <f t="shared" si="100"/>
        <v>0</v>
      </c>
      <c r="AQ378">
        <f t="shared" si="101"/>
        <v>0</v>
      </c>
    </row>
    <row r="379" spans="1:43" s="15" customFormat="1">
      <c r="A379" s="15" t="s">
        <v>1233</v>
      </c>
      <c r="B379" s="16">
        <v>45801</v>
      </c>
      <c r="C379" s="16">
        <v>45807</v>
      </c>
      <c r="D379" s="17">
        <f t="shared" si="85"/>
        <v>6</v>
      </c>
      <c r="E379" s="15" t="s">
        <v>1234</v>
      </c>
      <c r="F379" s="15" t="s">
        <v>264</v>
      </c>
      <c r="G379" s="15" t="s">
        <v>37</v>
      </c>
      <c r="H379" s="15" t="s">
        <v>38</v>
      </c>
      <c r="I379" s="15" t="s">
        <v>39</v>
      </c>
      <c r="J379" s="15" t="s">
        <v>40</v>
      </c>
      <c r="K379" s="15" t="s">
        <v>28</v>
      </c>
      <c r="L379" s="15" t="s">
        <v>124</v>
      </c>
      <c r="M379" s="15" t="s">
        <v>1235</v>
      </c>
      <c r="N379" s="15" t="s">
        <v>44</v>
      </c>
      <c r="O379" s="15">
        <v>1</v>
      </c>
      <c r="P379" s="15">
        <v>2564.7399999999998</v>
      </c>
      <c r="Q379" s="18">
        <v>0</v>
      </c>
      <c r="R379" s="15">
        <v>2564.7399999999998</v>
      </c>
      <c r="S379" s="15">
        <v>1754.58</v>
      </c>
      <c r="T379" s="15">
        <v>810.16</v>
      </c>
      <c r="U379" s="15" t="s">
        <v>32</v>
      </c>
      <c r="V379" s="15" t="s">
        <v>33</v>
      </c>
      <c r="W379" s="25"/>
      <c r="X379" s="8" t="str">
        <f>IF(C379&gt;=B379,"Valid", "Invalid-Date")</f>
        <v>Valid</v>
      </c>
      <c r="Y379" s="8" t="str">
        <f t="shared" si="86"/>
        <v>Valid</v>
      </c>
      <c r="Z379" s="19" t="str">
        <f t="shared" si="87"/>
        <v>Pass</v>
      </c>
      <c r="AA379" s="19" t="str">
        <f t="shared" si="88"/>
        <v>Pass</v>
      </c>
      <c r="AB379" s="19" t="str">
        <f>TEXT(B379,"mmmm")</f>
        <v>May</v>
      </c>
      <c r="AC379" s="19" t="str">
        <f>TEXT(B379,"yyyy")</f>
        <v>2025</v>
      </c>
      <c r="AD379" s="20"/>
      <c r="AE379" s="15">
        <f t="shared" si="89"/>
        <v>2564.7399999999998</v>
      </c>
      <c r="AF379" s="11">
        <f t="shared" si="90"/>
        <v>2564.7399999999998</v>
      </c>
      <c r="AG379" s="15">
        <f t="shared" si="91"/>
        <v>810.15999999999985</v>
      </c>
      <c r="AH379" s="18">
        <f t="shared" si="92"/>
        <v>0.31588387126960232</v>
      </c>
      <c r="AI379" s="21">
        <f t="shared" si="93"/>
        <v>0.31588387126960232</v>
      </c>
      <c r="AJ379">
        <f t="shared" si="94"/>
        <v>2564.7399999999998</v>
      </c>
      <c r="AK379">
        <f t="shared" si="95"/>
        <v>1</v>
      </c>
      <c r="AL379">
        <f t="shared" si="96"/>
        <v>0</v>
      </c>
      <c r="AM379">
        <f t="shared" si="97"/>
        <v>0</v>
      </c>
      <c r="AN379">
        <f t="shared" si="98"/>
        <v>0</v>
      </c>
      <c r="AO379">
        <f t="shared" si="99"/>
        <v>0</v>
      </c>
      <c r="AP379">
        <f t="shared" si="100"/>
        <v>0</v>
      </c>
      <c r="AQ379">
        <f t="shared" si="101"/>
        <v>0</v>
      </c>
    </row>
    <row r="380" spans="1:43">
      <c r="A380" t="s">
        <v>1236</v>
      </c>
      <c r="B380" s="5">
        <v>45799</v>
      </c>
      <c r="C380" s="5">
        <v>45799</v>
      </c>
      <c r="D380" s="13">
        <f t="shared" si="85"/>
        <v>0</v>
      </c>
      <c r="E380" t="s">
        <v>1237</v>
      </c>
      <c r="F380" t="s">
        <v>36</v>
      </c>
      <c r="G380" t="s">
        <v>24</v>
      </c>
      <c r="H380" t="s">
        <v>63</v>
      </c>
      <c r="I380" t="s">
        <v>190</v>
      </c>
      <c r="J380" t="s">
        <v>191</v>
      </c>
      <c r="K380" t="s">
        <v>74</v>
      </c>
      <c r="L380" t="s">
        <v>75</v>
      </c>
      <c r="M380" t="s">
        <v>1238</v>
      </c>
      <c r="N380" t="s">
        <v>59</v>
      </c>
      <c r="O380">
        <v>2</v>
      </c>
      <c r="P380">
        <v>3910.61</v>
      </c>
      <c r="Q380" s="11">
        <v>0</v>
      </c>
      <c r="R380">
        <v>7821.22</v>
      </c>
      <c r="S380">
        <v>4994.46</v>
      </c>
      <c r="T380">
        <v>2826.76</v>
      </c>
      <c r="U380" t="s">
        <v>32</v>
      </c>
      <c r="V380" t="s">
        <v>33</v>
      </c>
      <c r="X380" s="8" t="str">
        <f>IF(C380&gt;=B380,"Valid", "Invalid-Date")</f>
        <v>Valid</v>
      </c>
      <c r="Y380" s="8" t="str">
        <f t="shared" si="86"/>
        <v>Valid</v>
      </c>
      <c r="Z380" s="8" t="str">
        <f t="shared" si="87"/>
        <v>Pass</v>
      </c>
      <c r="AA380" s="8" t="str">
        <f t="shared" si="88"/>
        <v>Pass</v>
      </c>
      <c r="AB380" s="8" t="str">
        <f>TEXT(B380,"mmmm")</f>
        <v>May</v>
      </c>
      <c r="AC380" s="8" t="str">
        <f>TEXT(B380,"yyyy")</f>
        <v>2025</v>
      </c>
      <c r="AE380">
        <f t="shared" si="89"/>
        <v>7821.22</v>
      </c>
      <c r="AF380" s="11">
        <f t="shared" si="90"/>
        <v>7821.22</v>
      </c>
      <c r="AG380">
        <f t="shared" si="91"/>
        <v>2826.76</v>
      </c>
      <c r="AH380" s="11">
        <f t="shared" si="92"/>
        <v>0.36142187535959863</v>
      </c>
      <c r="AI380" s="9">
        <f t="shared" si="93"/>
        <v>0.36142187535959863</v>
      </c>
      <c r="AJ380">
        <f t="shared" si="94"/>
        <v>7821.22</v>
      </c>
      <c r="AK380">
        <f t="shared" si="95"/>
        <v>1</v>
      </c>
      <c r="AL380">
        <f t="shared" si="96"/>
        <v>0</v>
      </c>
      <c r="AM380">
        <f t="shared" si="97"/>
        <v>0</v>
      </c>
      <c r="AN380">
        <f t="shared" si="98"/>
        <v>0</v>
      </c>
      <c r="AO380">
        <f t="shared" si="99"/>
        <v>0</v>
      </c>
      <c r="AP380">
        <f t="shared" si="100"/>
        <v>0</v>
      </c>
      <c r="AQ380">
        <f t="shared" si="101"/>
        <v>0</v>
      </c>
    </row>
    <row r="381" spans="1:43">
      <c r="A381" t="s">
        <v>1239</v>
      </c>
      <c r="B381" s="5">
        <v>45554</v>
      </c>
      <c r="C381" s="5">
        <v>45558</v>
      </c>
      <c r="D381" s="13">
        <f t="shared" si="85"/>
        <v>4</v>
      </c>
      <c r="E381" t="s">
        <v>1240</v>
      </c>
      <c r="F381" t="s">
        <v>36</v>
      </c>
      <c r="G381" t="s">
        <v>37</v>
      </c>
      <c r="H381" t="s">
        <v>54</v>
      </c>
      <c r="I381" t="s">
        <v>185</v>
      </c>
      <c r="J381" t="s">
        <v>186</v>
      </c>
      <c r="K381" t="s">
        <v>28</v>
      </c>
      <c r="L381" t="s">
        <v>29</v>
      </c>
      <c r="M381" t="s">
        <v>1241</v>
      </c>
      <c r="N381" t="s">
        <v>59</v>
      </c>
      <c r="O381">
        <v>7</v>
      </c>
      <c r="P381">
        <v>1136.68</v>
      </c>
      <c r="Q381" s="11">
        <v>0</v>
      </c>
      <c r="R381">
        <v>7956.76</v>
      </c>
      <c r="S381">
        <v>4799.54</v>
      </c>
      <c r="T381">
        <v>3157.22</v>
      </c>
      <c r="U381" t="s">
        <v>32</v>
      </c>
      <c r="V381" t="s">
        <v>33</v>
      </c>
      <c r="X381" s="8" t="str">
        <f>IF(C381&gt;=B381,"Valid", "Invalid-Date")</f>
        <v>Valid</v>
      </c>
      <c r="Y381" s="8" t="str">
        <f t="shared" si="86"/>
        <v>Valid</v>
      </c>
      <c r="Z381" s="8" t="str">
        <f t="shared" si="87"/>
        <v>Pass</v>
      </c>
      <c r="AA381" s="8" t="str">
        <f t="shared" si="88"/>
        <v>Pass</v>
      </c>
      <c r="AB381" s="8" t="str">
        <f>TEXT(B381,"mmmm")</f>
        <v>September</v>
      </c>
      <c r="AC381" s="8" t="str">
        <f>TEXT(B381,"yyyy")</f>
        <v>2024</v>
      </c>
      <c r="AE381">
        <f t="shared" si="89"/>
        <v>7956.76</v>
      </c>
      <c r="AF381" s="11">
        <f t="shared" si="90"/>
        <v>7956.76</v>
      </c>
      <c r="AG381">
        <f t="shared" si="91"/>
        <v>3157.2200000000003</v>
      </c>
      <c r="AH381" s="11">
        <f t="shared" si="92"/>
        <v>0.39679718880549369</v>
      </c>
      <c r="AI381" s="9">
        <f t="shared" si="93"/>
        <v>0.39679718880549369</v>
      </c>
      <c r="AJ381">
        <f t="shared" si="94"/>
        <v>7956.76</v>
      </c>
      <c r="AK381">
        <f t="shared" si="95"/>
        <v>1</v>
      </c>
      <c r="AL381">
        <f t="shared" si="96"/>
        <v>0</v>
      </c>
      <c r="AM381">
        <f t="shared" si="97"/>
        <v>0</v>
      </c>
      <c r="AN381">
        <f t="shared" si="98"/>
        <v>0</v>
      </c>
      <c r="AO381">
        <f t="shared" si="99"/>
        <v>0</v>
      </c>
      <c r="AP381">
        <f t="shared" si="100"/>
        <v>0</v>
      </c>
      <c r="AQ381">
        <f t="shared" si="101"/>
        <v>0</v>
      </c>
    </row>
    <row r="382" spans="1:43">
      <c r="A382" t="s">
        <v>1242</v>
      </c>
      <c r="B382" s="5">
        <v>45389</v>
      </c>
      <c r="C382" s="5">
        <v>45396</v>
      </c>
      <c r="D382" s="13">
        <f t="shared" si="85"/>
        <v>7</v>
      </c>
      <c r="E382" t="s">
        <v>1243</v>
      </c>
      <c r="F382" t="s">
        <v>71</v>
      </c>
      <c r="G382" t="s">
        <v>24</v>
      </c>
      <c r="H382" t="s">
        <v>63</v>
      </c>
      <c r="I382" t="s">
        <v>64</v>
      </c>
      <c r="J382" t="s">
        <v>65</v>
      </c>
      <c r="K382" t="s">
        <v>41</v>
      </c>
      <c r="L382" t="s">
        <v>158</v>
      </c>
      <c r="M382" t="s">
        <v>1244</v>
      </c>
      <c r="N382" t="s">
        <v>44</v>
      </c>
      <c r="O382">
        <v>5</v>
      </c>
      <c r="P382">
        <v>2235.85</v>
      </c>
      <c r="Q382" s="11">
        <v>0.25</v>
      </c>
      <c r="R382">
        <v>8384.44</v>
      </c>
      <c r="S382">
        <v>4765.96</v>
      </c>
      <c r="T382">
        <v>3618.48</v>
      </c>
      <c r="U382" t="s">
        <v>32</v>
      </c>
      <c r="V382" t="s">
        <v>103</v>
      </c>
      <c r="X382" s="8" t="str">
        <f>IF(C382&gt;=B382,"Valid", "Invalid-Date")</f>
        <v>Valid</v>
      </c>
      <c r="Y382" s="8" t="str">
        <f t="shared" si="86"/>
        <v>Valid</v>
      </c>
      <c r="Z382" s="8" t="str">
        <f t="shared" si="87"/>
        <v>Pass</v>
      </c>
      <c r="AA382" s="8" t="str">
        <f t="shared" si="88"/>
        <v>Pass</v>
      </c>
      <c r="AB382" s="8" t="str">
        <f>TEXT(B382,"mmmm")</f>
        <v>April</v>
      </c>
      <c r="AC382" s="8" t="str">
        <f>TEXT(B382,"yyyy")</f>
        <v>2024</v>
      </c>
      <c r="AE382">
        <f t="shared" si="89"/>
        <v>11179.25</v>
      </c>
      <c r="AF382" s="11">
        <f t="shared" si="90"/>
        <v>8384.4375</v>
      </c>
      <c r="AG382">
        <f t="shared" si="91"/>
        <v>6413.29</v>
      </c>
      <c r="AH382" s="11">
        <f t="shared" si="92"/>
        <v>0.57367801954513942</v>
      </c>
      <c r="AI382" s="9">
        <f t="shared" si="93"/>
        <v>0.57367801954513942</v>
      </c>
      <c r="AJ382">
        <f t="shared" si="94"/>
        <v>0</v>
      </c>
      <c r="AK382">
        <f t="shared" si="95"/>
        <v>0</v>
      </c>
      <c r="AL382">
        <f t="shared" si="96"/>
        <v>0</v>
      </c>
      <c r="AM382">
        <f t="shared" si="97"/>
        <v>0</v>
      </c>
      <c r="AN382">
        <f t="shared" si="98"/>
        <v>0</v>
      </c>
      <c r="AO382">
        <f t="shared" si="99"/>
        <v>0</v>
      </c>
      <c r="AP382">
        <f t="shared" si="100"/>
        <v>8384.44</v>
      </c>
      <c r="AQ382">
        <f t="shared" si="101"/>
        <v>1</v>
      </c>
    </row>
    <row r="383" spans="1:43">
      <c r="A383" t="s">
        <v>1245</v>
      </c>
      <c r="B383" s="5">
        <v>45919</v>
      </c>
      <c r="C383" s="5">
        <v>45923</v>
      </c>
      <c r="D383" s="13">
        <f t="shared" si="85"/>
        <v>4</v>
      </c>
      <c r="E383" t="s">
        <v>1246</v>
      </c>
      <c r="F383" t="s">
        <v>53</v>
      </c>
      <c r="G383" t="s">
        <v>95</v>
      </c>
      <c r="H383" t="s">
        <v>25</v>
      </c>
      <c r="I383" t="s">
        <v>350</v>
      </c>
      <c r="J383" t="s">
        <v>351</v>
      </c>
      <c r="K383" t="s">
        <v>28</v>
      </c>
      <c r="L383" t="s">
        <v>153</v>
      </c>
      <c r="M383" t="s">
        <v>1247</v>
      </c>
      <c r="N383" t="s">
        <v>59</v>
      </c>
      <c r="O383">
        <v>4</v>
      </c>
      <c r="P383">
        <v>4387.1499999999996</v>
      </c>
      <c r="Q383" s="11">
        <v>0.05</v>
      </c>
      <c r="R383">
        <v>16671.169999999998</v>
      </c>
      <c r="S383">
        <v>10833.19</v>
      </c>
      <c r="T383">
        <v>5837.98</v>
      </c>
      <c r="U383" t="s">
        <v>155</v>
      </c>
      <c r="V383" t="s">
        <v>68</v>
      </c>
      <c r="X383" s="8" t="str">
        <f>IF(C383&gt;=B383,"Valid", "Invalid-Date")</f>
        <v>Valid</v>
      </c>
      <c r="Y383" s="8" t="str">
        <f t="shared" si="86"/>
        <v>Valid</v>
      </c>
      <c r="Z383" s="8" t="str">
        <f t="shared" si="87"/>
        <v>Pass</v>
      </c>
      <c r="AA383" s="8" t="str">
        <f t="shared" si="88"/>
        <v>Pass</v>
      </c>
      <c r="AB383" s="8" t="str">
        <f>TEXT(B383,"mmmm")</f>
        <v>September</v>
      </c>
      <c r="AC383" s="8" t="str">
        <f>TEXT(B383,"yyyy")</f>
        <v>2025</v>
      </c>
      <c r="AE383">
        <f t="shared" si="89"/>
        <v>17548.599999999999</v>
      </c>
      <c r="AF383" s="11">
        <f t="shared" si="90"/>
        <v>16671.169999999998</v>
      </c>
      <c r="AG383">
        <f t="shared" si="91"/>
        <v>6715.409999999998</v>
      </c>
      <c r="AH383" s="11">
        <f t="shared" si="92"/>
        <v>0.38267497122277555</v>
      </c>
      <c r="AI383" s="9">
        <f t="shared" si="93"/>
        <v>0.38267497122277555</v>
      </c>
      <c r="AJ383">
        <f t="shared" si="94"/>
        <v>0</v>
      </c>
      <c r="AK383">
        <f t="shared" si="95"/>
        <v>0</v>
      </c>
      <c r="AL383">
        <f t="shared" si="96"/>
        <v>16671.169999999998</v>
      </c>
      <c r="AM383">
        <f t="shared" si="97"/>
        <v>1</v>
      </c>
      <c r="AN383">
        <f t="shared" si="98"/>
        <v>16671.169999999998</v>
      </c>
      <c r="AO383">
        <f t="shared" si="99"/>
        <v>1</v>
      </c>
      <c r="AP383">
        <f t="shared" si="100"/>
        <v>0</v>
      </c>
      <c r="AQ383">
        <f t="shared" si="101"/>
        <v>0</v>
      </c>
    </row>
    <row r="384" spans="1:43">
      <c r="A384" t="s">
        <v>1248</v>
      </c>
      <c r="B384" s="5">
        <v>45720</v>
      </c>
      <c r="C384" s="5">
        <v>45872</v>
      </c>
      <c r="D384" s="13">
        <f t="shared" si="85"/>
        <v>152</v>
      </c>
      <c r="E384" t="s">
        <v>157</v>
      </c>
      <c r="F384" t="s">
        <v>53</v>
      </c>
      <c r="G384" t="s">
        <v>37</v>
      </c>
      <c r="H384" t="s">
        <v>38</v>
      </c>
      <c r="I384" t="s">
        <v>145</v>
      </c>
      <c r="J384" t="s">
        <v>146</v>
      </c>
      <c r="K384" t="s">
        <v>74</v>
      </c>
      <c r="L384" t="s">
        <v>171</v>
      </c>
      <c r="M384" t="s">
        <v>1249</v>
      </c>
      <c r="N384" t="s">
        <v>50</v>
      </c>
      <c r="O384">
        <v>3</v>
      </c>
      <c r="P384">
        <v>4361.8500000000004</v>
      </c>
      <c r="Q384" s="11">
        <v>0.2</v>
      </c>
      <c r="R384">
        <v>10468.44</v>
      </c>
      <c r="S384">
        <v>8399.8700000000008</v>
      </c>
      <c r="T384">
        <v>2068.5700000000002</v>
      </c>
      <c r="U384" t="s">
        <v>32</v>
      </c>
      <c r="V384" t="s">
        <v>33</v>
      </c>
      <c r="X384" s="8" t="str">
        <f>IF(C384&gt;=B384,"Valid", "Invalid-Date")</f>
        <v>Valid</v>
      </c>
      <c r="Y384" s="8" t="str">
        <f t="shared" si="86"/>
        <v>Valid</v>
      </c>
      <c r="Z384" s="8" t="str">
        <f t="shared" si="87"/>
        <v>Pass</v>
      </c>
      <c r="AA384" s="8" t="str">
        <f t="shared" si="88"/>
        <v>Pass</v>
      </c>
      <c r="AB384" s="8" t="str">
        <f>TEXT(B384,"mmmm")</f>
        <v>March</v>
      </c>
      <c r="AC384" s="8" t="str">
        <f>TEXT(B384,"yyyy")</f>
        <v>2025</v>
      </c>
      <c r="AE384">
        <f t="shared" si="89"/>
        <v>13085.550000000001</v>
      </c>
      <c r="AF384" s="11">
        <f t="shared" si="90"/>
        <v>10468.440000000002</v>
      </c>
      <c r="AG384">
        <f t="shared" si="91"/>
        <v>4685.68</v>
      </c>
      <c r="AH384" s="11">
        <f t="shared" si="92"/>
        <v>0.35808047808460475</v>
      </c>
      <c r="AI384" s="9">
        <f t="shared" si="93"/>
        <v>0.35808047808460475</v>
      </c>
      <c r="AJ384">
        <f t="shared" si="94"/>
        <v>10468.44</v>
      </c>
      <c r="AK384">
        <f t="shared" si="95"/>
        <v>1</v>
      </c>
      <c r="AL384">
        <f t="shared" si="96"/>
        <v>0</v>
      </c>
      <c r="AM384">
        <f t="shared" si="97"/>
        <v>0</v>
      </c>
      <c r="AN384">
        <f t="shared" si="98"/>
        <v>0</v>
      </c>
      <c r="AO384">
        <f t="shared" si="99"/>
        <v>0</v>
      </c>
      <c r="AP384">
        <f t="shared" si="100"/>
        <v>0</v>
      </c>
      <c r="AQ384">
        <f t="shared" si="101"/>
        <v>0</v>
      </c>
    </row>
    <row r="385" spans="1:43">
      <c r="A385" t="s">
        <v>1250</v>
      </c>
      <c r="B385" s="5">
        <v>45836</v>
      </c>
      <c r="C385" s="5">
        <v>45784</v>
      </c>
      <c r="D385" s="13">
        <f t="shared" si="85"/>
        <v>-52</v>
      </c>
      <c r="E385" t="s">
        <v>1251</v>
      </c>
      <c r="F385" t="s">
        <v>71</v>
      </c>
      <c r="G385" t="s">
        <v>90</v>
      </c>
      <c r="H385" t="s">
        <v>38</v>
      </c>
      <c r="I385" t="s">
        <v>99</v>
      </c>
      <c r="J385" t="s">
        <v>100</v>
      </c>
      <c r="K385" t="s">
        <v>28</v>
      </c>
      <c r="L385" t="s">
        <v>48</v>
      </c>
      <c r="M385" t="s">
        <v>1252</v>
      </c>
      <c r="N385" t="s">
        <v>50</v>
      </c>
      <c r="O385">
        <v>2</v>
      </c>
      <c r="P385">
        <v>2242.75</v>
      </c>
      <c r="Q385" s="11">
        <v>0</v>
      </c>
      <c r="R385">
        <v>4485.5</v>
      </c>
      <c r="S385">
        <v>3131.86</v>
      </c>
      <c r="T385">
        <v>1353.64</v>
      </c>
      <c r="U385" t="s">
        <v>32</v>
      </c>
      <c r="V385" t="s">
        <v>68</v>
      </c>
      <c r="X385" s="8" t="str">
        <f>IF(C385&gt;=B385,"Valid", "Invalid-Date")</f>
        <v>Invalid-Date</v>
      </c>
      <c r="Y385" s="8" t="str">
        <f t="shared" si="86"/>
        <v>Valid</v>
      </c>
      <c r="Z385" s="8" t="str">
        <f t="shared" si="87"/>
        <v>Pass</v>
      </c>
      <c r="AA385" s="8" t="str">
        <f t="shared" si="88"/>
        <v>Pass</v>
      </c>
      <c r="AB385" s="8" t="str">
        <f>TEXT(B385,"mmmm")</f>
        <v>June</v>
      </c>
      <c r="AC385" s="8" t="str">
        <f>TEXT(B385,"yyyy")</f>
        <v>2025</v>
      </c>
      <c r="AE385">
        <f t="shared" si="89"/>
        <v>4485.5</v>
      </c>
      <c r="AF385" s="11">
        <f t="shared" si="90"/>
        <v>4485.5</v>
      </c>
      <c r="AG385">
        <f t="shared" si="91"/>
        <v>1353.6399999999999</v>
      </c>
      <c r="AH385" s="11">
        <f t="shared" si="92"/>
        <v>0.30178129528480657</v>
      </c>
      <c r="AI385" s="9">
        <f t="shared" si="93"/>
        <v>0.30178129528480657</v>
      </c>
      <c r="AJ385">
        <f t="shared" si="94"/>
        <v>0</v>
      </c>
      <c r="AK385">
        <f t="shared" si="95"/>
        <v>0</v>
      </c>
      <c r="AL385">
        <f t="shared" si="96"/>
        <v>4485.5</v>
      </c>
      <c r="AM385">
        <f t="shared" si="97"/>
        <v>1</v>
      </c>
      <c r="AN385">
        <f t="shared" si="98"/>
        <v>0</v>
      </c>
      <c r="AO385">
        <f t="shared" si="99"/>
        <v>0</v>
      </c>
      <c r="AP385">
        <f t="shared" si="100"/>
        <v>0</v>
      </c>
      <c r="AQ385">
        <f t="shared" si="101"/>
        <v>0</v>
      </c>
    </row>
    <row r="386" spans="1:43">
      <c r="A386" t="s">
        <v>1253</v>
      </c>
      <c r="B386" s="5">
        <v>45366</v>
      </c>
      <c r="C386" s="5">
        <v>45371</v>
      </c>
      <c r="D386" s="13">
        <f t="shared" si="85"/>
        <v>5</v>
      </c>
      <c r="E386" t="s">
        <v>1254</v>
      </c>
      <c r="F386" t="s">
        <v>141</v>
      </c>
      <c r="G386" t="s">
        <v>24</v>
      </c>
      <c r="H386" t="s">
        <v>38</v>
      </c>
      <c r="I386" t="s">
        <v>228</v>
      </c>
      <c r="J386" t="s">
        <v>229</v>
      </c>
      <c r="K386" t="s">
        <v>74</v>
      </c>
      <c r="L386" t="s">
        <v>80</v>
      </c>
      <c r="M386" t="s">
        <v>1255</v>
      </c>
      <c r="N386" t="s">
        <v>59</v>
      </c>
      <c r="O386">
        <v>2</v>
      </c>
      <c r="P386">
        <v>1881.4</v>
      </c>
      <c r="Q386" s="11">
        <v>0.25</v>
      </c>
      <c r="R386">
        <v>2822.1</v>
      </c>
      <c r="S386">
        <v>1624.57</v>
      </c>
      <c r="T386">
        <v>1197.53</v>
      </c>
      <c r="U386" t="s">
        <v>32</v>
      </c>
      <c r="V386" t="s">
        <v>103</v>
      </c>
      <c r="X386" s="8" t="str">
        <f>IF(C386&gt;=B386,"Valid", "Invalid-Date")</f>
        <v>Valid</v>
      </c>
      <c r="Y386" s="8" t="str">
        <f t="shared" si="86"/>
        <v>Valid</v>
      </c>
      <c r="Z386" s="8" t="str">
        <f t="shared" si="87"/>
        <v>Pass</v>
      </c>
      <c r="AA386" s="8" t="str">
        <f t="shared" si="88"/>
        <v>Pass</v>
      </c>
      <c r="AB386" s="8" t="str">
        <f>TEXT(B386,"mmmm")</f>
        <v>March</v>
      </c>
      <c r="AC386" s="8" t="str">
        <f>TEXT(B386,"yyyy")</f>
        <v>2024</v>
      </c>
      <c r="AE386">
        <f t="shared" si="89"/>
        <v>3762.8</v>
      </c>
      <c r="AF386" s="11">
        <f t="shared" si="90"/>
        <v>2822.1000000000004</v>
      </c>
      <c r="AG386">
        <f t="shared" si="91"/>
        <v>2138.2300000000005</v>
      </c>
      <c r="AH386" s="11">
        <f t="shared" si="92"/>
        <v>0.56825502285532059</v>
      </c>
      <c r="AI386" s="9">
        <f t="shared" si="93"/>
        <v>0.56825502285532059</v>
      </c>
      <c r="AJ386">
        <f t="shared" si="94"/>
        <v>0</v>
      </c>
      <c r="AK386">
        <f t="shared" si="95"/>
        <v>0</v>
      </c>
      <c r="AL386">
        <f t="shared" si="96"/>
        <v>0</v>
      </c>
      <c r="AM386">
        <f t="shared" si="97"/>
        <v>0</v>
      </c>
      <c r="AN386">
        <f t="shared" si="98"/>
        <v>0</v>
      </c>
      <c r="AO386">
        <f t="shared" si="99"/>
        <v>0</v>
      </c>
      <c r="AP386">
        <f t="shared" si="100"/>
        <v>2822.1</v>
      </c>
      <c r="AQ386">
        <f t="shared" si="101"/>
        <v>1</v>
      </c>
    </row>
    <row r="387" spans="1:43">
      <c r="A387" t="s">
        <v>1256</v>
      </c>
      <c r="B387" s="5">
        <v>45832</v>
      </c>
      <c r="C387" s="5">
        <v>45838</v>
      </c>
      <c r="D387" s="13">
        <f t="shared" ref="D387:D450" si="102">C387-B387</f>
        <v>6</v>
      </c>
      <c r="E387" t="s">
        <v>1257</v>
      </c>
      <c r="F387" t="s">
        <v>53</v>
      </c>
      <c r="G387" t="s">
        <v>24</v>
      </c>
      <c r="H387" t="s">
        <v>25</v>
      </c>
      <c r="I387" t="s">
        <v>236</v>
      </c>
      <c r="J387" t="s">
        <v>237</v>
      </c>
      <c r="K387" t="s">
        <v>28</v>
      </c>
      <c r="L387" t="s">
        <v>91</v>
      </c>
      <c r="M387" t="s">
        <v>1258</v>
      </c>
      <c r="N387" t="s">
        <v>59</v>
      </c>
      <c r="O387">
        <v>6</v>
      </c>
      <c r="P387">
        <v>365.76</v>
      </c>
      <c r="Q387" s="11">
        <v>0.1</v>
      </c>
      <c r="R387">
        <v>1975.1</v>
      </c>
      <c r="S387">
        <v>1115.3499999999999</v>
      </c>
      <c r="T387">
        <v>859.75</v>
      </c>
      <c r="U387" t="s">
        <v>32</v>
      </c>
      <c r="V387" t="s">
        <v>33</v>
      </c>
      <c r="X387" s="8" t="str">
        <f>IF(C387&gt;=B387,"Valid", "Invalid-Date")</f>
        <v>Valid</v>
      </c>
      <c r="Y387" s="8" t="str">
        <f t="shared" ref="Y387:Y450" si="103">IF(OR(Q387&lt;0, Q387&gt;0.5), "Invalid-Discount", "Valid")</f>
        <v>Valid</v>
      </c>
      <c r="Z387" s="8" t="str">
        <f t="shared" ref="Z387:Z450" si="104">IF(N387="Unknown","Flagged","Pass")</f>
        <v>Pass</v>
      </c>
      <c r="AA387" s="8" t="str">
        <f t="shared" ref="AA387:AA450" si="105">IF(H387="Unknown","Flagged","Pass")</f>
        <v>Pass</v>
      </c>
      <c r="AB387" s="8" t="str">
        <f>TEXT(B387,"mmmm")</f>
        <v>June</v>
      </c>
      <c r="AC387" s="8" t="str">
        <f>TEXT(B387,"yyyy")</f>
        <v>2025</v>
      </c>
      <c r="AE387">
        <f t="shared" ref="AE387:AE450" si="106">O387*P387</f>
        <v>2194.56</v>
      </c>
      <c r="AF387" s="11">
        <f t="shared" ref="AF387:AF450" si="107">AE387*(1-Q387)</f>
        <v>1975.104</v>
      </c>
      <c r="AG387">
        <f t="shared" ref="AG387:AG450" si="108">AE387-S387</f>
        <v>1079.21</v>
      </c>
      <c r="AH387" s="11">
        <f t="shared" ref="AH387:AH450" si="109">AG387/AE387</f>
        <v>0.49176600320793235</v>
      </c>
      <c r="AI387" s="9">
        <f t="shared" ref="AI387:AI450" si="110">AG387/AE387</f>
        <v>0.49176600320793235</v>
      </c>
      <c r="AJ387">
        <f t="shared" ref="AJ387:AJ450" si="111">SUMIFS(R387, V387, "Completed", U387, "Paid")</f>
        <v>1975.1</v>
      </c>
      <c r="AK387">
        <f t="shared" ref="AK387:AK450" si="112">COUNTIFS(V387, "Completed", U387, "Paid")</f>
        <v>1</v>
      </c>
      <c r="AL387">
        <f t="shared" ref="AL387:AL450" si="113">SUMIFS(R387, V387, "Cancelled")</f>
        <v>0</v>
      </c>
      <c r="AM387">
        <f t="shared" ref="AM387:AM450" si="114">COUNTIFS(V387, "Cancelled")</f>
        <v>0</v>
      </c>
      <c r="AN387">
        <f t="shared" ref="AN387:AN450" si="115">SUMIFS(R387, U387, "Failed")</f>
        <v>0</v>
      </c>
      <c r="AO387">
        <f t="shared" ref="AO387:AO450" si="116">COUNTIFS(U387, "Failed")</f>
        <v>0</v>
      </c>
      <c r="AP387">
        <f t="shared" ref="AP387:AP450" si="117">SUMIFS(R387, V387, "Returned")</f>
        <v>0</v>
      </c>
      <c r="AQ387">
        <f t="shared" ref="AQ387:AQ450" si="118">COUNTIFS(V387, "Returned")</f>
        <v>0</v>
      </c>
    </row>
    <row r="388" spans="1:43">
      <c r="A388" t="s">
        <v>1259</v>
      </c>
      <c r="B388" s="5">
        <v>45993</v>
      </c>
      <c r="C388" s="5">
        <v>45702</v>
      </c>
      <c r="D388" s="13">
        <f t="shared" si="102"/>
        <v>-291</v>
      </c>
      <c r="E388" t="s">
        <v>1260</v>
      </c>
      <c r="F388" t="s">
        <v>132</v>
      </c>
      <c r="G388" t="s">
        <v>24</v>
      </c>
      <c r="H388" t="s">
        <v>63</v>
      </c>
      <c r="I388" t="s">
        <v>64</v>
      </c>
      <c r="J388" t="s">
        <v>65</v>
      </c>
      <c r="K388" t="s">
        <v>41</v>
      </c>
      <c r="L388" t="s">
        <v>57</v>
      </c>
      <c r="M388" t="s">
        <v>1261</v>
      </c>
      <c r="N388" t="s">
        <v>31</v>
      </c>
      <c r="O388">
        <v>8</v>
      </c>
      <c r="P388">
        <v>2786.66</v>
      </c>
      <c r="Q388" s="11">
        <v>0.1</v>
      </c>
      <c r="R388">
        <v>20063.95</v>
      </c>
      <c r="S388">
        <v>14363.38</v>
      </c>
      <c r="T388">
        <v>5700.57</v>
      </c>
      <c r="U388" t="s">
        <v>32</v>
      </c>
      <c r="V388" t="s">
        <v>33</v>
      </c>
      <c r="X388" s="8" t="str">
        <f>IF(C388&gt;=B388,"Valid", "Invalid-Date")</f>
        <v>Invalid-Date</v>
      </c>
      <c r="Y388" s="8" t="str">
        <f t="shared" si="103"/>
        <v>Valid</v>
      </c>
      <c r="Z388" s="8" t="str">
        <f t="shared" si="104"/>
        <v>Pass</v>
      </c>
      <c r="AA388" s="8" t="str">
        <f t="shared" si="105"/>
        <v>Pass</v>
      </c>
      <c r="AB388" s="8" t="str">
        <f>TEXT(B388,"mmmm")</f>
        <v>December</v>
      </c>
      <c r="AC388" s="8" t="str">
        <f>TEXT(B388,"yyyy")</f>
        <v>2025</v>
      </c>
      <c r="AE388">
        <f t="shared" si="106"/>
        <v>22293.279999999999</v>
      </c>
      <c r="AF388" s="11">
        <f t="shared" si="107"/>
        <v>20063.952000000001</v>
      </c>
      <c r="AG388">
        <f t="shared" si="108"/>
        <v>7929.9</v>
      </c>
      <c r="AH388" s="11">
        <f t="shared" si="109"/>
        <v>0.35570808781839192</v>
      </c>
      <c r="AI388" s="9">
        <f t="shared" si="110"/>
        <v>0.35570808781839192</v>
      </c>
      <c r="AJ388">
        <f t="shared" si="111"/>
        <v>20063.95</v>
      </c>
      <c r="AK388">
        <f t="shared" si="112"/>
        <v>1</v>
      </c>
      <c r="AL388">
        <f t="shared" si="113"/>
        <v>0</v>
      </c>
      <c r="AM388">
        <f t="shared" si="114"/>
        <v>0</v>
      </c>
      <c r="AN388">
        <f t="shared" si="115"/>
        <v>0</v>
      </c>
      <c r="AO388">
        <f t="shared" si="116"/>
        <v>0</v>
      </c>
      <c r="AP388">
        <f t="shared" si="117"/>
        <v>0</v>
      </c>
      <c r="AQ388">
        <f t="shared" si="118"/>
        <v>0</v>
      </c>
    </row>
    <row r="389" spans="1:43">
      <c r="A389" t="s">
        <v>1262</v>
      </c>
      <c r="B389" s="5">
        <v>45879</v>
      </c>
      <c r="C389" s="5">
        <v>45882</v>
      </c>
      <c r="D389" s="13">
        <f t="shared" si="102"/>
        <v>3</v>
      </c>
      <c r="E389" t="s">
        <v>1263</v>
      </c>
      <c r="F389" t="s">
        <v>114</v>
      </c>
      <c r="G389" t="s">
        <v>37</v>
      </c>
      <c r="H389" t="s">
        <v>63</v>
      </c>
      <c r="I389" t="s">
        <v>72</v>
      </c>
      <c r="J389" t="s">
        <v>73</v>
      </c>
      <c r="K389" t="s">
        <v>41</v>
      </c>
      <c r="L389" t="s">
        <v>66</v>
      </c>
      <c r="M389" t="s">
        <v>1264</v>
      </c>
      <c r="N389" t="s">
        <v>59</v>
      </c>
      <c r="O389">
        <v>5</v>
      </c>
      <c r="P389">
        <v>352.86</v>
      </c>
      <c r="Q389" s="11">
        <v>0</v>
      </c>
      <c r="R389">
        <v>1764.3</v>
      </c>
      <c r="S389">
        <v>1332.49</v>
      </c>
      <c r="T389">
        <v>431.81</v>
      </c>
      <c r="U389" t="s">
        <v>111</v>
      </c>
      <c r="V389" t="s">
        <v>68</v>
      </c>
      <c r="X389" s="8" t="str">
        <f>IF(C389&gt;=B389,"Valid", "Invalid-Date")</f>
        <v>Valid</v>
      </c>
      <c r="Y389" s="8" t="str">
        <f t="shared" si="103"/>
        <v>Valid</v>
      </c>
      <c r="Z389" s="8" t="str">
        <f t="shared" si="104"/>
        <v>Pass</v>
      </c>
      <c r="AA389" s="8" t="str">
        <f t="shared" si="105"/>
        <v>Pass</v>
      </c>
      <c r="AB389" s="8" t="str">
        <f>TEXT(B389,"mmmm")</f>
        <v>August</v>
      </c>
      <c r="AC389" s="8" t="str">
        <f>TEXT(B389,"yyyy")</f>
        <v>2025</v>
      </c>
      <c r="AE389">
        <f t="shared" si="106"/>
        <v>1764.3000000000002</v>
      </c>
      <c r="AF389" s="11">
        <f t="shared" si="107"/>
        <v>1764.3000000000002</v>
      </c>
      <c r="AG389">
        <f t="shared" si="108"/>
        <v>431.81000000000017</v>
      </c>
      <c r="AH389" s="11">
        <f t="shared" si="109"/>
        <v>0.24474862551720236</v>
      </c>
      <c r="AI389" s="9">
        <f t="shared" si="110"/>
        <v>0.24474862551720236</v>
      </c>
      <c r="AJ389">
        <f t="shared" si="111"/>
        <v>0</v>
      </c>
      <c r="AK389">
        <f t="shared" si="112"/>
        <v>0</v>
      </c>
      <c r="AL389">
        <f t="shared" si="113"/>
        <v>1764.3</v>
      </c>
      <c r="AM389">
        <f t="shared" si="114"/>
        <v>1</v>
      </c>
      <c r="AN389">
        <f t="shared" si="115"/>
        <v>0</v>
      </c>
      <c r="AO389">
        <f t="shared" si="116"/>
        <v>0</v>
      </c>
      <c r="AP389">
        <f t="shared" si="117"/>
        <v>0</v>
      </c>
      <c r="AQ389">
        <f t="shared" si="118"/>
        <v>0</v>
      </c>
    </row>
    <row r="390" spans="1:43">
      <c r="A390" t="s">
        <v>1265</v>
      </c>
      <c r="B390" s="5">
        <v>45425</v>
      </c>
      <c r="C390" s="5">
        <v>45430</v>
      </c>
      <c r="D390" s="13">
        <f t="shared" si="102"/>
        <v>5</v>
      </c>
      <c r="E390" t="s">
        <v>1266</v>
      </c>
      <c r="F390" t="s">
        <v>47</v>
      </c>
      <c r="G390" t="s">
        <v>37</v>
      </c>
      <c r="H390" t="s">
        <v>63</v>
      </c>
      <c r="I390" t="s">
        <v>180</v>
      </c>
      <c r="J390" t="s">
        <v>181</v>
      </c>
      <c r="K390" t="s">
        <v>41</v>
      </c>
      <c r="L390" t="s">
        <v>66</v>
      </c>
      <c r="M390" t="s">
        <v>1267</v>
      </c>
      <c r="N390" t="s">
        <v>59</v>
      </c>
      <c r="O390">
        <v>3</v>
      </c>
      <c r="P390">
        <v>3128.59</v>
      </c>
      <c r="Q390" s="11">
        <v>0</v>
      </c>
      <c r="R390">
        <v>9385.77</v>
      </c>
      <c r="S390">
        <v>6872.44</v>
      </c>
      <c r="T390">
        <v>2783.66</v>
      </c>
      <c r="U390" t="s">
        <v>32</v>
      </c>
      <c r="V390" t="s">
        <v>33</v>
      </c>
      <c r="X390" s="8" t="str">
        <f>IF(C390&gt;=B390,"Valid", "Invalid-Date")</f>
        <v>Valid</v>
      </c>
      <c r="Y390" s="8" t="str">
        <f t="shared" si="103"/>
        <v>Valid</v>
      </c>
      <c r="Z390" s="8" t="str">
        <f t="shared" si="104"/>
        <v>Pass</v>
      </c>
      <c r="AA390" s="8" t="str">
        <f t="shared" si="105"/>
        <v>Pass</v>
      </c>
      <c r="AB390" s="8" t="str">
        <f>TEXT(B390,"mmmm")</f>
        <v>May</v>
      </c>
      <c r="AC390" s="8" t="str">
        <f>TEXT(B390,"yyyy")</f>
        <v>2024</v>
      </c>
      <c r="AE390">
        <f t="shared" si="106"/>
        <v>9385.77</v>
      </c>
      <c r="AF390" s="11">
        <f t="shared" si="107"/>
        <v>9385.77</v>
      </c>
      <c r="AG390">
        <f t="shared" si="108"/>
        <v>2513.3300000000008</v>
      </c>
      <c r="AH390" s="11">
        <f t="shared" si="109"/>
        <v>0.26778090662779941</v>
      </c>
      <c r="AI390" s="9">
        <f t="shared" si="110"/>
        <v>0.26778090662779941</v>
      </c>
      <c r="AJ390">
        <f t="shared" si="111"/>
        <v>9385.77</v>
      </c>
      <c r="AK390">
        <f t="shared" si="112"/>
        <v>1</v>
      </c>
      <c r="AL390">
        <f t="shared" si="113"/>
        <v>0</v>
      </c>
      <c r="AM390">
        <f t="shared" si="114"/>
        <v>0</v>
      </c>
      <c r="AN390">
        <f t="shared" si="115"/>
        <v>0</v>
      </c>
      <c r="AO390">
        <f t="shared" si="116"/>
        <v>0</v>
      </c>
      <c r="AP390">
        <f t="shared" si="117"/>
        <v>0</v>
      </c>
      <c r="AQ390">
        <f t="shared" si="118"/>
        <v>0</v>
      </c>
    </row>
    <row r="391" spans="1:43">
      <c r="A391" t="s">
        <v>1268</v>
      </c>
      <c r="B391" s="5">
        <v>45387</v>
      </c>
      <c r="C391" s="5">
        <v>45395</v>
      </c>
      <c r="D391" s="13">
        <f t="shared" si="102"/>
        <v>8</v>
      </c>
      <c r="E391" t="s">
        <v>1269</v>
      </c>
      <c r="F391" t="s">
        <v>162</v>
      </c>
      <c r="G391" t="s">
        <v>90</v>
      </c>
      <c r="H391" t="s">
        <v>63</v>
      </c>
      <c r="I391" t="s">
        <v>180</v>
      </c>
      <c r="J391" t="s">
        <v>181</v>
      </c>
      <c r="K391" t="s">
        <v>74</v>
      </c>
      <c r="L391" t="s">
        <v>274</v>
      </c>
      <c r="M391" t="s">
        <v>1270</v>
      </c>
      <c r="N391" t="s">
        <v>31</v>
      </c>
      <c r="O391">
        <v>5</v>
      </c>
      <c r="P391">
        <v>1937.54</v>
      </c>
      <c r="Q391" s="11">
        <v>0.2</v>
      </c>
      <c r="R391">
        <v>7750.16</v>
      </c>
      <c r="S391">
        <v>5434.3</v>
      </c>
      <c r="T391">
        <v>2315.86</v>
      </c>
      <c r="U391" t="s">
        <v>111</v>
      </c>
      <c r="V391" t="s">
        <v>68</v>
      </c>
      <c r="X391" s="8" t="str">
        <f>IF(C391&gt;=B391,"Valid", "Invalid-Date")</f>
        <v>Valid</v>
      </c>
      <c r="Y391" s="8" t="str">
        <f t="shared" si="103"/>
        <v>Valid</v>
      </c>
      <c r="Z391" s="8" t="str">
        <f t="shared" si="104"/>
        <v>Pass</v>
      </c>
      <c r="AA391" s="8" t="str">
        <f t="shared" si="105"/>
        <v>Pass</v>
      </c>
      <c r="AB391" s="8" t="str">
        <f>TEXT(B391,"mmmm")</f>
        <v>April</v>
      </c>
      <c r="AC391" s="8" t="str">
        <f>TEXT(B391,"yyyy")</f>
        <v>2024</v>
      </c>
      <c r="AE391">
        <f t="shared" si="106"/>
        <v>9687.7000000000007</v>
      </c>
      <c r="AF391" s="11">
        <f t="shared" si="107"/>
        <v>7750.1600000000008</v>
      </c>
      <c r="AG391">
        <f t="shared" si="108"/>
        <v>4253.4000000000005</v>
      </c>
      <c r="AH391" s="11">
        <f t="shared" si="109"/>
        <v>0.43905158087058849</v>
      </c>
      <c r="AI391" s="9">
        <f t="shared" si="110"/>
        <v>0.43905158087058849</v>
      </c>
      <c r="AJ391">
        <f t="shared" si="111"/>
        <v>0</v>
      </c>
      <c r="AK391">
        <f t="shared" si="112"/>
        <v>0</v>
      </c>
      <c r="AL391">
        <f t="shared" si="113"/>
        <v>7750.16</v>
      </c>
      <c r="AM391">
        <f t="shared" si="114"/>
        <v>1</v>
      </c>
      <c r="AN391">
        <f t="shared" si="115"/>
        <v>0</v>
      </c>
      <c r="AO391">
        <f t="shared" si="116"/>
        <v>0</v>
      </c>
      <c r="AP391">
        <f t="shared" si="117"/>
        <v>0</v>
      </c>
      <c r="AQ391">
        <f t="shared" si="118"/>
        <v>0</v>
      </c>
    </row>
    <row r="392" spans="1:43">
      <c r="A392" t="s">
        <v>1271</v>
      </c>
      <c r="B392" s="5">
        <v>45602</v>
      </c>
      <c r="C392" s="5">
        <v>45607</v>
      </c>
      <c r="D392" s="13">
        <f t="shared" si="102"/>
        <v>5</v>
      </c>
      <c r="E392" t="s">
        <v>1272</v>
      </c>
      <c r="F392" t="s">
        <v>47</v>
      </c>
      <c r="G392" t="s">
        <v>24</v>
      </c>
      <c r="H392" t="s">
        <v>63</v>
      </c>
      <c r="I392" t="s">
        <v>180</v>
      </c>
      <c r="J392" t="s">
        <v>181</v>
      </c>
      <c r="K392" t="s">
        <v>41</v>
      </c>
      <c r="L392" t="s">
        <v>57</v>
      </c>
      <c r="M392" t="s">
        <v>1273</v>
      </c>
      <c r="N392" t="s">
        <v>59</v>
      </c>
      <c r="O392">
        <v>4</v>
      </c>
      <c r="P392">
        <v>1917.26</v>
      </c>
      <c r="Q392" s="11">
        <v>0.2</v>
      </c>
      <c r="R392">
        <v>6135.23</v>
      </c>
      <c r="S392">
        <v>3439.79</v>
      </c>
      <c r="T392">
        <v>2695.44</v>
      </c>
      <c r="U392" t="s">
        <v>32</v>
      </c>
      <c r="V392" t="s">
        <v>33</v>
      </c>
      <c r="X392" s="8" t="str">
        <f>IF(C392&gt;=B392,"Valid", "Invalid-Date")</f>
        <v>Valid</v>
      </c>
      <c r="Y392" s="8" t="str">
        <f t="shared" si="103"/>
        <v>Valid</v>
      </c>
      <c r="Z392" s="8" t="str">
        <f t="shared" si="104"/>
        <v>Pass</v>
      </c>
      <c r="AA392" s="8" t="str">
        <f t="shared" si="105"/>
        <v>Pass</v>
      </c>
      <c r="AB392" s="8" t="str">
        <f>TEXT(B392,"mmmm")</f>
        <v>November</v>
      </c>
      <c r="AC392" s="8" t="str">
        <f>TEXT(B392,"yyyy")</f>
        <v>2024</v>
      </c>
      <c r="AE392">
        <f t="shared" si="106"/>
        <v>7669.04</v>
      </c>
      <c r="AF392" s="11">
        <f t="shared" si="107"/>
        <v>6135.232</v>
      </c>
      <c r="AG392">
        <f t="shared" si="108"/>
        <v>4229.25</v>
      </c>
      <c r="AH392" s="11">
        <f t="shared" si="109"/>
        <v>0.55147058823529416</v>
      </c>
      <c r="AI392" s="9">
        <f t="shared" si="110"/>
        <v>0.55147058823529416</v>
      </c>
      <c r="AJ392">
        <f t="shared" si="111"/>
        <v>6135.23</v>
      </c>
      <c r="AK392">
        <f t="shared" si="112"/>
        <v>1</v>
      </c>
      <c r="AL392">
        <f t="shared" si="113"/>
        <v>0</v>
      </c>
      <c r="AM392">
        <f t="shared" si="114"/>
        <v>0</v>
      </c>
      <c r="AN392">
        <f t="shared" si="115"/>
        <v>0</v>
      </c>
      <c r="AO392">
        <f t="shared" si="116"/>
        <v>0</v>
      </c>
      <c r="AP392">
        <f t="shared" si="117"/>
        <v>0</v>
      </c>
      <c r="AQ392">
        <f t="shared" si="118"/>
        <v>0</v>
      </c>
    </row>
    <row r="393" spans="1:43">
      <c r="A393" t="s">
        <v>1274</v>
      </c>
      <c r="B393" s="5">
        <v>45702</v>
      </c>
      <c r="C393" s="5">
        <v>45702</v>
      </c>
      <c r="D393" s="13">
        <f t="shared" si="102"/>
        <v>0</v>
      </c>
      <c r="E393" t="s">
        <v>1275</v>
      </c>
      <c r="F393" t="s">
        <v>162</v>
      </c>
      <c r="G393" t="s">
        <v>24</v>
      </c>
      <c r="H393" t="s">
        <v>54</v>
      </c>
      <c r="I393" t="s">
        <v>175</v>
      </c>
      <c r="J393" t="s">
        <v>176</v>
      </c>
      <c r="K393" t="s">
        <v>28</v>
      </c>
      <c r="L393" t="s">
        <v>124</v>
      </c>
      <c r="M393" t="s">
        <v>1276</v>
      </c>
      <c r="N393" t="s">
        <v>50</v>
      </c>
      <c r="O393">
        <v>1</v>
      </c>
      <c r="P393">
        <v>714.43</v>
      </c>
      <c r="Q393" s="11">
        <v>0</v>
      </c>
      <c r="R393">
        <v>714.43</v>
      </c>
      <c r="S393">
        <v>565.44000000000005</v>
      </c>
      <c r="T393">
        <v>148.99</v>
      </c>
      <c r="U393" t="s">
        <v>32</v>
      </c>
      <c r="V393" t="s">
        <v>33</v>
      </c>
      <c r="X393" s="8" t="str">
        <f>IF(C393&gt;=B393,"Valid", "Invalid-Date")</f>
        <v>Valid</v>
      </c>
      <c r="Y393" s="8" t="str">
        <f t="shared" si="103"/>
        <v>Valid</v>
      </c>
      <c r="Z393" s="8" t="str">
        <f t="shared" si="104"/>
        <v>Pass</v>
      </c>
      <c r="AA393" s="8" t="str">
        <f t="shared" si="105"/>
        <v>Pass</v>
      </c>
      <c r="AB393" s="8" t="str">
        <f>TEXT(B393,"mmmm")</f>
        <v>February</v>
      </c>
      <c r="AC393" s="8" t="str">
        <f>TEXT(B393,"yyyy")</f>
        <v>2025</v>
      </c>
      <c r="AE393">
        <f t="shared" si="106"/>
        <v>714.43</v>
      </c>
      <c r="AF393" s="11">
        <f t="shared" si="107"/>
        <v>714.43</v>
      </c>
      <c r="AG393">
        <f t="shared" si="108"/>
        <v>148.9899999999999</v>
      </c>
      <c r="AH393" s="11">
        <f t="shared" si="109"/>
        <v>0.20854387413742412</v>
      </c>
      <c r="AI393" s="9">
        <f t="shared" si="110"/>
        <v>0.20854387413742412</v>
      </c>
      <c r="AJ393">
        <f t="shared" si="111"/>
        <v>714.43</v>
      </c>
      <c r="AK393">
        <f t="shared" si="112"/>
        <v>1</v>
      </c>
      <c r="AL393">
        <f t="shared" si="113"/>
        <v>0</v>
      </c>
      <c r="AM393">
        <f t="shared" si="114"/>
        <v>0</v>
      </c>
      <c r="AN393">
        <f t="shared" si="115"/>
        <v>0</v>
      </c>
      <c r="AO393">
        <f t="shared" si="116"/>
        <v>0</v>
      </c>
      <c r="AP393">
        <f t="shared" si="117"/>
        <v>0</v>
      </c>
      <c r="AQ393">
        <f t="shared" si="118"/>
        <v>0</v>
      </c>
    </row>
    <row r="394" spans="1:43">
      <c r="A394" t="s">
        <v>1277</v>
      </c>
      <c r="B394" s="5">
        <v>45341</v>
      </c>
      <c r="C394" s="5">
        <v>45344</v>
      </c>
      <c r="D394" s="13">
        <f t="shared" si="102"/>
        <v>3</v>
      </c>
      <c r="E394" t="s">
        <v>1278</v>
      </c>
      <c r="F394" t="s">
        <v>89</v>
      </c>
      <c r="G394" t="s">
        <v>37</v>
      </c>
      <c r="H394" t="s">
        <v>54</v>
      </c>
      <c r="I394" t="s">
        <v>185</v>
      </c>
      <c r="J394" t="s">
        <v>186</v>
      </c>
      <c r="K394" t="s">
        <v>41</v>
      </c>
      <c r="L394" t="s">
        <v>57</v>
      </c>
      <c r="M394" t="s">
        <v>1279</v>
      </c>
      <c r="N394" t="s">
        <v>44</v>
      </c>
      <c r="O394">
        <v>9</v>
      </c>
      <c r="P394">
        <v>4053.01</v>
      </c>
      <c r="Q394" s="11">
        <v>0</v>
      </c>
      <c r="R394">
        <v>36477.089999999997</v>
      </c>
      <c r="S394">
        <v>24525.48</v>
      </c>
      <c r="T394">
        <v>11951.61</v>
      </c>
      <c r="U394" t="s">
        <v>32</v>
      </c>
      <c r="V394" t="s">
        <v>33</v>
      </c>
      <c r="X394" s="8" t="str">
        <f>IF(C394&gt;=B394,"Valid", "Invalid-Date")</f>
        <v>Valid</v>
      </c>
      <c r="Y394" s="8" t="str">
        <f t="shared" si="103"/>
        <v>Valid</v>
      </c>
      <c r="Z394" s="8" t="str">
        <f t="shared" si="104"/>
        <v>Pass</v>
      </c>
      <c r="AA394" s="8" t="str">
        <f t="shared" si="105"/>
        <v>Pass</v>
      </c>
      <c r="AB394" s="8" t="str">
        <f>TEXT(B394,"mmmm")</f>
        <v>February</v>
      </c>
      <c r="AC394" s="8" t="str">
        <f>TEXT(B394,"yyyy")</f>
        <v>2024</v>
      </c>
      <c r="AE394">
        <f t="shared" si="106"/>
        <v>36477.090000000004</v>
      </c>
      <c r="AF394" s="11">
        <f t="shared" si="107"/>
        <v>36477.090000000004</v>
      </c>
      <c r="AG394">
        <f t="shared" si="108"/>
        <v>11951.610000000004</v>
      </c>
      <c r="AH394" s="11">
        <f t="shared" si="109"/>
        <v>0.32764702447481425</v>
      </c>
      <c r="AI394" s="9">
        <f t="shared" si="110"/>
        <v>0.32764702447481425</v>
      </c>
      <c r="AJ394">
        <f t="shared" si="111"/>
        <v>36477.089999999997</v>
      </c>
      <c r="AK394">
        <f t="shared" si="112"/>
        <v>1</v>
      </c>
      <c r="AL394">
        <f t="shared" si="113"/>
        <v>0</v>
      </c>
      <c r="AM394">
        <f t="shared" si="114"/>
        <v>0</v>
      </c>
      <c r="AN394">
        <f t="shared" si="115"/>
        <v>0</v>
      </c>
      <c r="AO394">
        <f t="shared" si="116"/>
        <v>0</v>
      </c>
      <c r="AP394">
        <f t="shared" si="117"/>
        <v>0</v>
      </c>
      <c r="AQ394">
        <f t="shared" si="118"/>
        <v>0</v>
      </c>
    </row>
    <row r="395" spans="1:43">
      <c r="A395" t="s">
        <v>1280</v>
      </c>
      <c r="B395" s="5">
        <v>45527</v>
      </c>
      <c r="C395" s="5">
        <v>45533</v>
      </c>
      <c r="D395" s="13">
        <f t="shared" si="102"/>
        <v>6</v>
      </c>
      <c r="E395" t="s">
        <v>1281</v>
      </c>
      <c r="F395" t="s">
        <v>36</v>
      </c>
      <c r="G395" t="s">
        <v>90</v>
      </c>
      <c r="H395" t="s">
        <v>25</v>
      </c>
      <c r="I395" t="s">
        <v>136</v>
      </c>
      <c r="J395" t="s">
        <v>137</v>
      </c>
      <c r="K395" t="s">
        <v>28</v>
      </c>
      <c r="L395" t="s">
        <v>91</v>
      </c>
      <c r="M395" t="s">
        <v>1282</v>
      </c>
      <c r="N395" t="s">
        <v>44</v>
      </c>
      <c r="O395">
        <v>2</v>
      </c>
      <c r="P395">
        <v>1936.91</v>
      </c>
      <c r="Q395" s="11">
        <v>0.05</v>
      </c>
      <c r="R395">
        <v>3680.13</v>
      </c>
      <c r="S395">
        <v>2967.46</v>
      </c>
      <c r="T395">
        <v>712.67</v>
      </c>
      <c r="U395" t="s">
        <v>32</v>
      </c>
      <c r="V395" t="s">
        <v>33</v>
      </c>
      <c r="X395" s="8" t="str">
        <f>IF(C395&gt;=B395,"Valid", "Invalid-Date")</f>
        <v>Valid</v>
      </c>
      <c r="Y395" s="8" t="str">
        <f t="shared" si="103"/>
        <v>Valid</v>
      </c>
      <c r="Z395" s="8" t="str">
        <f t="shared" si="104"/>
        <v>Pass</v>
      </c>
      <c r="AA395" s="8" t="str">
        <f t="shared" si="105"/>
        <v>Pass</v>
      </c>
      <c r="AB395" s="8" t="str">
        <f>TEXT(B395,"mmmm")</f>
        <v>August</v>
      </c>
      <c r="AC395" s="8" t="str">
        <f>TEXT(B395,"yyyy")</f>
        <v>2024</v>
      </c>
      <c r="AE395">
        <f t="shared" si="106"/>
        <v>3873.82</v>
      </c>
      <c r="AF395" s="11">
        <f t="shared" si="107"/>
        <v>3680.1289999999999</v>
      </c>
      <c r="AG395">
        <f t="shared" si="108"/>
        <v>906.36000000000013</v>
      </c>
      <c r="AH395" s="11">
        <f t="shared" si="109"/>
        <v>0.23397060266093936</v>
      </c>
      <c r="AI395" s="9">
        <f t="shared" si="110"/>
        <v>0.23397060266093936</v>
      </c>
      <c r="AJ395">
        <f t="shared" si="111"/>
        <v>3680.13</v>
      </c>
      <c r="AK395">
        <f t="shared" si="112"/>
        <v>1</v>
      </c>
      <c r="AL395">
        <f t="shared" si="113"/>
        <v>0</v>
      </c>
      <c r="AM395">
        <f t="shared" si="114"/>
        <v>0</v>
      </c>
      <c r="AN395">
        <f t="shared" si="115"/>
        <v>0</v>
      </c>
      <c r="AO395">
        <f t="shared" si="116"/>
        <v>0</v>
      </c>
      <c r="AP395">
        <f t="shared" si="117"/>
        <v>0</v>
      </c>
      <c r="AQ395">
        <f t="shared" si="118"/>
        <v>0</v>
      </c>
    </row>
    <row r="396" spans="1:43">
      <c r="A396" t="s">
        <v>1283</v>
      </c>
      <c r="B396" s="5">
        <v>45385</v>
      </c>
      <c r="C396" s="5">
        <v>45386</v>
      </c>
      <c r="D396" s="13">
        <f t="shared" si="102"/>
        <v>1</v>
      </c>
      <c r="E396" t="s">
        <v>1284</v>
      </c>
      <c r="F396" t="s">
        <v>264</v>
      </c>
      <c r="G396" t="s">
        <v>24</v>
      </c>
      <c r="H396" t="s">
        <v>63</v>
      </c>
      <c r="I396" t="s">
        <v>64</v>
      </c>
      <c r="J396" t="s">
        <v>65</v>
      </c>
      <c r="K396" t="s">
        <v>41</v>
      </c>
      <c r="L396" t="s">
        <v>57</v>
      </c>
      <c r="M396" t="s">
        <v>1285</v>
      </c>
      <c r="N396" t="s">
        <v>50</v>
      </c>
      <c r="O396">
        <v>7</v>
      </c>
      <c r="P396">
        <v>3945.21</v>
      </c>
      <c r="Q396" s="11">
        <v>0</v>
      </c>
      <c r="R396">
        <v>27616.47</v>
      </c>
      <c r="S396">
        <v>21225.26</v>
      </c>
      <c r="T396">
        <v>6391.21</v>
      </c>
      <c r="U396" t="s">
        <v>32</v>
      </c>
      <c r="V396" t="s">
        <v>33</v>
      </c>
      <c r="X396" s="8" t="str">
        <f>IF(C396&gt;=B396,"Valid", "Invalid-Date")</f>
        <v>Valid</v>
      </c>
      <c r="Y396" s="8" t="str">
        <f t="shared" si="103"/>
        <v>Valid</v>
      </c>
      <c r="Z396" s="8" t="str">
        <f t="shared" si="104"/>
        <v>Pass</v>
      </c>
      <c r="AA396" s="8" t="str">
        <f t="shared" si="105"/>
        <v>Pass</v>
      </c>
      <c r="AB396" s="8" t="str">
        <f>TEXT(B396,"mmmm")</f>
        <v>April</v>
      </c>
      <c r="AC396" s="8" t="str">
        <f>TEXT(B396,"yyyy")</f>
        <v>2024</v>
      </c>
      <c r="AE396">
        <f t="shared" si="106"/>
        <v>27616.47</v>
      </c>
      <c r="AF396" s="11">
        <f t="shared" si="107"/>
        <v>27616.47</v>
      </c>
      <c r="AG396">
        <f t="shared" si="108"/>
        <v>6391.2100000000028</v>
      </c>
      <c r="AH396" s="11">
        <f t="shared" si="109"/>
        <v>0.23142747787823725</v>
      </c>
      <c r="AI396" s="9">
        <f t="shared" si="110"/>
        <v>0.23142747787823725</v>
      </c>
      <c r="AJ396">
        <f t="shared" si="111"/>
        <v>27616.47</v>
      </c>
      <c r="AK396">
        <f t="shared" si="112"/>
        <v>1</v>
      </c>
      <c r="AL396">
        <f t="shared" si="113"/>
        <v>0</v>
      </c>
      <c r="AM396">
        <f t="shared" si="114"/>
        <v>0</v>
      </c>
      <c r="AN396">
        <f t="shared" si="115"/>
        <v>0</v>
      </c>
      <c r="AO396">
        <f t="shared" si="116"/>
        <v>0</v>
      </c>
      <c r="AP396">
        <f t="shared" si="117"/>
        <v>0</v>
      </c>
      <c r="AQ396">
        <f t="shared" si="118"/>
        <v>0</v>
      </c>
    </row>
    <row r="397" spans="1:43">
      <c r="A397" t="s">
        <v>1286</v>
      </c>
      <c r="B397" s="5">
        <v>45449</v>
      </c>
      <c r="C397" s="5">
        <v>45479</v>
      </c>
      <c r="D397" s="13">
        <f t="shared" si="102"/>
        <v>30</v>
      </c>
      <c r="E397" t="s">
        <v>1287</v>
      </c>
      <c r="F397" t="s">
        <v>118</v>
      </c>
      <c r="G397" t="s">
        <v>95</v>
      </c>
      <c r="H397" t="s">
        <v>54</v>
      </c>
      <c r="I397" t="s">
        <v>247</v>
      </c>
      <c r="J397" t="s">
        <v>248</v>
      </c>
      <c r="K397" t="s">
        <v>41</v>
      </c>
      <c r="L397" t="s">
        <v>42</v>
      </c>
      <c r="M397" t="s">
        <v>1288</v>
      </c>
      <c r="N397" t="s">
        <v>44</v>
      </c>
      <c r="O397">
        <v>7</v>
      </c>
      <c r="P397">
        <v>861.91</v>
      </c>
      <c r="Q397" s="11">
        <v>0.05</v>
      </c>
      <c r="R397">
        <v>5731.7</v>
      </c>
      <c r="S397">
        <v>4115.5600000000004</v>
      </c>
      <c r="T397">
        <v>1616.14</v>
      </c>
      <c r="U397" t="s">
        <v>32</v>
      </c>
      <c r="V397" t="s">
        <v>33</v>
      </c>
      <c r="X397" s="8" t="str">
        <f>IF(C397&gt;=B397,"Valid", "Invalid-Date")</f>
        <v>Valid</v>
      </c>
      <c r="Y397" s="8" t="str">
        <f t="shared" si="103"/>
        <v>Valid</v>
      </c>
      <c r="Z397" s="8" t="str">
        <f t="shared" si="104"/>
        <v>Pass</v>
      </c>
      <c r="AA397" s="8" t="str">
        <f t="shared" si="105"/>
        <v>Pass</v>
      </c>
      <c r="AB397" s="8" t="str">
        <f>TEXT(B397,"mmmm")</f>
        <v>June</v>
      </c>
      <c r="AC397" s="8" t="str">
        <f>TEXT(B397,"yyyy")</f>
        <v>2024</v>
      </c>
      <c r="AE397">
        <f t="shared" si="106"/>
        <v>6033.37</v>
      </c>
      <c r="AF397" s="11">
        <f t="shared" si="107"/>
        <v>5731.7014999999992</v>
      </c>
      <c r="AG397">
        <f t="shared" si="108"/>
        <v>1917.8099999999995</v>
      </c>
      <c r="AH397" s="11">
        <f t="shared" si="109"/>
        <v>0.31786712898429892</v>
      </c>
      <c r="AI397" s="9">
        <f t="shared" si="110"/>
        <v>0.31786712898429892</v>
      </c>
      <c r="AJ397">
        <f t="shared" si="111"/>
        <v>5731.7</v>
      </c>
      <c r="AK397">
        <f t="shared" si="112"/>
        <v>1</v>
      </c>
      <c r="AL397">
        <f t="shared" si="113"/>
        <v>0</v>
      </c>
      <c r="AM397">
        <f t="shared" si="114"/>
        <v>0</v>
      </c>
      <c r="AN397">
        <f t="shared" si="115"/>
        <v>0</v>
      </c>
      <c r="AO397">
        <f t="shared" si="116"/>
        <v>0</v>
      </c>
      <c r="AP397">
        <f t="shared" si="117"/>
        <v>0</v>
      </c>
      <c r="AQ397">
        <f t="shared" si="118"/>
        <v>0</v>
      </c>
    </row>
    <row r="398" spans="1:43">
      <c r="A398" t="s">
        <v>1289</v>
      </c>
      <c r="B398" s="5">
        <v>45761</v>
      </c>
      <c r="C398" s="5">
        <v>45769</v>
      </c>
      <c r="D398" s="13">
        <f t="shared" si="102"/>
        <v>8</v>
      </c>
      <c r="E398" t="s">
        <v>1290</v>
      </c>
      <c r="F398" t="s">
        <v>89</v>
      </c>
      <c r="G398" t="s">
        <v>37</v>
      </c>
      <c r="H398" t="s">
        <v>54</v>
      </c>
      <c r="I398" t="s">
        <v>175</v>
      </c>
      <c r="J398" t="s">
        <v>176</v>
      </c>
      <c r="K398" t="s">
        <v>74</v>
      </c>
      <c r="L398" t="s">
        <v>274</v>
      </c>
      <c r="M398" t="s">
        <v>1291</v>
      </c>
      <c r="N398" t="s">
        <v>59</v>
      </c>
      <c r="O398">
        <v>2</v>
      </c>
      <c r="P398">
        <v>638.73</v>
      </c>
      <c r="Q398" s="11">
        <v>0.05</v>
      </c>
      <c r="R398">
        <v>1213.5899999999999</v>
      </c>
      <c r="S398">
        <v>956.22</v>
      </c>
      <c r="T398">
        <v>257.37</v>
      </c>
      <c r="U398" t="s">
        <v>32</v>
      </c>
      <c r="V398" t="s">
        <v>33</v>
      </c>
      <c r="X398" s="8" t="str">
        <f>IF(C398&gt;=B398,"Valid", "Invalid-Date")</f>
        <v>Valid</v>
      </c>
      <c r="Y398" s="8" t="str">
        <f t="shared" si="103"/>
        <v>Valid</v>
      </c>
      <c r="Z398" s="8" t="str">
        <f t="shared" si="104"/>
        <v>Pass</v>
      </c>
      <c r="AA398" s="8" t="str">
        <f t="shared" si="105"/>
        <v>Pass</v>
      </c>
      <c r="AB398" s="8" t="str">
        <f>TEXT(B398,"mmmm")</f>
        <v>April</v>
      </c>
      <c r="AC398" s="8" t="str">
        <f>TEXT(B398,"yyyy")</f>
        <v>2025</v>
      </c>
      <c r="AE398">
        <f t="shared" si="106"/>
        <v>1277.46</v>
      </c>
      <c r="AF398" s="11">
        <f t="shared" si="107"/>
        <v>1213.587</v>
      </c>
      <c r="AG398">
        <f t="shared" si="108"/>
        <v>321.24</v>
      </c>
      <c r="AH398" s="11">
        <f t="shared" si="109"/>
        <v>0.25146775632896529</v>
      </c>
      <c r="AI398" s="9">
        <f t="shared" si="110"/>
        <v>0.25146775632896529</v>
      </c>
      <c r="AJ398">
        <f t="shared" si="111"/>
        <v>1213.5899999999999</v>
      </c>
      <c r="AK398">
        <f t="shared" si="112"/>
        <v>1</v>
      </c>
      <c r="AL398">
        <f t="shared" si="113"/>
        <v>0</v>
      </c>
      <c r="AM398">
        <f t="shared" si="114"/>
        <v>0</v>
      </c>
      <c r="AN398">
        <f t="shared" si="115"/>
        <v>0</v>
      </c>
      <c r="AO398">
        <f t="shared" si="116"/>
        <v>0</v>
      </c>
      <c r="AP398">
        <f t="shared" si="117"/>
        <v>0</v>
      </c>
      <c r="AQ398">
        <f t="shared" si="118"/>
        <v>0</v>
      </c>
    </row>
    <row r="399" spans="1:43">
      <c r="A399" t="s">
        <v>1292</v>
      </c>
      <c r="B399" s="5">
        <v>45817</v>
      </c>
      <c r="C399" s="5">
        <v>45936</v>
      </c>
      <c r="D399" s="13">
        <f t="shared" si="102"/>
        <v>119</v>
      </c>
      <c r="E399" t="s">
        <v>1293</v>
      </c>
      <c r="F399" t="s">
        <v>132</v>
      </c>
      <c r="G399" t="s">
        <v>37</v>
      </c>
      <c r="H399" t="s">
        <v>25</v>
      </c>
      <c r="I399" t="s">
        <v>136</v>
      </c>
      <c r="J399" t="s">
        <v>137</v>
      </c>
      <c r="K399" t="s">
        <v>41</v>
      </c>
      <c r="L399" t="s">
        <v>42</v>
      </c>
      <c r="M399" t="s">
        <v>1294</v>
      </c>
      <c r="N399" t="s">
        <v>31</v>
      </c>
      <c r="O399">
        <v>2</v>
      </c>
      <c r="P399">
        <v>1731.88</v>
      </c>
      <c r="Q399" s="11">
        <v>0</v>
      </c>
      <c r="R399">
        <v>3463.76</v>
      </c>
      <c r="S399">
        <v>2143.7399999999998</v>
      </c>
      <c r="T399">
        <v>1320.02</v>
      </c>
      <c r="U399" t="s">
        <v>32</v>
      </c>
      <c r="V399" t="s">
        <v>33</v>
      </c>
      <c r="X399" s="8" t="str">
        <f>IF(C399&gt;=B399,"Valid", "Invalid-Date")</f>
        <v>Valid</v>
      </c>
      <c r="Y399" s="8" t="str">
        <f t="shared" si="103"/>
        <v>Valid</v>
      </c>
      <c r="Z399" s="8" t="str">
        <f t="shared" si="104"/>
        <v>Pass</v>
      </c>
      <c r="AA399" s="8" t="str">
        <f t="shared" si="105"/>
        <v>Pass</v>
      </c>
      <c r="AB399" s="8" t="str">
        <f>TEXT(B399,"mmmm")</f>
        <v>June</v>
      </c>
      <c r="AC399" s="8" t="str">
        <f>TEXT(B399,"yyyy")</f>
        <v>2025</v>
      </c>
      <c r="AE399">
        <f t="shared" si="106"/>
        <v>3463.76</v>
      </c>
      <c r="AF399" s="11">
        <f t="shared" si="107"/>
        <v>3463.76</v>
      </c>
      <c r="AG399">
        <f t="shared" si="108"/>
        <v>1320.0200000000004</v>
      </c>
      <c r="AH399" s="11">
        <f t="shared" si="109"/>
        <v>0.38109453310852959</v>
      </c>
      <c r="AI399" s="9">
        <f t="shared" si="110"/>
        <v>0.38109453310852959</v>
      </c>
      <c r="AJ399">
        <f t="shared" si="111"/>
        <v>3463.76</v>
      </c>
      <c r="AK399">
        <f t="shared" si="112"/>
        <v>1</v>
      </c>
      <c r="AL399">
        <f t="shared" si="113"/>
        <v>0</v>
      </c>
      <c r="AM399">
        <f t="shared" si="114"/>
        <v>0</v>
      </c>
      <c r="AN399">
        <f t="shared" si="115"/>
        <v>0</v>
      </c>
      <c r="AO399">
        <f t="shared" si="116"/>
        <v>0</v>
      </c>
      <c r="AP399">
        <f t="shared" si="117"/>
        <v>0</v>
      </c>
      <c r="AQ399">
        <f t="shared" si="118"/>
        <v>0</v>
      </c>
    </row>
    <row r="400" spans="1:43">
      <c r="A400" t="s">
        <v>1295</v>
      </c>
      <c r="B400" s="5">
        <v>45492</v>
      </c>
      <c r="C400" s="5">
        <v>45499</v>
      </c>
      <c r="D400" s="13">
        <f t="shared" si="102"/>
        <v>7</v>
      </c>
      <c r="E400" t="s">
        <v>1296</v>
      </c>
      <c r="F400" t="s">
        <v>71</v>
      </c>
      <c r="G400" t="s">
        <v>90</v>
      </c>
      <c r="H400" t="s">
        <v>25</v>
      </c>
      <c r="I400" t="s">
        <v>122</v>
      </c>
      <c r="J400" t="s">
        <v>123</v>
      </c>
      <c r="K400" t="s">
        <v>74</v>
      </c>
      <c r="L400" t="s">
        <v>274</v>
      </c>
      <c r="M400" t="s">
        <v>1297</v>
      </c>
      <c r="N400" t="s">
        <v>44</v>
      </c>
      <c r="O400">
        <v>2</v>
      </c>
      <c r="P400">
        <v>1263.6500000000001</v>
      </c>
      <c r="Q400" s="11">
        <v>0.2</v>
      </c>
      <c r="R400">
        <v>2021.84</v>
      </c>
      <c r="S400">
        <v>1355.22</v>
      </c>
      <c r="T400">
        <v>666.62</v>
      </c>
      <c r="U400" t="s">
        <v>32</v>
      </c>
      <c r="V400" t="s">
        <v>33</v>
      </c>
      <c r="X400" s="8" t="str">
        <f>IF(C400&gt;=B400,"Valid", "Invalid-Date")</f>
        <v>Valid</v>
      </c>
      <c r="Y400" s="8" t="str">
        <f t="shared" si="103"/>
        <v>Valid</v>
      </c>
      <c r="Z400" s="8" t="str">
        <f t="shared" si="104"/>
        <v>Pass</v>
      </c>
      <c r="AA400" s="8" t="str">
        <f t="shared" si="105"/>
        <v>Pass</v>
      </c>
      <c r="AB400" s="8" t="str">
        <f>TEXT(B400,"mmmm")</f>
        <v>July</v>
      </c>
      <c r="AC400" s="8" t="str">
        <f>TEXT(B400,"yyyy")</f>
        <v>2024</v>
      </c>
      <c r="AE400">
        <f t="shared" si="106"/>
        <v>2527.3000000000002</v>
      </c>
      <c r="AF400" s="11">
        <f t="shared" si="107"/>
        <v>2021.8400000000001</v>
      </c>
      <c r="AG400">
        <f t="shared" si="108"/>
        <v>1172.0800000000002</v>
      </c>
      <c r="AH400" s="11">
        <f t="shared" si="109"/>
        <v>0.46376765718355561</v>
      </c>
      <c r="AI400" s="9">
        <f t="shared" si="110"/>
        <v>0.46376765718355561</v>
      </c>
      <c r="AJ400">
        <f t="shared" si="111"/>
        <v>2021.84</v>
      </c>
      <c r="AK400">
        <f t="shared" si="112"/>
        <v>1</v>
      </c>
      <c r="AL400">
        <f t="shared" si="113"/>
        <v>0</v>
      </c>
      <c r="AM400">
        <f t="shared" si="114"/>
        <v>0</v>
      </c>
      <c r="AN400">
        <f t="shared" si="115"/>
        <v>0</v>
      </c>
      <c r="AO400">
        <f t="shared" si="116"/>
        <v>0</v>
      </c>
      <c r="AP400">
        <f t="shared" si="117"/>
        <v>0</v>
      </c>
      <c r="AQ400">
        <f t="shared" si="118"/>
        <v>0</v>
      </c>
    </row>
    <row r="401" spans="1:43" s="15" customFormat="1">
      <c r="A401" s="15" t="s">
        <v>1298</v>
      </c>
      <c r="B401" s="16">
        <v>45771</v>
      </c>
      <c r="C401" s="16">
        <v>45776</v>
      </c>
      <c r="D401" s="17">
        <f t="shared" si="102"/>
        <v>5</v>
      </c>
      <c r="E401" s="15" t="s">
        <v>1299</v>
      </c>
      <c r="F401" s="15" t="s">
        <v>162</v>
      </c>
      <c r="G401" s="15" t="s">
        <v>37</v>
      </c>
      <c r="H401" s="15" t="s">
        <v>54</v>
      </c>
      <c r="I401" s="15" t="s">
        <v>84</v>
      </c>
      <c r="J401" s="15" t="s">
        <v>85</v>
      </c>
      <c r="K401" s="15" t="s">
        <v>28</v>
      </c>
      <c r="L401" s="15" t="s">
        <v>29</v>
      </c>
      <c r="M401" s="15" t="s">
        <v>1300</v>
      </c>
      <c r="N401" s="15" t="s">
        <v>44</v>
      </c>
      <c r="O401" s="15">
        <v>1</v>
      </c>
      <c r="P401" s="15">
        <v>4358.5</v>
      </c>
      <c r="Q401" s="18">
        <v>0.25</v>
      </c>
      <c r="R401" s="15">
        <v>3268.88</v>
      </c>
      <c r="S401" s="15">
        <v>1993.74</v>
      </c>
      <c r="T401" s="15">
        <v>1275.1400000000001</v>
      </c>
      <c r="U401" s="15" t="s">
        <v>32</v>
      </c>
      <c r="V401" s="15" t="s">
        <v>33</v>
      </c>
      <c r="W401" s="25"/>
      <c r="X401" s="8" t="str">
        <f>IF(C401&gt;=B401,"Valid", "Invalid-Date")</f>
        <v>Valid</v>
      </c>
      <c r="Y401" s="8" t="str">
        <f t="shared" si="103"/>
        <v>Valid</v>
      </c>
      <c r="Z401" s="19" t="str">
        <f t="shared" si="104"/>
        <v>Pass</v>
      </c>
      <c r="AA401" s="19" t="str">
        <f t="shared" si="105"/>
        <v>Pass</v>
      </c>
      <c r="AB401" s="19" t="str">
        <f>TEXT(B401,"mmmm")</f>
        <v>April</v>
      </c>
      <c r="AC401" s="19" t="str">
        <f>TEXT(B401,"yyyy")</f>
        <v>2025</v>
      </c>
      <c r="AD401" s="20"/>
      <c r="AE401" s="15">
        <f t="shared" si="106"/>
        <v>4358.5</v>
      </c>
      <c r="AF401" s="11">
        <f t="shared" si="107"/>
        <v>3268.875</v>
      </c>
      <c r="AG401" s="15">
        <f t="shared" si="108"/>
        <v>2364.7600000000002</v>
      </c>
      <c r="AH401" s="18">
        <f t="shared" si="109"/>
        <v>0.54256280830560977</v>
      </c>
      <c r="AI401" s="21">
        <f t="shared" si="110"/>
        <v>0.54256280830560977</v>
      </c>
      <c r="AJ401">
        <f t="shared" si="111"/>
        <v>3268.88</v>
      </c>
      <c r="AK401">
        <f t="shared" si="112"/>
        <v>1</v>
      </c>
      <c r="AL401">
        <f t="shared" si="113"/>
        <v>0</v>
      </c>
      <c r="AM401">
        <f t="shared" si="114"/>
        <v>0</v>
      </c>
      <c r="AN401">
        <f t="shared" si="115"/>
        <v>0</v>
      </c>
      <c r="AO401">
        <f t="shared" si="116"/>
        <v>0</v>
      </c>
      <c r="AP401">
        <f t="shared" si="117"/>
        <v>0</v>
      </c>
      <c r="AQ401">
        <f t="shared" si="118"/>
        <v>0</v>
      </c>
    </row>
    <row r="402" spans="1:43">
      <c r="A402" t="s">
        <v>1301</v>
      </c>
      <c r="B402" s="5">
        <v>45814</v>
      </c>
      <c r="C402" s="5">
        <v>45967</v>
      </c>
      <c r="D402" s="13">
        <f t="shared" si="102"/>
        <v>153</v>
      </c>
      <c r="E402" t="s">
        <v>1302</v>
      </c>
      <c r="F402" t="s">
        <v>132</v>
      </c>
      <c r="G402" t="s">
        <v>37</v>
      </c>
      <c r="H402" t="s">
        <v>25</v>
      </c>
      <c r="I402" t="s">
        <v>136</v>
      </c>
      <c r="J402" t="s">
        <v>137</v>
      </c>
      <c r="K402" t="s">
        <v>28</v>
      </c>
      <c r="L402" t="s">
        <v>29</v>
      </c>
      <c r="M402" t="s">
        <v>1303</v>
      </c>
      <c r="N402" t="s">
        <v>44</v>
      </c>
      <c r="O402">
        <v>7</v>
      </c>
      <c r="P402">
        <v>878.09</v>
      </c>
      <c r="Q402" s="11">
        <v>-0.1</v>
      </c>
      <c r="R402">
        <v>5839.3</v>
      </c>
      <c r="S402">
        <v>4877.38</v>
      </c>
      <c r="T402">
        <v>961.92</v>
      </c>
      <c r="U402" t="s">
        <v>32</v>
      </c>
      <c r="V402" t="s">
        <v>33</v>
      </c>
      <c r="X402" s="8" t="str">
        <f>IF(C402&gt;=B402,"Valid", "Invalid-Date")</f>
        <v>Valid</v>
      </c>
      <c r="Y402" s="8" t="str">
        <f t="shared" si="103"/>
        <v>Invalid-Discount</v>
      </c>
      <c r="Z402" s="8" t="str">
        <f t="shared" si="104"/>
        <v>Pass</v>
      </c>
      <c r="AA402" s="8" t="str">
        <f t="shared" si="105"/>
        <v>Pass</v>
      </c>
      <c r="AB402" s="8" t="str">
        <f>TEXT(B402,"mmmm")</f>
        <v>June</v>
      </c>
      <c r="AC402" s="8" t="str">
        <f>TEXT(B402,"yyyy")</f>
        <v>2025</v>
      </c>
      <c r="AE402">
        <f t="shared" si="106"/>
        <v>6146.63</v>
      </c>
      <c r="AF402" s="11">
        <f t="shared" si="107"/>
        <v>6761.2930000000006</v>
      </c>
      <c r="AG402">
        <f t="shared" si="108"/>
        <v>1269.25</v>
      </c>
      <c r="AH402" s="11">
        <f t="shared" si="109"/>
        <v>0.20649526651189351</v>
      </c>
      <c r="AI402" s="9">
        <f t="shared" si="110"/>
        <v>0.20649526651189351</v>
      </c>
      <c r="AJ402">
        <f t="shared" si="111"/>
        <v>5839.3</v>
      </c>
      <c r="AK402">
        <f t="shared" si="112"/>
        <v>1</v>
      </c>
      <c r="AL402">
        <f t="shared" si="113"/>
        <v>0</v>
      </c>
      <c r="AM402">
        <f t="shared" si="114"/>
        <v>0</v>
      </c>
      <c r="AN402">
        <f t="shared" si="115"/>
        <v>0</v>
      </c>
      <c r="AO402">
        <f t="shared" si="116"/>
        <v>0</v>
      </c>
      <c r="AP402">
        <f t="shared" si="117"/>
        <v>0</v>
      </c>
      <c r="AQ402">
        <f t="shared" si="118"/>
        <v>0</v>
      </c>
    </row>
    <row r="403" spans="1:43">
      <c r="A403" t="s">
        <v>1304</v>
      </c>
      <c r="B403" s="5">
        <v>45725</v>
      </c>
      <c r="C403" s="5">
        <v>45732</v>
      </c>
      <c r="D403" s="13">
        <f t="shared" si="102"/>
        <v>7</v>
      </c>
      <c r="E403" t="s">
        <v>1305</v>
      </c>
      <c r="F403" t="s">
        <v>53</v>
      </c>
      <c r="G403" t="s">
        <v>37</v>
      </c>
      <c r="H403" t="s">
        <v>38</v>
      </c>
      <c r="I403" t="s">
        <v>228</v>
      </c>
      <c r="J403" t="s">
        <v>229</v>
      </c>
      <c r="K403" t="s">
        <v>41</v>
      </c>
      <c r="L403" t="s">
        <v>42</v>
      </c>
      <c r="M403" t="s">
        <v>1306</v>
      </c>
      <c r="N403" t="s">
        <v>44</v>
      </c>
      <c r="O403">
        <v>3</v>
      </c>
      <c r="P403">
        <v>2625.85</v>
      </c>
      <c r="Q403" s="11">
        <v>0</v>
      </c>
      <c r="R403">
        <v>7877.55</v>
      </c>
      <c r="S403">
        <v>5562.77</v>
      </c>
      <c r="T403">
        <v>2314.7800000000002</v>
      </c>
      <c r="U403" t="s">
        <v>32</v>
      </c>
      <c r="V403" t="s">
        <v>33</v>
      </c>
      <c r="X403" s="8" t="str">
        <f>IF(C403&gt;=B403,"Valid", "Invalid-Date")</f>
        <v>Valid</v>
      </c>
      <c r="Y403" s="8" t="str">
        <f t="shared" si="103"/>
        <v>Valid</v>
      </c>
      <c r="Z403" s="8" t="str">
        <f t="shared" si="104"/>
        <v>Pass</v>
      </c>
      <c r="AA403" s="8" t="str">
        <f t="shared" si="105"/>
        <v>Pass</v>
      </c>
      <c r="AB403" s="8" t="str">
        <f>TEXT(B403,"mmmm")</f>
        <v>March</v>
      </c>
      <c r="AC403" s="8" t="str">
        <f>TEXT(B403,"yyyy")</f>
        <v>2025</v>
      </c>
      <c r="AE403">
        <f t="shared" si="106"/>
        <v>7877.5499999999993</v>
      </c>
      <c r="AF403" s="11">
        <f t="shared" si="107"/>
        <v>7877.5499999999993</v>
      </c>
      <c r="AG403">
        <f t="shared" si="108"/>
        <v>2314.7799999999988</v>
      </c>
      <c r="AH403" s="11">
        <f t="shared" si="109"/>
        <v>0.29384516759652418</v>
      </c>
      <c r="AI403" s="9">
        <f t="shared" si="110"/>
        <v>0.29384516759652418</v>
      </c>
      <c r="AJ403">
        <f t="shared" si="111"/>
        <v>7877.55</v>
      </c>
      <c r="AK403">
        <f t="shared" si="112"/>
        <v>1</v>
      </c>
      <c r="AL403">
        <f t="shared" si="113"/>
        <v>0</v>
      </c>
      <c r="AM403">
        <f t="shared" si="114"/>
        <v>0</v>
      </c>
      <c r="AN403">
        <f t="shared" si="115"/>
        <v>0</v>
      </c>
      <c r="AO403">
        <f t="shared" si="116"/>
        <v>0</v>
      </c>
      <c r="AP403">
        <f t="shared" si="117"/>
        <v>0</v>
      </c>
      <c r="AQ403">
        <f t="shared" si="118"/>
        <v>0</v>
      </c>
    </row>
    <row r="404" spans="1:43">
      <c r="A404" t="s">
        <v>1307</v>
      </c>
      <c r="B404" s="5">
        <v>45373</v>
      </c>
      <c r="C404" s="5">
        <v>45373</v>
      </c>
      <c r="D404" s="13">
        <f t="shared" si="102"/>
        <v>0</v>
      </c>
      <c r="E404" t="s">
        <v>1308</v>
      </c>
      <c r="F404" t="s">
        <v>114</v>
      </c>
      <c r="G404" t="s">
        <v>37</v>
      </c>
      <c r="H404" t="s">
        <v>54</v>
      </c>
      <c r="I404" t="s">
        <v>175</v>
      </c>
      <c r="J404" t="s">
        <v>176</v>
      </c>
      <c r="K404" t="s">
        <v>41</v>
      </c>
      <c r="L404" t="s">
        <v>42</v>
      </c>
      <c r="M404" t="s">
        <v>1309</v>
      </c>
      <c r="N404" t="s">
        <v>2785</v>
      </c>
      <c r="O404">
        <v>3</v>
      </c>
      <c r="P404">
        <v>1365.26</v>
      </c>
      <c r="Q404" s="11">
        <v>0</v>
      </c>
      <c r="R404">
        <v>4095.78</v>
      </c>
      <c r="S404">
        <v>2807.77</v>
      </c>
      <c r="T404">
        <v>1288.01</v>
      </c>
      <c r="U404" t="s">
        <v>32</v>
      </c>
      <c r="V404" t="s">
        <v>33</v>
      </c>
      <c r="X404" s="8" t="str">
        <f>IF(C404&gt;=B404,"Valid", "Invalid-Date")</f>
        <v>Valid</v>
      </c>
      <c r="Y404" s="8" t="str">
        <f t="shared" si="103"/>
        <v>Valid</v>
      </c>
      <c r="Z404" s="8" t="str">
        <f t="shared" si="104"/>
        <v>Flagged</v>
      </c>
      <c r="AA404" s="8" t="str">
        <f t="shared" si="105"/>
        <v>Pass</v>
      </c>
      <c r="AB404" s="8" t="str">
        <f>TEXT(B404,"mmmm")</f>
        <v>March</v>
      </c>
      <c r="AC404" s="8" t="str">
        <f>TEXT(B404,"yyyy")</f>
        <v>2024</v>
      </c>
      <c r="AE404">
        <f t="shared" si="106"/>
        <v>4095.7799999999997</v>
      </c>
      <c r="AF404" s="11">
        <f t="shared" si="107"/>
        <v>4095.7799999999997</v>
      </c>
      <c r="AG404">
        <f t="shared" si="108"/>
        <v>1288.0099999999998</v>
      </c>
      <c r="AH404" s="11">
        <f t="shared" si="109"/>
        <v>0.31447245701673426</v>
      </c>
      <c r="AI404" s="9">
        <f t="shared" si="110"/>
        <v>0.31447245701673426</v>
      </c>
      <c r="AJ404">
        <f t="shared" si="111"/>
        <v>4095.78</v>
      </c>
      <c r="AK404">
        <f t="shared" si="112"/>
        <v>1</v>
      </c>
      <c r="AL404">
        <f t="shared" si="113"/>
        <v>0</v>
      </c>
      <c r="AM404">
        <f t="shared" si="114"/>
        <v>0</v>
      </c>
      <c r="AN404">
        <f t="shared" si="115"/>
        <v>0</v>
      </c>
      <c r="AO404">
        <f t="shared" si="116"/>
        <v>0</v>
      </c>
      <c r="AP404">
        <f t="shared" si="117"/>
        <v>0</v>
      </c>
      <c r="AQ404">
        <f t="shared" si="118"/>
        <v>0</v>
      </c>
    </row>
    <row r="405" spans="1:43">
      <c r="A405" t="s">
        <v>1310</v>
      </c>
      <c r="B405" s="5">
        <v>45565</v>
      </c>
      <c r="C405" s="5">
        <v>45569</v>
      </c>
      <c r="D405" s="13">
        <f t="shared" si="102"/>
        <v>4</v>
      </c>
      <c r="E405" t="s">
        <v>1311</v>
      </c>
      <c r="F405" t="s">
        <v>53</v>
      </c>
      <c r="G405" t="s">
        <v>37</v>
      </c>
      <c r="H405" t="s">
        <v>54</v>
      </c>
      <c r="I405" t="s">
        <v>185</v>
      </c>
      <c r="J405" t="s">
        <v>186</v>
      </c>
      <c r="K405" t="s">
        <v>28</v>
      </c>
      <c r="L405" t="s">
        <v>29</v>
      </c>
      <c r="M405" t="s">
        <v>1312</v>
      </c>
      <c r="N405" t="s">
        <v>44</v>
      </c>
      <c r="O405">
        <v>5</v>
      </c>
      <c r="P405">
        <v>3512.25</v>
      </c>
      <c r="Q405" s="11">
        <v>0.05</v>
      </c>
      <c r="R405">
        <v>16683.189999999999</v>
      </c>
      <c r="S405">
        <v>10301.16</v>
      </c>
      <c r="T405">
        <v>6382.03</v>
      </c>
      <c r="U405" t="s">
        <v>32</v>
      </c>
      <c r="V405" t="s">
        <v>103</v>
      </c>
      <c r="X405" s="8" t="str">
        <f>IF(C405&gt;=B405,"Valid", "Invalid-Date")</f>
        <v>Valid</v>
      </c>
      <c r="Y405" s="8" t="str">
        <f t="shared" si="103"/>
        <v>Valid</v>
      </c>
      <c r="Z405" s="8" t="str">
        <f t="shared" si="104"/>
        <v>Pass</v>
      </c>
      <c r="AA405" s="8" t="str">
        <f t="shared" si="105"/>
        <v>Pass</v>
      </c>
      <c r="AB405" s="8" t="str">
        <f>TEXT(B405,"mmmm")</f>
        <v>September</v>
      </c>
      <c r="AC405" s="8" t="str">
        <f>TEXT(B405,"yyyy")</f>
        <v>2024</v>
      </c>
      <c r="AE405">
        <f t="shared" si="106"/>
        <v>17561.25</v>
      </c>
      <c r="AF405" s="11">
        <f t="shared" si="107"/>
        <v>16683.1875</v>
      </c>
      <c r="AG405">
        <f t="shared" si="108"/>
        <v>7260.09</v>
      </c>
      <c r="AH405" s="11">
        <f t="shared" si="109"/>
        <v>0.41341533205210335</v>
      </c>
      <c r="AI405" s="9">
        <f t="shared" si="110"/>
        <v>0.41341533205210335</v>
      </c>
      <c r="AJ405">
        <f t="shared" si="111"/>
        <v>0</v>
      </c>
      <c r="AK405">
        <f t="shared" si="112"/>
        <v>0</v>
      </c>
      <c r="AL405">
        <f t="shared" si="113"/>
        <v>0</v>
      </c>
      <c r="AM405">
        <f t="shared" si="114"/>
        <v>0</v>
      </c>
      <c r="AN405">
        <f t="shared" si="115"/>
        <v>0</v>
      </c>
      <c r="AO405">
        <f t="shared" si="116"/>
        <v>0</v>
      </c>
      <c r="AP405">
        <f t="shared" si="117"/>
        <v>16683.189999999999</v>
      </c>
      <c r="AQ405">
        <f t="shared" si="118"/>
        <v>1</v>
      </c>
    </row>
    <row r="406" spans="1:43">
      <c r="A406" t="s">
        <v>1313</v>
      </c>
      <c r="B406" s="5">
        <v>45318</v>
      </c>
      <c r="C406" s="5">
        <v>45353</v>
      </c>
      <c r="D406" s="13">
        <f t="shared" si="102"/>
        <v>35</v>
      </c>
      <c r="E406" t="s">
        <v>1314</v>
      </c>
      <c r="F406" t="s">
        <v>89</v>
      </c>
      <c r="G406" t="s">
        <v>90</v>
      </c>
      <c r="H406" t="s">
        <v>63</v>
      </c>
      <c r="I406" t="s">
        <v>26</v>
      </c>
      <c r="J406" t="s">
        <v>109</v>
      </c>
      <c r="K406" t="s">
        <v>41</v>
      </c>
      <c r="L406" t="s">
        <v>66</v>
      </c>
      <c r="M406" t="s">
        <v>1315</v>
      </c>
      <c r="N406" t="s">
        <v>44</v>
      </c>
      <c r="O406">
        <v>3</v>
      </c>
      <c r="P406">
        <v>359.61</v>
      </c>
      <c r="Q406" s="11">
        <v>0</v>
      </c>
      <c r="R406">
        <v>1078.83</v>
      </c>
      <c r="S406">
        <v>926.35</v>
      </c>
      <c r="T406">
        <v>152.47999999999999</v>
      </c>
      <c r="U406" t="s">
        <v>32</v>
      </c>
      <c r="V406" t="s">
        <v>33</v>
      </c>
      <c r="X406" s="8" t="str">
        <f>IF(C406&gt;=B406,"Valid", "Invalid-Date")</f>
        <v>Valid</v>
      </c>
      <c r="Y406" s="8" t="str">
        <f t="shared" si="103"/>
        <v>Valid</v>
      </c>
      <c r="Z406" s="8" t="str">
        <f t="shared" si="104"/>
        <v>Pass</v>
      </c>
      <c r="AA406" s="8" t="str">
        <f t="shared" si="105"/>
        <v>Pass</v>
      </c>
      <c r="AB406" s="8" t="str">
        <f>TEXT(B406,"mmmm")</f>
        <v>January</v>
      </c>
      <c r="AC406" s="8" t="str">
        <f>TEXT(B406,"yyyy")</f>
        <v>2024</v>
      </c>
      <c r="AE406">
        <f t="shared" si="106"/>
        <v>1078.83</v>
      </c>
      <c r="AF406" s="11">
        <f t="shared" si="107"/>
        <v>1078.83</v>
      </c>
      <c r="AG406">
        <f t="shared" si="108"/>
        <v>152.4799999999999</v>
      </c>
      <c r="AH406" s="11">
        <f t="shared" si="109"/>
        <v>0.14133830167867034</v>
      </c>
      <c r="AI406" s="9">
        <f t="shared" si="110"/>
        <v>0.14133830167867034</v>
      </c>
      <c r="AJ406">
        <f t="shared" si="111"/>
        <v>1078.83</v>
      </c>
      <c r="AK406">
        <f t="shared" si="112"/>
        <v>1</v>
      </c>
      <c r="AL406">
        <f t="shared" si="113"/>
        <v>0</v>
      </c>
      <c r="AM406">
        <f t="shared" si="114"/>
        <v>0</v>
      </c>
      <c r="AN406">
        <f t="shared" si="115"/>
        <v>0</v>
      </c>
      <c r="AO406">
        <f t="shared" si="116"/>
        <v>0</v>
      </c>
      <c r="AP406">
        <f t="shared" si="117"/>
        <v>0</v>
      </c>
      <c r="AQ406">
        <f t="shared" si="118"/>
        <v>0</v>
      </c>
    </row>
    <row r="407" spans="1:43">
      <c r="A407" t="s">
        <v>1316</v>
      </c>
      <c r="B407" s="5">
        <v>45558</v>
      </c>
      <c r="C407" s="5">
        <v>45559</v>
      </c>
      <c r="D407" s="13">
        <f t="shared" si="102"/>
        <v>1</v>
      </c>
      <c r="E407" t="s">
        <v>1317</v>
      </c>
      <c r="F407" t="s">
        <v>89</v>
      </c>
      <c r="G407" t="s">
        <v>95</v>
      </c>
      <c r="H407" t="s">
        <v>63</v>
      </c>
      <c r="I407" t="s">
        <v>180</v>
      </c>
      <c r="J407" t="s">
        <v>181</v>
      </c>
      <c r="K407" t="s">
        <v>41</v>
      </c>
      <c r="L407" t="s">
        <v>158</v>
      </c>
      <c r="M407" t="s">
        <v>1318</v>
      </c>
      <c r="N407" t="s">
        <v>2785</v>
      </c>
      <c r="O407">
        <v>7</v>
      </c>
      <c r="P407">
        <v>3878.01</v>
      </c>
      <c r="Q407" s="11">
        <v>0.1</v>
      </c>
      <c r="R407">
        <v>24431.46</v>
      </c>
      <c r="S407">
        <v>18202.36</v>
      </c>
      <c r="T407">
        <v>6229.1</v>
      </c>
      <c r="U407" t="s">
        <v>32</v>
      </c>
      <c r="V407" t="s">
        <v>33</v>
      </c>
      <c r="X407" s="8" t="str">
        <f>IF(C407&gt;=B407,"Valid", "Invalid-Date")</f>
        <v>Valid</v>
      </c>
      <c r="Y407" s="8" t="str">
        <f t="shared" si="103"/>
        <v>Valid</v>
      </c>
      <c r="Z407" s="8" t="str">
        <f t="shared" si="104"/>
        <v>Flagged</v>
      </c>
      <c r="AA407" s="8" t="str">
        <f t="shared" si="105"/>
        <v>Pass</v>
      </c>
      <c r="AB407" s="8" t="str">
        <f>TEXT(B407,"mmmm")</f>
        <v>September</v>
      </c>
      <c r="AC407" s="8" t="str">
        <f>TEXT(B407,"yyyy")</f>
        <v>2024</v>
      </c>
      <c r="AE407">
        <f t="shared" si="106"/>
        <v>27146.07</v>
      </c>
      <c r="AF407" s="11">
        <f t="shared" si="107"/>
        <v>24431.463</v>
      </c>
      <c r="AG407">
        <f t="shared" si="108"/>
        <v>8943.7099999999991</v>
      </c>
      <c r="AH407" s="11">
        <f t="shared" si="109"/>
        <v>0.32946610688029609</v>
      </c>
      <c r="AI407" s="9">
        <f t="shared" si="110"/>
        <v>0.32946610688029609</v>
      </c>
      <c r="AJ407">
        <f t="shared" si="111"/>
        <v>24431.46</v>
      </c>
      <c r="AK407">
        <f t="shared" si="112"/>
        <v>1</v>
      </c>
      <c r="AL407">
        <f t="shared" si="113"/>
        <v>0</v>
      </c>
      <c r="AM407">
        <f t="shared" si="114"/>
        <v>0</v>
      </c>
      <c r="AN407">
        <f t="shared" si="115"/>
        <v>0</v>
      </c>
      <c r="AO407">
        <f t="shared" si="116"/>
        <v>0</v>
      </c>
      <c r="AP407">
        <f t="shared" si="117"/>
        <v>0</v>
      </c>
      <c r="AQ407">
        <f t="shared" si="118"/>
        <v>0</v>
      </c>
    </row>
    <row r="408" spans="1:43">
      <c r="A408" t="s">
        <v>1319</v>
      </c>
      <c r="B408" s="5">
        <v>45713</v>
      </c>
      <c r="C408" s="5">
        <v>45713</v>
      </c>
      <c r="D408" s="13">
        <f t="shared" si="102"/>
        <v>0</v>
      </c>
      <c r="E408" t="s">
        <v>1320</v>
      </c>
      <c r="F408" t="s">
        <v>264</v>
      </c>
      <c r="G408" t="s">
        <v>37</v>
      </c>
      <c r="H408" t="s">
        <v>63</v>
      </c>
      <c r="I408" t="s">
        <v>190</v>
      </c>
      <c r="J408" t="s">
        <v>191</v>
      </c>
      <c r="K408" t="s">
        <v>41</v>
      </c>
      <c r="L408" t="s">
        <v>57</v>
      </c>
      <c r="M408" t="s">
        <v>1321</v>
      </c>
      <c r="N408" t="s">
        <v>59</v>
      </c>
      <c r="O408">
        <v>2</v>
      </c>
      <c r="P408">
        <v>3924.2</v>
      </c>
      <c r="Q408" s="11">
        <v>0.25</v>
      </c>
      <c r="R408">
        <v>5886.3</v>
      </c>
      <c r="S408">
        <v>3621.76</v>
      </c>
      <c r="T408">
        <v>2264.54</v>
      </c>
      <c r="U408" t="s">
        <v>111</v>
      </c>
      <c r="V408" t="s">
        <v>103</v>
      </c>
      <c r="X408" s="8" t="str">
        <f>IF(C408&gt;=B408,"Valid", "Invalid-Date")</f>
        <v>Valid</v>
      </c>
      <c r="Y408" s="8" t="str">
        <f t="shared" si="103"/>
        <v>Valid</v>
      </c>
      <c r="Z408" s="8" t="str">
        <f t="shared" si="104"/>
        <v>Pass</v>
      </c>
      <c r="AA408" s="8" t="str">
        <f t="shared" si="105"/>
        <v>Pass</v>
      </c>
      <c r="AB408" s="8" t="str">
        <f>TEXT(B408,"mmmm")</f>
        <v>February</v>
      </c>
      <c r="AC408" s="8" t="str">
        <f>TEXT(B408,"yyyy")</f>
        <v>2025</v>
      </c>
      <c r="AE408">
        <f t="shared" si="106"/>
        <v>7848.4</v>
      </c>
      <c r="AF408" s="11">
        <f t="shared" si="107"/>
        <v>5886.2999999999993</v>
      </c>
      <c r="AG408">
        <f t="shared" si="108"/>
        <v>4226.6399999999994</v>
      </c>
      <c r="AH408" s="11">
        <f t="shared" si="109"/>
        <v>0.53853524285204624</v>
      </c>
      <c r="AI408" s="9">
        <f t="shared" si="110"/>
        <v>0.53853524285204624</v>
      </c>
      <c r="AJ408">
        <f t="shared" si="111"/>
        <v>0</v>
      </c>
      <c r="AK408">
        <f t="shared" si="112"/>
        <v>0</v>
      </c>
      <c r="AL408">
        <f t="shared" si="113"/>
        <v>0</v>
      </c>
      <c r="AM408">
        <f t="shared" si="114"/>
        <v>0</v>
      </c>
      <c r="AN408">
        <f t="shared" si="115"/>
        <v>0</v>
      </c>
      <c r="AO408">
        <f t="shared" si="116"/>
        <v>0</v>
      </c>
      <c r="AP408">
        <f t="shared" si="117"/>
        <v>5886.3</v>
      </c>
      <c r="AQ408">
        <f t="shared" si="118"/>
        <v>1</v>
      </c>
    </row>
    <row r="409" spans="1:43">
      <c r="A409" t="s">
        <v>1322</v>
      </c>
      <c r="B409" s="5">
        <v>45424</v>
      </c>
      <c r="C409" s="5">
        <v>45425</v>
      </c>
      <c r="D409" s="13">
        <f t="shared" si="102"/>
        <v>1</v>
      </c>
      <c r="E409" t="s">
        <v>1323</v>
      </c>
      <c r="F409" t="s">
        <v>118</v>
      </c>
      <c r="G409" t="s">
        <v>90</v>
      </c>
      <c r="H409" t="s">
        <v>63</v>
      </c>
      <c r="I409" t="s">
        <v>190</v>
      </c>
      <c r="J409" t="s">
        <v>191</v>
      </c>
      <c r="K409" t="s">
        <v>28</v>
      </c>
      <c r="L409" t="s">
        <v>91</v>
      </c>
      <c r="M409" t="s">
        <v>1324</v>
      </c>
      <c r="N409" t="s">
        <v>31</v>
      </c>
      <c r="O409">
        <v>3</v>
      </c>
      <c r="P409">
        <v>2644.55</v>
      </c>
      <c r="Q409" s="11">
        <v>0</v>
      </c>
      <c r="R409">
        <v>7933.65</v>
      </c>
      <c r="S409">
        <v>5698.42</v>
      </c>
      <c r="T409">
        <v>2235.23</v>
      </c>
      <c r="U409" t="s">
        <v>32</v>
      </c>
      <c r="V409" t="s">
        <v>33</v>
      </c>
      <c r="X409" s="8" t="str">
        <f>IF(C409&gt;=B409,"Valid", "Invalid-Date")</f>
        <v>Valid</v>
      </c>
      <c r="Y409" s="8" t="str">
        <f t="shared" si="103"/>
        <v>Valid</v>
      </c>
      <c r="Z409" s="8" t="str">
        <f t="shared" si="104"/>
        <v>Pass</v>
      </c>
      <c r="AA409" s="8" t="str">
        <f t="shared" si="105"/>
        <v>Pass</v>
      </c>
      <c r="AB409" s="8" t="str">
        <f>TEXT(B409,"mmmm")</f>
        <v>May</v>
      </c>
      <c r="AC409" s="8" t="str">
        <f>TEXT(B409,"yyyy")</f>
        <v>2024</v>
      </c>
      <c r="AE409">
        <f t="shared" si="106"/>
        <v>7933.6500000000005</v>
      </c>
      <c r="AF409" s="11">
        <f t="shared" si="107"/>
        <v>7933.6500000000005</v>
      </c>
      <c r="AG409">
        <f t="shared" si="108"/>
        <v>2235.2300000000005</v>
      </c>
      <c r="AH409" s="11">
        <f t="shared" si="109"/>
        <v>0.2817404347305465</v>
      </c>
      <c r="AI409" s="9">
        <f t="shared" si="110"/>
        <v>0.2817404347305465</v>
      </c>
      <c r="AJ409">
        <f t="shared" si="111"/>
        <v>7933.65</v>
      </c>
      <c r="AK409">
        <f t="shared" si="112"/>
        <v>1</v>
      </c>
      <c r="AL409">
        <f t="shared" si="113"/>
        <v>0</v>
      </c>
      <c r="AM409">
        <f t="shared" si="114"/>
        <v>0</v>
      </c>
      <c r="AN409">
        <f t="shared" si="115"/>
        <v>0</v>
      </c>
      <c r="AO409">
        <f t="shared" si="116"/>
        <v>0</v>
      </c>
      <c r="AP409">
        <f t="shared" si="117"/>
        <v>0</v>
      </c>
      <c r="AQ409">
        <f t="shared" si="118"/>
        <v>0</v>
      </c>
    </row>
    <row r="410" spans="1:43">
      <c r="A410" t="s">
        <v>1325</v>
      </c>
      <c r="B410" s="5">
        <v>45665</v>
      </c>
      <c r="C410" s="5">
        <v>45724</v>
      </c>
      <c r="D410" s="13">
        <f t="shared" si="102"/>
        <v>59</v>
      </c>
      <c r="E410" t="s">
        <v>1326</v>
      </c>
      <c r="F410" t="s">
        <v>132</v>
      </c>
      <c r="G410" t="s">
        <v>24</v>
      </c>
      <c r="H410" t="s">
        <v>63</v>
      </c>
      <c r="I410" t="s">
        <v>64</v>
      </c>
      <c r="J410" t="s">
        <v>65</v>
      </c>
      <c r="K410" t="s">
        <v>41</v>
      </c>
      <c r="L410" t="s">
        <v>66</v>
      </c>
      <c r="M410" t="s">
        <v>1327</v>
      </c>
      <c r="N410" t="s">
        <v>50</v>
      </c>
      <c r="O410">
        <v>4</v>
      </c>
      <c r="P410">
        <v>1773.46</v>
      </c>
      <c r="Q410" s="11">
        <v>0</v>
      </c>
      <c r="R410">
        <v>7093.84</v>
      </c>
      <c r="S410">
        <v>4587.49</v>
      </c>
      <c r="T410">
        <v>2506.35</v>
      </c>
      <c r="U410" t="s">
        <v>155</v>
      </c>
      <c r="V410" t="s">
        <v>103</v>
      </c>
      <c r="X410" s="8" t="str">
        <f>IF(C410&gt;=B410,"Valid", "Invalid-Date")</f>
        <v>Valid</v>
      </c>
      <c r="Y410" s="8" t="str">
        <f t="shared" si="103"/>
        <v>Valid</v>
      </c>
      <c r="Z410" s="8" t="str">
        <f t="shared" si="104"/>
        <v>Pass</v>
      </c>
      <c r="AA410" s="8" t="str">
        <f t="shared" si="105"/>
        <v>Pass</v>
      </c>
      <c r="AB410" s="8" t="str">
        <f>TEXT(B410,"mmmm")</f>
        <v>January</v>
      </c>
      <c r="AC410" s="8" t="str">
        <f>TEXT(B410,"yyyy")</f>
        <v>2025</v>
      </c>
      <c r="AE410">
        <f t="shared" si="106"/>
        <v>7093.84</v>
      </c>
      <c r="AF410" s="11">
        <f t="shared" si="107"/>
        <v>7093.84</v>
      </c>
      <c r="AG410">
        <f t="shared" si="108"/>
        <v>2506.3500000000004</v>
      </c>
      <c r="AH410" s="11">
        <f t="shared" si="109"/>
        <v>0.35331357910525191</v>
      </c>
      <c r="AI410" s="9">
        <f t="shared" si="110"/>
        <v>0.35331357910525191</v>
      </c>
      <c r="AJ410">
        <f t="shared" si="111"/>
        <v>0</v>
      </c>
      <c r="AK410">
        <f t="shared" si="112"/>
        <v>0</v>
      </c>
      <c r="AL410">
        <f t="shared" si="113"/>
        <v>0</v>
      </c>
      <c r="AM410">
        <f t="shared" si="114"/>
        <v>0</v>
      </c>
      <c r="AN410">
        <f t="shared" si="115"/>
        <v>7093.84</v>
      </c>
      <c r="AO410">
        <f t="shared" si="116"/>
        <v>1</v>
      </c>
      <c r="AP410">
        <f t="shared" si="117"/>
        <v>7093.84</v>
      </c>
      <c r="AQ410">
        <f t="shared" si="118"/>
        <v>1</v>
      </c>
    </row>
    <row r="411" spans="1:43">
      <c r="A411" t="s">
        <v>1328</v>
      </c>
      <c r="B411" s="5">
        <v>45701</v>
      </c>
      <c r="C411" s="5">
        <v>45703</v>
      </c>
      <c r="D411" s="13">
        <f t="shared" si="102"/>
        <v>2</v>
      </c>
      <c r="E411" t="s">
        <v>1329</v>
      </c>
      <c r="F411" t="s">
        <v>23</v>
      </c>
      <c r="G411" t="s">
        <v>24</v>
      </c>
      <c r="H411" t="s">
        <v>38</v>
      </c>
      <c r="I411" t="s">
        <v>166</v>
      </c>
      <c r="J411" t="s">
        <v>167</v>
      </c>
      <c r="K411" t="s">
        <v>74</v>
      </c>
      <c r="L411" t="s">
        <v>75</v>
      </c>
      <c r="M411" t="s">
        <v>1330</v>
      </c>
      <c r="N411" t="s">
        <v>44</v>
      </c>
      <c r="O411">
        <v>1</v>
      </c>
      <c r="P411">
        <v>3025.46</v>
      </c>
      <c r="Q411" s="11">
        <v>0.25</v>
      </c>
      <c r="R411">
        <v>2269.1</v>
      </c>
      <c r="S411">
        <v>1593.59</v>
      </c>
      <c r="T411">
        <v>675.51</v>
      </c>
      <c r="U411" t="s">
        <v>102</v>
      </c>
      <c r="V411" t="s">
        <v>103</v>
      </c>
      <c r="X411" s="8" t="str">
        <f>IF(C411&gt;=B411,"Valid", "Invalid-Date")</f>
        <v>Valid</v>
      </c>
      <c r="Y411" s="8" t="str">
        <f t="shared" si="103"/>
        <v>Valid</v>
      </c>
      <c r="Z411" s="8" t="str">
        <f t="shared" si="104"/>
        <v>Pass</v>
      </c>
      <c r="AA411" s="8" t="str">
        <f t="shared" si="105"/>
        <v>Pass</v>
      </c>
      <c r="AB411" s="8" t="str">
        <f>TEXT(B411,"mmmm")</f>
        <v>February</v>
      </c>
      <c r="AC411" s="8" t="str">
        <f>TEXT(B411,"yyyy")</f>
        <v>2025</v>
      </c>
      <c r="AE411">
        <f t="shared" si="106"/>
        <v>3025.46</v>
      </c>
      <c r="AF411" s="11">
        <f t="shared" si="107"/>
        <v>2269.0950000000003</v>
      </c>
      <c r="AG411">
        <f t="shared" si="108"/>
        <v>1431.8700000000001</v>
      </c>
      <c r="AH411" s="11">
        <f t="shared" si="109"/>
        <v>0.47327348568482153</v>
      </c>
      <c r="AI411" s="9">
        <f t="shared" si="110"/>
        <v>0.47327348568482153</v>
      </c>
      <c r="AJ411">
        <f t="shared" si="111"/>
        <v>0</v>
      </c>
      <c r="AK411">
        <f t="shared" si="112"/>
        <v>0</v>
      </c>
      <c r="AL411">
        <f t="shared" si="113"/>
        <v>0</v>
      </c>
      <c r="AM411">
        <f t="shared" si="114"/>
        <v>0</v>
      </c>
      <c r="AN411">
        <f t="shared" si="115"/>
        <v>0</v>
      </c>
      <c r="AO411">
        <f t="shared" si="116"/>
        <v>0</v>
      </c>
      <c r="AP411">
        <f t="shared" si="117"/>
        <v>2269.1</v>
      </c>
      <c r="AQ411">
        <f t="shared" si="118"/>
        <v>1</v>
      </c>
    </row>
    <row r="412" spans="1:43">
      <c r="A412" t="s">
        <v>1331</v>
      </c>
      <c r="B412" s="5">
        <v>45394</v>
      </c>
      <c r="C412" s="5">
        <v>45402</v>
      </c>
      <c r="D412" s="13">
        <f t="shared" si="102"/>
        <v>8</v>
      </c>
      <c r="E412" t="s">
        <v>1332</v>
      </c>
      <c r="F412" t="s">
        <v>162</v>
      </c>
      <c r="G412" t="s">
        <v>24</v>
      </c>
      <c r="H412" t="s">
        <v>63</v>
      </c>
      <c r="I412" t="s">
        <v>190</v>
      </c>
      <c r="J412" t="s">
        <v>191</v>
      </c>
      <c r="K412" t="s">
        <v>41</v>
      </c>
      <c r="L412" t="s">
        <v>42</v>
      </c>
      <c r="M412" t="s">
        <v>1333</v>
      </c>
      <c r="N412" t="s">
        <v>50</v>
      </c>
      <c r="O412">
        <v>9</v>
      </c>
      <c r="P412">
        <v>1302.6099999999999</v>
      </c>
      <c r="Q412" s="11">
        <v>0.2</v>
      </c>
      <c r="R412">
        <v>9378.7900000000009</v>
      </c>
      <c r="S412">
        <v>6774.48</v>
      </c>
      <c r="T412">
        <v>2604.31</v>
      </c>
      <c r="U412" t="s">
        <v>32</v>
      </c>
      <c r="V412" t="s">
        <v>33</v>
      </c>
      <c r="X412" s="8" t="str">
        <f>IF(C412&gt;=B412,"Valid", "Invalid-Date")</f>
        <v>Valid</v>
      </c>
      <c r="Y412" s="8" t="str">
        <f t="shared" si="103"/>
        <v>Valid</v>
      </c>
      <c r="Z412" s="8" t="str">
        <f t="shared" si="104"/>
        <v>Pass</v>
      </c>
      <c r="AA412" s="8" t="str">
        <f t="shared" si="105"/>
        <v>Pass</v>
      </c>
      <c r="AB412" s="8" t="str">
        <f>TEXT(B412,"mmmm")</f>
        <v>April</v>
      </c>
      <c r="AC412" s="8" t="str">
        <f>TEXT(B412,"yyyy")</f>
        <v>2024</v>
      </c>
      <c r="AE412">
        <f t="shared" si="106"/>
        <v>11723.49</v>
      </c>
      <c r="AF412" s="11">
        <f t="shared" si="107"/>
        <v>9378.7919999999995</v>
      </c>
      <c r="AG412">
        <f t="shared" si="108"/>
        <v>4949.01</v>
      </c>
      <c r="AH412" s="11">
        <f t="shared" si="109"/>
        <v>0.42214477088307323</v>
      </c>
      <c r="AI412" s="9">
        <f t="shared" si="110"/>
        <v>0.42214477088307323</v>
      </c>
      <c r="AJ412">
        <f t="shared" si="111"/>
        <v>9378.7900000000009</v>
      </c>
      <c r="AK412">
        <f t="shared" si="112"/>
        <v>1</v>
      </c>
      <c r="AL412">
        <f t="shared" si="113"/>
        <v>0</v>
      </c>
      <c r="AM412">
        <f t="shared" si="114"/>
        <v>0</v>
      </c>
      <c r="AN412">
        <f t="shared" si="115"/>
        <v>0</v>
      </c>
      <c r="AO412">
        <f t="shared" si="116"/>
        <v>0</v>
      </c>
      <c r="AP412">
        <f t="shared" si="117"/>
        <v>0</v>
      </c>
      <c r="AQ412">
        <f t="shared" si="118"/>
        <v>0</v>
      </c>
    </row>
    <row r="413" spans="1:43">
      <c r="A413" t="s">
        <v>1334</v>
      </c>
      <c r="B413" s="5">
        <v>45892</v>
      </c>
      <c r="C413" s="5">
        <v>45897</v>
      </c>
      <c r="D413" s="13">
        <f t="shared" si="102"/>
        <v>5</v>
      </c>
      <c r="E413" t="s">
        <v>1335</v>
      </c>
      <c r="F413" t="s">
        <v>53</v>
      </c>
      <c r="G413" t="s">
        <v>95</v>
      </c>
      <c r="H413" t="s">
        <v>63</v>
      </c>
      <c r="I413" t="s">
        <v>26</v>
      </c>
      <c r="J413" t="s">
        <v>109</v>
      </c>
      <c r="K413" t="s">
        <v>41</v>
      </c>
      <c r="L413" t="s">
        <v>42</v>
      </c>
      <c r="M413" t="s">
        <v>1336</v>
      </c>
      <c r="N413" t="s">
        <v>50</v>
      </c>
      <c r="O413">
        <v>1</v>
      </c>
      <c r="P413">
        <v>4167.8100000000004</v>
      </c>
      <c r="Q413" s="11">
        <v>0.2</v>
      </c>
      <c r="R413">
        <v>3334.25</v>
      </c>
      <c r="S413">
        <v>2768.77</v>
      </c>
      <c r="T413">
        <v>565.48</v>
      </c>
      <c r="U413" t="s">
        <v>155</v>
      </c>
      <c r="V413" t="s">
        <v>103</v>
      </c>
      <c r="X413" s="8" t="str">
        <f>IF(C413&gt;=B413,"Valid", "Invalid-Date")</f>
        <v>Valid</v>
      </c>
      <c r="Y413" s="8" t="str">
        <f t="shared" si="103"/>
        <v>Valid</v>
      </c>
      <c r="Z413" s="8" t="str">
        <f t="shared" si="104"/>
        <v>Pass</v>
      </c>
      <c r="AA413" s="8" t="str">
        <f t="shared" si="105"/>
        <v>Pass</v>
      </c>
      <c r="AB413" s="8" t="str">
        <f>TEXT(B413,"mmmm")</f>
        <v>August</v>
      </c>
      <c r="AC413" s="8" t="str">
        <f>TEXT(B413,"yyyy")</f>
        <v>2025</v>
      </c>
      <c r="AE413">
        <f t="shared" si="106"/>
        <v>4167.8100000000004</v>
      </c>
      <c r="AF413" s="11">
        <f t="shared" si="107"/>
        <v>3334.2480000000005</v>
      </c>
      <c r="AG413">
        <f t="shared" si="108"/>
        <v>1399.0400000000004</v>
      </c>
      <c r="AH413" s="11">
        <f t="shared" si="109"/>
        <v>0.33567749009671755</v>
      </c>
      <c r="AI413" s="9">
        <f t="shared" si="110"/>
        <v>0.33567749009671755</v>
      </c>
      <c r="AJ413">
        <f t="shared" si="111"/>
        <v>0</v>
      </c>
      <c r="AK413">
        <f t="shared" si="112"/>
        <v>0</v>
      </c>
      <c r="AL413">
        <f t="shared" si="113"/>
        <v>0</v>
      </c>
      <c r="AM413">
        <f t="shared" si="114"/>
        <v>0</v>
      </c>
      <c r="AN413">
        <f t="shared" si="115"/>
        <v>3334.25</v>
      </c>
      <c r="AO413">
        <f t="shared" si="116"/>
        <v>1</v>
      </c>
      <c r="AP413">
        <f t="shared" si="117"/>
        <v>3334.25</v>
      </c>
      <c r="AQ413">
        <f t="shared" si="118"/>
        <v>1</v>
      </c>
    </row>
    <row r="414" spans="1:43">
      <c r="A414" t="s">
        <v>1337</v>
      </c>
      <c r="B414" s="5">
        <v>45313</v>
      </c>
      <c r="C414" s="5">
        <v>45321</v>
      </c>
      <c r="D414" s="13">
        <f t="shared" si="102"/>
        <v>8</v>
      </c>
      <c r="E414" t="s">
        <v>1338</v>
      </c>
      <c r="F414" t="s">
        <v>47</v>
      </c>
      <c r="G414" t="s">
        <v>90</v>
      </c>
      <c r="H414" t="s">
        <v>54</v>
      </c>
      <c r="I414" t="s">
        <v>175</v>
      </c>
      <c r="J414" t="s">
        <v>176</v>
      </c>
      <c r="K414" t="s">
        <v>41</v>
      </c>
      <c r="L414" t="s">
        <v>66</v>
      </c>
      <c r="M414" t="s">
        <v>1339</v>
      </c>
      <c r="N414" t="s">
        <v>44</v>
      </c>
      <c r="O414">
        <v>1</v>
      </c>
      <c r="P414">
        <v>2111.39</v>
      </c>
      <c r="Q414" s="11">
        <v>0.25</v>
      </c>
      <c r="R414">
        <v>1583.54</v>
      </c>
      <c r="S414">
        <v>1014.19</v>
      </c>
      <c r="T414">
        <v>569.35</v>
      </c>
      <c r="U414" t="s">
        <v>32</v>
      </c>
      <c r="V414" t="s">
        <v>33</v>
      </c>
      <c r="X414" s="8" t="str">
        <f>IF(C414&gt;=B414,"Valid", "Invalid-Date")</f>
        <v>Valid</v>
      </c>
      <c r="Y414" s="8" t="str">
        <f t="shared" si="103"/>
        <v>Valid</v>
      </c>
      <c r="Z414" s="8" t="str">
        <f t="shared" si="104"/>
        <v>Pass</v>
      </c>
      <c r="AA414" s="8" t="str">
        <f t="shared" si="105"/>
        <v>Pass</v>
      </c>
      <c r="AB414" s="8" t="str">
        <f>TEXT(B414,"mmmm")</f>
        <v>January</v>
      </c>
      <c r="AC414" s="8" t="str">
        <f>TEXT(B414,"yyyy")</f>
        <v>2024</v>
      </c>
      <c r="AE414">
        <f t="shared" si="106"/>
        <v>2111.39</v>
      </c>
      <c r="AF414" s="11">
        <f t="shared" si="107"/>
        <v>1583.5425</v>
      </c>
      <c r="AG414">
        <f t="shared" si="108"/>
        <v>1097.1999999999998</v>
      </c>
      <c r="AH414" s="11">
        <f t="shared" si="109"/>
        <v>0.51965766627671817</v>
      </c>
      <c r="AI414" s="9">
        <f t="shared" si="110"/>
        <v>0.51965766627671817</v>
      </c>
      <c r="AJ414">
        <f t="shared" si="111"/>
        <v>1583.54</v>
      </c>
      <c r="AK414">
        <f t="shared" si="112"/>
        <v>1</v>
      </c>
      <c r="AL414">
        <f t="shared" si="113"/>
        <v>0</v>
      </c>
      <c r="AM414">
        <f t="shared" si="114"/>
        <v>0</v>
      </c>
      <c r="AN414">
        <f t="shared" si="115"/>
        <v>0</v>
      </c>
      <c r="AO414">
        <f t="shared" si="116"/>
        <v>0</v>
      </c>
      <c r="AP414">
        <f t="shared" si="117"/>
        <v>0</v>
      </c>
      <c r="AQ414">
        <f t="shared" si="118"/>
        <v>0</v>
      </c>
    </row>
    <row r="415" spans="1:43">
      <c r="A415" t="s">
        <v>1340</v>
      </c>
      <c r="B415" s="5">
        <v>45882</v>
      </c>
      <c r="C415" s="5">
        <v>45886</v>
      </c>
      <c r="D415" s="13">
        <f t="shared" si="102"/>
        <v>4</v>
      </c>
      <c r="E415" t="s">
        <v>1341</v>
      </c>
      <c r="F415" t="s">
        <v>79</v>
      </c>
      <c r="G415" t="s">
        <v>95</v>
      </c>
      <c r="H415" t="s">
        <v>63</v>
      </c>
      <c r="I415" t="s">
        <v>72</v>
      </c>
      <c r="J415" t="s">
        <v>73</v>
      </c>
      <c r="K415" t="s">
        <v>74</v>
      </c>
      <c r="L415" t="s">
        <v>75</v>
      </c>
      <c r="M415" t="s">
        <v>1342</v>
      </c>
      <c r="N415" t="s">
        <v>31</v>
      </c>
      <c r="O415">
        <v>8</v>
      </c>
      <c r="P415">
        <v>1918.23</v>
      </c>
      <c r="Q415" s="11">
        <v>0</v>
      </c>
      <c r="R415">
        <v>15345.84</v>
      </c>
      <c r="S415">
        <v>10735.33</v>
      </c>
      <c r="T415">
        <v>4610.51</v>
      </c>
      <c r="U415" t="s">
        <v>111</v>
      </c>
      <c r="V415" t="s">
        <v>68</v>
      </c>
      <c r="X415" s="8" t="str">
        <f>IF(C415&gt;=B415,"Valid", "Invalid-Date")</f>
        <v>Valid</v>
      </c>
      <c r="Y415" s="8" t="str">
        <f t="shared" si="103"/>
        <v>Valid</v>
      </c>
      <c r="Z415" s="8" t="str">
        <f t="shared" si="104"/>
        <v>Pass</v>
      </c>
      <c r="AA415" s="8" t="str">
        <f t="shared" si="105"/>
        <v>Pass</v>
      </c>
      <c r="AB415" s="8" t="str">
        <f>TEXT(B415,"mmmm")</f>
        <v>August</v>
      </c>
      <c r="AC415" s="8" t="str">
        <f>TEXT(B415,"yyyy")</f>
        <v>2025</v>
      </c>
      <c r="AE415">
        <f t="shared" si="106"/>
        <v>15345.84</v>
      </c>
      <c r="AF415" s="11">
        <f t="shared" si="107"/>
        <v>15345.84</v>
      </c>
      <c r="AG415">
        <f t="shared" si="108"/>
        <v>4610.51</v>
      </c>
      <c r="AH415" s="11">
        <f t="shared" si="109"/>
        <v>0.30044037993358463</v>
      </c>
      <c r="AI415" s="9">
        <f t="shared" si="110"/>
        <v>0.30044037993358463</v>
      </c>
      <c r="AJ415">
        <f t="shared" si="111"/>
        <v>0</v>
      </c>
      <c r="AK415">
        <f t="shared" si="112"/>
        <v>0</v>
      </c>
      <c r="AL415">
        <f t="shared" si="113"/>
        <v>15345.84</v>
      </c>
      <c r="AM415">
        <f t="shared" si="114"/>
        <v>1</v>
      </c>
      <c r="AN415">
        <f t="shared" si="115"/>
        <v>0</v>
      </c>
      <c r="AO415">
        <f t="shared" si="116"/>
        <v>0</v>
      </c>
      <c r="AP415">
        <f t="shared" si="117"/>
        <v>0</v>
      </c>
      <c r="AQ415">
        <f t="shared" si="118"/>
        <v>0</v>
      </c>
    </row>
    <row r="416" spans="1:43">
      <c r="A416" t="s">
        <v>1343</v>
      </c>
      <c r="B416" s="5">
        <v>45533</v>
      </c>
      <c r="C416" s="5">
        <v>45534</v>
      </c>
      <c r="D416" s="13">
        <f t="shared" si="102"/>
        <v>1</v>
      </c>
      <c r="E416" t="s">
        <v>1344</v>
      </c>
      <c r="F416" t="s">
        <v>53</v>
      </c>
      <c r="G416" t="s">
        <v>95</v>
      </c>
      <c r="H416" t="s">
        <v>38</v>
      </c>
      <c r="I416" t="s">
        <v>166</v>
      </c>
      <c r="J416" t="s">
        <v>167</v>
      </c>
      <c r="K416" t="s">
        <v>28</v>
      </c>
      <c r="L416" t="s">
        <v>124</v>
      </c>
      <c r="M416" t="s">
        <v>1345</v>
      </c>
      <c r="N416" t="s">
        <v>50</v>
      </c>
      <c r="O416">
        <v>4</v>
      </c>
      <c r="P416">
        <v>2484.08</v>
      </c>
      <c r="Q416" s="11">
        <v>0.05</v>
      </c>
      <c r="R416">
        <v>9439.5</v>
      </c>
      <c r="S416">
        <v>5519.39</v>
      </c>
      <c r="T416">
        <v>3920.11</v>
      </c>
      <c r="U416" t="s">
        <v>32</v>
      </c>
      <c r="V416" t="s">
        <v>33</v>
      </c>
      <c r="X416" s="8" t="str">
        <f>IF(C416&gt;=B416,"Valid", "Invalid-Date")</f>
        <v>Valid</v>
      </c>
      <c r="Y416" s="8" t="str">
        <f t="shared" si="103"/>
        <v>Valid</v>
      </c>
      <c r="Z416" s="8" t="str">
        <f t="shared" si="104"/>
        <v>Pass</v>
      </c>
      <c r="AA416" s="8" t="str">
        <f t="shared" si="105"/>
        <v>Pass</v>
      </c>
      <c r="AB416" s="8" t="str">
        <f>TEXT(B416,"mmmm")</f>
        <v>August</v>
      </c>
      <c r="AC416" s="8" t="str">
        <f>TEXT(B416,"yyyy")</f>
        <v>2024</v>
      </c>
      <c r="AE416">
        <f t="shared" si="106"/>
        <v>9936.32</v>
      </c>
      <c r="AF416" s="11">
        <f t="shared" si="107"/>
        <v>9439.503999999999</v>
      </c>
      <c r="AG416">
        <f t="shared" si="108"/>
        <v>4416.9299999999994</v>
      </c>
      <c r="AH416" s="11">
        <f t="shared" si="109"/>
        <v>0.4445237270941354</v>
      </c>
      <c r="AI416" s="9">
        <f t="shared" si="110"/>
        <v>0.4445237270941354</v>
      </c>
      <c r="AJ416">
        <f t="shared" si="111"/>
        <v>9439.5</v>
      </c>
      <c r="AK416">
        <f t="shared" si="112"/>
        <v>1</v>
      </c>
      <c r="AL416">
        <f t="shared" si="113"/>
        <v>0</v>
      </c>
      <c r="AM416">
        <f t="shared" si="114"/>
        <v>0</v>
      </c>
      <c r="AN416">
        <f t="shared" si="115"/>
        <v>0</v>
      </c>
      <c r="AO416">
        <f t="shared" si="116"/>
        <v>0</v>
      </c>
      <c r="AP416">
        <f t="shared" si="117"/>
        <v>0</v>
      </c>
      <c r="AQ416">
        <f t="shared" si="118"/>
        <v>0</v>
      </c>
    </row>
    <row r="417" spans="1:43">
      <c r="A417" t="s">
        <v>1346</v>
      </c>
      <c r="B417" s="5">
        <v>45316</v>
      </c>
      <c r="C417" s="5">
        <v>45318</v>
      </c>
      <c r="D417" s="13">
        <f t="shared" si="102"/>
        <v>2</v>
      </c>
      <c r="E417" t="s">
        <v>1347</v>
      </c>
      <c r="F417" t="s">
        <v>128</v>
      </c>
      <c r="G417" t="s">
        <v>90</v>
      </c>
      <c r="H417" t="s">
        <v>54</v>
      </c>
      <c r="I417" t="s">
        <v>175</v>
      </c>
      <c r="J417" t="s">
        <v>176</v>
      </c>
      <c r="K417" t="s">
        <v>28</v>
      </c>
      <c r="L417" t="s">
        <v>124</v>
      </c>
      <c r="M417" t="s">
        <v>1348</v>
      </c>
      <c r="N417" t="s">
        <v>44</v>
      </c>
      <c r="O417">
        <v>7</v>
      </c>
      <c r="P417">
        <v>1727.26</v>
      </c>
      <c r="Q417" s="11">
        <v>0.15</v>
      </c>
      <c r="R417">
        <v>10277.200000000001</v>
      </c>
      <c r="S417">
        <v>7906.5</v>
      </c>
      <c r="T417">
        <v>2370.6999999999998</v>
      </c>
      <c r="U417" t="s">
        <v>32</v>
      </c>
      <c r="V417" t="s">
        <v>103</v>
      </c>
      <c r="X417" s="8" t="str">
        <f>IF(C417&gt;=B417,"Valid", "Invalid-Date")</f>
        <v>Valid</v>
      </c>
      <c r="Y417" s="8" t="str">
        <f t="shared" si="103"/>
        <v>Valid</v>
      </c>
      <c r="Z417" s="8" t="str">
        <f t="shared" si="104"/>
        <v>Pass</v>
      </c>
      <c r="AA417" s="8" t="str">
        <f t="shared" si="105"/>
        <v>Pass</v>
      </c>
      <c r="AB417" s="8" t="str">
        <f>TEXT(B417,"mmmm")</f>
        <v>January</v>
      </c>
      <c r="AC417" s="8" t="str">
        <f>TEXT(B417,"yyyy")</f>
        <v>2024</v>
      </c>
      <c r="AE417">
        <f t="shared" si="106"/>
        <v>12090.82</v>
      </c>
      <c r="AF417" s="11">
        <f t="shared" si="107"/>
        <v>10277.197</v>
      </c>
      <c r="AG417">
        <f t="shared" si="108"/>
        <v>4184.32</v>
      </c>
      <c r="AH417" s="11">
        <f t="shared" si="109"/>
        <v>0.34607412896726608</v>
      </c>
      <c r="AI417" s="9">
        <f t="shared" si="110"/>
        <v>0.34607412896726608</v>
      </c>
      <c r="AJ417">
        <f t="shared" si="111"/>
        <v>0</v>
      </c>
      <c r="AK417">
        <f t="shared" si="112"/>
        <v>0</v>
      </c>
      <c r="AL417">
        <f t="shared" si="113"/>
        <v>0</v>
      </c>
      <c r="AM417">
        <f t="shared" si="114"/>
        <v>0</v>
      </c>
      <c r="AN417">
        <f t="shared" si="115"/>
        <v>0</v>
      </c>
      <c r="AO417">
        <f t="shared" si="116"/>
        <v>0</v>
      </c>
      <c r="AP417">
        <f t="shared" si="117"/>
        <v>10277.200000000001</v>
      </c>
      <c r="AQ417">
        <f t="shared" si="118"/>
        <v>1</v>
      </c>
    </row>
    <row r="418" spans="1:43">
      <c r="A418" t="s">
        <v>1349</v>
      </c>
      <c r="B418" s="5">
        <v>45665</v>
      </c>
      <c r="C418" s="5">
        <v>45673</v>
      </c>
      <c r="D418" s="13">
        <f t="shared" si="102"/>
        <v>8</v>
      </c>
      <c r="E418" t="s">
        <v>1350</v>
      </c>
      <c r="F418" t="s">
        <v>79</v>
      </c>
      <c r="G418" t="s">
        <v>24</v>
      </c>
      <c r="H418" t="s">
        <v>54</v>
      </c>
      <c r="I418" t="s">
        <v>55</v>
      </c>
      <c r="J418" t="s">
        <v>56</v>
      </c>
      <c r="K418" t="s">
        <v>41</v>
      </c>
      <c r="L418" t="s">
        <v>57</v>
      </c>
      <c r="M418" t="s">
        <v>1351</v>
      </c>
      <c r="N418" t="s">
        <v>50</v>
      </c>
      <c r="O418">
        <v>8</v>
      </c>
      <c r="P418">
        <v>638.95000000000005</v>
      </c>
      <c r="Q418" s="11">
        <v>0.25</v>
      </c>
      <c r="R418">
        <v>3833.7</v>
      </c>
      <c r="S418">
        <v>2886.35</v>
      </c>
      <c r="T418">
        <v>947.35</v>
      </c>
      <c r="U418" t="s">
        <v>32</v>
      </c>
      <c r="V418" t="s">
        <v>33</v>
      </c>
      <c r="X418" s="8" t="str">
        <f>IF(C418&gt;=B418,"Valid", "Invalid-Date")</f>
        <v>Valid</v>
      </c>
      <c r="Y418" s="8" t="str">
        <f t="shared" si="103"/>
        <v>Valid</v>
      </c>
      <c r="Z418" s="8" t="str">
        <f t="shared" si="104"/>
        <v>Pass</v>
      </c>
      <c r="AA418" s="8" t="str">
        <f t="shared" si="105"/>
        <v>Pass</v>
      </c>
      <c r="AB418" s="8" t="str">
        <f>TEXT(B418,"mmmm")</f>
        <v>January</v>
      </c>
      <c r="AC418" s="8" t="str">
        <f>TEXT(B418,"yyyy")</f>
        <v>2025</v>
      </c>
      <c r="AE418">
        <f t="shared" si="106"/>
        <v>5111.6000000000004</v>
      </c>
      <c r="AF418" s="11">
        <f t="shared" si="107"/>
        <v>3833.7000000000003</v>
      </c>
      <c r="AG418">
        <f t="shared" si="108"/>
        <v>2225.2500000000005</v>
      </c>
      <c r="AH418" s="11">
        <f t="shared" si="109"/>
        <v>0.43533335941779489</v>
      </c>
      <c r="AI418" s="9">
        <f t="shared" si="110"/>
        <v>0.43533335941779489</v>
      </c>
      <c r="AJ418">
        <f t="shared" si="111"/>
        <v>3833.7</v>
      </c>
      <c r="AK418">
        <f t="shared" si="112"/>
        <v>1</v>
      </c>
      <c r="AL418">
        <f t="shared" si="113"/>
        <v>0</v>
      </c>
      <c r="AM418">
        <f t="shared" si="114"/>
        <v>0</v>
      </c>
      <c r="AN418">
        <f t="shared" si="115"/>
        <v>0</v>
      </c>
      <c r="AO418">
        <f t="shared" si="116"/>
        <v>0</v>
      </c>
      <c r="AP418">
        <f t="shared" si="117"/>
        <v>0</v>
      </c>
      <c r="AQ418">
        <f t="shared" si="118"/>
        <v>0</v>
      </c>
    </row>
    <row r="419" spans="1:43">
      <c r="A419" t="s">
        <v>1352</v>
      </c>
      <c r="B419" s="5">
        <v>45686</v>
      </c>
      <c r="C419" s="5">
        <v>45779</v>
      </c>
      <c r="D419" s="13">
        <f t="shared" si="102"/>
        <v>93</v>
      </c>
      <c r="E419" t="s">
        <v>1353</v>
      </c>
      <c r="F419" t="s">
        <v>36</v>
      </c>
      <c r="G419" t="s">
        <v>24</v>
      </c>
      <c r="H419" t="s">
        <v>63</v>
      </c>
      <c r="I419" t="s">
        <v>180</v>
      </c>
      <c r="J419" t="s">
        <v>181</v>
      </c>
      <c r="K419" t="s">
        <v>28</v>
      </c>
      <c r="L419" t="s">
        <v>48</v>
      </c>
      <c r="M419" t="s">
        <v>1354</v>
      </c>
      <c r="N419" t="s">
        <v>50</v>
      </c>
      <c r="O419">
        <v>6</v>
      </c>
      <c r="P419">
        <v>3863</v>
      </c>
      <c r="Q419" s="11">
        <v>0.2</v>
      </c>
      <c r="R419">
        <v>18542.400000000001</v>
      </c>
      <c r="S419">
        <v>11193.75</v>
      </c>
      <c r="T419">
        <v>7348.65</v>
      </c>
      <c r="U419" t="s">
        <v>32</v>
      </c>
      <c r="V419" t="s">
        <v>33</v>
      </c>
      <c r="X419" s="8" t="str">
        <f>IF(C419&gt;=B419,"Valid", "Invalid-Date")</f>
        <v>Valid</v>
      </c>
      <c r="Y419" s="8" t="str">
        <f t="shared" si="103"/>
        <v>Valid</v>
      </c>
      <c r="Z419" s="8" t="str">
        <f t="shared" si="104"/>
        <v>Pass</v>
      </c>
      <c r="AA419" s="8" t="str">
        <f t="shared" si="105"/>
        <v>Pass</v>
      </c>
      <c r="AB419" s="8" t="str">
        <f>TEXT(B419,"mmmm")</f>
        <v>January</v>
      </c>
      <c r="AC419" s="8" t="str">
        <f>TEXT(B419,"yyyy")</f>
        <v>2025</v>
      </c>
      <c r="AE419">
        <f t="shared" si="106"/>
        <v>23178</v>
      </c>
      <c r="AF419" s="11">
        <f t="shared" si="107"/>
        <v>18542.400000000001</v>
      </c>
      <c r="AG419">
        <f t="shared" si="108"/>
        <v>11984.25</v>
      </c>
      <c r="AH419" s="11">
        <f t="shared" si="109"/>
        <v>0.51705280869790315</v>
      </c>
      <c r="AI419" s="9">
        <f t="shared" si="110"/>
        <v>0.51705280869790315</v>
      </c>
      <c r="AJ419">
        <f t="shared" si="111"/>
        <v>18542.400000000001</v>
      </c>
      <c r="AK419">
        <f t="shared" si="112"/>
        <v>1</v>
      </c>
      <c r="AL419">
        <f t="shared" si="113"/>
        <v>0</v>
      </c>
      <c r="AM419">
        <f t="shared" si="114"/>
        <v>0</v>
      </c>
      <c r="AN419">
        <f t="shared" si="115"/>
        <v>0</v>
      </c>
      <c r="AO419">
        <f t="shared" si="116"/>
        <v>0</v>
      </c>
      <c r="AP419">
        <f t="shared" si="117"/>
        <v>0</v>
      </c>
      <c r="AQ419">
        <f t="shared" si="118"/>
        <v>0</v>
      </c>
    </row>
    <row r="420" spans="1:43">
      <c r="A420" t="s">
        <v>1355</v>
      </c>
      <c r="B420" s="5">
        <v>45546</v>
      </c>
      <c r="C420" s="5">
        <v>45613</v>
      </c>
      <c r="D420" s="13">
        <f t="shared" si="102"/>
        <v>67</v>
      </c>
      <c r="E420" t="s">
        <v>1356</v>
      </c>
      <c r="F420" t="s">
        <v>132</v>
      </c>
      <c r="G420" t="s">
        <v>90</v>
      </c>
      <c r="H420" t="s">
        <v>38</v>
      </c>
      <c r="I420" t="s">
        <v>39</v>
      </c>
      <c r="J420" t="s">
        <v>40</v>
      </c>
      <c r="K420" t="s">
        <v>74</v>
      </c>
      <c r="L420" t="s">
        <v>80</v>
      </c>
      <c r="M420" t="s">
        <v>1357</v>
      </c>
      <c r="N420" t="s">
        <v>59</v>
      </c>
      <c r="O420">
        <v>6</v>
      </c>
      <c r="P420">
        <v>3660.4</v>
      </c>
      <c r="Q420" s="11">
        <v>0</v>
      </c>
      <c r="R420">
        <v>21962.400000000001</v>
      </c>
      <c r="S420">
        <v>15331.99</v>
      </c>
      <c r="T420">
        <v>6630.41</v>
      </c>
      <c r="U420" t="s">
        <v>155</v>
      </c>
      <c r="V420" t="s">
        <v>68</v>
      </c>
      <c r="X420" s="8" t="str">
        <f>IF(C420&gt;=B420,"Valid", "Invalid-Date")</f>
        <v>Valid</v>
      </c>
      <c r="Y420" s="8" t="str">
        <f t="shared" si="103"/>
        <v>Valid</v>
      </c>
      <c r="Z420" s="8" t="str">
        <f t="shared" si="104"/>
        <v>Pass</v>
      </c>
      <c r="AA420" s="8" t="str">
        <f t="shared" si="105"/>
        <v>Pass</v>
      </c>
      <c r="AB420" s="8" t="str">
        <f>TEXT(B420,"mmmm")</f>
        <v>September</v>
      </c>
      <c r="AC420" s="8" t="str">
        <f>TEXT(B420,"yyyy")</f>
        <v>2024</v>
      </c>
      <c r="AE420">
        <f t="shared" si="106"/>
        <v>21962.400000000001</v>
      </c>
      <c r="AF420" s="11">
        <f t="shared" si="107"/>
        <v>21962.400000000001</v>
      </c>
      <c r="AG420">
        <f t="shared" si="108"/>
        <v>6630.4100000000017</v>
      </c>
      <c r="AH420" s="11">
        <f t="shared" si="109"/>
        <v>0.3018982442720286</v>
      </c>
      <c r="AI420" s="9">
        <f t="shared" si="110"/>
        <v>0.3018982442720286</v>
      </c>
      <c r="AJ420">
        <f t="shared" si="111"/>
        <v>0</v>
      </c>
      <c r="AK420">
        <f t="shared" si="112"/>
        <v>0</v>
      </c>
      <c r="AL420">
        <f t="shared" si="113"/>
        <v>21962.400000000001</v>
      </c>
      <c r="AM420">
        <f t="shared" si="114"/>
        <v>1</v>
      </c>
      <c r="AN420">
        <f t="shared" si="115"/>
        <v>21962.400000000001</v>
      </c>
      <c r="AO420">
        <f t="shared" si="116"/>
        <v>1</v>
      </c>
      <c r="AP420">
        <f t="shared" si="117"/>
        <v>0</v>
      </c>
      <c r="AQ420">
        <f t="shared" si="118"/>
        <v>0</v>
      </c>
    </row>
    <row r="421" spans="1:43">
      <c r="A421" t="s">
        <v>1358</v>
      </c>
      <c r="B421" s="5">
        <v>45926</v>
      </c>
      <c r="C421" s="5">
        <v>45930</v>
      </c>
      <c r="D421" s="13">
        <f t="shared" si="102"/>
        <v>4</v>
      </c>
      <c r="E421" t="s">
        <v>1359</v>
      </c>
      <c r="F421" t="s">
        <v>132</v>
      </c>
      <c r="G421" t="s">
        <v>95</v>
      </c>
      <c r="H421" t="s">
        <v>25</v>
      </c>
      <c r="I421" t="s">
        <v>236</v>
      </c>
      <c r="J421" t="s">
        <v>237</v>
      </c>
      <c r="K421" t="s">
        <v>74</v>
      </c>
      <c r="L421" t="s">
        <v>171</v>
      </c>
      <c r="M421" t="s">
        <v>1360</v>
      </c>
      <c r="N421" t="s">
        <v>44</v>
      </c>
      <c r="O421">
        <v>2</v>
      </c>
      <c r="P421">
        <v>688.83</v>
      </c>
      <c r="Q421" s="11">
        <v>0.05</v>
      </c>
      <c r="R421">
        <v>1308.78</v>
      </c>
      <c r="S421">
        <v>843</v>
      </c>
      <c r="T421">
        <v>465.78</v>
      </c>
      <c r="U421" t="s">
        <v>32</v>
      </c>
      <c r="V421" t="s">
        <v>33</v>
      </c>
      <c r="X421" s="8" t="str">
        <f>IF(C421&gt;=B421,"Valid", "Invalid-Date")</f>
        <v>Valid</v>
      </c>
      <c r="Y421" s="8" t="str">
        <f t="shared" si="103"/>
        <v>Valid</v>
      </c>
      <c r="Z421" s="8" t="str">
        <f t="shared" si="104"/>
        <v>Pass</v>
      </c>
      <c r="AA421" s="8" t="str">
        <f t="shared" si="105"/>
        <v>Pass</v>
      </c>
      <c r="AB421" s="8" t="str">
        <f>TEXT(B421,"mmmm")</f>
        <v>September</v>
      </c>
      <c r="AC421" s="8" t="str">
        <f>TEXT(B421,"yyyy")</f>
        <v>2025</v>
      </c>
      <c r="AE421">
        <f t="shared" si="106"/>
        <v>1377.66</v>
      </c>
      <c r="AF421" s="11">
        <f t="shared" si="107"/>
        <v>1308.777</v>
      </c>
      <c r="AG421">
        <f t="shared" si="108"/>
        <v>534.66000000000008</v>
      </c>
      <c r="AH421" s="11">
        <f t="shared" si="109"/>
        <v>0.38809285309873265</v>
      </c>
      <c r="AI421" s="9">
        <f t="shared" si="110"/>
        <v>0.38809285309873265</v>
      </c>
      <c r="AJ421">
        <f t="shared" si="111"/>
        <v>1308.78</v>
      </c>
      <c r="AK421">
        <f t="shared" si="112"/>
        <v>1</v>
      </c>
      <c r="AL421">
        <f t="shared" si="113"/>
        <v>0</v>
      </c>
      <c r="AM421">
        <f t="shared" si="114"/>
        <v>0</v>
      </c>
      <c r="AN421">
        <f t="shared" si="115"/>
        <v>0</v>
      </c>
      <c r="AO421">
        <f t="shared" si="116"/>
        <v>0</v>
      </c>
      <c r="AP421">
        <f t="shared" si="117"/>
        <v>0</v>
      </c>
      <c r="AQ421">
        <f t="shared" si="118"/>
        <v>0</v>
      </c>
    </row>
    <row r="422" spans="1:43">
      <c r="A422" t="s">
        <v>1361</v>
      </c>
      <c r="B422" s="5">
        <v>45734</v>
      </c>
      <c r="C422" s="5">
        <v>45735</v>
      </c>
      <c r="D422" s="13">
        <f t="shared" si="102"/>
        <v>1</v>
      </c>
      <c r="E422" t="s">
        <v>1362</v>
      </c>
      <c r="F422" t="s">
        <v>47</v>
      </c>
      <c r="G422" t="s">
        <v>90</v>
      </c>
      <c r="H422" t="s">
        <v>54</v>
      </c>
      <c r="I422" t="s">
        <v>247</v>
      </c>
      <c r="J422" t="s">
        <v>248</v>
      </c>
      <c r="K422" t="s">
        <v>74</v>
      </c>
      <c r="L422" t="s">
        <v>274</v>
      </c>
      <c r="M422" t="s">
        <v>1363</v>
      </c>
      <c r="N422" t="s">
        <v>59</v>
      </c>
      <c r="O422">
        <v>2</v>
      </c>
      <c r="P422">
        <v>1209.99</v>
      </c>
      <c r="Q422" s="11">
        <v>0.25</v>
      </c>
      <c r="R422">
        <v>1814.99</v>
      </c>
      <c r="S422">
        <v>1120.06</v>
      </c>
      <c r="T422">
        <v>694.93</v>
      </c>
      <c r="U422" t="s">
        <v>111</v>
      </c>
      <c r="V422" t="s">
        <v>68</v>
      </c>
      <c r="X422" s="8" t="str">
        <f>IF(C422&gt;=B422,"Valid", "Invalid-Date")</f>
        <v>Valid</v>
      </c>
      <c r="Y422" s="8" t="str">
        <f t="shared" si="103"/>
        <v>Valid</v>
      </c>
      <c r="Z422" s="8" t="str">
        <f t="shared" si="104"/>
        <v>Pass</v>
      </c>
      <c r="AA422" s="8" t="str">
        <f t="shared" si="105"/>
        <v>Pass</v>
      </c>
      <c r="AB422" s="8" t="str">
        <f>TEXT(B422,"mmmm")</f>
        <v>March</v>
      </c>
      <c r="AC422" s="8" t="str">
        <f>TEXT(B422,"yyyy")</f>
        <v>2025</v>
      </c>
      <c r="AE422">
        <f t="shared" si="106"/>
        <v>2419.98</v>
      </c>
      <c r="AF422" s="11">
        <f t="shared" si="107"/>
        <v>1814.9850000000001</v>
      </c>
      <c r="AG422">
        <f t="shared" si="108"/>
        <v>1299.92</v>
      </c>
      <c r="AH422" s="11">
        <f t="shared" si="109"/>
        <v>0.53716146414433175</v>
      </c>
      <c r="AI422" s="9">
        <f t="shared" si="110"/>
        <v>0.53716146414433175</v>
      </c>
      <c r="AJ422">
        <f t="shared" si="111"/>
        <v>0</v>
      </c>
      <c r="AK422">
        <f t="shared" si="112"/>
        <v>0</v>
      </c>
      <c r="AL422">
        <f t="shared" si="113"/>
        <v>1814.99</v>
      </c>
      <c r="AM422">
        <f t="shared" si="114"/>
        <v>1</v>
      </c>
      <c r="AN422">
        <f t="shared" si="115"/>
        <v>0</v>
      </c>
      <c r="AO422">
        <f t="shared" si="116"/>
        <v>0</v>
      </c>
      <c r="AP422">
        <f t="shared" si="117"/>
        <v>0</v>
      </c>
      <c r="AQ422">
        <f t="shared" si="118"/>
        <v>0</v>
      </c>
    </row>
    <row r="423" spans="1:43">
      <c r="A423" t="s">
        <v>1364</v>
      </c>
      <c r="B423" s="5">
        <v>45822</v>
      </c>
      <c r="C423" s="5">
        <v>45827</v>
      </c>
      <c r="D423" s="13">
        <f t="shared" si="102"/>
        <v>5</v>
      </c>
      <c r="E423" t="s">
        <v>1365</v>
      </c>
      <c r="F423" t="s">
        <v>141</v>
      </c>
      <c r="G423" t="s">
        <v>37</v>
      </c>
      <c r="H423" t="s">
        <v>25</v>
      </c>
      <c r="I423" t="s">
        <v>350</v>
      </c>
      <c r="J423" t="s">
        <v>351</v>
      </c>
      <c r="K423" t="s">
        <v>28</v>
      </c>
      <c r="L423" t="s">
        <v>153</v>
      </c>
      <c r="M423" t="s">
        <v>1366</v>
      </c>
      <c r="N423" t="s">
        <v>44</v>
      </c>
      <c r="O423">
        <v>3</v>
      </c>
      <c r="P423">
        <v>1037.45</v>
      </c>
      <c r="Q423" s="11">
        <v>0.2</v>
      </c>
      <c r="R423">
        <v>2489.88</v>
      </c>
      <c r="S423">
        <v>1707.52</v>
      </c>
      <c r="T423">
        <v>782.36</v>
      </c>
      <c r="U423" t="s">
        <v>111</v>
      </c>
      <c r="V423" t="s">
        <v>103</v>
      </c>
      <c r="X423" s="8" t="str">
        <f>IF(C423&gt;=B423,"Valid", "Invalid-Date")</f>
        <v>Valid</v>
      </c>
      <c r="Y423" s="8" t="str">
        <f t="shared" si="103"/>
        <v>Valid</v>
      </c>
      <c r="Z423" s="8" t="str">
        <f t="shared" si="104"/>
        <v>Pass</v>
      </c>
      <c r="AA423" s="8" t="str">
        <f t="shared" si="105"/>
        <v>Pass</v>
      </c>
      <c r="AB423" s="8" t="str">
        <f>TEXT(B423,"mmmm")</f>
        <v>June</v>
      </c>
      <c r="AC423" s="8" t="str">
        <f>TEXT(B423,"yyyy")</f>
        <v>2025</v>
      </c>
      <c r="AE423">
        <f t="shared" si="106"/>
        <v>3112.3500000000004</v>
      </c>
      <c r="AF423" s="11">
        <f t="shared" si="107"/>
        <v>2489.8800000000006</v>
      </c>
      <c r="AG423">
        <f t="shared" si="108"/>
        <v>1404.8300000000004</v>
      </c>
      <c r="AH423" s="11">
        <f t="shared" si="109"/>
        <v>0.45137275692001227</v>
      </c>
      <c r="AI423" s="9">
        <f t="shared" si="110"/>
        <v>0.45137275692001227</v>
      </c>
      <c r="AJ423">
        <f t="shared" si="111"/>
        <v>0</v>
      </c>
      <c r="AK423">
        <f t="shared" si="112"/>
        <v>0</v>
      </c>
      <c r="AL423">
        <f t="shared" si="113"/>
        <v>0</v>
      </c>
      <c r="AM423">
        <f t="shared" si="114"/>
        <v>0</v>
      </c>
      <c r="AN423">
        <f t="shared" si="115"/>
        <v>0</v>
      </c>
      <c r="AO423">
        <f t="shared" si="116"/>
        <v>0</v>
      </c>
      <c r="AP423">
        <f t="shared" si="117"/>
        <v>2489.88</v>
      </c>
      <c r="AQ423">
        <f t="shared" si="118"/>
        <v>1</v>
      </c>
    </row>
    <row r="424" spans="1:43">
      <c r="A424" t="s">
        <v>1367</v>
      </c>
      <c r="B424" s="5">
        <v>45725</v>
      </c>
      <c r="C424" s="5">
        <v>45817</v>
      </c>
      <c r="D424" s="13">
        <f t="shared" si="102"/>
        <v>92</v>
      </c>
      <c r="E424" t="s">
        <v>1368</v>
      </c>
      <c r="F424" t="s">
        <v>264</v>
      </c>
      <c r="G424" t="s">
        <v>24</v>
      </c>
      <c r="H424" t="s">
        <v>63</v>
      </c>
      <c r="I424" t="s">
        <v>72</v>
      </c>
      <c r="J424" t="s">
        <v>73</v>
      </c>
      <c r="K424" t="s">
        <v>74</v>
      </c>
      <c r="L424" t="s">
        <v>80</v>
      </c>
      <c r="M424" t="s">
        <v>1369</v>
      </c>
      <c r="N424" t="s">
        <v>44</v>
      </c>
      <c r="O424">
        <v>7</v>
      </c>
      <c r="P424">
        <v>688.85</v>
      </c>
      <c r="Q424" s="11">
        <v>0.15</v>
      </c>
      <c r="R424">
        <v>4098.66</v>
      </c>
      <c r="S424">
        <v>2678.06</v>
      </c>
      <c r="T424">
        <v>1420.6</v>
      </c>
      <c r="U424" t="s">
        <v>32</v>
      </c>
      <c r="V424" t="s">
        <v>33</v>
      </c>
      <c r="X424" s="8" t="str">
        <f>IF(C424&gt;=B424,"Valid", "Invalid-Date")</f>
        <v>Valid</v>
      </c>
      <c r="Y424" s="8" t="str">
        <f t="shared" si="103"/>
        <v>Valid</v>
      </c>
      <c r="Z424" s="8" t="str">
        <f t="shared" si="104"/>
        <v>Pass</v>
      </c>
      <c r="AA424" s="8" t="str">
        <f t="shared" si="105"/>
        <v>Pass</v>
      </c>
      <c r="AB424" s="8" t="str">
        <f>TEXT(B424,"mmmm")</f>
        <v>March</v>
      </c>
      <c r="AC424" s="8" t="str">
        <f>TEXT(B424,"yyyy")</f>
        <v>2025</v>
      </c>
      <c r="AE424">
        <f t="shared" si="106"/>
        <v>4821.95</v>
      </c>
      <c r="AF424" s="11">
        <f t="shared" si="107"/>
        <v>4098.6574999999993</v>
      </c>
      <c r="AG424">
        <f t="shared" si="108"/>
        <v>2143.89</v>
      </c>
      <c r="AH424" s="11">
        <f t="shared" si="109"/>
        <v>0.44461058285548377</v>
      </c>
      <c r="AI424" s="9">
        <f t="shared" si="110"/>
        <v>0.44461058285548377</v>
      </c>
      <c r="AJ424">
        <f t="shared" si="111"/>
        <v>4098.66</v>
      </c>
      <c r="AK424">
        <f t="shared" si="112"/>
        <v>1</v>
      </c>
      <c r="AL424">
        <f t="shared" si="113"/>
        <v>0</v>
      </c>
      <c r="AM424">
        <f t="shared" si="114"/>
        <v>0</v>
      </c>
      <c r="AN424">
        <f t="shared" si="115"/>
        <v>0</v>
      </c>
      <c r="AO424">
        <f t="shared" si="116"/>
        <v>0</v>
      </c>
      <c r="AP424">
        <f t="shared" si="117"/>
        <v>0</v>
      </c>
      <c r="AQ424">
        <f t="shared" si="118"/>
        <v>0</v>
      </c>
    </row>
    <row r="425" spans="1:43" s="15" customFormat="1">
      <c r="A425" s="15" t="s">
        <v>1370</v>
      </c>
      <c r="B425" s="16">
        <v>45342</v>
      </c>
      <c r="C425" s="16">
        <v>45349</v>
      </c>
      <c r="D425" s="17">
        <f t="shared" si="102"/>
        <v>7</v>
      </c>
      <c r="E425" s="15" t="s">
        <v>1371</v>
      </c>
      <c r="F425" s="15" t="s">
        <v>162</v>
      </c>
      <c r="G425" s="15" t="s">
        <v>24</v>
      </c>
      <c r="H425" s="15" t="s">
        <v>54</v>
      </c>
      <c r="I425" s="15" t="s">
        <v>185</v>
      </c>
      <c r="J425" s="15" t="s">
        <v>186</v>
      </c>
      <c r="K425" s="15" t="s">
        <v>74</v>
      </c>
      <c r="L425" s="15" t="s">
        <v>75</v>
      </c>
      <c r="M425" s="15" t="s">
        <v>1372</v>
      </c>
      <c r="N425" s="15" t="s">
        <v>50</v>
      </c>
      <c r="O425" s="15">
        <v>9</v>
      </c>
      <c r="P425" s="15">
        <v>3779.31</v>
      </c>
      <c r="Q425" s="18">
        <v>0.2</v>
      </c>
      <c r="R425" s="15">
        <v>27211.03</v>
      </c>
      <c r="S425" s="15">
        <v>17940.43</v>
      </c>
      <c r="T425" s="15">
        <v>9270.6</v>
      </c>
      <c r="U425" s="15" t="s">
        <v>32</v>
      </c>
      <c r="V425" s="15" t="s">
        <v>33</v>
      </c>
      <c r="W425" s="25"/>
      <c r="X425" s="8" t="str">
        <f>IF(C425&gt;=B425,"Valid", "Invalid-Date")</f>
        <v>Valid</v>
      </c>
      <c r="Y425" s="8" t="str">
        <f t="shared" si="103"/>
        <v>Valid</v>
      </c>
      <c r="Z425" s="19" t="str">
        <f t="shared" si="104"/>
        <v>Pass</v>
      </c>
      <c r="AA425" s="19" t="str">
        <f t="shared" si="105"/>
        <v>Pass</v>
      </c>
      <c r="AB425" s="19" t="str">
        <f>TEXT(B425,"mmmm")</f>
        <v>February</v>
      </c>
      <c r="AC425" s="19" t="str">
        <f>TEXT(B425,"yyyy")</f>
        <v>2024</v>
      </c>
      <c r="AD425" s="20"/>
      <c r="AE425" s="15">
        <f t="shared" si="106"/>
        <v>34013.79</v>
      </c>
      <c r="AF425" s="11">
        <f t="shared" si="107"/>
        <v>27211.032000000003</v>
      </c>
      <c r="AG425" s="15">
        <f t="shared" si="108"/>
        <v>16073.36</v>
      </c>
      <c r="AH425" s="18">
        <f t="shared" si="109"/>
        <v>0.47255421992080271</v>
      </c>
      <c r="AI425" s="21">
        <f t="shared" si="110"/>
        <v>0.47255421992080271</v>
      </c>
      <c r="AJ425">
        <f t="shared" si="111"/>
        <v>27211.03</v>
      </c>
      <c r="AK425">
        <f t="shared" si="112"/>
        <v>1</v>
      </c>
      <c r="AL425">
        <f t="shared" si="113"/>
        <v>0</v>
      </c>
      <c r="AM425">
        <f t="shared" si="114"/>
        <v>0</v>
      </c>
      <c r="AN425">
        <f t="shared" si="115"/>
        <v>0</v>
      </c>
      <c r="AO425">
        <f t="shared" si="116"/>
        <v>0</v>
      </c>
      <c r="AP425">
        <f t="shared" si="117"/>
        <v>0</v>
      </c>
      <c r="AQ425">
        <f t="shared" si="118"/>
        <v>0</v>
      </c>
    </row>
    <row r="426" spans="1:43">
      <c r="A426" t="s">
        <v>1373</v>
      </c>
      <c r="B426" s="5">
        <v>45469</v>
      </c>
      <c r="C426" s="5">
        <v>45472</v>
      </c>
      <c r="D426" s="13">
        <f t="shared" si="102"/>
        <v>3</v>
      </c>
      <c r="E426" t="s">
        <v>1374</v>
      </c>
      <c r="F426" t="s">
        <v>79</v>
      </c>
      <c r="G426" t="s">
        <v>90</v>
      </c>
      <c r="H426" t="s">
        <v>25</v>
      </c>
      <c r="I426" t="s">
        <v>122</v>
      </c>
      <c r="J426" t="s">
        <v>123</v>
      </c>
      <c r="K426" t="s">
        <v>74</v>
      </c>
      <c r="L426" t="s">
        <v>171</v>
      </c>
      <c r="M426" t="s">
        <v>1375</v>
      </c>
      <c r="N426" t="s">
        <v>59</v>
      </c>
      <c r="O426">
        <v>8</v>
      </c>
      <c r="P426">
        <v>804.52</v>
      </c>
      <c r="Q426" s="11">
        <v>0</v>
      </c>
      <c r="R426">
        <v>6436.16</v>
      </c>
      <c r="S426">
        <v>4263.83</v>
      </c>
      <c r="T426">
        <v>2172.33</v>
      </c>
      <c r="U426" t="s">
        <v>32</v>
      </c>
      <c r="V426" t="s">
        <v>33</v>
      </c>
      <c r="X426" s="8" t="str">
        <f>IF(C426&gt;=B426,"Valid", "Invalid-Date")</f>
        <v>Valid</v>
      </c>
      <c r="Y426" s="8" t="str">
        <f t="shared" si="103"/>
        <v>Valid</v>
      </c>
      <c r="Z426" s="8" t="str">
        <f t="shared" si="104"/>
        <v>Pass</v>
      </c>
      <c r="AA426" s="8" t="str">
        <f t="shared" si="105"/>
        <v>Pass</v>
      </c>
      <c r="AB426" s="8" t="str">
        <f>TEXT(B426,"mmmm")</f>
        <v>June</v>
      </c>
      <c r="AC426" s="8" t="str">
        <f>TEXT(B426,"yyyy")</f>
        <v>2024</v>
      </c>
      <c r="AE426">
        <f t="shared" si="106"/>
        <v>6436.16</v>
      </c>
      <c r="AF426" s="11">
        <f t="shared" si="107"/>
        <v>6436.16</v>
      </c>
      <c r="AG426">
        <f t="shared" si="108"/>
        <v>2172.33</v>
      </c>
      <c r="AH426" s="11">
        <f t="shared" si="109"/>
        <v>0.33751957689056827</v>
      </c>
      <c r="AI426" s="9">
        <f t="shared" si="110"/>
        <v>0.33751957689056827</v>
      </c>
      <c r="AJ426">
        <f t="shared" si="111"/>
        <v>6436.16</v>
      </c>
      <c r="AK426">
        <f t="shared" si="112"/>
        <v>1</v>
      </c>
      <c r="AL426">
        <f t="shared" si="113"/>
        <v>0</v>
      </c>
      <c r="AM426">
        <f t="shared" si="114"/>
        <v>0</v>
      </c>
      <c r="AN426">
        <f t="shared" si="115"/>
        <v>0</v>
      </c>
      <c r="AO426">
        <f t="shared" si="116"/>
        <v>0</v>
      </c>
      <c r="AP426">
        <f t="shared" si="117"/>
        <v>0</v>
      </c>
      <c r="AQ426">
        <f t="shared" si="118"/>
        <v>0</v>
      </c>
    </row>
    <row r="427" spans="1:43">
      <c r="A427" t="s">
        <v>1376</v>
      </c>
      <c r="B427" s="5">
        <v>45561</v>
      </c>
      <c r="C427" s="5">
        <v>45562</v>
      </c>
      <c r="D427" s="13">
        <f t="shared" si="102"/>
        <v>1</v>
      </c>
      <c r="E427" t="s">
        <v>1377</v>
      </c>
      <c r="F427" t="s">
        <v>47</v>
      </c>
      <c r="G427" t="s">
        <v>95</v>
      </c>
      <c r="H427" t="s">
        <v>25</v>
      </c>
      <c r="I427" t="s">
        <v>350</v>
      </c>
      <c r="J427" t="s">
        <v>351</v>
      </c>
      <c r="K427" t="s">
        <v>28</v>
      </c>
      <c r="L427" t="s">
        <v>91</v>
      </c>
      <c r="M427" t="s">
        <v>1378</v>
      </c>
      <c r="N427" t="s">
        <v>50</v>
      </c>
      <c r="O427">
        <v>2</v>
      </c>
      <c r="P427">
        <v>1065.69</v>
      </c>
      <c r="Q427" s="11">
        <v>0.1</v>
      </c>
      <c r="R427">
        <v>1918.24</v>
      </c>
      <c r="S427">
        <v>1373.52</v>
      </c>
      <c r="T427">
        <v>544.72</v>
      </c>
      <c r="U427" t="s">
        <v>102</v>
      </c>
      <c r="V427" t="s">
        <v>68</v>
      </c>
      <c r="X427" s="8" t="str">
        <f>IF(C427&gt;=B427,"Valid", "Invalid-Date")</f>
        <v>Valid</v>
      </c>
      <c r="Y427" s="8" t="str">
        <f t="shared" si="103"/>
        <v>Valid</v>
      </c>
      <c r="Z427" s="8" t="str">
        <f t="shared" si="104"/>
        <v>Pass</v>
      </c>
      <c r="AA427" s="8" t="str">
        <f t="shared" si="105"/>
        <v>Pass</v>
      </c>
      <c r="AB427" s="8" t="str">
        <f>TEXT(B427,"mmmm")</f>
        <v>September</v>
      </c>
      <c r="AC427" s="8" t="str">
        <f>TEXT(B427,"yyyy")</f>
        <v>2024</v>
      </c>
      <c r="AE427">
        <f t="shared" si="106"/>
        <v>2131.38</v>
      </c>
      <c r="AF427" s="11">
        <f t="shared" si="107"/>
        <v>1918.2420000000002</v>
      </c>
      <c r="AG427">
        <f t="shared" si="108"/>
        <v>757.86000000000013</v>
      </c>
      <c r="AH427" s="11">
        <f t="shared" si="109"/>
        <v>0.35557244602088794</v>
      </c>
      <c r="AI427" s="9">
        <f t="shared" si="110"/>
        <v>0.35557244602088794</v>
      </c>
      <c r="AJ427">
        <f t="shared" si="111"/>
        <v>0</v>
      </c>
      <c r="AK427">
        <f t="shared" si="112"/>
        <v>0</v>
      </c>
      <c r="AL427">
        <f t="shared" si="113"/>
        <v>1918.24</v>
      </c>
      <c r="AM427">
        <f t="shared" si="114"/>
        <v>1</v>
      </c>
      <c r="AN427">
        <f t="shared" si="115"/>
        <v>0</v>
      </c>
      <c r="AO427">
        <f t="shared" si="116"/>
        <v>0</v>
      </c>
      <c r="AP427">
        <f t="shared" si="117"/>
        <v>0</v>
      </c>
      <c r="AQ427">
        <f t="shared" si="118"/>
        <v>0</v>
      </c>
    </row>
    <row r="428" spans="1:43">
      <c r="A428" t="s">
        <v>1379</v>
      </c>
      <c r="B428" s="5">
        <v>45473</v>
      </c>
      <c r="C428" s="5">
        <v>45474</v>
      </c>
      <c r="D428" s="13">
        <f t="shared" si="102"/>
        <v>1</v>
      </c>
      <c r="E428" t="s">
        <v>1380</v>
      </c>
      <c r="F428" t="s">
        <v>89</v>
      </c>
      <c r="G428" t="s">
        <v>24</v>
      </c>
      <c r="H428" t="s">
        <v>25</v>
      </c>
      <c r="I428" t="s">
        <v>236</v>
      </c>
      <c r="J428" t="s">
        <v>237</v>
      </c>
      <c r="K428" t="s">
        <v>74</v>
      </c>
      <c r="L428" t="s">
        <v>80</v>
      </c>
      <c r="M428" t="s">
        <v>1381</v>
      </c>
      <c r="N428" t="s">
        <v>44</v>
      </c>
      <c r="O428">
        <v>8</v>
      </c>
      <c r="P428">
        <v>3756.66</v>
      </c>
      <c r="Q428" s="11">
        <v>0.1</v>
      </c>
      <c r="R428">
        <v>27047.95</v>
      </c>
      <c r="S428">
        <v>18431.330000000002</v>
      </c>
      <c r="T428">
        <v>8616.6200000000008</v>
      </c>
      <c r="U428" t="s">
        <v>32</v>
      </c>
      <c r="V428" t="s">
        <v>33</v>
      </c>
      <c r="X428" s="8" t="str">
        <f>IF(C428&gt;=B428,"Valid", "Invalid-Date")</f>
        <v>Valid</v>
      </c>
      <c r="Y428" s="8" t="str">
        <f t="shared" si="103"/>
        <v>Valid</v>
      </c>
      <c r="Z428" s="8" t="str">
        <f t="shared" si="104"/>
        <v>Pass</v>
      </c>
      <c r="AA428" s="8" t="str">
        <f t="shared" si="105"/>
        <v>Pass</v>
      </c>
      <c r="AB428" s="8" t="str">
        <f>TEXT(B428,"mmmm")</f>
        <v>June</v>
      </c>
      <c r="AC428" s="8" t="str">
        <f>TEXT(B428,"yyyy")</f>
        <v>2024</v>
      </c>
      <c r="AE428">
        <f t="shared" si="106"/>
        <v>30053.279999999999</v>
      </c>
      <c r="AF428" s="11">
        <f t="shared" si="107"/>
        <v>27047.952000000001</v>
      </c>
      <c r="AG428">
        <f t="shared" si="108"/>
        <v>11621.949999999997</v>
      </c>
      <c r="AH428" s="11">
        <f t="shared" si="109"/>
        <v>0.38671153364957161</v>
      </c>
      <c r="AI428" s="9">
        <f t="shared" si="110"/>
        <v>0.38671153364957161</v>
      </c>
      <c r="AJ428">
        <f t="shared" si="111"/>
        <v>27047.95</v>
      </c>
      <c r="AK428">
        <f t="shared" si="112"/>
        <v>1</v>
      </c>
      <c r="AL428">
        <f t="shared" si="113"/>
        <v>0</v>
      </c>
      <c r="AM428">
        <f t="shared" si="114"/>
        <v>0</v>
      </c>
      <c r="AN428">
        <f t="shared" si="115"/>
        <v>0</v>
      </c>
      <c r="AO428">
        <f t="shared" si="116"/>
        <v>0</v>
      </c>
      <c r="AP428">
        <f t="shared" si="117"/>
        <v>0</v>
      </c>
      <c r="AQ428">
        <f t="shared" si="118"/>
        <v>0</v>
      </c>
    </row>
    <row r="429" spans="1:43">
      <c r="A429" t="s">
        <v>1382</v>
      </c>
      <c r="B429" s="5">
        <v>45769</v>
      </c>
      <c r="C429" s="5">
        <v>45771</v>
      </c>
      <c r="D429" s="13">
        <f t="shared" si="102"/>
        <v>2</v>
      </c>
      <c r="E429" t="s">
        <v>1383</v>
      </c>
      <c r="F429" t="s">
        <v>47</v>
      </c>
      <c r="G429" t="s">
        <v>90</v>
      </c>
      <c r="H429" t="s">
        <v>2785</v>
      </c>
      <c r="I429" t="s">
        <v>228</v>
      </c>
      <c r="J429" t="s">
        <v>229</v>
      </c>
      <c r="K429" t="s">
        <v>74</v>
      </c>
      <c r="L429" t="s">
        <v>75</v>
      </c>
      <c r="M429" t="s">
        <v>1384</v>
      </c>
      <c r="N429" t="s">
        <v>59</v>
      </c>
      <c r="O429">
        <v>9</v>
      </c>
      <c r="P429">
        <v>2939.44</v>
      </c>
      <c r="Q429" s="11">
        <v>0</v>
      </c>
      <c r="R429">
        <v>26454.959999999999</v>
      </c>
      <c r="S429">
        <v>17630.25</v>
      </c>
      <c r="T429">
        <v>8824.7099999999991</v>
      </c>
      <c r="U429" t="s">
        <v>32</v>
      </c>
      <c r="V429" t="s">
        <v>33</v>
      </c>
      <c r="X429" s="8" t="str">
        <f>IF(C429&gt;=B429,"Valid", "Invalid-Date")</f>
        <v>Valid</v>
      </c>
      <c r="Y429" s="8" t="str">
        <f t="shared" si="103"/>
        <v>Valid</v>
      </c>
      <c r="Z429" s="8" t="str">
        <f t="shared" si="104"/>
        <v>Pass</v>
      </c>
      <c r="AA429" s="8" t="str">
        <f t="shared" si="105"/>
        <v>Flagged</v>
      </c>
      <c r="AB429" s="8" t="str">
        <f>TEXT(B429,"mmmm")</f>
        <v>April</v>
      </c>
      <c r="AC429" s="8" t="str">
        <f>TEXT(B429,"yyyy")</f>
        <v>2025</v>
      </c>
      <c r="AE429">
        <f t="shared" si="106"/>
        <v>26454.959999999999</v>
      </c>
      <c r="AF429" s="11">
        <f t="shared" si="107"/>
        <v>26454.959999999999</v>
      </c>
      <c r="AG429">
        <f t="shared" si="108"/>
        <v>8824.7099999999991</v>
      </c>
      <c r="AH429" s="11">
        <f t="shared" si="109"/>
        <v>0.33357487594008833</v>
      </c>
      <c r="AI429" s="9">
        <f t="shared" si="110"/>
        <v>0.33357487594008833</v>
      </c>
      <c r="AJ429">
        <f t="shared" si="111"/>
        <v>26454.959999999999</v>
      </c>
      <c r="AK429">
        <f t="shared" si="112"/>
        <v>1</v>
      </c>
      <c r="AL429">
        <f t="shared" si="113"/>
        <v>0</v>
      </c>
      <c r="AM429">
        <f t="shared" si="114"/>
        <v>0</v>
      </c>
      <c r="AN429">
        <f t="shared" si="115"/>
        <v>0</v>
      </c>
      <c r="AO429">
        <f t="shared" si="116"/>
        <v>0</v>
      </c>
      <c r="AP429">
        <f t="shared" si="117"/>
        <v>0</v>
      </c>
      <c r="AQ429">
        <f t="shared" si="118"/>
        <v>0</v>
      </c>
    </row>
    <row r="430" spans="1:43">
      <c r="A430" t="s">
        <v>1385</v>
      </c>
      <c r="B430" s="5">
        <v>45731</v>
      </c>
      <c r="C430" s="5">
        <v>45738</v>
      </c>
      <c r="D430" s="13">
        <f t="shared" si="102"/>
        <v>7</v>
      </c>
      <c r="E430" t="s">
        <v>1386</v>
      </c>
      <c r="F430" t="s">
        <v>23</v>
      </c>
      <c r="G430" t="s">
        <v>37</v>
      </c>
      <c r="H430" t="s">
        <v>38</v>
      </c>
      <c r="I430" t="s">
        <v>99</v>
      </c>
      <c r="J430" t="s">
        <v>100</v>
      </c>
      <c r="K430" t="s">
        <v>74</v>
      </c>
      <c r="L430" t="s">
        <v>171</v>
      </c>
      <c r="M430" t="s">
        <v>1387</v>
      </c>
      <c r="N430" t="s">
        <v>44</v>
      </c>
      <c r="O430">
        <v>2</v>
      </c>
      <c r="P430">
        <v>1235.93</v>
      </c>
      <c r="Q430" s="11">
        <v>0.25</v>
      </c>
      <c r="R430">
        <v>1853.89</v>
      </c>
      <c r="S430">
        <v>1101.23</v>
      </c>
      <c r="T430">
        <v>752.66</v>
      </c>
      <c r="U430" t="s">
        <v>111</v>
      </c>
      <c r="V430" t="s">
        <v>68</v>
      </c>
      <c r="X430" s="8" t="str">
        <f>IF(C430&gt;=B430,"Valid", "Invalid-Date")</f>
        <v>Valid</v>
      </c>
      <c r="Y430" s="8" t="str">
        <f t="shared" si="103"/>
        <v>Valid</v>
      </c>
      <c r="Z430" s="8" t="str">
        <f t="shared" si="104"/>
        <v>Pass</v>
      </c>
      <c r="AA430" s="8" t="str">
        <f t="shared" si="105"/>
        <v>Pass</v>
      </c>
      <c r="AB430" s="8" t="str">
        <f>TEXT(B430,"mmmm")</f>
        <v>March</v>
      </c>
      <c r="AC430" s="8" t="str">
        <f>TEXT(B430,"yyyy")</f>
        <v>2025</v>
      </c>
      <c r="AE430">
        <f t="shared" si="106"/>
        <v>2471.86</v>
      </c>
      <c r="AF430" s="11">
        <f t="shared" si="107"/>
        <v>1853.895</v>
      </c>
      <c r="AG430">
        <f t="shared" si="108"/>
        <v>1370.63</v>
      </c>
      <c r="AH430" s="11">
        <f t="shared" si="109"/>
        <v>0.55449337745665206</v>
      </c>
      <c r="AI430" s="9">
        <f t="shared" si="110"/>
        <v>0.55449337745665206</v>
      </c>
      <c r="AJ430">
        <f t="shared" si="111"/>
        <v>0</v>
      </c>
      <c r="AK430">
        <f t="shared" si="112"/>
        <v>0</v>
      </c>
      <c r="AL430">
        <f t="shared" si="113"/>
        <v>1853.89</v>
      </c>
      <c r="AM430">
        <f t="shared" si="114"/>
        <v>1</v>
      </c>
      <c r="AN430">
        <f t="shared" si="115"/>
        <v>0</v>
      </c>
      <c r="AO430">
        <f t="shared" si="116"/>
        <v>0</v>
      </c>
      <c r="AP430">
        <f t="shared" si="117"/>
        <v>0</v>
      </c>
      <c r="AQ430">
        <f t="shared" si="118"/>
        <v>0</v>
      </c>
    </row>
    <row r="431" spans="1:43">
      <c r="A431" t="s">
        <v>1388</v>
      </c>
      <c r="B431" s="5">
        <v>45717</v>
      </c>
      <c r="C431" s="5">
        <v>45724</v>
      </c>
      <c r="D431" s="13">
        <f t="shared" si="102"/>
        <v>7</v>
      </c>
      <c r="E431" t="s">
        <v>1389</v>
      </c>
      <c r="F431" t="s">
        <v>79</v>
      </c>
      <c r="G431" t="s">
        <v>95</v>
      </c>
      <c r="H431" t="s">
        <v>25</v>
      </c>
      <c r="I431" t="s">
        <v>26</v>
      </c>
      <c r="J431" t="s">
        <v>27</v>
      </c>
      <c r="K431" t="s">
        <v>74</v>
      </c>
      <c r="L431" t="s">
        <v>80</v>
      </c>
      <c r="M431" t="s">
        <v>1390</v>
      </c>
      <c r="N431" t="s">
        <v>44</v>
      </c>
      <c r="O431">
        <v>8</v>
      </c>
      <c r="P431">
        <v>2943.1</v>
      </c>
      <c r="Q431" s="11">
        <v>0.25</v>
      </c>
      <c r="R431">
        <v>17658.599999999999</v>
      </c>
      <c r="S431">
        <v>13842.48</v>
      </c>
      <c r="T431">
        <v>3816.12</v>
      </c>
      <c r="U431" t="s">
        <v>32</v>
      </c>
      <c r="V431" t="s">
        <v>33</v>
      </c>
      <c r="X431" s="8" t="str">
        <f>IF(C431&gt;=B431,"Valid", "Invalid-Date")</f>
        <v>Valid</v>
      </c>
      <c r="Y431" s="8" t="str">
        <f t="shared" si="103"/>
        <v>Valid</v>
      </c>
      <c r="Z431" s="8" t="str">
        <f t="shared" si="104"/>
        <v>Pass</v>
      </c>
      <c r="AA431" s="8" t="str">
        <f t="shared" si="105"/>
        <v>Pass</v>
      </c>
      <c r="AB431" s="8" t="str">
        <f>TEXT(B431,"mmmm")</f>
        <v>March</v>
      </c>
      <c r="AC431" s="8" t="str">
        <f>TEXT(B431,"yyyy")</f>
        <v>2025</v>
      </c>
      <c r="AE431">
        <f t="shared" si="106"/>
        <v>23544.799999999999</v>
      </c>
      <c r="AF431" s="11">
        <f t="shared" si="107"/>
        <v>17658.599999999999</v>
      </c>
      <c r="AG431">
        <f t="shared" si="108"/>
        <v>9702.32</v>
      </c>
      <c r="AH431" s="11">
        <f t="shared" si="109"/>
        <v>0.41207910026842443</v>
      </c>
      <c r="AI431" s="9">
        <f t="shared" si="110"/>
        <v>0.41207910026842443</v>
      </c>
      <c r="AJ431">
        <f t="shared" si="111"/>
        <v>17658.599999999999</v>
      </c>
      <c r="AK431">
        <f t="shared" si="112"/>
        <v>1</v>
      </c>
      <c r="AL431">
        <f t="shared" si="113"/>
        <v>0</v>
      </c>
      <c r="AM431">
        <f t="shared" si="114"/>
        <v>0</v>
      </c>
      <c r="AN431">
        <f t="shared" si="115"/>
        <v>0</v>
      </c>
      <c r="AO431">
        <f t="shared" si="116"/>
        <v>0</v>
      </c>
      <c r="AP431">
        <f t="shared" si="117"/>
        <v>0</v>
      </c>
      <c r="AQ431">
        <f t="shared" si="118"/>
        <v>0</v>
      </c>
    </row>
    <row r="432" spans="1:43">
      <c r="A432" t="s">
        <v>1391</v>
      </c>
      <c r="B432" s="5">
        <v>45534</v>
      </c>
      <c r="C432" s="5">
        <v>45537</v>
      </c>
      <c r="D432" s="13">
        <f t="shared" si="102"/>
        <v>3</v>
      </c>
      <c r="E432" t="s">
        <v>1392</v>
      </c>
      <c r="F432" t="s">
        <v>79</v>
      </c>
      <c r="G432" t="s">
        <v>37</v>
      </c>
      <c r="H432" t="s">
        <v>25</v>
      </c>
      <c r="I432" t="s">
        <v>236</v>
      </c>
      <c r="J432" t="s">
        <v>237</v>
      </c>
      <c r="K432" t="s">
        <v>28</v>
      </c>
      <c r="L432" t="s">
        <v>29</v>
      </c>
      <c r="M432" t="s">
        <v>1393</v>
      </c>
      <c r="N432" t="s">
        <v>31</v>
      </c>
      <c r="O432">
        <v>1</v>
      </c>
      <c r="P432">
        <v>4320.84</v>
      </c>
      <c r="Q432" s="11">
        <v>0.15</v>
      </c>
      <c r="R432">
        <v>3672.71</v>
      </c>
      <c r="S432">
        <v>2714.23</v>
      </c>
      <c r="T432">
        <v>763.38</v>
      </c>
      <c r="U432" t="s">
        <v>32</v>
      </c>
      <c r="V432" t="s">
        <v>33</v>
      </c>
      <c r="X432" s="8" t="str">
        <f>IF(C432&gt;=B432,"Valid", "Invalid-Date")</f>
        <v>Valid</v>
      </c>
      <c r="Y432" s="8" t="str">
        <f t="shared" si="103"/>
        <v>Valid</v>
      </c>
      <c r="Z432" s="8" t="str">
        <f t="shared" si="104"/>
        <v>Pass</v>
      </c>
      <c r="AA432" s="8" t="str">
        <f t="shared" si="105"/>
        <v>Pass</v>
      </c>
      <c r="AB432" s="8" t="str">
        <f>TEXT(B432,"mmmm")</f>
        <v>August</v>
      </c>
      <c r="AC432" s="8" t="str">
        <f>TEXT(B432,"yyyy")</f>
        <v>2024</v>
      </c>
      <c r="AE432">
        <f t="shared" si="106"/>
        <v>4320.84</v>
      </c>
      <c r="AF432" s="11">
        <f t="shared" si="107"/>
        <v>3672.7139999999999</v>
      </c>
      <c r="AG432">
        <f t="shared" si="108"/>
        <v>1606.6100000000001</v>
      </c>
      <c r="AH432" s="11">
        <f t="shared" si="109"/>
        <v>0.37182816304237143</v>
      </c>
      <c r="AI432" s="9">
        <f t="shared" si="110"/>
        <v>0.37182816304237143</v>
      </c>
      <c r="AJ432">
        <f t="shared" si="111"/>
        <v>3672.71</v>
      </c>
      <c r="AK432">
        <f t="shared" si="112"/>
        <v>1</v>
      </c>
      <c r="AL432">
        <f t="shared" si="113"/>
        <v>0</v>
      </c>
      <c r="AM432">
        <f t="shared" si="114"/>
        <v>0</v>
      </c>
      <c r="AN432">
        <f t="shared" si="115"/>
        <v>0</v>
      </c>
      <c r="AO432">
        <f t="shared" si="116"/>
        <v>0</v>
      </c>
      <c r="AP432">
        <f t="shared" si="117"/>
        <v>0</v>
      </c>
      <c r="AQ432">
        <f t="shared" si="118"/>
        <v>0</v>
      </c>
    </row>
    <row r="433" spans="1:43">
      <c r="A433" t="s">
        <v>1394</v>
      </c>
      <c r="B433" s="5">
        <v>45332</v>
      </c>
      <c r="C433" s="5">
        <v>45335</v>
      </c>
      <c r="D433" s="13">
        <f t="shared" si="102"/>
        <v>3</v>
      </c>
      <c r="E433" t="s">
        <v>1395</v>
      </c>
      <c r="F433" t="s">
        <v>23</v>
      </c>
      <c r="G433" t="s">
        <v>95</v>
      </c>
      <c r="H433" t="s">
        <v>63</v>
      </c>
      <c r="I433" t="s">
        <v>190</v>
      </c>
      <c r="J433" t="s">
        <v>191</v>
      </c>
      <c r="K433" t="s">
        <v>74</v>
      </c>
      <c r="L433" t="s">
        <v>274</v>
      </c>
      <c r="M433" t="s">
        <v>1396</v>
      </c>
      <c r="N433" t="s">
        <v>44</v>
      </c>
      <c r="O433">
        <v>2</v>
      </c>
      <c r="P433">
        <v>4118.45</v>
      </c>
      <c r="Q433" s="11">
        <v>0.25</v>
      </c>
      <c r="R433">
        <v>6177.67</v>
      </c>
      <c r="S433">
        <v>4520.75</v>
      </c>
      <c r="T433">
        <v>1656.92</v>
      </c>
      <c r="U433" t="s">
        <v>32</v>
      </c>
      <c r="V433" t="s">
        <v>33</v>
      </c>
      <c r="X433" s="8" t="str">
        <f>IF(C433&gt;=B433,"Valid", "Invalid-Date")</f>
        <v>Valid</v>
      </c>
      <c r="Y433" s="8" t="str">
        <f t="shared" si="103"/>
        <v>Valid</v>
      </c>
      <c r="Z433" s="8" t="str">
        <f t="shared" si="104"/>
        <v>Pass</v>
      </c>
      <c r="AA433" s="8" t="str">
        <f t="shared" si="105"/>
        <v>Pass</v>
      </c>
      <c r="AB433" s="8" t="str">
        <f>TEXT(B433,"mmmm")</f>
        <v>February</v>
      </c>
      <c r="AC433" s="8" t="str">
        <f>TEXT(B433,"yyyy")</f>
        <v>2024</v>
      </c>
      <c r="AE433">
        <f t="shared" si="106"/>
        <v>8236.9</v>
      </c>
      <c r="AF433" s="11">
        <f t="shared" si="107"/>
        <v>6177.6749999999993</v>
      </c>
      <c r="AG433">
        <f t="shared" si="108"/>
        <v>3716.1499999999996</v>
      </c>
      <c r="AH433" s="11">
        <f t="shared" si="109"/>
        <v>0.45115880974638517</v>
      </c>
      <c r="AI433" s="9">
        <f t="shared" si="110"/>
        <v>0.45115880974638517</v>
      </c>
      <c r="AJ433">
        <f t="shared" si="111"/>
        <v>6177.67</v>
      </c>
      <c r="AK433">
        <f t="shared" si="112"/>
        <v>1</v>
      </c>
      <c r="AL433">
        <f t="shared" si="113"/>
        <v>0</v>
      </c>
      <c r="AM433">
        <f t="shared" si="114"/>
        <v>0</v>
      </c>
      <c r="AN433">
        <f t="shared" si="115"/>
        <v>0</v>
      </c>
      <c r="AO433">
        <f t="shared" si="116"/>
        <v>0</v>
      </c>
      <c r="AP433">
        <f t="shared" si="117"/>
        <v>0</v>
      </c>
      <c r="AQ433">
        <f t="shared" si="118"/>
        <v>0</v>
      </c>
    </row>
    <row r="434" spans="1:43">
      <c r="A434" t="s">
        <v>1397</v>
      </c>
      <c r="B434" s="5">
        <v>45533</v>
      </c>
      <c r="C434" s="5">
        <v>45537</v>
      </c>
      <c r="D434" s="13">
        <f t="shared" si="102"/>
        <v>4</v>
      </c>
      <c r="E434" t="s">
        <v>1398</v>
      </c>
      <c r="F434" t="s">
        <v>114</v>
      </c>
      <c r="G434" t="s">
        <v>37</v>
      </c>
      <c r="H434" t="s">
        <v>63</v>
      </c>
      <c r="I434" t="s">
        <v>64</v>
      </c>
      <c r="J434" t="s">
        <v>65</v>
      </c>
      <c r="K434" t="s">
        <v>41</v>
      </c>
      <c r="L434" t="s">
        <v>158</v>
      </c>
      <c r="M434" t="s">
        <v>1399</v>
      </c>
      <c r="N434" t="s">
        <v>59</v>
      </c>
      <c r="O434">
        <v>6</v>
      </c>
      <c r="P434">
        <v>172.82</v>
      </c>
      <c r="Q434" s="11">
        <v>0.05</v>
      </c>
      <c r="R434">
        <v>985.07</v>
      </c>
      <c r="S434">
        <v>844.48</v>
      </c>
      <c r="T434">
        <v>140.59</v>
      </c>
      <c r="U434" t="s">
        <v>32</v>
      </c>
      <c r="V434" t="s">
        <v>33</v>
      </c>
      <c r="X434" s="8" t="str">
        <f>IF(C434&gt;=B434,"Valid", "Invalid-Date")</f>
        <v>Valid</v>
      </c>
      <c r="Y434" s="8" t="str">
        <f t="shared" si="103"/>
        <v>Valid</v>
      </c>
      <c r="Z434" s="8" t="str">
        <f t="shared" si="104"/>
        <v>Pass</v>
      </c>
      <c r="AA434" s="8" t="str">
        <f t="shared" si="105"/>
        <v>Pass</v>
      </c>
      <c r="AB434" s="8" t="str">
        <f>TEXT(B434,"mmmm")</f>
        <v>August</v>
      </c>
      <c r="AC434" s="8" t="str">
        <f>TEXT(B434,"yyyy")</f>
        <v>2024</v>
      </c>
      <c r="AE434">
        <f t="shared" si="106"/>
        <v>1036.92</v>
      </c>
      <c r="AF434" s="11">
        <f t="shared" si="107"/>
        <v>985.07400000000007</v>
      </c>
      <c r="AG434">
        <f t="shared" si="108"/>
        <v>192.44000000000005</v>
      </c>
      <c r="AH434" s="11">
        <f t="shared" si="109"/>
        <v>0.18558808779848016</v>
      </c>
      <c r="AI434" s="9">
        <f t="shared" si="110"/>
        <v>0.18558808779848016</v>
      </c>
      <c r="AJ434">
        <f t="shared" si="111"/>
        <v>985.07</v>
      </c>
      <c r="AK434">
        <f t="shared" si="112"/>
        <v>1</v>
      </c>
      <c r="AL434">
        <f t="shared" si="113"/>
        <v>0</v>
      </c>
      <c r="AM434">
        <f t="shared" si="114"/>
        <v>0</v>
      </c>
      <c r="AN434">
        <f t="shared" si="115"/>
        <v>0</v>
      </c>
      <c r="AO434">
        <f t="shared" si="116"/>
        <v>0</v>
      </c>
      <c r="AP434">
        <f t="shared" si="117"/>
        <v>0</v>
      </c>
      <c r="AQ434">
        <f t="shared" si="118"/>
        <v>0</v>
      </c>
    </row>
    <row r="435" spans="1:43">
      <c r="A435" t="s">
        <v>1400</v>
      </c>
      <c r="B435" s="5">
        <v>45401</v>
      </c>
      <c r="C435" s="5">
        <v>45402</v>
      </c>
      <c r="D435" s="13">
        <f t="shared" si="102"/>
        <v>1</v>
      </c>
      <c r="E435" t="s">
        <v>1401</v>
      </c>
      <c r="F435" t="s">
        <v>114</v>
      </c>
      <c r="G435" t="s">
        <v>90</v>
      </c>
      <c r="H435" t="s">
        <v>54</v>
      </c>
      <c r="I435" t="s">
        <v>185</v>
      </c>
      <c r="J435" t="s">
        <v>186</v>
      </c>
      <c r="K435" t="s">
        <v>28</v>
      </c>
      <c r="L435" t="s">
        <v>48</v>
      </c>
      <c r="M435" t="s">
        <v>1402</v>
      </c>
      <c r="N435" t="s">
        <v>31</v>
      </c>
      <c r="O435">
        <v>4</v>
      </c>
      <c r="P435">
        <v>1540.22</v>
      </c>
      <c r="Q435" s="11">
        <v>0</v>
      </c>
      <c r="R435">
        <v>6160.88</v>
      </c>
      <c r="S435">
        <v>4938.7</v>
      </c>
      <c r="T435">
        <v>1222.18</v>
      </c>
      <c r="U435" t="s">
        <v>102</v>
      </c>
      <c r="V435" t="s">
        <v>103</v>
      </c>
      <c r="X435" s="8" t="str">
        <f>IF(C435&gt;=B435,"Valid", "Invalid-Date")</f>
        <v>Valid</v>
      </c>
      <c r="Y435" s="8" t="str">
        <f t="shared" si="103"/>
        <v>Valid</v>
      </c>
      <c r="Z435" s="8" t="str">
        <f t="shared" si="104"/>
        <v>Pass</v>
      </c>
      <c r="AA435" s="8" t="str">
        <f t="shared" si="105"/>
        <v>Pass</v>
      </c>
      <c r="AB435" s="8" t="str">
        <f>TEXT(B435,"mmmm")</f>
        <v>April</v>
      </c>
      <c r="AC435" s="8" t="str">
        <f>TEXT(B435,"yyyy")</f>
        <v>2024</v>
      </c>
      <c r="AE435">
        <f t="shared" si="106"/>
        <v>6160.88</v>
      </c>
      <c r="AF435" s="11">
        <f t="shared" si="107"/>
        <v>6160.88</v>
      </c>
      <c r="AG435">
        <f t="shared" si="108"/>
        <v>1222.1800000000003</v>
      </c>
      <c r="AH435" s="11">
        <f t="shared" si="109"/>
        <v>0.19837750451234243</v>
      </c>
      <c r="AI435" s="9">
        <f t="shared" si="110"/>
        <v>0.19837750451234243</v>
      </c>
      <c r="AJ435">
        <f t="shared" si="111"/>
        <v>0</v>
      </c>
      <c r="AK435">
        <f t="shared" si="112"/>
        <v>0</v>
      </c>
      <c r="AL435">
        <f t="shared" si="113"/>
        <v>0</v>
      </c>
      <c r="AM435">
        <f t="shared" si="114"/>
        <v>0</v>
      </c>
      <c r="AN435">
        <f t="shared" si="115"/>
        <v>0</v>
      </c>
      <c r="AO435">
        <f t="shared" si="116"/>
        <v>0</v>
      </c>
      <c r="AP435">
        <f t="shared" si="117"/>
        <v>6160.88</v>
      </c>
      <c r="AQ435">
        <f t="shared" si="118"/>
        <v>1</v>
      </c>
    </row>
    <row r="436" spans="1:43">
      <c r="A436" t="s">
        <v>1403</v>
      </c>
      <c r="B436" s="5">
        <v>45965</v>
      </c>
      <c r="C436" s="5">
        <v>45762</v>
      </c>
      <c r="D436" s="13">
        <f t="shared" si="102"/>
        <v>-203</v>
      </c>
      <c r="E436" t="s">
        <v>1404</v>
      </c>
      <c r="F436" t="s">
        <v>36</v>
      </c>
      <c r="G436" t="s">
        <v>95</v>
      </c>
      <c r="H436" t="s">
        <v>25</v>
      </c>
      <c r="I436" t="s">
        <v>136</v>
      </c>
      <c r="J436" t="s">
        <v>137</v>
      </c>
      <c r="K436" t="s">
        <v>74</v>
      </c>
      <c r="L436" t="s">
        <v>75</v>
      </c>
      <c r="M436" t="s">
        <v>1405</v>
      </c>
      <c r="N436" t="s">
        <v>31</v>
      </c>
      <c r="O436">
        <v>5</v>
      </c>
      <c r="P436">
        <v>652.78</v>
      </c>
      <c r="Q436" s="11">
        <v>0</v>
      </c>
      <c r="R436">
        <v>3263.9</v>
      </c>
      <c r="S436">
        <v>2068.44</v>
      </c>
      <c r="T436">
        <v>1195.46</v>
      </c>
      <c r="U436" t="s">
        <v>32</v>
      </c>
      <c r="V436" t="s">
        <v>33</v>
      </c>
      <c r="X436" s="8" t="str">
        <f>IF(C436&gt;=B436,"Valid", "Invalid-Date")</f>
        <v>Invalid-Date</v>
      </c>
      <c r="Y436" s="8" t="str">
        <f t="shared" si="103"/>
        <v>Valid</v>
      </c>
      <c r="Z436" s="8" t="str">
        <f t="shared" si="104"/>
        <v>Pass</v>
      </c>
      <c r="AA436" s="8" t="str">
        <f t="shared" si="105"/>
        <v>Pass</v>
      </c>
      <c r="AB436" s="8" t="str">
        <f>TEXT(B436,"mmmm")</f>
        <v>November</v>
      </c>
      <c r="AC436" s="8" t="str">
        <f>TEXT(B436,"yyyy")</f>
        <v>2025</v>
      </c>
      <c r="AE436">
        <f t="shared" si="106"/>
        <v>3263.8999999999996</v>
      </c>
      <c r="AF436" s="11">
        <f t="shared" si="107"/>
        <v>3263.8999999999996</v>
      </c>
      <c r="AG436">
        <f t="shared" si="108"/>
        <v>1195.4599999999996</v>
      </c>
      <c r="AH436" s="11">
        <f t="shared" si="109"/>
        <v>0.3662673488771101</v>
      </c>
      <c r="AI436" s="9">
        <f t="shared" si="110"/>
        <v>0.3662673488771101</v>
      </c>
      <c r="AJ436">
        <f t="shared" si="111"/>
        <v>3263.9</v>
      </c>
      <c r="AK436">
        <f t="shared" si="112"/>
        <v>1</v>
      </c>
      <c r="AL436">
        <f t="shared" si="113"/>
        <v>0</v>
      </c>
      <c r="AM436">
        <f t="shared" si="114"/>
        <v>0</v>
      </c>
      <c r="AN436">
        <f t="shared" si="115"/>
        <v>0</v>
      </c>
      <c r="AO436">
        <f t="shared" si="116"/>
        <v>0</v>
      </c>
      <c r="AP436">
        <f t="shared" si="117"/>
        <v>0</v>
      </c>
      <c r="AQ436">
        <f t="shared" si="118"/>
        <v>0</v>
      </c>
    </row>
    <row r="437" spans="1:43">
      <c r="A437" t="s">
        <v>1406</v>
      </c>
      <c r="B437" s="5">
        <v>45759</v>
      </c>
      <c r="C437" s="5">
        <v>45767</v>
      </c>
      <c r="D437" s="13">
        <f t="shared" si="102"/>
        <v>8</v>
      </c>
      <c r="E437" t="s">
        <v>1407</v>
      </c>
      <c r="F437" t="s">
        <v>264</v>
      </c>
      <c r="G437" t="s">
        <v>95</v>
      </c>
      <c r="H437" t="s">
        <v>25</v>
      </c>
      <c r="I437" t="s">
        <v>350</v>
      </c>
      <c r="J437" t="s">
        <v>351</v>
      </c>
      <c r="K437" t="s">
        <v>74</v>
      </c>
      <c r="L437" t="s">
        <v>274</v>
      </c>
      <c r="M437" t="s">
        <v>1408</v>
      </c>
      <c r="N437" t="s">
        <v>59</v>
      </c>
      <c r="O437">
        <v>1</v>
      </c>
      <c r="P437">
        <v>2737.71</v>
      </c>
      <c r="Q437" s="11">
        <v>0.15</v>
      </c>
      <c r="R437">
        <v>2327.0500000000002</v>
      </c>
      <c r="S437">
        <v>1919.42</v>
      </c>
      <c r="T437">
        <v>407.63</v>
      </c>
      <c r="U437" t="s">
        <v>32</v>
      </c>
      <c r="V437" t="s">
        <v>68</v>
      </c>
      <c r="X437" s="8" t="str">
        <f>IF(C437&gt;=B437,"Valid", "Invalid-Date")</f>
        <v>Valid</v>
      </c>
      <c r="Y437" s="8" t="str">
        <f t="shared" si="103"/>
        <v>Valid</v>
      </c>
      <c r="Z437" s="8" t="str">
        <f t="shared" si="104"/>
        <v>Pass</v>
      </c>
      <c r="AA437" s="8" t="str">
        <f t="shared" si="105"/>
        <v>Pass</v>
      </c>
      <c r="AB437" s="8" t="str">
        <f>TEXT(B437,"mmmm")</f>
        <v>April</v>
      </c>
      <c r="AC437" s="8" t="str">
        <f>TEXT(B437,"yyyy")</f>
        <v>2025</v>
      </c>
      <c r="AE437">
        <f t="shared" si="106"/>
        <v>2737.71</v>
      </c>
      <c r="AF437" s="11">
        <f t="shared" si="107"/>
        <v>2327.0535</v>
      </c>
      <c r="AG437">
        <f t="shared" si="108"/>
        <v>818.29</v>
      </c>
      <c r="AH437" s="11">
        <f t="shared" si="109"/>
        <v>0.2988957924688882</v>
      </c>
      <c r="AI437" s="9">
        <f t="shared" si="110"/>
        <v>0.2988957924688882</v>
      </c>
      <c r="AJ437">
        <f t="shared" si="111"/>
        <v>0</v>
      </c>
      <c r="AK437">
        <f t="shared" si="112"/>
        <v>0</v>
      </c>
      <c r="AL437">
        <f t="shared" si="113"/>
        <v>2327.0500000000002</v>
      </c>
      <c r="AM437">
        <f t="shared" si="114"/>
        <v>1</v>
      </c>
      <c r="AN437">
        <f t="shared" si="115"/>
        <v>0</v>
      </c>
      <c r="AO437">
        <f t="shared" si="116"/>
        <v>0</v>
      </c>
      <c r="AP437">
        <f t="shared" si="117"/>
        <v>0</v>
      </c>
      <c r="AQ437">
        <f t="shared" si="118"/>
        <v>0</v>
      </c>
    </row>
    <row r="438" spans="1:43">
      <c r="A438" t="s">
        <v>1409</v>
      </c>
      <c r="B438" s="5">
        <v>45459</v>
      </c>
      <c r="C438" s="5">
        <v>45464</v>
      </c>
      <c r="D438" s="13">
        <f t="shared" si="102"/>
        <v>5</v>
      </c>
      <c r="E438" t="s">
        <v>1410</v>
      </c>
      <c r="F438" t="s">
        <v>79</v>
      </c>
      <c r="G438" t="s">
        <v>24</v>
      </c>
      <c r="H438" t="s">
        <v>54</v>
      </c>
      <c r="I438" t="s">
        <v>185</v>
      </c>
      <c r="J438" t="s">
        <v>186</v>
      </c>
      <c r="K438" t="s">
        <v>41</v>
      </c>
      <c r="L438" t="s">
        <v>57</v>
      </c>
      <c r="M438" t="s">
        <v>1411</v>
      </c>
      <c r="N438" t="s">
        <v>44</v>
      </c>
      <c r="O438">
        <v>6</v>
      </c>
      <c r="P438">
        <v>1156.78</v>
      </c>
      <c r="Q438" s="11">
        <v>0.05</v>
      </c>
      <c r="R438">
        <v>6593.65</v>
      </c>
      <c r="S438">
        <v>4359.3900000000003</v>
      </c>
      <c r="T438">
        <v>2234.2600000000002</v>
      </c>
      <c r="U438" t="s">
        <v>32</v>
      </c>
      <c r="V438" t="s">
        <v>103</v>
      </c>
      <c r="X438" s="8" t="str">
        <f>IF(C438&gt;=B438,"Valid", "Invalid-Date")</f>
        <v>Valid</v>
      </c>
      <c r="Y438" s="8" t="str">
        <f t="shared" si="103"/>
        <v>Valid</v>
      </c>
      <c r="Z438" s="8" t="str">
        <f t="shared" si="104"/>
        <v>Pass</v>
      </c>
      <c r="AA438" s="8" t="str">
        <f t="shared" si="105"/>
        <v>Pass</v>
      </c>
      <c r="AB438" s="8" t="str">
        <f>TEXT(B438,"mmmm")</f>
        <v>June</v>
      </c>
      <c r="AC438" s="8" t="str">
        <f>TEXT(B438,"yyyy")</f>
        <v>2024</v>
      </c>
      <c r="AE438">
        <f t="shared" si="106"/>
        <v>6940.68</v>
      </c>
      <c r="AF438" s="11">
        <f t="shared" si="107"/>
        <v>6593.6459999999997</v>
      </c>
      <c r="AG438">
        <f t="shared" si="108"/>
        <v>2581.29</v>
      </c>
      <c r="AH438" s="11">
        <f t="shared" si="109"/>
        <v>0.37190736354362969</v>
      </c>
      <c r="AI438" s="9">
        <f t="shared" si="110"/>
        <v>0.37190736354362969</v>
      </c>
      <c r="AJ438">
        <f t="shared" si="111"/>
        <v>0</v>
      </c>
      <c r="AK438">
        <f t="shared" si="112"/>
        <v>0</v>
      </c>
      <c r="AL438">
        <f t="shared" si="113"/>
        <v>0</v>
      </c>
      <c r="AM438">
        <f t="shared" si="114"/>
        <v>0</v>
      </c>
      <c r="AN438">
        <f t="shared" si="115"/>
        <v>0</v>
      </c>
      <c r="AO438">
        <f t="shared" si="116"/>
        <v>0</v>
      </c>
      <c r="AP438">
        <f t="shared" si="117"/>
        <v>6593.65</v>
      </c>
      <c r="AQ438">
        <f t="shared" si="118"/>
        <v>1</v>
      </c>
    </row>
    <row r="439" spans="1:43">
      <c r="A439" t="s">
        <v>1412</v>
      </c>
      <c r="B439" s="5">
        <v>45337</v>
      </c>
      <c r="C439" s="5">
        <v>45340</v>
      </c>
      <c r="D439" s="13">
        <f t="shared" si="102"/>
        <v>3</v>
      </c>
      <c r="E439" t="s">
        <v>1413</v>
      </c>
      <c r="F439" t="s">
        <v>89</v>
      </c>
      <c r="G439" t="s">
        <v>37</v>
      </c>
      <c r="H439" t="s">
        <v>54</v>
      </c>
      <c r="I439" t="s">
        <v>185</v>
      </c>
      <c r="J439" t="s">
        <v>186</v>
      </c>
      <c r="K439" t="s">
        <v>74</v>
      </c>
      <c r="L439" t="s">
        <v>75</v>
      </c>
      <c r="M439" t="s">
        <v>1414</v>
      </c>
      <c r="N439" t="s">
        <v>44</v>
      </c>
      <c r="O439">
        <v>8</v>
      </c>
      <c r="P439">
        <v>379.82</v>
      </c>
      <c r="Q439" s="11">
        <v>0.05</v>
      </c>
      <c r="R439">
        <v>2886.63</v>
      </c>
      <c r="S439">
        <v>1588.23</v>
      </c>
      <c r="T439">
        <v>1298.4000000000001</v>
      </c>
      <c r="U439" t="s">
        <v>155</v>
      </c>
      <c r="V439" t="s">
        <v>103</v>
      </c>
      <c r="X439" s="8" t="str">
        <f>IF(C439&gt;=B439,"Valid", "Invalid-Date")</f>
        <v>Valid</v>
      </c>
      <c r="Y439" s="8" t="str">
        <f t="shared" si="103"/>
        <v>Valid</v>
      </c>
      <c r="Z439" s="8" t="str">
        <f t="shared" si="104"/>
        <v>Pass</v>
      </c>
      <c r="AA439" s="8" t="str">
        <f t="shared" si="105"/>
        <v>Pass</v>
      </c>
      <c r="AB439" s="8" t="str">
        <f>TEXT(B439,"mmmm")</f>
        <v>February</v>
      </c>
      <c r="AC439" s="8" t="str">
        <f>TEXT(B439,"yyyy")</f>
        <v>2024</v>
      </c>
      <c r="AE439">
        <f t="shared" si="106"/>
        <v>3038.56</v>
      </c>
      <c r="AF439" s="11">
        <f t="shared" si="107"/>
        <v>2886.6319999999996</v>
      </c>
      <c r="AG439">
        <f t="shared" si="108"/>
        <v>1450.33</v>
      </c>
      <c r="AH439" s="11">
        <f t="shared" si="109"/>
        <v>0.47730833026170288</v>
      </c>
      <c r="AI439" s="9">
        <f t="shared" si="110"/>
        <v>0.47730833026170288</v>
      </c>
      <c r="AJ439">
        <f t="shared" si="111"/>
        <v>0</v>
      </c>
      <c r="AK439">
        <f t="shared" si="112"/>
        <v>0</v>
      </c>
      <c r="AL439">
        <f t="shared" si="113"/>
        <v>0</v>
      </c>
      <c r="AM439">
        <f t="shared" si="114"/>
        <v>0</v>
      </c>
      <c r="AN439">
        <f t="shared" si="115"/>
        <v>2886.63</v>
      </c>
      <c r="AO439">
        <f t="shared" si="116"/>
        <v>1</v>
      </c>
      <c r="AP439">
        <f t="shared" si="117"/>
        <v>2886.63</v>
      </c>
      <c r="AQ439">
        <f t="shared" si="118"/>
        <v>1</v>
      </c>
    </row>
    <row r="440" spans="1:43">
      <c r="A440" t="s">
        <v>1415</v>
      </c>
      <c r="B440" s="5">
        <v>45784</v>
      </c>
      <c r="C440" s="5">
        <v>45782</v>
      </c>
      <c r="D440" s="13">
        <f t="shared" si="102"/>
        <v>-2</v>
      </c>
      <c r="E440" t="s">
        <v>1416</v>
      </c>
      <c r="F440" t="s">
        <v>79</v>
      </c>
      <c r="G440" t="s">
        <v>90</v>
      </c>
      <c r="H440" t="s">
        <v>38</v>
      </c>
      <c r="I440" t="s">
        <v>228</v>
      </c>
      <c r="J440" t="s">
        <v>229</v>
      </c>
      <c r="K440" t="s">
        <v>74</v>
      </c>
      <c r="L440" t="s">
        <v>171</v>
      </c>
      <c r="M440" t="s">
        <v>1417</v>
      </c>
      <c r="N440" t="s">
        <v>59</v>
      </c>
      <c r="O440">
        <v>1</v>
      </c>
      <c r="P440">
        <v>2266.4699999999998</v>
      </c>
      <c r="Q440" s="11">
        <v>0.2</v>
      </c>
      <c r="R440">
        <v>1813.18</v>
      </c>
      <c r="S440">
        <v>1363.64</v>
      </c>
      <c r="T440">
        <v>449.54</v>
      </c>
      <c r="U440" t="s">
        <v>32</v>
      </c>
      <c r="V440" t="s">
        <v>33</v>
      </c>
      <c r="X440" s="8" t="str">
        <f>IF(C440&gt;=B440,"Valid", "Invalid-Date")</f>
        <v>Invalid-Date</v>
      </c>
      <c r="Y440" s="8" t="str">
        <f t="shared" si="103"/>
        <v>Valid</v>
      </c>
      <c r="Z440" s="8" t="str">
        <f t="shared" si="104"/>
        <v>Pass</v>
      </c>
      <c r="AA440" s="8" t="str">
        <f t="shared" si="105"/>
        <v>Pass</v>
      </c>
      <c r="AB440" s="8" t="str">
        <f>TEXT(B440,"mmmm")</f>
        <v>May</v>
      </c>
      <c r="AC440" s="8" t="str">
        <f>TEXT(B440,"yyyy")</f>
        <v>2025</v>
      </c>
      <c r="AE440">
        <f t="shared" si="106"/>
        <v>2266.4699999999998</v>
      </c>
      <c r="AF440" s="11">
        <f t="shared" si="107"/>
        <v>1813.1759999999999</v>
      </c>
      <c r="AG440">
        <f t="shared" si="108"/>
        <v>902.8299999999997</v>
      </c>
      <c r="AH440" s="11">
        <f t="shared" si="109"/>
        <v>0.39834191496026849</v>
      </c>
      <c r="AI440" s="9">
        <f t="shared" si="110"/>
        <v>0.39834191496026849</v>
      </c>
      <c r="AJ440">
        <f t="shared" si="111"/>
        <v>1813.18</v>
      </c>
      <c r="AK440">
        <f t="shared" si="112"/>
        <v>1</v>
      </c>
      <c r="AL440">
        <f t="shared" si="113"/>
        <v>0</v>
      </c>
      <c r="AM440">
        <f t="shared" si="114"/>
        <v>0</v>
      </c>
      <c r="AN440">
        <f t="shared" si="115"/>
        <v>0</v>
      </c>
      <c r="AO440">
        <f t="shared" si="116"/>
        <v>0</v>
      </c>
      <c r="AP440">
        <f t="shared" si="117"/>
        <v>0</v>
      </c>
      <c r="AQ440">
        <f t="shared" si="118"/>
        <v>0</v>
      </c>
    </row>
    <row r="441" spans="1:43">
      <c r="A441" t="s">
        <v>1418</v>
      </c>
      <c r="B441" s="5">
        <v>45838</v>
      </c>
      <c r="C441" s="5">
        <v>45723</v>
      </c>
      <c r="D441" s="13">
        <f t="shared" si="102"/>
        <v>-115</v>
      </c>
      <c r="E441" t="s">
        <v>1419</v>
      </c>
      <c r="F441" t="s">
        <v>128</v>
      </c>
      <c r="G441" t="s">
        <v>95</v>
      </c>
      <c r="H441" t="s">
        <v>63</v>
      </c>
      <c r="I441" t="s">
        <v>190</v>
      </c>
      <c r="J441" t="s">
        <v>191</v>
      </c>
      <c r="K441" t="s">
        <v>28</v>
      </c>
      <c r="L441" t="s">
        <v>124</v>
      </c>
      <c r="M441" t="s">
        <v>1420</v>
      </c>
      <c r="N441" t="s">
        <v>44</v>
      </c>
      <c r="O441">
        <v>5</v>
      </c>
      <c r="P441">
        <v>665.25</v>
      </c>
      <c r="Q441" s="11">
        <v>0</v>
      </c>
      <c r="R441">
        <v>3326.25</v>
      </c>
      <c r="S441">
        <v>2689.36</v>
      </c>
      <c r="T441">
        <v>636.89</v>
      </c>
      <c r="U441" t="s">
        <v>102</v>
      </c>
      <c r="V441" t="s">
        <v>103</v>
      </c>
      <c r="X441" s="8" t="str">
        <f>IF(C441&gt;=B441,"Valid", "Invalid-Date")</f>
        <v>Invalid-Date</v>
      </c>
      <c r="Y441" s="8" t="str">
        <f t="shared" si="103"/>
        <v>Valid</v>
      </c>
      <c r="Z441" s="8" t="str">
        <f t="shared" si="104"/>
        <v>Pass</v>
      </c>
      <c r="AA441" s="8" t="str">
        <f t="shared" si="105"/>
        <v>Pass</v>
      </c>
      <c r="AB441" s="8" t="str">
        <f>TEXT(B441,"mmmm")</f>
        <v>June</v>
      </c>
      <c r="AC441" s="8" t="str">
        <f>TEXT(B441,"yyyy")</f>
        <v>2025</v>
      </c>
      <c r="AE441">
        <f t="shared" si="106"/>
        <v>3326.25</v>
      </c>
      <c r="AF441" s="11">
        <f t="shared" si="107"/>
        <v>3326.25</v>
      </c>
      <c r="AG441">
        <f t="shared" si="108"/>
        <v>636.88999999999987</v>
      </c>
      <c r="AH441" s="11">
        <f t="shared" si="109"/>
        <v>0.19147388199924836</v>
      </c>
      <c r="AI441" s="9">
        <f t="shared" si="110"/>
        <v>0.19147388199924836</v>
      </c>
      <c r="AJ441">
        <f t="shared" si="111"/>
        <v>0</v>
      </c>
      <c r="AK441">
        <f t="shared" si="112"/>
        <v>0</v>
      </c>
      <c r="AL441">
        <f t="shared" si="113"/>
        <v>0</v>
      </c>
      <c r="AM441">
        <f t="shared" si="114"/>
        <v>0</v>
      </c>
      <c r="AN441">
        <f t="shared" si="115"/>
        <v>0</v>
      </c>
      <c r="AO441">
        <f t="shared" si="116"/>
        <v>0</v>
      </c>
      <c r="AP441">
        <f t="shared" si="117"/>
        <v>3326.25</v>
      </c>
      <c r="AQ441">
        <f t="shared" si="118"/>
        <v>1</v>
      </c>
    </row>
    <row r="442" spans="1:43">
      <c r="A442" t="s">
        <v>1421</v>
      </c>
      <c r="B442" s="5">
        <v>45326</v>
      </c>
      <c r="C442" s="5">
        <v>45508</v>
      </c>
      <c r="D442" s="13">
        <f t="shared" si="102"/>
        <v>182</v>
      </c>
      <c r="E442" t="s">
        <v>270</v>
      </c>
      <c r="F442" t="s">
        <v>71</v>
      </c>
      <c r="G442" t="s">
        <v>90</v>
      </c>
      <c r="H442" t="s">
        <v>38</v>
      </c>
      <c r="I442" t="s">
        <v>39</v>
      </c>
      <c r="J442" t="s">
        <v>40</v>
      </c>
      <c r="K442" t="s">
        <v>74</v>
      </c>
      <c r="L442" t="s">
        <v>274</v>
      </c>
      <c r="M442" t="s">
        <v>1422</v>
      </c>
      <c r="N442" t="s">
        <v>31</v>
      </c>
      <c r="O442">
        <v>6</v>
      </c>
      <c r="P442">
        <v>3722.84</v>
      </c>
      <c r="Q442" s="11">
        <v>0.2</v>
      </c>
      <c r="R442">
        <v>17869.63</v>
      </c>
      <c r="S442">
        <v>12163.8</v>
      </c>
      <c r="T442">
        <v>5705.83</v>
      </c>
      <c r="U442" t="s">
        <v>32</v>
      </c>
      <c r="V442" t="s">
        <v>33</v>
      </c>
      <c r="X442" s="8" t="str">
        <f>IF(C442&gt;=B442,"Valid", "Invalid-Date")</f>
        <v>Valid</v>
      </c>
      <c r="Y442" s="8" t="str">
        <f t="shared" si="103"/>
        <v>Valid</v>
      </c>
      <c r="Z442" s="8" t="str">
        <f t="shared" si="104"/>
        <v>Pass</v>
      </c>
      <c r="AA442" s="8" t="str">
        <f t="shared" si="105"/>
        <v>Pass</v>
      </c>
      <c r="AB442" s="8" t="str">
        <f>TEXT(B442,"mmmm")</f>
        <v>February</v>
      </c>
      <c r="AC442" s="8" t="str">
        <f>TEXT(B442,"yyyy")</f>
        <v>2024</v>
      </c>
      <c r="AE442">
        <f t="shared" si="106"/>
        <v>22337.040000000001</v>
      </c>
      <c r="AF442" s="11">
        <f t="shared" si="107"/>
        <v>17869.632000000001</v>
      </c>
      <c r="AG442">
        <f t="shared" si="108"/>
        <v>10173.240000000002</v>
      </c>
      <c r="AH442" s="11">
        <f t="shared" si="109"/>
        <v>0.45544261907575945</v>
      </c>
      <c r="AI442" s="9">
        <f t="shared" si="110"/>
        <v>0.45544261907575945</v>
      </c>
      <c r="AJ442">
        <f t="shared" si="111"/>
        <v>17869.63</v>
      </c>
      <c r="AK442">
        <f t="shared" si="112"/>
        <v>1</v>
      </c>
      <c r="AL442">
        <f t="shared" si="113"/>
        <v>0</v>
      </c>
      <c r="AM442">
        <f t="shared" si="114"/>
        <v>0</v>
      </c>
      <c r="AN442">
        <f t="shared" si="115"/>
        <v>0</v>
      </c>
      <c r="AO442">
        <f t="shared" si="116"/>
        <v>0</v>
      </c>
      <c r="AP442">
        <f t="shared" si="117"/>
        <v>0</v>
      </c>
      <c r="AQ442">
        <f t="shared" si="118"/>
        <v>0</v>
      </c>
    </row>
    <row r="443" spans="1:43">
      <c r="A443" t="s">
        <v>1423</v>
      </c>
      <c r="B443" s="5">
        <v>45568</v>
      </c>
      <c r="C443" s="5">
        <v>45361</v>
      </c>
      <c r="D443" s="13">
        <f t="shared" si="102"/>
        <v>-207</v>
      </c>
      <c r="E443" t="s">
        <v>1424</v>
      </c>
      <c r="F443" t="s">
        <v>23</v>
      </c>
      <c r="G443" t="s">
        <v>24</v>
      </c>
      <c r="H443" t="s">
        <v>38</v>
      </c>
      <c r="I443" t="s">
        <v>145</v>
      </c>
      <c r="J443" t="s">
        <v>146</v>
      </c>
      <c r="K443" t="s">
        <v>41</v>
      </c>
      <c r="L443" t="s">
        <v>158</v>
      </c>
      <c r="M443" t="s">
        <v>1425</v>
      </c>
      <c r="N443" t="s">
        <v>59</v>
      </c>
      <c r="O443">
        <v>6</v>
      </c>
      <c r="P443">
        <v>4217.49</v>
      </c>
      <c r="Q443" s="11">
        <v>0</v>
      </c>
      <c r="R443">
        <v>25304.94</v>
      </c>
      <c r="S443">
        <v>20771.95</v>
      </c>
      <c r="T443">
        <v>4532.99</v>
      </c>
      <c r="U443" t="s">
        <v>32</v>
      </c>
      <c r="V443" t="s">
        <v>68</v>
      </c>
      <c r="X443" s="8" t="str">
        <f>IF(C443&gt;=B443,"Valid", "Invalid-Date")</f>
        <v>Invalid-Date</v>
      </c>
      <c r="Y443" s="8" t="str">
        <f t="shared" si="103"/>
        <v>Valid</v>
      </c>
      <c r="Z443" s="8" t="str">
        <f t="shared" si="104"/>
        <v>Pass</v>
      </c>
      <c r="AA443" s="8" t="str">
        <f t="shared" si="105"/>
        <v>Pass</v>
      </c>
      <c r="AB443" s="8" t="str">
        <f>TEXT(B443,"mmmm")</f>
        <v>October</v>
      </c>
      <c r="AC443" s="8" t="str">
        <f>TEXT(B443,"yyyy")</f>
        <v>2024</v>
      </c>
      <c r="AE443">
        <f t="shared" si="106"/>
        <v>25304.94</v>
      </c>
      <c r="AF443" s="11">
        <f t="shared" si="107"/>
        <v>25304.94</v>
      </c>
      <c r="AG443">
        <f t="shared" si="108"/>
        <v>4532.989999999998</v>
      </c>
      <c r="AH443" s="11">
        <f t="shared" si="109"/>
        <v>0.17913458795002077</v>
      </c>
      <c r="AI443" s="9">
        <f t="shared" si="110"/>
        <v>0.17913458795002077</v>
      </c>
      <c r="AJ443">
        <f t="shared" si="111"/>
        <v>0</v>
      </c>
      <c r="AK443">
        <f t="shared" si="112"/>
        <v>0</v>
      </c>
      <c r="AL443">
        <f t="shared" si="113"/>
        <v>25304.94</v>
      </c>
      <c r="AM443">
        <f t="shared" si="114"/>
        <v>1</v>
      </c>
      <c r="AN443">
        <f t="shared" si="115"/>
        <v>0</v>
      </c>
      <c r="AO443">
        <f t="shared" si="116"/>
        <v>0</v>
      </c>
      <c r="AP443">
        <f t="shared" si="117"/>
        <v>0</v>
      </c>
      <c r="AQ443">
        <f t="shared" si="118"/>
        <v>0</v>
      </c>
    </row>
    <row r="444" spans="1:43">
      <c r="A444" t="s">
        <v>1426</v>
      </c>
      <c r="B444" s="5">
        <v>45669</v>
      </c>
      <c r="C444" s="5">
        <v>45676</v>
      </c>
      <c r="D444" s="13">
        <f t="shared" si="102"/>
        <v>7</v>
      </c>
      <c r="E444" t="s">
        <v>1427</v>
      </c>
      <c r="F444" t="s">
        <v>128</v>
      </c>
      <c r="G444" t="s">
        <v>24</v>
      </c>
      <c r="H444" t="s">
        <v>38</v>
      </c>
      <c r="I444" t="s">
        <v>228</v>
      </c>
      <c r="J444" t="s">
        <v>229</v>
      </c>
      <c r="K444" t="s">
        <v>41</v>
      </c>
      <c r="L444" t="s">
        <v>42</v>
      </c>
      <c r="M444" t="s">
        <v>1428</v>
      </c>
      <c r="N444" t="s">
        <v>50</v>
      </c>
      <c r="O444">
        <v>1</v>
      </c>
      <c r="P444">
        <v>1842.31</v>
      </c>
      <c r="Q444" s="11">
        <v>0</v>
      </c>
      <c r="R444">
        <v>1842.31</v>
      </c>
      <c r="S444">
        <v>1019.17</v>
      </c>
      <c r="T444">
        <v>823.14</v>
      </c>
      <c r="U444" t="s">
        <v>32</v>
      </c>
      <c r="V444" t="s">
        <v>33</v>
      </c>
      <c r="X444" s="8" t="str">
        <f>IF(C444&gt;=B444,"Valid", "Invalid-Date")</f>
        <v>Valid</v>
      </c>
      <c r="Y444" s="8" t="str">
        <f t="shared" si="103"/>
        <v>Valid</v>
      </c>
      <c r="Z444" s="8" t="str">
        <f t="shared" si="104"/>
        <v>Pass</v>
      </c>
      <c r="AA444" s="8" t="str">
        <f t="shared" si="105"/>
        <v>Pass</v>
      </c>
      <c r="AB444" s="8" t="str">
        <f>TEXT(B444,"mmmm")</f>
        <v>January</v>
      </c>
      <c r="AC444" s="8" t="str">
        <f>TEXT(B444,"yyyy")</f>
        <v>2025</v>
      </c>
      <c r="AE444">
        <f t="shared" si="106"/>
        <v>1842.31</v>
      </c>
      <c r="AF444" s="11">
        <f t="shared" si="107"/>
        <v>1842.31</v>
      </c>
      <c r="AG444">
        <f t="shared" si="108"/>
        <v>823.14</v>
      </c>
      <c r="AH444" s="11">
        <f t="shared" si="109"/>
        <v>0.44679777019068451</v>
      </c>
      <c r="AI444" s="9">
        <f t="shared" si="110"/>
        <v>0.44679777019068451</v>
      </c>
      <c r="AJ444">
        <f t="shared" si="111"/>
        <v>1842.31</v>
      </c>
      <c r="AK444">
        <f t="shared" si="112"/>
        <v>1</v>
      </c>
      <c r="AL444">
        <f t="shared" si="113"/>
        <v>0</v>
      </c>
      <c r="AM444">
        <f t="shared" si="114"/>
        <v>0</v>
      </c>
      <c r="AN444">
        <f t="shared" si="115"/>
        <v>0</v>
      </c>
      <c r="AO444">
        <f t="shared" si="116"/>
        <v>0</v>
      </c>
      <c r="AP444">
        <f t="shared" si="117"/>
        <v>0</v>
      </c>
      <c r="AQ444">
        <f t="shared" si="118"/>
        <v>0</v>
      </c>
    </row>
    <row r="445" spans="1:43">
      <c r="A445" t="s">
        <v>1429</v>
      </c>
      <c r="B445" s="5">
        <v>45386</v>
      </c>
      <c r="C445" s="5">
        <v>45477</v>
      </c>
      <c r="D445" s="13">
        <f t="shared" si="102"/>
        <v>91</v>
      </c>
      <c r="E445" t="s">
        <v>1430</v>
      </c>
      <c r="F445" t="s">
        <v>141</v>
      </c>
      <c r="G445" t="s">
        <v>95</v>
      </c>
      <c r="H445" t="s">
        <v>38</v>
      </c>
      <c r="I445" t="s">
        <v>39</v>
      </c>
      <c r="J445" t="s">
        <v>40</v>
      </c>
      <c r="K445" t="s">
        <v>41</v>
      </c>
      <c r="L445" t="s">
        <v>57</v>
      </c>
      <c r="M445" t="s">
        <v>1431</v>
      </c>
      <c r="N445" t="s">
        <v>50</v>
      </c>
      <c r="O445">
        <v>1</v>
      </c>
      <c r="P445">
        <v>3683.75</v>
      </c>
      <c r="Q445" s="11">
        <v>0.1</v>
      </c>
      <c r="R445">
        <v>3315.38</v>
      </c>
      <c r="S445">
        <v>2347.6799999999998</v>
      </c>
      <c r="T445">
        <v>967.7</v>
      </c>
      <c r="U445" t="s">
        <v>32</v>
      </c>
      <c r="V445" t="s">
        <v>33</v>
      </c>
      <c r="X445" s="8" t="str">
        <f>IF(C445&gt;=B445,"Valid", "Invalid-Date")</f>
        <v>Valid</v>
      </c>
      <c r="Y445" s="8" t="str">
        <f t="shared" si="103"/>
        <v>Valid</v>
      </c>
      <c r="Z445" s="8" t="str">
        <f t="shared" si="104"/>
        <v>Pass</v>
      </c>
      <c r="AA445" s="8" t="str">
        <f t="shared" si="105"/>
        <v>Pass</v>
      </c>
      <c r="AB445" s="8" t="str">
        <f>TEXT(B445,"mmmm")</f>
        <v>April</v>
      </c>
      <c r="AC445" s="8" t="str">
        <f>TEXT(B445,"yyyy")</f>
        <v>2024</v>
      </c>
      <c r="AE445">
        <f t="shared" si="106"/>
        <v>3683.75</v>
      </c>
      <c r="AF445" s="11">
        <f t="shared" si="107"/>
        <v>3315.375</v>
      </c>
      <c r="AG445">
        <f t="shared" si="108"/>
        <v>1336.0700000000002</v>
      </c>
      <c r="AH445" s="11">
        <f t="shared" si="109"/>
        <v>0.36269290804207671</v>
      </c>
      <c r="AI445" s="9">
        <f t="shared" si="110"/>
        <v>0.36269290804207671</v>
      </c>
      <c r="AJ445">
        <f t="shared" si="111"/>
        <v>3315.38</v>
      </c>
      <c r="AK445">
        <f t="shared" si="112"/>
        <v>1</v>
      </c>
      <c r="AL445">
        <f t="shared" si="113"/>
        <v>0</v>
      </c>
      <c r="AM445">
        <f t="shared" si="114"/>
        <v>0</v>
      </c>
      <c r="AN445">
        <f t="shared" si="115"/>
        <v>0</v>
      </c>
      <c r="AO445">
        <f t="shared" si="116"/>
        <v>0</v>
      </c>
      <c r="AP445">
        <f t="shared" si="117"/>
        <v>0</v>
      </c>
      <c r="AQ445">
        <f t="shared" si="118"/>
        <v>0</v>
      </c>
    </row>
    <row r="446" spans="1:43">
      <c r="A446" t="s">
        <v>1432</v>
      </c>
      <c r="B446" s="5">
        <v>45881</v>
      </c>
      <c r="C446" s="5">
        <v>45885</v>
      </c>
      <c r="D446" s="13">
        <f t="shared" si="102"/>
        <v>4</v>
      </c>
      <c r="E446" t="s">
        <v>1433</v>
      </c>
      <c r="F446" t="s">
        <v>62</v>
      </c>
      <c r="G446" t="s">
        <v>24</v>
      </c>
      <c r="H446" t="s">
        <v>38</v>
      </c>
      <c r="I446" t="s">
        <v>166</v>
      </c>
      <c r="J446" t="s">
        <v>167</v>
      </c>
      <c r="K446" t="s">
        <v>74</v>
      </c>
      <c r="L446" t="s">
        <v>75</v>
      </c>
      <c r="M446" t="s">
        <v>1434</v>
      </c>
      <c r="N446" t="s">
        <v>44</v>
      </c>
      <c r="O446">
        <v>9</v>
      </c>
      <c r="P446">
        <v>2379.2399999999998</v>
      </c>
      <c r="Q446" s="11">
        <v>0.05</v>
      </c>
      <c r="R446">
        <v>20342.5</v>
      </c>
      <c r="S446">
        <v>12407.51</v>
      </c>
      <c r="T446">
        <v>7934.99</v>
      </c>
      <c r="U446" t="s">
        <v>32</v>
      </c>
      <c r="V446" t="s">
        <v>33</v>
      </c>
      <c r="X446" s="8" t="str">
        <f>IF(C446&gt;=B446,"Valid", "Invalid-Date")</f>
        <v>Valid</v>
      </c>
      <c r="Y446" s="8" t="str">
        <f t="shared" si="103"/>
        <v>Valid</v>
      </c>
      <c r="Z446" s="8" t="str">
        <f t="shared" si="104"/>
        <v>Pass</v>
      </c>
      <c r="AA446" s="8" t="str">
        <f t="shared" si="105"/>
        <v>Pass</v>
      </c>
      <c r="AB446" s="8" t="str">
        <f>TEXT(B446,"mmmm")</f>
        <v>August</v>
      </c>
      <c r="AC446" s="8" t="str">
        <f>TEXT(B446,"yyyy")</f>
        <v>2025</v>
      </c>
      <c r="AE446">
        <f t="shared" si="106"/>
        <v>21413.159999999996</v>
      </c>
      <c r="AF446" s="11">
        <f t="shared" si="107"/>
        <v>20342.501999999997</v>
      </c>
      <c r="AG446">
        <f t="shared" si="108"/>
        <v>9005.649999999996</v>
      </c>
      <c r="AH446" s="11">
        <f t="shared" si="109"/>
        <v>0.42056613783299607</v>
      </c>
      <c r="AI446" s="9">
        <f t="shared" si="110"/>
        <v>0.42056613783299607</v>
      </c>
      <c r="AJ446">
        <f t="shared" si="111"/>
        <v>20342.5</v>
      </c>
      <c r="AK446">
        <f t="shared" si="112"/>
        <v>1</v>
      </c>
      <c r="AL446">
        <f t="shared" si="113"/>
        <v>0</v>
      </c>
      <c r="AM446">
        <f t="shared" si="114"/>
        <v>0</v>
      </c>
      <c r="AN446">
        <f t="shared" si="115"/>
        <v>0</v>
      </c>
      <c r="AO446">
        <f t="shared" si="116"/>
        <v>0</v>
      </c>
      <c r="AP446">
        <f t="shared" si="117"/>
        <v>0</v>
      </c>
      <c r="AQ446">
        <f t="shared" si="118"/>
        <v>0</v>
      </c>
    </row>
    <row r="447" spans="1:43">
      <c r="A447" t="s">
        <v>1435</v>
      </c>
      <c r="B447" s="5">
        <v>45540</v>
      </c>
      <c r="C447" s="5">
        <v>45417</v>
      </c>
      <c r="D447" s="13">
        <f t="shared" si="102"/>
        <v>-123</v>
      </c>
      <c r="E447" t="s">
        <v>1436</v>
      </c>
      <c r="F447" t="s">
        <v>53</v>
      </c>
      <c r="G447" t="s">
        <v>24</v>
      </c>
      <c r="H447" t="s">
        <v>38</v>
      </c>
      <c r="I447" t="s">
        <v>166</v>
      </c>
      <c r="J447" t="s">
        <v>167</v>
      </c>
      <c r="K447" t="s">
        <v>41</v>
      </c>
      <c r="L447" t="s">
        <v>158</v>
      </c>
      <c r="M447" t="s">
        <v>1437</v>
      </c>
      <c r="N447" t="s">
        <v>44</v>
      </c>
      <c r="O447">
        <v>2</v>
      </c>
      <c r="P447">
        <v>2111.23</v>
      </c>
      <c r="Q447" s="11">
        <v>0.2</v>
      </c>
      <c r="R447">
        <v>3377.97</v>
      </c>
      <c r="S447">
        <v>2496.29</v>
      </c>
      <c r="T447">
        <v>881.68</v>
      </c>
      <c r="U447" t="s">
        <v>32</v>
      </c>
      <c r="V447" t="s">
        <v>33</v>
      </c>
      <c r="X447" s="8" t="str">
        <f>IF(C447&gt;=B447,"Valid", "Invalid-Date")</f>
        <v>Invalid-Date</v>
      </c>
      <c r="Y447" s="8" t="str">
        <f t="shared" si="103"/>
        <v>Valid</v>
      </c>
      <c r="Z447" s="8" t="str">
        <f t="shared" si="104"/>
        <v>Pass</v>
      </c>
      <c r="AA447" s="8" t="str">
        <f t="shared" si="105"/>
        <v>Pass</v>
      </c>
      <c r="AB447" s="8" t="str">
        <f>TEXT(B447,"mmmm")</f>
        <v>September</v>
      </c>
      <c r="AC447" s="8" t="str">
        <f>TEXT(B447,"yyyy")</f>
        <v>2024</v>
      </c>
      <c r="AE447">
        <f t="shared" si="106"/>
        <v>4222.46</v>
      </c>
      <c r="AF447" s="11">
        <f t="shared" si="107"/>
        <v>3377.9680000000003</v>
      </c>
      <c r="AG447">
        <f t="shared" si="108"/>
        <v>1726.17</v>
      </c>
      <c r="AH447" s="11">
        <f t="shared" si="109"/>
        <v>0.40880671456923218</v>
      </c>
      <c r="AI447" s="9">
        <f t="shared" si="110"/>
        <v>0.40880671456923218</v>
      </c>
      <c r="AJ447">
        <f t="shared" si="111"/>
        <v>3377.97</v>
      </c>
      <c r="AK447">
        <f t="shared" si="112"/>
        <v>1</v>
      </c>
      <c r="AL447">
        <f t="shared" si="113"/>
        <v>0</v>
      </c>
      <c r="AM447">
        <f t="shared" si="114"/>
        <v>0</v>
      </c>
      <c r="AN447">
        <f t="shared" si="115"/>
        <v>0</v>
      </c>
      <c r="AO447">
        <f t="shared" si="116"/>
        <v>0</v>
      </c>
      <c r="AP447">
        <f t="shared" si="117"/>
        <v>0</v>
      </c>
      <c r="AQ447">
        <f t="shared" si="118"/>
        <v>0</v>
      </c>
    </row>
    <row r="448" spans="1:43">
      <c r="A448" t="s">
        <v>1438</v>
      </c>
      <c r="B448" s="5">
        <v>45918</v>
      </c>
      <c r="C448" s="5">
        <v>45919</v>
      </c>
      <c r="D448" s="13">
        <f t="shared" si="102"/>
        <v>1</v>
      </c>
      <c r="E448" t="s">
        <v>1439</v>
      </c>
      <c r="F448" t="s">
        <v>132</v>
      </c>
      <c r="G448" t="s">
        <v>95</v>
      </c>
      <c r="H448" t="s">
        <v>54</v>
      </c>
      <c r="I448" t="s">
        <v>84</v>
      </c>
      <c r="J448" t="s">
        <v>85</v>
      </c>
      <c r="K448" t="s">
        <v>28</v>
      </c>
      <c r="L448" t="s">
        <v>124</v>
      </c>
      <c r="M448" t="s">
        <v>1440</v>
      </c>
      <c r="N448" t="s">
        <v>44</v>
      </c>
      <c r="O448">
        <v>8</v>
      </c>
      <c r="P448">
        <v>4242.51</v>
      </c>
      <c r="Q448" s="11">
        <v>0</v>
      </c>
      <c r="R448">
        <v>33940.080000000002</v>
      </c>
      <c r="S448">
        <v>23754.19</v>
      </c>
      <c r="T448">
        <v>10185.89</v>
      </c>
      <c r="U448" t="s">
        <v>32</v>
      </c>
      <c r="V448" t="s">
        <v>33</v>
      </c>
      <c r="X448" s="8" t="str">
        <f>IF(C448&gt;=B448,"Valid", "Invalid-Date")</f>
        <v>Valid</v>
      </c>
      <c r="Y448" s="8" t="str">
        <f t="shared" si="103"/>
        <v>Valid</v>
      </c>
      <c r="Z448" s="8" t="str">
        <f t="shared" si="104"/>
        <v>Pass</v>
      </c>
      <c r="AA448" s="8" t="str">
        <f t="shared" si="105"/>
        <v>Pass</v>
      </c>
      <c r="AB448" s="8" t="str">
        <f>TEXT(B448,"mmmm")</f>
        <v>September</v>
      </c>
      <c r="AC448" s="8" t="str">
        <f>TEXT(B448,"yyyy")</f>
        <v>2025</v>
      </c>
      <c r="AE448">
        <f t="shared" si="106"/>
        <v>33940.080000000002</v>
      </c>
      <c r="AF448" s="11">
        <f t="shared" si="107"/>
        <v>33940.080000000002</v>
      </c>
      <c r="AG448">
        <f t="shared" si="108"/>
        <v>10185.890000000003</v>
      </c>
      <c r="AH448" s="11">
        <f t="shared" si="109"/>
        <v>0.30011390662603044</v>
      </c>
      <c r="AI448" s="9">
        <f t="shared" si="110"/>
        <v>0.30011390662603044</v>
      </c>
      <c r="AJ448">
        <f t="shared" si="111"/>
        <v>33940.080000000002</v>
      </c>
      <c r="AK448">
        <f t="shared" si="112"/>
        <v>1</v>
      </c>
      <c r="AL448">
        <f t="shared" si="113"/>
        <v>0</v>
      </c>
      <c r="AM448">
        <f t="shared" si="114"/>
        <v>0</v>
      </c>
      <c r="AN448">
        <f t="shared" si="115"/>
        <v>0</v>
      </c>
      <c r="AO448">
        <f t="shared" si="116"/>
        <v>0</v>
      </c>
      <c r="AP448">
        <f t="shared" si="117"/>
        <v>0</v>
      </c>
      <c r="AQ448">
        <f t="shared" si="118"/>
        <v>0</v>
      </c>
    </row>
    <row r="449" spans="1:43">
      <c r="A449" t="s">
        <v>1441</v>
      </c>
      <c r="B449" s="5">
        <v>45879</v>
      </c>
      <c r="C449" s="5">
        <v>45938</v>
      </c>
      <c r="D449" s="13">
        <f t="shared" si="102"/>
        <v>59</v>
      </c>
      <c r="E449" t="s">
        <v>1442</v>
      </c>
      <c r="F449" t="s">
        <v>141</v>
      </c>
      <c r="G449" t="s">
        <v>95</v>
      </c>
      <c r="H449" t="s">
        <v>54</v>
      </c>
      <c r="I449" t="s">
        <v>55</v>
      </c>
      <c r="J449" t="s">
        <v>56</v>
      </c>
      <c r="K449" t="s">
        <v>41</v>
      </c>
      <c r="L449" t="s">
        <v>158</v>
      </c>
      <c r="M449" t="s">
        <v>1443</v>
      </c>
      <c r="N449" t="s">
        <v>59</v>
      </c>
      <c r="O449">
        <v>6</v>
      </c>
      <c r="P449">
        <v>4288.7</v>
      </c>
      <c r="Q449" s="11">
        <v>0.15</v>
      </c>
      <c r="R449">
        <v>21872.37</v>
      </c>
      <c r="S449">
        <v>13829.5</v>
      </c>
      <c r="T449">
        <v>8042.87</v>
      </c>
      <c r="U449" t="s">
        <v>111</v>
      </c>
      <c r="V449" t="s">
        <v>103</v>
      </c>
      <c r="X449" s="8" t="str">
        <f>IF(C449&gt;=B449,"Valid", "Invalid-Date")</f>
        <v>Valid</v>
      </c>
      <c r="Y449" s="8" t="str">
        <f t="shared" si="103"/>
        <v>Valid</v>
      </c>
      <c r="Z449" s="8" t="str">
        <f t="shared" si="104"/>
        <v>Pass</v>
      </c>
      <c r="AA449" s="8" t="str">
        <f t="shared" si="105"/>
        <v>Pass</v>
      </c>
      <c r="AB449" s="8" t="str">
        <f>TEXT(B449,"mmmm")</f>
        <v>August</v>
      </c>
      <c r="AC449" s="8" t="str">
        <f>TEXT(B449,"yyyy")</f>
        <v>2025</v>
      </c>
      <c r="AE449">
        <f t="shared" si="106"/>
        <v>25732.199999999997</v>
      </c>
      <c r="AF449" s="11">
        <f t="shared" si="107"/>
        <v>21872.369999999995</v>
      </c>
      <c r="AG449">
        <f t="shared" si="108"/>
        <v>11902.699999999997</v>
      </c>
      <c r="AH449" s="11">
        <f t="shared" si="109"/>
        <v>0.462560527277108</v>
      </c>
      <c r="AI449" s="9">
        <f t="shared" si="110"/>
        <v>0.462560527277108</v>
      </c>
      <c r="AJ449">
        <f t="shared" si="111"/>
        <v>0</v>
      </c>
      <c r="AK449">
        <f t="shared" si="112"/>
        <v>0</v>
      </c>
      <c r="AL449">
        <f t="shared" si="113"/>
        <v>0</v>
      </c>
      <c r="AM449">
        <f t="shared" si="114"/>
        <v>0</v>
      </c>
      <c r="AN449">
        <f t="shared" si="115"/>
        <v>0</v>
      </c>
      <c r="AO449">
        <f t="shared" si="116"/>
        <v>0</v>
      </c>
      <c r="AP449">
        <f t="shared" si="117"/>
        <v>21872.37</v>
      </c>
      <c r="AQ449">
        <f t="shared" si="118"/>
        <v>1</v>
      </c>
    </row>
    <row r="450" spans="1:43">
      <c r="A450" t="s">
        <v>1444</v>
      </c>
      <c r="B450" s="5">
        <v>45306</v>
      </c>
      <c r="C450" s="5">
        <v>45309</v>
      </c>
      <c r="D450" s="13">
        <f t="shared" si="102"/>
        <v>3</v>
      </c>
      <c r="E450" t="s">
        <v>1445</v>
      </c>
      <c r="F450" t="s">
        <v>36</v>
      </c>
      <c r="G450" t="s">
        <v>37</v>
      </c>
      <c r="H450" t="s">
        <v>54</v>
      </c>
      <c r="I450" t="s">
        <v>84</v>
      </c>
      <c r="J450" t="s">
        <v>85</v>
      </c>
      <c r="K450" t="s">
        <v>41</v>
      </c>
      <c r="L450" t="s">
        <v>66</v>
      </c>
      <c r="M450" t="s">
        <v>1446</v>
      </c>
      <c r="N450" t="s">
        <v>50</v>
      </c>
      <c r="O450">
        <v>2</v>
      </c>
      <c r="P450">
        <v>201.21</v>
      </c>
      <c r="Q450" s="11">
        <v>0.15</v>
      </c>
      <c r="R450">
        <v>342.06</v>
      </c>
      <c r="S450">
        <v>244.57</v>
      </c>
      <c r="T450">
        <v>97.49</v>
      </c>
      <c r="U450" t="s">
        <v>32</v>
      </c>
      <c r="V450" t="s">
        <v>33</v>
      </c>
      <c r="X450" s="8" t="str">
        <f>IF(C450&gt;=B450,"Valid", "Invalid-Date")</f>
        <v>Valid</v>
      </c>
      <c r="Y450" s="8" t="str">
        <f t="shared" si="103"/>
        <v>Valid</v>
      </c>
      <c r="Z450" s="8" t="str">
        <f t="shared" si="104"/>
        <v>Pass</v>
      </c>
      <c r="AA450" s="8" t="str">
        <f t="shared" si="105"/>
        <v>Pass</v>
      </c>
      <c r="AB450" s="8" t="str">
        <f>TEXT(B450,"mmmm")</f>
        <v>January</v>
      </c>
      <c r="AC450" s="8" t="str">
        <f>TEXT(B450,"yyyy")</f>
        <v>2024</v>
      </c>
      <c r="AE450">
        <f t="shared" si="106"/>
        <v>402.42</v>
      </c>
      <c r="AF450" s="11">
        <f t="shared" si="107"/>
        <v>342.05700000000002</v>
      </c>
      <c r="AG450">
        <f t="shared" si="108"/>
        <v>157.85000000000002</v>
      </c>
      <c r="AH450" s="11">
        <f t="shared" si="109"/>
        <v>0.3922518761492968</v>
      </c>
      <c r="AI450" s="9">
        <f t="shared" si="110"/>
        <v>0.3922518761492968</v>
      </c>
      <c r="AJ450">
        <f t="shared" si="111"/>
        <v>342.06</v>
      </c>
      <c r="AK450">
        <f t="shared" si="112"/>
        <v>1</v>
      </c>
      <c r="AL450">
        <f t="shared" si="113"/>
        <v>0</v>
      </c>
      <c r="AM450">
        <f t="shared" si="114"/>
        <v>0</v>
      </c>
      <c r="AN450">
        <f t="shared" si="115"/>
        <v>0</v>
      </c>
      <c r="AO450">
        <f t="shared" si="116"/>
        <v>0</v>
      </c>
      <c r="AP450">
        <f t="shared" si="117"/>
        <v>0</v>
      </c>
      <c r="AQ450">
        <f t="shared" si="118"/>
        <v>0</v>
      </c>
    </row>
    <row r="451" spans="1:43">
      <c r="A451" t="s">
        <v>1447</v>
      </c>
      <c r="B451" s="5">
        <v>45449</v>
      </c>
      <c r="C451" s="5">
        <v>45456</v>
      </c>
      <c r="D451" s="13">
        <f t="shared" ref="D451:D514" si="119">C451-B451</f>
        <v>7</v>
      </c>
      <c r="E451" t="s">
        <v>1341</v>
      </c>
      <c r="F451" t="s">
        <v>89</v>
      </c>
      <c r="G451" t="s">
        <v>90</v>
      </c>
      <c r="H451" t="s">
        <v>38</v>
      </c>
      <c r="I451" t="s">
        <v>166</v>
      </c>
      <c r="J451" t="s">
        <v>167</v>
      </c>
      <c r="K451" t="s">
        <v>74</v>
      </c>
      <c r="L451" t="s">
        <v>274</v>
      </c>
      <c r="M451" t="s">
        <v>1448</v>
      </c>
      <c r="N451" t="s">
        <v>31</v>
      </c>
      <c r="O451">
        <v>6</v>
      </c>
      <c r="P451">
        <v>3270.36</v>
      </c>
      <c r="Q451" s="11">
        <v>0</v>
      </c>
      <c r="R451">
        <v>19622.16</v>
      </c>
      <c r="S451">
        <v>14271.27</v>
      </c>
      <c r="T451">
        <v>5350.89</v>
      </c>
      <c r="U451" t="s">
        <v>32</v>
      </c>
      <c r="V451" t="s">
        <v>33</v>
      </c>
      <c r="X451" s="8" t="str">
        <f>IF(C451&gt;=B451,"Valid", "Invalid-Date")</f>
        <v>Valid</v>
      </c>
      <c r="Y451" s="8" t="str">
        <f t="shared" ref="Y451:Y514" si="120">IF(OR(Q451&lt;0, Q451&gt;0.5), "Invalid-Discount", "Valid")</f>
        <v>Valid</v>
      </c>
      <c r="Z451" s="8" t="str">
        <f t="shared" ref="Z451:Z514" si="121">IF(N451="Unknown","Flagged","Pass")</f>
        <v>Pass</v>
      </c>
      <c r="AA451" s="8" t="str">
        <f t="shared" ref="AA451:AA514" si="122">IF(H451="Unknown","Flagged","Pass")</f>
        <v>Pass</v>
      </c>
      <c r="AB451" s="8" t="str">
        <f>TEXT(B451,"mmmm")</f>
        <v>June</v>
      </c>
      <c r="AC451" s="8" t="str">
        <f>TEXT(B451,"yyyy")</f>
        <v>2024</v>
      </c>
      <c r="AE451">
        <f t="shared" ref="AE451:AE514" si="123">O451*P451</f>
        <v>19622.16</v>
      </c>
      <c r="AF451" s="11">
        <f t="shared" ref="AF451:AF514" si="124">AE451*(1-Q451)</f>
        <v>19622.16</v>
      </c>
      <c r="AG451">
        <f t="shared" ref="AG451:AG514" si="125">AE451-S451</f>
        <v>5350.8899999999994</v>
      </c>
      <c r="AH451" s="11">
        <f t="shared" ref="AH451:AH514" si="126">AG451/AE451</f>
        <v>0.27269627808559299</v>
      </c>
      <c r="AI451" s="9">
        <f t="shared" ref="AI451:AI514" si="127">AG451/AE451</f>
        <v>0.27269627808559299</v>
      </c>
      <c r="AJ451">
        <f t="shared" ref="AJ451:AJ514" si="128">SUMIFS(R451, V451, "Completed", U451, "Paid")</f>
        <v>19622.16</v>
      </c>
      <c r="AK451">
        <f t="shared" ref="AK451:AK514" si="129">COUNTIFS(V451, "Completed", U451, "Paid")</f>
        <v>1</v>
      </c>
      <c r="AL451">
        <f t="shared" ref="AL451:AL514" si="130">SUMIFS(R451, V451, "Cancelled")</f>
        <v>0</v>
      </c>
      <c r="AM451">
        <f t="shared" ref="AM451:AM514" si="131">COUNTIFS(V451, "Cancelled")</f>
        <v>0</v>
      </c>
      <c r="AN451">
        <f t="shared" ref="AN451:AN514" si="132">SUMIFS(R451, U451, "Failed")</f>
        <v>0</v>
      </c>
      <c r="AO451">
        <f t="shared" ref="AO451:AO514" si="133">COUNTIFS(U451, "Failed")</f>
        <v>0</v>
      </c>
      <c r="AP451">
        <f t="shared" ref="AP451:AP514" si="134">SUMIFS(R451, V451, "Returned")</f>
        <v>0</v>
      </c>
      <c r="AQ451">
        <f t="shared" ref="AQ451:AQ514" si="135">COUNTIFS(V451, "Returned")</f>
        <v>0</v>
      </c>
    </row>
    <row r="452" spans="1:43">
      <c r="A452" t="s">
        <v>1449</v>
      </c>
      <c r="B452" s="5">
        <v>45997</v>
      </c>
      <c r="C452" s="5">
        <v>45827</v>
      </c>
      <c r="D452" s="13">
        <f t="shared" si="119"/>
        <v>-170</v>
      </c>
      <c r="E452" t="s">
        <v>1450</v>
      </c>
      <c r="F452" t="s">
        <v>62</v>
      </c>
      <c r="G452" t="s">
        <v>90</v>
      </c>
      <c r="H452" t="s">
        <v>25</v>
      </c>
      <c r="I452" t="s">
        <v>350</v>
      </c>
      <c r="J452" t="s">
        <v>351</v>
      </c>
      <c r="K452" t="s">
        <v>41</v>
      </c>
      <c r="L452" t="s">
        <v>66</v>
      </c>
      <c r="M452" t="s">
        <v>1451</v>
      </c>
      <c r="N452" t="s">
        <v>59</v>
      </c>
      <c r="O452">
        <v>9</v>
      </c>
      <c r="P452">
        <v>2278.5700000000002</v>
      </c>
      <c r="Q452" s="11">
        <v>0.25</v>
      </c>
      <c r="R452">
        <v>15380.35</v>
      </c>
      <c r="S452">
        <v>9907.3700000000008</v>
      </c>
      <c r="T452">
        <v>5472.98</v>
      </c>
      <c r="U452" t="s">
        <v>32</v>
      </c>
      <c r="V452" t="s">
        <v>33</v>
      </c>
      <c r="X452" s="8" t="str">
        <f>IF(C452&gt;=B452,"Valid", "Invalid-Date")</f>
        <v>Invalid-Date</v>
      </c>
      <c r="Y452" s="8" t="str">
        <f t="shared" si="120"/>
        <v>Valid</v>
      </c>
      <c r="Z452" s="8" t="str">
        <f t="shared" si="121"/>
        <v>Pass</v>
      </c>
      <c r="AA452" s="8" t="str">
        <f t="shared" si="122"/>
        <v>Pass</v>
      </c>
      <c r="AB452" s="8" t="str">
        <f>TEXT(B452,"mmmm")</f>
        <v>December</v>
      </c>
      <c r="AC452" s="8" t="str">
        <f>TEXT(B452,"yyyy")</f>
        <v>2025</v>
      </c>
      <c r="AE452">
        <f t="shared" si="123"/>
        <v>20507.13</v>
      </c>
      <c r="AF452" s="11">
        <f t="shared" si="124"/>
        <v>15380.3475</v>
      </c>
      <c r="AG452">
        <f t="shared" si="125"/>
        <v>10599.76</v>
      </c>
      <c r="AH452" s="11">
        <f t="shared" si="126"/>
        <v>0.51688168944167223</v>
      </c>
      <c r="AI452" s="9">
        <f t="shared" si="127"/>
        <v>0.51688168944167223</v>
      </c>
      <c r="AJ452">
        <f t="shared" si="128"/>
        <v>15380.35</v>
      </c>
      <c r="AK452">
        <f t="shared" si="129"/>
        <v>1</v>
      </c>
      <c r="AL452">
        <f t="shared" si="130"/>
        <v>0</v>
      </c>
      <c r="AM452">
        <f t="shared" si="131"/>
        <v>0</v>
      </c>
      <c r="AN452">
        <f t="shared" si="132"/>
        <v>0</v>
      </c>
      <c r="AO452">
        <f t="shared" si="133"/>
        <v>0</v>
      </c>
      <c r="AP452">
        <f t="shared" si="134"/>
        <v>0</v>
      </c>
      <c r="AQ452">
        <f t="shared" si="135"/>
        <v>0</v>
      </c>
    </row>
    <row r="453" spans="1:43">
      <c r="A453" t="s">
        <v>1452</v>
      </c>
      <c r="B453" s="5">
        <v>45375</v>
      </c>
      <c r="C453" s="5">
        <v>45377</v>
      </c>
      <c r="D453" s="13">
        <f t="shared" si="119"/>
        <v>2</v>
      </c>
      <c r="E453" t="s">
        <v>1453</v>
      </c>
      <c r="F453" t="s">
        <v>141</v>
      </c>
      <c r="G453" t="s">
        <v>37</v>
      </c>
      <c r="H453" t="s">
        <v>25</v>
      </c>
      <c r="I453" t="s">
        <v>236</v>
      </c>
      <c r="J453" t="s">
        <v>237</v>
      </c>
      <c r="K453" t="s">
        <v>28</v>
      </c>
      <c r="L453" t="s">
        <v>29</v>
      </c>
      <c r="M453" t="s">
        <v>1454</v>
      </c>
      <c r="N453" t="s">
        <v>31</v>
      </c>
      <c r="O453">
        <v>8</v>
      </c>
      <c r="P453">
        <v>1917.64</v>
      </c>
      <c r="Q453" s="11">
        <v>0.15</v>
      </c>
      <c r="R453">
        <v>13039.95</v>
      </c>
      <c r="S453">
        <v>11127.82</v>
      </c>
      <c r="T453">
        <v>1912.13</v>
      </c>
      <c r="U453" t="s">
        <v>32</v>
      </c>
      <c r="V453" t="s">
        <v>68</v>
      </c>
      <c r="X453" s="8" t="str">
        <f>IF(C453&gt;=B453,"Valid", "Invalid-Date")</f>
        <v>Valid</v>
      </c>
      <c r="Y453" s="8" t="str">
        <f t="shared" si="120"/>
        <v>Valid</v>
      </c>
      <c r="Z453" s="8" t="str">
        <f t="shared" si="121"/>
        <v>Pass</v>
      </c>
      <c r="AA453" s="8" t="str">
        <f t="shared" si="122"/>
        <v>Pass</v>
      </c>
      <c r="AB453" s="8" t="str">
        <f>TEXT(B453,"mmmm")</f>
        <v>March</v>
      </c>
      <c r="AC453" s="8" t="str">
        <f>TEXT(B453,"yyyy")</f>
        <v>2024</v>
      </c>
      <c r="AE453">
        <f t="shared" si="123"/>
        <v>15341.12</v>
      </c>
      <c r="AF453" s="11">
        <f t="shared" si="124"/>
        <v>13039.952000000001</v>
      </c>
      <c r="AG453">
        <f t="shared" si="125"/>
        <v>4213.3000000000011</v>
      </c>
      <c r="AH453" s="11">
        <f t="shared" si="126"/>
        <v>0.27464096493606732</v>
      </c>
      <c r="AI453" s="9">
        <f t="shared" si="127"/>
        <v>0.27464096493606732</v>
      </c>
      <c r="AJ453">
        <f t="shared" si="128"/>
        <v>0</v>
      </c>
      <c r="AK453">
        <f t="shared" si="129"/>
        <v>0</v>
      </c>
      <c r="AL453">
        <f t="shared" si="130"/>
        <v>13039.95</v>
      </c>
      <c r="AM453">
        <f t="shared" si="131"/>
        <v>1</v>
      </c>
      <c r="AN453">
        <f t="shared" si="132"/>
        <v>0</v>
      </c>
      <c r="AO453">
        <f t="shared" si="133"/>
        <v>0</v>
      </c>
      <c r="AP453">
        <f t="shared" si="134"/>
        <v>0</v>
      </c>
      <c r="AQ453">
        <f t="shared" si="135"/>
        <v>0</v>
      </c>
    </row>
    <row r="454" spans="1:43">
      <c r="A454" t="s">
        <v>1455</v>
      </c>
      <c r="B454" s="5">
        <v>45422</v>
      </c>
      <c r="C454" s="5">
        <v>45428</v>
      </c>
      <c r="D454" s="13">
        <f t="shared" si="119"/>
        <v>6</v>
      </c>
      <c r="E454" t="s">
        <v>1456</v>
      </c>
      <c r="F454" t="s">
        <v>162</v>
      </c>
      <c r="G454" t="s">
        <v>95</v>
      </c>
      <c r="H454" t="s">
        <v>38</v>
      </c>
      <c r="I454" t="s">
        <v>228</v>
      </c>
      <c r="J454" t="s">
        <v>229</v>
      </c>
      <c r="K454" t="s">
        <v>74</v>
      </c>
      <c r="L454" t="s">
        <v>75</v>
      </c>
      <c r="M454" t="s">
        <v>1457</v>
      </c>
      <c r="N454" t="s">
        <v>31</v>
      </c>
      <c r="O454">
        <v>6</v>
      </c>
      <c r="P454">
        <v>2013.33</v>
      </c>
      <c r="Q454" s="11">
        <v>0.2</v>
      </c>
      <c r="R454">
        <v>9663.98</v>
      </c>
      <c r="S454">
        <v>5628.93</v>
      </c>
      <c r="T454">
        <v>4035.05</v>
      </c>
      <c r="U454" t="s">
        <v>32</v>
      </c>
      <c r="V454" t="s">
        <v>33</v>
      </c>
      <c r="X454" s="8" t="str">
        <f>IF(C454&gt;=B454,"Valid", "Invalid-Date")</f>
        <v>Valid</v>
      </c>
      <c r="Y454" s="8" t="str">
        <f t="shared" si="120"/>
        <v>Valid</v>
      </c>
      <c r="Z454" s="8" t="str">
        <f t="shared" si="121"/>
        <v>Pass</v>
      </c>
      <c r="AA454" s="8" t="str">
        <f t="shared" si="122"/>
        <v>Pass</v>
      </c>
      <c r="AB454" s="8" t="str">
        <f>TEXT(B454,"mmmm")</f>
        <v>May</v>
      </c>
      <c r="AC454" s="8" t="str">
        <f>TEXT(B454,"yyyy")</f>
        <v>2024</v>
      </c>
      <c r="AE454">
        <f t="shared" si="123"/>
        <v>12079.98</v>
      </c>
      <c r="AF454" s="11">
        <f t="shared" si="124"/>
        <v>9663.9840000000004</v>
      </c>
      <c r="AG454">
        <f t="shared" si="125"/>
        <v>6451.0499999999993</v>
      </c>
      <c r="AH454" s="11">
        <f t="shared" si="126"/>
        <v>0.53402820203344703</v>
      </c>
      <c r="AI454" s="9">
        <f t="shared" si="127"/>
        <v>0.53402820203344703</v>
      </c>
      <c r="AJ454">
        <f t="shared" si="128"/>
        <v>9663.98</v>
      </c>
      <c r="AK454">
        <f t="shared" si="129"/>
        <v>1</v>
      </c>
      <c r="AL454">
        <f t="shared" si="130"/>
        <v>0</v>
      </c>
      <c r="AM454">
        <f t="shared" si="131"/>
        <v>0</v>
      </c>
      <c r="AN454">
        <f t="shared" si="132"/>
        <v>0</v>
      </c>
      <c r="AO454">
        <f t="shared" si="133"/>
        <v>0</v>
      </c>
      <c r="AP454">
        <f t="shared" si="134"/>
        <v>0</v>
      </c>
      <c r="AQ454">
        <f t="shared" si="135"/>
        <v>0</v>
      </c>
    </row>
    <row r="455" spans="1:43">
      <c r="A455" t="s">
        <v>1458</v>
      </c>
      <c r="B455" s="5">
        <v>45721</v>
      </c>
      <c r="C455" s="5">
        <v>45966</v>
      </c>
      <c r="D455" s="13">
        <f t="shared" si="119"/>
        <v>245</v>
      </c>
      <c r="E455" t="s">
        <v>1459</v>
      </c>
      <c r="F455" t="s">
        <v>141</v>
      </c>
      <c r="G455" t="s">
        <v>37</v>
      </c>
      <c r="H455" t="s">
        <v>63</v>
      </c>
      <c r="I455" t="s">
        <v>72</v>
      </c>
      <c r="J455" t="s">
        <v>73</v>
      </c>
      <c r="K455" t="s">
        <v>28</v>
      </c>
      <c r="L455" t="s">
        <v>91</v>
      </c>
      <c r="M455" t="s">
        <v>1460</v>
      </c>
      <c r="N455" t="s">
        <v>44</v>
      </c>
      <c r="O455">
        <v>5</v>
      </c>
      <c r="P455">
        <v>1483.52</v>
      </c>
      <c r="Q455" s="11">
        <v>0</v>
      </c>
      <c r="R455">
        <v>7417.6</v>
      </c>
      <c r="S455">
        <v>4955.8599999999997</v>
      </c>
      <c r="T455">
        <v>2461.7399999999998</v>
      </c>
      <c r="U455" t="s">
        <v>32</v>
      </c>
      <c r="V455" t="s">
        <v>33</v>
      </c>
      <c r="X455" s="8" t="str">
        <f>IF(C455&gt;=B455,"Valid", "Invalid-Date")</f>
        <v>Valid</v>
      </c>
      <c r="Y455" s="8" t="str">
        <f t="shared" si="120"/>
        <v>Valid</v>
      </c>
      <c r="Z455" s="8" t="str">
        <f t="shared" si="121"/>
        <v>Pass</v>
      </c>
      <c r="AA455" s="8" t="str">
        <f t="shared" si="122"/>
        <v>Pass</v>
      </c>
      <c r="AB455" s="8" t="str">
        <f>TEXT(B455,"mmmm")</f>
        <v>March</v>
      </c>
      <c r="AC455" s="8" t="str">
        <f>TEXT(B455,"yyyy")</f>
        <v>2025</v>
      </c>
      <c r="AE455">
        <f t="shared" si="123"/>
        <v>7417.6</v>
      </c>
      <c r="AF455" s="11">
        <f t="shared" si="124"/>
        <v>7417.6</v>
      </c>
      <c r="AG455">
        <f t="shared" si="125"/>
        <v>2461.7400000000007</v>
      </c>
      <c r="AH455" s="11">
        <f t="shared" si="126"/>
        <v>0.3318782355478862</v>
      </c>
      <c r="AI455" s="9">
        <f t="shared" si="127"/>
        <v>0.3318782355478862</v>
      </c>
      <c r="AJ455">
        <f t="shared" si="128"/>
        <v>7417.6</v>
      </c>
      <c r="AK455">
        <f t="shared" si="129"/>
        <v>1</v>
      </c>
      <c r="AL455">
        <f t="shared" si="130"/>
        <v>0</v>
      </c>
      <c r="AM455">
        <f t="shared" si="131"/>
        <v>0</v>
      </c>
      <c r="AN455">
        <f t="shared" si="132"/>
        <v>0</v>
      </c>
      <c r="AO455">
        <f t="shared" si="133"/>
        <v>0</v>
      </c>
      <c r="AP455">
        <f t="shared" si="134"/>
        <v>0</v>
      </c>
      <c r="AQ455">
        <f t="shared" si="135"/>
        <v>0</v>
      </c>
    </row>
    <row r="456" spans="1:43">
      <c r="A456" t="s">
        <v>1461</v>
      </c>
      <c r="B456" s="5">
        <v>45739</v>
      </c>
      <c r="C456" s="5">
        <v>45744</v>
      </c>
      <c r="D456" s="13">
        <f t="shared" si="119"/>
        <v>5</v>
      </c>
      <c r="E456" t="s">
        <v>1462</v>
      </c>
      <c r="F456" t="s">
        <v>71</v>
      </c>
      <c r="G456" t="s">
        <v>37</v>
      </c>
      <c r="H456" t="s">
        <v>25</v>
      </c>
      <c r="I456" t="s">
        <v>26</v>
      </c>
      <c r="J456" t="s">
        <v>27</v>
      </c>
      <c r="K456" t="s">
        <v>41</v>
      </c>
      <c r="L456" t="s">
        <v>57</v>
      </c>
      <c r="M456" t="s">
        <v>1463</v>
      </c>
      <c r="N456" t="s">
        <v>59</v>
      </c>
      <c r="O456">
        <v>9</v>
      </c>
      <c r="P456">
        <v>3298</v>
      </c>
      <c r="Q456" s="11">
        <v>0.15</v>
      </c>
      <c r="R456">
        <v>25229.7</v>
      </c>
      <c r="S456">
        <v>20170.43</v>
      </c>
      <c r="T456">
        <v>5059.2700000000004</v>
      </c>
      <c r="U456" t="s">
        <v>32</v>
      </c>
      <c r="V456" t="s">
        <v>33</v>
      </c>
      <c r="X456" s="8" t="str">
        <f>IF(C456&gt;=B456,"Valid", "Invalid-Date")</f>
        <v>Valid</v>
      </c>
      <c r="Y456" s="8" t="str">
        <f t="shared" si="120"/>
        <v>Valid</v>
      </c>
      <c r="Z456" s="8" t="str">
        <f t="shared" si="121"/>
        <v>Pass</v>
      </c>
      <c r="AA456" s="8" t="str">
        <f t="shared" si="122"/>
        <v>Pass</v>
      </c>
      <c r="AB456" s="8" t="str">
        <f>TEXT(B456,"mmmm")</f>
        <v>March</v>
      </c>
      <c r="AC456" s="8" t="str">
        <f>TEXT(B456,"yyyy")</f>
        <v>2025</v>
      </c>
      <c r="AE456">
        <f t="shared" si="123"/>
        <v>29682</v>
      </c>
      <c r="AF456" s="11">
        <f t="shared" si="124"/>
        <v>25229.7</v>
      </c>
      <c r="AG456">
        <f t="shared" si="125"/>
        <v>9511.57</v>
      </c>
      <c r="AH456" s="11">
        <f t="shared" si="126"/>
        <v>0.32044909372683783</v>
      </c>
      <c r="AI456" s="9">
        <f t="shared" si="127"/>
        <v>0.32044909372683783</v>
      </c>
      <c r="AJ456">
        <f t="shared" si="128"/>
        <v>25229.7</v>
      </c>
      <c r="AK456">
        <f t="shared" si="129"/>
        <v>1</v>
      </c>
      <c r="AL456">
        <f t="shared" si="130"/>
        <v>0</v>
      </c>
      <c r="AM456">
        <f t="shared" si="131"/>
        <v>0</v>
      </c>
      <c r="AN456">
        <f t="shared" si="132"/>
        <v>0</v>
      </c>
      <c r="AO456">
        <f t="shared" si="133"/>
        <v>0</v>
      </c>
      <c r="AP456">
        <f t="shared" si="134"/>
        <v>0</v>
      </c>
      <c r="AQ456">
        <f t="shared" si="135"/>
        <v>0</v>
      </c>
    </row>
    <row r="457" spans="1:43">
      <c r="A457" t="s">
        <v>1464</v>
      </c>
      <c r="B457" s="5">
        <v>45491</v>
      </c>
      <c r="C457" s="5">
        <v>45495</v>
      </c>
      <c r="D457" s="13">
        <f t="shared" si="119"/>
        <v>4</v>
      </c>
      <c r="E457" t="s">
        <v>1465</v>
      </c>
      <c r="F457" t="s">
        <v>79</v>
      </c>
      <c r="G457" t="s">
        <v>37</v>
      </c>
      <c r="H457" t="s">
        <v>54</v>
      </c>
      <c r="I457" t="s">
        <v>55</v>
      </c>
      <c r="J457" t="s">
        <v>56</v>
      </c>
      <c r="K457" t="s">
        <v>28</v>
      </c>
      <c r="L457" t="s">
        <v>48</v>
      </c>
      <c r="M457" t="s">
        <v>1466</v>
      </c>
      <c r="N457" t="s">
        <v>59</v>
      </c>
      <c r="O457">
        <v>4</v>
      </c>
      <c r="P457">
        <v>808.77</v>
      </c>
      <c r="Q457" s="11">
        <v>0</v>
      </c>
      <c r="R457">
        <v>3235.08</v>
      </c>
      <c r="S457">
        <v>1848.6</v>
      </c>
      <c r="T457">
        <v>1386.48</v>
      </c>
      <c r="U457" t="s">
        <v>32</v>
      </c>
      <c r="V457" t="s">
        <v>33</v>
      </c>
      <c r="X457" s="8" t="str">
        <f>IF(C457&gt;=B457,"Valid", "Invalid-Date")</f>
        <v>Valid</v>
      </c>
      <c r="Y457" s="8" t="str">
        <f t="shared" si="120"/>
        <v>Valid</v>
      </c>
      <c r="Z457" s="8" t="str">
        <f t="shared" si="121"/>
        <v>Pass</v>
      </c>
      <c r="AA457" s="8" t="str">
        <f t="shared" si="122"/>
        <v>Pass</v>
      </c>
      <c r="AB457" s="8" t="str">
        <f>TEXT(B457,"mmmm")</f>
        <v>July</v>
      </c>
      <c r="AC457" s="8" t="str">
        <f>TEXT(B457,"yyyy")</f>
        <v>2024</v>
      </c>
      <c r="AE457">
        <f t="shared" si="123"/>
        <v>3235.08</v>
      </c>
      <c r="AF457" s="11">
        <f t="shared" si="124"/>
        <v>3235.08</v>
      </c>
      <c r="AG457">
        <f t="shared" si="125"/>
        <v>1386.48</v>
      </c>
      <c r="AH457" s="11">
        <f t="shared" si="126"/>
        <v>0.42857672762342819</v>
      </c>
      <c r="AI457" s="9">
        <f t="shared" si="127"/>
        <v>0.42857672762342819</v>
      </c>
      <c r="AJ457">
        <f t="shared" si="128"/>
        <v>3235.08</v>
      </c>
      <c r="AK457">
        <f t="shared" si="129"/>
        <v>1</v>
      </c>
      <c r="AL457">
        <f t="shared" si="130"/>
        <v>0</v>
      </c>
      <c r="AM457">
        <f t="shared" si="131"/>
        <v>0</v>
      </c>
      <c r="AN457">
        <f t="shared" si="132"/>
        <v>0</v>
      </c>
      <c r="AO457">
        <f t="shared" si="133"/>
        <v>0</v>
      </c>
      <c r="AP457">
        <f t="shared" si="134"/>
        <v>0</v>
      </c>
      <c r="AQ457">
        <f t="shared" si="135"/>
        <v>0</v>
      </c>
    </row>
    <row r="458" spans="1:43">
      <c r="A458" t="s">
        <v>1467</v>
      </c>
      <c r="B458" s="5">
        <v>45342</v>
      </c>
      <c r="C458" s="5">
        <v>45342</v>
      </c>
      <c r="D458" s="13">
        <f t="shared" si="119"/>
        <v>0</v>
      </c>
      <c r="E458" t="s">
        <v>1468</v>
      </c>
      <c r="F458" t="s">
        <v>79</v>
      </c>
      <c r="G458" t="s">
        <v>90</v>
      </c>
      <c r="H458" t="s">
        <v>25</v>
      </c>
      <c r="I458" t="s">
        <v>136</v>
      </c>
      <c r="J458" t="s">
        <v>137</v>
      </c>
      <c r="K458" t="s">
        <v>74</v>
      </c>
      <c r="L458" t="s">
        <v>75</v>
      </c>
      <c r="M458" t="s">
        <v>1469</v>
      </c>
      <c r="N458" t="s">
        <v>44</v>
      </c>
      <c r="O458">
        <v>5</v>
      </c>
      <c r="P458">
        <v>2604.91</v>
      </c>
      <c r="Q458" s="11">
        <v>0.15</v>
      </c>
      <c r="R458">
        <v>11070.87</v>
      </c>
      <c r="S458">
        <v>6623.61</v>
      </c>
      <c r="T458">
        <v>4447.26</v>
      </c>
      <c r="U458" t="s">
        <v>32</v>
      </c>
      <c r="V458" t="s">
        <v>103</v>
      </c>
      <c r="X458" s="8" t="str">
        <f>IF(C458&gt;=B458,"Valid", "Invalid-Date")</f>
        <v>Valid</v>
      </c>
      <c r="Y458" s="8" t="str">
        <f t="shared" si="120"/>
        <v>Valid</v>
      </c>
      <c r="Z458" s="8" t="str">
        <f t="shared" si="121"/>
        <v>Pass</v>
      </c>
      <c r="AA458" s="8" t="str">
        <f t="shared" si="122"/>
        <v>Pass</v>
      </c>
      <c r="AB458" s="8" t="str">
        <f>TEXT(B458,"mmmm")</f>
        <v>February</v>
      </c>
      <c r="AC458" s="8" t="str">
        <f>TEXT(B458,"yyyy")</f>
        <v>2024</v>
      </c>
      <c r="AE458">
        <f t="shared" si="123"/>
        <v>13024.55</v>
      </c>
      <c r="AF458" s="11">
        <f t="shared" si="124"/>
        <v>11070.867499999998</v>
      </c>
      <c r="AG458">
        <f t="shared" si="125"/>
        <v>6400.94</v>
      </c>
      <c r="AH458" s="11">
        <f t="shared" si="126"/>
        <v>0.49145191196624838</v>
      </c>
      <c r="AI458" s="9">
        <f t="shared" si="127"/>
        <v>0.49145191196624838</v>
      </c>
      <c r="AJ458">
        <f t="shared" si="128"/>
        <v>0</v>
      </c>
      <c r="AK458">
        <f t="shared" si="129"/>
        <v>0</v>
      </c>
      <c r="AL458">
        <f t="shared" si="130"/>
        <v>0</v>
      </c>
      <c r="AM458">
        <f t="shared" si="131"/>
        <v>0</v>
      </c>
      <c r="AN458">
        <f t="shared" si="132"/>
        <v>0</v>
      </c>
      <c r="AO458">
        <f t="shared" si="133"/>
        <v>0</v>
      </c>
      <c r="AP458">
        <f t="shared" si="134"/>
        <v>11070.87</v>
      </c>
      <c r="AQ458">
        <f t="shared" si="135"/>
        <v>1</v>
      </c>
    </row>
    <row r="459" spans="1:43">
      <c r="A459" t="s">
        <v>1470</v>
      </c>
      <c r="B459" s="5">
        <v>45387</v>
      </c>
      <c r="C459" s="5">
        <v>45387</v>
      </c>
      <c r="D459" s="13">
        <f t="shared" si="119"/>
        <v>0</v>
      </c>
      <c r="E459" t="s">
        <v>1471</v>
      </c>
      <c r="F459" t="s">
        <v>36</v>
      </c>
      <c r="G459" t="s">
        <v>37</v>
      </c>
      <c r="H459" t="s">
        <v>63</v>
      </c>
      <c r="I459" t="s">
        <v>190</v>
      </c>
      <c r="J459" t="s">
        <v>191</v>
      </c>
      <c r="K459" t="s">
        <v>41</v>
      </c>
      <c r="L459" t="s">
        <v>42</v>
      </c>
      <c r="M459" t="s">
        <v>1472</v>
      </c>
      <c r="N459" t="s">
        <v>59</v>
      </c>
      <c r="O459">
        <v>7</v>
      </c>
      <c r="P459">
        <v>2851.51</v>
      </c>
      <c r="Q459" s="11">
        <v>0</v>
      </c>
      <c r="R459">
        <v>19960.57</v>
      </c>
      <c r="S459">
        <v>16603.599999999999</v>
      </c>
      <c r="T459">
        <v>3356.97</v>
      </c>
      <c r="U459" t="s">
        <v>32</v>
      </c>
      <c r="V459" t="s">
        <v>33</v>
      </c>
      <c r="X459" s="8" t="str">
        <f>IF(C459&gt;=B459,"Valid", "Invalid-Date")</f>
        <v>Valid</v>
      </c>
      <c r="Y459" s="8" t="str">
        <f t="shared" si="120"/>
        <v>Valid</v>
      </c>
      <c r="Z459" s="8" t="str">
        <f t="shared" si="121"/>
        <v>Pass</v>
      </c>
      <c r="AA459" s="8" t="str">
        <f t="shared" si="122"/>
        <v>Pass</v>
      </c>
      <c r="AB459" s="8" t="str">
        <f>TEXT(B459,"mmmm")</f>
        <v>April</v>
      </c>
      <c r="AC459" s="8" t="str">
        <f>TEXT(B459,"yyyy")</f>
        <v>2024</v>
      </c>
      <c r="AE459">
        <f t="shared" si="123"/>
        <v>19960.57</v>
      </c>
      <c r="AF459" s="11">
        <f t="shared" si="124"/>
        <v>19960.57</v>
      </c>
      <c r="AG459">
        <f t="shared" si="125"/>
        <v>3356.9700000000012</v>
      </c>
      <c r="AH459" s="11">
        <f t="shared" si="126"/>
        <v>0.1681800670020947</v>
      </c>
      <c r="AI459" s="9">
        <f t="shared" si="127"/>
        <v>0.1681800670020947</v>
      </c>
      <c r="AJ459">
        <f t="shared" si="128"/>
        <v>19960.57</v>
      </c>
      <c r="AK459">
        <f t="shared" si="129"/>
        <v>1</v>
      </c>
      <c r="AL459">
        <f t="shared" si="130"/>
        <v>0</v>
      </c>
      <c r="AM459">
        <f t="shared" si="131"/>
        <v>0</v>
      </c>
      <c r="AN459">
        <f t="shared" si="132"/>
        <v>0</v>
      </c>
      <c r="AO459">
        <f t="shared" si="133"/>
        <v>0</v>
      </c>
      <c r="AP459">
        <f t="shared" si="134"/>
        <v>0</v>
      </c>
      <c r="AQ459">
        <f t="shared" si="135"/>
        <v>0</v>
      </c>
    </row>
    <row r="460" spans="1:43">
      <c r="A460" t="s">
        <v>1473</v>
      </c>
      <c r="B460" s="5">
        <v>45332</v>
      </c>
      <c r="C460" s="5">
        <v>45598</v>
      </c>
      <c r="D460" s="13">
        <f t="shared" si="119"/>
        <v>266</v>
      </c>
      <c r="E460" t="s">
        <v>1474</v>
      </c>
      <c r="F460" t="s">
        <v>23</v>
      </c>
      <c r="G460" t="s">
        <v>90</v>
      </c>
      <c r="H460" t="s">
        <v>25</v>
      </c>
      <c r="I460" t="s">
        <v>26</v>
      </c>
      <c r="J460" t="s">
        <v>27</v>
      </c>
      <c r="K460" t="s">
        <v>74</v>
      </c>
      <c r="L460" t="s">
        <v>171</v>
      </c>
      <c r="M460" t="s">
        <v>1475</v>
      </c>
      <c r="N460" t="s">
        <v>31</v>
      </c>
      <c r="O460">
        <v>3</v>
      </c>
      <c r="P460">
        <v>3183.72</v>
      </c>
      <c r="Q460" s="11">
        <v>0.1</v>
      </c>
      <c r="R460">
        <v>8596.0400000000009</v>
      </c>
      <c r="S460">
        <v>5378.16</v>
      </c>
      <c r="T460">
        <v>3217.88</v>
      </c>
      <c r="U460" t="s">
        <v>32</v>
      </c>
      <c r="V460" t="s">
        <v>33</v>
      </c>
      <c r="X460" s="8" t="str">
        <f>IF(C460&gt;=B460,"Valid", "Invalid-Date")</f>
        <v>Valid</v>
      </c>
      <c r="Y460" s="8" t="str">
        <f t="shared" si="120"/>
        <v>Valid</v>
      </c>
      <c r="Z460" s="8" t="str">
        <f t="shared" si="121"/>
        <v>Pass</v>
      </c>
      <c r="AA460" s="8" t="str">
        <f t="shared" si="122"/>
        <v>Pass</v>
      </c>
      <c r="AB460" s="8" t="str">
        <f>TEXT(B460,"mmmm")</f>
        <v>February</v>
      </c>
      <c r="AC460" s="8" t="str">
        <f>TEXT(B460,"yyyy")</f>
        <v>2024</v>
      </c>
      <c r="AE460">
        <f t="shared" si="123"/>
        <v>9551.16</v>
      </c>
      <c r="AF460" s="11">
        <f t="shared" si="124"/>
        <v>8596.0439999999999</v>
      </c>
      <c r="AG460">
        <f t="shared" si="125"/>
        <v>4173</v>
      </c>
      <c r="AH460" s="11">
        <f t="shared" si="126"/>
        <v>0.43691028105486662</v>
      </c>
      <c r="AI460" s="9">
        <f t="shared" si="127"/>
        <v>0.43691028105486662</v>
      </c>
      <c r="AJ460">
        <f t="shared" si="128"/>
        <v>8596.0400000000009</v>
      </c>
      <c r="AK460">
        <f t="shared" si="129"/>
        <v>1</v>
      </c>
      <c r="AL460">
        <f t="shared" si="130"/>
        <v>0</v>
      </c>
      <c r="AM460">
        <f t="shared" si="131"/>
        <v>0</v>
      </c>
      <c r="AN460">
        <f t="shared" si="132"/>
        <v>0</v>
      </c>
      <c r="AO460">
        <f t="shared" si="133"/>
        <v>0</v>
      </c>
      <c r="AP460">
        <f t="shared" si="134"/>
        <v>0</v>
      </c>
      <c r="AQ460">
        <f t="shared" si="135"/>
        <v>0</v>
      </c>
    </row>
    <row r="461" spans="1:43">
      <c r="A461" t="s">
        <v>1476</v>
      </c>
      <c r="B461" s="5">
        <v>45379</v>
      </c>
      <c r="C461" s="5">
        <v>45386</v>
      </c>
      <c r="D461" s="13">
        <f t="shared" si="119"/>
        <v>7</v>
      </c>
      <c r="E461" t="s">
        <v>1477</v>
      </c>
      <c r="F461" t="s">
        <v>62</v>
      </c>
      <c r="G461" t="s">
        <v>95</v>
      </c>
      <c r="H461" t="s">
        <v>63</v>
      </c>
      <c r="I461" t="s">
        <v>190</v>
      </c>
      <c r="J461" t="s">
        <v>191</v>
      </c>
      <c r="K461" t="s">
        <v>28</v>
      </c>
      <c r="L461" t="s">
        <v>29</v>
      </c>
      <c r="M461" t="s">
        <v>1478</v>
      </c>
      <c r="N461" t="s">
        <v>50</v>
      </c>
      <c r="O461">
        <v>3</v>
      </c>
      <c r="P461">
        <v>1150.92</v>
      </c>
      <c r="Q461" s="11">
        <v>0</v>
      </c>
      <c r="R461">
        <v>3452.76</v>
      </c>
      <c r="S461">
        <v>2077.96</v>
      </c>
      <c r="T461">
        <v>1374.8</v>
      </c>
      <c r="U461" t="s">
        <v>32</v>
      </c>
      <c r="V461" t="s">
        <v>33</v>
      </c>
      <c r="X461" s="8" t="str">
        <f>IF(C461&gt;=B461,"Valid", "Invalid-Date")</f>
        <v>Valid</v>
      </c>
      <c r="Y461" s="8" t="str">
        <f t="shared" si="120"/>
        <v>Valid</v>
      </c>
      <c r="Z461" s="8" t="str">
        <f t="shared" si="121"/>
        <v>Pass</v>
      </c>
      <c r="AA461" s="8" t="str">
        <f t="shared" si="122"/>
        <v>Pass</v>
      </c>
      <c r="AB461" s="8" t="str">
        <f>TEXT(B461,"mmmm")</f>
        <v>March</v>
      </c>
      <c r="AC461" s="8" t="str">
        <f>TEXT(B461,"yyyy")</f>
        <v>2024</v>
      </c>
      <c r="AE461">
        <f t="shared" si="123"/>
        <v>3452.76</v>
      </c>
      <c r="AF461" s="11">
        <f t="shared" si="124"/>
        <v>3452.76</v>
      </c>
      <c r="AG461">
        <f t="shared" si="125"/>
        <v>1374.8000000000002</v>
      </c>
      <c r="AH461" s="11">
        <f t="shared" si="126"/>
        <v>0.39817421425178701</v>
      </c>
      <c r="AI461" s="9">
        <f t="shared" si="127"/>
        <v>0.39817421425178701</v>
      </c>
      <c r="AJ461">
        <f t="shared" si="128"/>
        <v>3452.76</v>
      </c>
      <c r="AK461">
        <f t="shared" si="129"/>
        <v>1</v>
      </c>
      <c r="AL461">
        <f t="shared" si="130"/>
        <v>0</v>
      </c>
      <c r="AM461">
        <f t="shared" si="131"/>
        <v>0</v>
      </c>
      <c r="AN461">
        <f t="shared" si="132"/>
        <v>0</v>
      </c>
      <c r="AO461">
        <f t="shared" si="133"/>
        <v>0</v>
      </c>
      <c r="AP461">
        <f t="shared" si="134"/>
        <v>0</v>
      </c>
      <c r="AQ461">
        <f t="shared" si="135"/>
        <v>0</v>
      </c>
    </row>
    <row r="462" spans="1:43">
      <c r="A462" t="s">
        <v>1479</v>
      </c>
      <c r="B462" s="5">
        <v>45930</v>
      </c>
      <c r="C462" s="5">
        <v>45818</v>
      </c>
      <c r="D462" s="13">
        <f t="shared" si="119"/>
        <v>-112</v>
      </c>
      <c r="E462" t="s">
        <v>1480</v>
      </c>
      <c r="F462" t="s">
        <v>128</v>
      </c>
      <c r="G462" t="s">
        <v>90</v>
      </c>
      <c r="H462" t="s">
        <v>2785</v>
      </c>
      <c r="I462" t="s">
        <v>26</v>
      </c>
      <c r="J462" t="s">
        <v>27</v>
      </c>
      <c r="K462" t="s">
        <v>74</v>
      </c>
      <c r="L462" t="s">
        <v>80</v>
      </c>
      <c r="M462" t="s">
        <v>1481</v>
      </c>
      <c r="N462" t="s">
        <v>31</v>
      </c>
      <c r="O462">
        <v>9</v>
      </c>
      <c r="P462">
        <v>1359.88</v>
      </c>
      <c r="Q462" s="11">
        <v>0.05</v>
      </c>
      <c r="R462">
        <v>11626.97</v>
      </c>
      <c r="S462">
        <v>7394.07</v>
      </c>
      <c r="T462">
        <v>4232.8999999999996</v>
      </c>
      <c r="U462" t="s">
        <v>32</v>
      </c>
      <c r="V462" t="s">
        <v>33</v>
      </c>
      <c r="X462" s="8" t="str">
        <f>IF(C462&gt;=B462,"Valid", "Invalid-Date")</f>
        <v>Invalid-Date</v>
      </c>
      <c r="Y462" s="8" t="str">
        <f t="shared" si="120"/>
        <v>Valid</v>
      </c>
      <c r="Z462" s="8" t="str">
        <f t="shared" si="121"/>
        <v>Pass</v>
      </c>
      <c r="AA462" s="8" t="str">
        <f t="shared" si="122"/>
        <v>Flagged</v>
      </c>
      <c r="AB462" s="8" t="str">
        <f>TEXT(B462,"mmmm")</f>
        <v>September</v>
      </c>
      <c r="AC462" s="8" t="str">
        <f>TEXT(B462,"yyyy")</f>
        <v>2025</v>
      </c>
      <c r="AE462">
        <f t="shared" si="123"/>
        <v>12238.920000000002</v>
      </c>
      <c r="AF462" s="11">
        <f t="shared" si="124"/>
        <v>11626.974000000002</v>
      </c>
      <c r="AG462">
        <f t="shared" si="125"/>
        <v>4844.8500000000022</v>
      </c>
      <c r="AH462" s="11">
        <f t="shared" si="126"/>
        <v>0.39585600690256995</v>
      </c>
      <c r="AI462" s="9">
        <f t="shared" si="127"/>
        <v>0.39585600690256995</v>
      </c>
      <c r="AJ462">
        <f t="shared" si="128"/>
        <v>11626.97</v>
      </c>
      <c r="AK462">
        <f t="shared" si="129"/>
        <v>1</v>
      </c>
      <c r="AL462">
        <f t="shared" si="130"/>
        <v>0</v>
      </c>
      <c r="AM462">
        <f t="shared" si="131"/>
        <v>0</v>
      </c>
      <c r="AN462">
        <f t="shared" si="132"/>
        <v>0</v>
      </c>
      <c r="AO462">
        <f t="shared" si="133"/>
        <v>0</v>
      </c>
      <c r="AP462">
        <f t="shared" si="134"/>
        <v>0</v>
      </c>
      <c r="AQ462">
        <f t="shared" si="135"/>
        <v>0</v>
      </c>
    </row>
    <row r="463" spans="1:43">
      <c r="A463" t="s">
        <v>1482</v>
      </c>
      <c r="B463" s="5">
        <v>45802</v>
      </c>
      <c r="C463" s="5">
        <v>45803</v>
      </c>
      <c r="D463" s="13">
        <f t="shared" si="119"/>
        <v>1</v>
      </c>
      <c r="E463" t="s">
        <v>1483</v>
      </c>
      <c r="F463" t="s">
        <v>79</v>
      </c>
      <c r="G463" t="s">
        <v>90</v>
      </c>
      <c r="H463" t="s">
        <v>54</v>
      </c>
      <c r="I463" t="s">
        <v>84</v>
      </c>
      <c r="J463" t="s">
        <v>85</v>
      </c>
      <c r="K463" t="s">
        <v>28</v>
      </c>
      <c r="L463" t="s">
        <v>29</v>
      </c>
      <c r="M463" t="s">
        <v>1484</v>
      </c>
      <c r="N463" t="s">
        <v>59</v>
      </c>
      <c r="O463">
        <v>3</v>
      </c>
      <c r="P463">
        <v>3378.15</v>
      </c>
      <c r="Q463" s="11">
        <v>0.15</v>
      </c>
      <c r="R463">
        <v>8614.2800000000007</v>
      </c>
      <c r="S463">
        <v>7052.08</v>
      </c>
      <c r="T463">
        <v>1562.2</v>
      </c>
      <c r="U463" t="s">
        <v>32</v>
      </c>
      <c r="V463" t="s">
        <v>33</v>
      </c>
      <c r="X463" s="8" t="str">
        <f>IF(C463&gt;=B463,"Valid", "Invalid-Date")</f>
        <v>Valid</v>
      </c>
      <c r="Y463" s="8" t="str">
        <f t="shared" si="120"/>
        <v>Valid</v>
      </c>
      <c r="Z463" s="8" t="str">
        <f t="shared" si="121"/>
        <v>Pass</v>
      </c>
      <c r="AA463" s="8" t="str">
        <f t="shared" si="122"/>
        <v>Pass</v>
      </c>
      <c r="AB463" s="8" t="str">
        <f>TEXT(B463,"mmmm")</f>
        <v>May</v>
      </c>
      <c r="AC463" s="8" t="str">
        <f>TEXT(B463,"yyyy")</f>
        <v>2025</v>
      </c>
      <c r="AE463">
        <f t="shared" si="123"/>
        <v>10134.450000000001</v>
      </c>
      <c r="AF463" s="11">
        <f t="shared" si="124"/>
        <v>8614.2825000000012</v>
      </c>
      <c r="AG463">
        <f t="shared" si="125"/>
        <v>3082.3700000000008</v>
      </c>
      <c r="AH463" s="11">
        <f t="shared" si="126"/>
        <v>0.30414773372013287</v>
      </c>
      <c r="AI463" s="9">
        <f t="shared" si="127"/>
        <v>0.30414773372013287</v>
      </c>
      <c r="AJ463">
        <f t="shared" si="128"/>
        <v>8614.2800000000007</v>
      </c>
      <c r="AK463">
        <f t="shared" si="129"/>
        <v>1</v>
      </c>
      <c r="AL463">
        <f t="shared" si="130"/>
        <v>0</v>
      </c>
      <c r="AM463">
        <f t="shared" si="131"/>
        <v>0</v>
      </c>
      <c r="AN463">
        <f t="shared" si="132"/>
        <v>0</v>
      </c>
      <c r="AO463">
        <f t="shared" si="133"/>
        <v>0</v>
      </c>
      <c r="AP463">
        <f t="shared" si="134"/>
        <v>0</v>
      </c>
      <c r="AQ463">
        <f t="shared" si="135"/>
        <v>0</v>
      </c>
    </row>
    <row r="464" spans="1:43">
      <c r="A464" t="s">
        <v>1485</v>
      </c>
      <c r="B464" s="5">
        <v>45558</v>
      </c>
      <c r="C464" s="5">
        <v>45560</v>
      </c>
      <c r="D464" s="13">
        <f t="shared" si="119"/>
        <v>2</v>
      </c>
      <c r="E464" t="s">
        <v>1486</v>
      </c>
      <c r="F464" t="s">
        <v>128</v>
      </c>
      <c r="G464" t="s">
        <v>95</v>
      </c>
      <c r="H464" t="s">
        <v>25</v>
      </c>
      <c r="I464" t="s">
        <v>350</v>
      </c>
      <c r="J464" t="s">
        <v>351</v>
      </c>
      <c r="K464" t="s">
        <v>28</v>
      </c>
      <c r="L464" t="s">
        <v>153</v>
      </c>
      <c r="M464" t="s">
        <v>1487</v>
      </c>
      <c r="N464" t="s">
        <v>50</v>
      </c>
      <c r="O464">
        <v>2</v>
      </c>
      <c r="P464">
        <v>1275.1400000000001</v>
      </c>
      <c r="Q464" s="11">
        <v>0.2</v>
      </c>
      <c r="R464">
        <v>2040.22</v>
      </c>
      <c r="S464">
        <v>1395.71</v>
      </c>
      <c r="T464">
        <v>644.51</v>
      </c>
      <c r="U464" t="s">
        <v>32</v>
      </c>
      <c r="V464" t="s">
        <v>33</v>
      </c>
      <c r="X464" s="8" t="str">
        <f>IF(C464&gt;=B464,"Valid", "Invalid-Date")</f>
        <v>Valid</v>
      </c>
      <c r="Y464" s="8" t="str">
        <f t="shared" si="120"/>
        <v>Valid</v>
      </c>
      <c r="Z464" s="8" t="str">
        <f t="shared" si="121"/>
        <v>Pass</v>
      </c>
      <c r="AA464" s="8" t="str">
        <f t="shared" si="122"/>
        <v>Pass</v>
      </c>
      <c r="AB464" s="8" t="str">
        <f>TEXT(B464,"mmmm")</f>
        <v>September</v>
      </c>
      <c r="AC464" s="8" t="str">
        <f>TEXT(B464,"yyyy")</f>
        <v>2024</v>
      </c>
      <c r="AE464">
        <f t="shared" si="123"/>
        <v>2550.2800000000002</v>
      </c>
      <c r="AF464" s="11">
        <f t="shared" si="124"/>
        <v>2040.2240000000002</v>
      </c>
      <c r="AG464">
        <f t="shared" si="125"/>
        <v>1154.5700000000002</v>
      </c>
      <c r="AH464" s="11">
        <f t="shared" si="126"/>
        <v>0.45272283827658144</v>
      </c>
      <c r="AI464" s="9">
        <f t="shared" si="127"/>
        <v>0.45272283827658144</v>
      </c>
      <c r="AJ464">
        <f t="shared" si="128"/>
        <v>2040.22</v>
      </c>
      <c r="AK464">
        <f t="shared" si="129"/>
        <v>1</v>
      </c>
      <c r="AL464">
        <f t="shared" si="130"/>
        <v>0</v>
      </c>
      <c r="AM464">
        <f t="shared" si="131"/>
        <v>0</v>
      </c>
      <c r="AN464">
        <f t="shared" si="132"/>
        <v>0</v>
      </c>
      <c r="AO464">
        <f t="shared" si="133"/>
        <v>0</v>
      </c>
      <c r="AP464">
        <f t="shared" si="134"/>
        <v>0</v>
      </c>
      <c r="AQ464">
        <f t="shared" si="135"/>
        <v>0</v>
      </c>
    </row>
    <row r="465" spans="1:43">
      <c r="A465" t="s">
        <v>1488</v>
      </c>
      <c r="B465" s="5">
        <v>45695</v>
      </c>
      <c r="C465" s="5">
        <v>45871</v>
      </c>
      <c r="D465" s="13">
        <f t="shared" si="119"/>
        <v>176</v>
      </c>
      <c r="E465" t="s">
        <v>1489</v>
      </c>
      <c r="F465" t="s">
        <v>53</v>
      </c>
      <c r="G465" t="s">
        <v>90</v>
      </c>
      <c r="H465" t="s">
        <v>63</v>
      </c>
      <c r="I465" t="s">
        <v>72</v>
      </c>
      <c r="J465" t="s">
        <v>73</v>
      </c>
      <c r="K465" t="s">
        <v>74</v>
      </c>
      <c r="L465" t="s">
        <v>171</v>
      </c>
      <c r="M465" t="s">
        <v>1490</v>
      </c>
      <c r="N465" t="s">
        <v>59</v>
      </c>
      <c r="O465">
        <v>4</v>
      </c>
      <c r="P465">
        <v>889.5</v>
      </c>
      <c r="Q465" s="11">
        <v>0.2</v>
      </c>
      <c r="R465">
        <v>2846.4</v>
      </c>
      <c r="S465">
        <v>2132.37</v>
      </c>
      <c r="T465">
        <v>714.03</v>
      </c>
      <c r="U465" t="s">
        <v>32</v>
      </c>
      <c r="V465" t="s">
        <v>33</v>
      </c>
      <c r="X465" s="8" t="str">
        <f>IF(C465&gt;=B465,"Valid", "Invalid-Date")</f>
        <v>Valid</v>
      </c>
      <c r="Y465" s="8" t="str">
        <f t="shared" si="120"/>
        <v>Valid</v>
      </c>
      <c r="Z465" s="8" t="str">
        <f t="shared" si="121"/>
        <v>Pass</v>
      </c>
      <c r="AA465" s="8" t="str">
        <f t="shared" si="122"/>
        <v>Pass</v>
      </c>
      <c r="AB465" s="8" t="str">
        <f>TEXT(B465,"mmmm")</f>
        <v>February</v>
      </c>
      <c r="AC465" s="8" t="str">
        <f>TEXT(B465,"yyyy")</f>
        <v>2025</v>
      </c>
      <c r="AE465">
        <f t="shared" si="123"/>
        <v>3558</v>
      </c>
      <c r="AF465" s="11">
        <f t="shared" si="124"/>
        <v>2846.4</v>
      </c>
      <c r="AG465">
        <f t="shared" si="125"/>
        <v>1425.63</v>
      </c>
      <c r="AH465" s="11">
        <f t="shared" si="126"/>
        <v>0.40068296795952785</v>
      </c>
      <c r="AI465" s="9">
        <f t="shared" si="127"/>
        <v>0.40068296795952785</v>
      </c>
      <c r="AJ465">
        <f t="shared" si="128"/>
        <v>2846.4</v>
      </c>
      <c r="AK465">
        <f t="shared" si="129"/>
        <v>1</v>
      </c>
      <c r="AL465">
        <f t="shared" si="130"/>
        <v>0</v>
      </c>
      <c r="AM465">
        <f t="shared" si="131"/>
        <v>0</v>
      </c>
      <c r="AN465">
        <f t="shared" si="132"/>
        <v>0</v>
      </c>
      <c r="AO465">
        <f t="shared" si="133"/>
        <v>0</v>
      </c>
      <c r="AP465">
        <f t="shared" si="134"/>
        <v>0</v>
      </c>
      <c r="AQ465">
        <f t="shared" si="135"/>
        <v>0</v>
      </c>
    </row>
    <row r="466" spans="1:43">
      <c r="A466" t="s">
        <v>1491</v>
      </c>
      <c r="B466" s="5">
        <v>45727</v>
      </c>
      <c r="C466" s="5">
        <v>45731</v>
      </c>
      <c r="D466" s="13">
        <f t="shared" si="119"/>
        <v>4</v>
      </c>
      <c r="E466" t="s">
        <v>1492</v>
      </c>
      <c r="F466" t="s">
        <v>53</v>
      </c>
      <c r="G466" t="s">
        <v>90</v>
      </c>
      <c r="H466" t="s">
        <v>38</v>
      </c>
      <c r="I466" t="s">
        <v>145</v>
      </c>
      <c r="J466" t="s">
        <v>146</v>
      </c>
      <c r="K466" t="s">
        <v>28</v>
      </c>
      <c r="L466" t="s">
        <v>29</v>
      </c>
      <c r="M466" t="s">
        <v>1493</v>
      </c>
      <c r="N466" t="s">
        <v>44</v>
      </c>
      <c r="O466">
        <v>3</v>
      </c>
      <c r="P466">
        <v>3625.08</v>
      </c>
      <c r="Q466" s="11">
        <v>0.05</v>
      </c>
      <c r="R466">
        <v>10331.48</v>
      </c>
      <c r="S466">
        <v>7131.91</v>
      </c>
      <c r="T466">
        <v>3199.57</v>
      </c>
      <c r="U466" t="s">
        <v>111</v>
      </c>
      <c r="V466" t="s">
        <v>68</v>
      </c>
      <c r="X466" s="8" t="str">
        <f>IF(C466&gt;=B466,"Valid", "Invalid-Date")</f>
        <v>Valid</v>
      </c>
      <c r="Y466" s="8" t="str">
        <f t="shared" si="120"/>
        <v>Valid</v>
      </c>
      <c r="Z466" s="8" t="str">
        <f t="shared" si="121"/>
        <v>Pass</v>
      </c>
      <c r="AA466" s="8" t="str">
        <f t="shared" si="122"/>
        <v>Pass</v>
      </c>
      <c r="AB466" s="8" t="str">
        <f>TEXT(B466,"mmmm")</f>
        <v>March</v>
      </c>
      <c r="AC466" s="8" t="str">
        <f>TEXT(B466,"yyyy")</f>
        <v>2025</v>
      </c>
      <c r="AE466">
        <f t="shared" si="123"/>
        <v>10875.24</v>
      </c>
      <c r="AF466" s="11">
        <f t="shared" si="124"/>
        <v>10331.477999999999</v>
      </c>
      <c r="AG466">
        <f t="shared" si="125"/>
        <v>3743.33</v>
      </c>
      <c r="AH466" s="11">
        <f t="shared" si="126"/>
        <v>0.34420665658872818</v>
      </c>
      <c r="AI466" s="9">
        <f t="shared" si="127"/>
        <v>0.34420665658872818</v>
      </c>
      <c r="AJ466">
        <f t="shared" si="128"/>
        <v>0</v>
      </c>
      <c r="AK466">
        <f t="shared" si="129"/>
        <v>0</v>
      </c>
      <c r="AL466">
        <f t="shared" si="130"/>
        <v>10331.48</v>
      </c>
      <c r="AM466">
        <f t="shared" si="131"/>
        <v>1</v>
      </c>
      <c r="AN466">
        <f t="shared" si="132"/>
        <v>0</v>
      </c>
      <c r="AO466">
        <f t="shared" si="133"/>
        <v>0</v>
      </c>
      <c r="AP466">
        <f t="shared" si="134"/>
        <v>0</v>
      </c>
      <c r="AQ466">
        <f t="shared" si="135"/>
        <v>0</v>
      </c>
    </row>
    <row r="467" spans="1:43">
      <c r="A467" t="s">
        <v>1494</v>
      </c>
      <c r="B467" s="5">
        <v>45320</v>
      </c>
      <c r="C467" s="5">
        <v>45445</v>
      </c>
      <c r="D467" s="13">
        <f t="shared" si="119"/>
        <v>125</v>
      </c>
      <c r="E467" t="s">
        <v>1495</v>
      </c>
      <c r="F467" t="s">
        <v>128</v>
      </c>
      <c r="G467" t="s">
        <v>37</v>
      </c>
      <c r="H467" t="s">
        <v>63</v>
      </c>
      <c r="I467" t="s">
        <v>72</v>
      </c>
      <c r="J467" t="s">
        <v>73</v>
      </c>
      <c r="K467" t="s">
        <v>28</v>
      </c>
      <c r="L467" t="s">
        <v>91</v>
      </c>
      <c r="M467" t="s">
        <v>1496</v>
      </c>
      <c r="N467" t="s">
        <v>59</v>
      </c>
      <c r="O467">
        <v>2</v>
      </c>
      <c r="P467">
        <v>1258.9000000000001</v>
      </c>
      <c r="Q467" s="11">
        <v>0</v>
      </c>
      <c r="R467">
        <v>2517.8000000000002</v>
      </c>
      <c r="S467">
        <v>1478.54</v>
      </c>
      <c r="T467">
        <v>1039.26</v>
      </c>
      <c r="U467" t="s">
        <v>32</v>
      </c>
      <c r="V467" t="s">
        <v>33</v>
      </c>
      <c r="X467" s="8" t="str">
        <f>IF(C467&gt;=B467,"Valid", "Invalid-Date")</f>
        <v>Valid</v>
      </c>
      <c r="Y467" s="8" t="str">
        <f t="shared" si="120"/>
        <v>Valid</v>
      </c>
      <c r="Z467" s="8" t="str">
        <f t="shared" si="121"/>
        <v>Pass</v>
      </c>
      <c r="AA467" s="8" t="str">
        <f t="shared" si="122"/>
        <v>Pass</v>
      </c>
      <c r="AB467" s="8" t="str">
        <f>TEXT(B467,"mmmm")</f>
        <v>January</v>
      </c>
      <c r="AC467" s="8" t="str">
        <f>TEXT(B467,"yyyy")</f>
        <v>2024</v>
      </c>
      <c r="AE467">
        <f t="shared" si="123"/>
        <v>2517.8000000000002</v>
      </c>
      <c r="AF467" s="11">
        <f t="shared" si="124"/>
        <v>2517.8000000000002</v>
      </c>
      <c r="AG467">
        <f t="shared" si="125"/>
        <v>1039.2600000000002</v>
      </c>
      <c r="AH467" s="11">
        <f t="shared" si="126"/>
        <v>0.41276511239971408</v>
      </c>
      <c r="AI467" s="9">
        <f t="shared" si="127"/>
        <v>0.41276511239971408</v>
      </c>
      <c r="AJ467">
        <f t="shared" si="128"/>
        <v>2517.8000000000002</v>
      </c>
      <c r="AK467">
        <f t="shared" si="129"/>
        <v>1</v>
      </c>
      <c r="AL467">
        <f t="shared" si="130"/>
        <v>0</v>
      </c>
      <c r="AM467">
        <f t="shared" si="131"/>
        <v>0</v>
      </c>
      <c r="AN467">
        <f t="shared" si="132"/>
        <v>0</v>
      </c>
      <c r="AO467">
        <f t="shared" si="133"/>
        <v>0</v>
      </c>
      <c r="AP467">
        <f t="shared" si="134"/>
        <v>0</v>
      </c>
      <c r="AQ467">
        <f t="shared" si="135"/>
        <v>0</v>
      </c>
    </row>
    <row r="468" spans="1:43">
      <c r="A468" t="s">
        <v>1497</v>
      </c>
      <c r="B468" s="5">
        <v>45295</v>
      </c>
      <c r="C468" s="5">
        <v>45505</v>
      </c>
      <c r="D468" s="13">
        <f t="shared" si="119"/>
        <v>210</v>
      </c>
      <c r="E468" t="s">
        <v>1498</v>
      </c>
      <c r="F468" t="s">
        <v>36</v>
      </c>
      <c r="G468" t="s">
        <v>37</v>
      </c>
      <c r="H468" t="s">
        <v>38</v>
      </c>
      <c r="I468" t="s">
        <v>145</v>
      </c>
      <c r="J468" t="s">
        <v>146</v>
      </c>
      <c r="K468" t="s">
        <v>74</v>
      </c>
      <c r="L468" t="s">
        <v>75</v>
      </c>
      <c r="M468" t="s">
        <v>1499</v>
      </c>
      <c r="N468" t="s">
        <v>44</v>
      </c>
      <c r="O468">
        <v>9</v>
      </c>
      <c r="P468">
        <v>1591.96</v>
      </c>
      <c r="Q468" s="11">
        <v>0.2</v>
      </c>
      <c r="R468">
        <v>11462.11</v>
      </c>
      <c r="S468">
        <v>7105.48</v>
      </c>
      <c r="T468">
        <v>4356.63</v>
      </c>
      <c r="U468" t="s">
        <v>32</v>
      </c>
      <c r="V468" t="s">
        <v>33</v>
      </c>
      <c r="X468" s="8" t="str">
        <f>IF(C468&gt;=B468,"Valid", "Invalid-Date")</f>
        <v>Valid</v>
      </c>
      <c r="Y468" s="8" t="str">
        <f t="shared" si="120"/>
        <v>Valid</v>
      </c>
      <c r="Z468" s="8" t="str">
        <f t="shared" si="121"/>
        <v>Pass</v>
      </c>
      <c r="AA468" s="8" t="str">
        <f t="shared" si="122"/>
        <v>Pass</v>
      </c>
      <c r="AB468" s="8" t="str">
        <f>TEXT(B468,"mmmm")</f>
        <v>January</v>
      </c>
      <c r="AC468" s="8" t="str">
        <f>TEXT(B468,"yyyy")</f>
        <v>2024</v>
      </c>
      <c r="AE468">
        <f t="shared" si="123"/>
        <v>14327.64</v>
      </c>
      <c r="AF468" s="11">
        <f t="shared" si="124"/>
        <v>11462.112000000001</v>
      </c>
      <c r="AG468">
        <f t="shared" si="125"/>
        <v>7222.16</v>
      </c>
      <c r="AH468" s="11">
        <f t="shared" si="126"/>
        <v>0.50407184993481136</v>
      </c>
      <c r="AI468" s="9">
        <f t="shared" si="127"/>
        <v>0.50407184993481136</v>
      </c>
      <c r="AJ468">
        <f t="shared" si="128"/>
        <v>11462.11</v>
      </c>
      <c r="AK468">
        <f t="shared" si="129"/>
        <v>1</v>
      </c>
      <c r="AL468">
        <f t="shared" si="130"/>
        <v>0</v>
      </c>
      <c r="AM468">
        <f t="shared" si="131"/>
        <v>0</v>
      </c>
      <c r="AN468">
        <f t="shared" si="132"/>
        <v>0</v>
      </c>
      <c r="AO468">
        <f t="shared" si="133"/>
        <v>0</v>
      </c>
      <c r="AP468">
        <f t="shared" si="134"/>
        <v>0</v>
      </c>
      <c r="AQ468">
        <f t="shared" si="135"/>
        <v>0</v>
      </c>
    </row>
    <row r="469" spans="1:43">
      <c r="A469" t="s">
        <v>1500</v>
      </c>
      <c r="B469" s="5">
        <v>45524</v>
      </c>
      <c r="C469" s="5">
        <v>45525</v>
      </c>
      <c r="D469" s="13">
        <f t="shared" si="119"/>
        <v>1</v>
      </c>
      <c r="E469" t="s">
        <v>1501</v>
      </c>
      <c r="F469" t="s">
        <v>89</v>
      </c>
      <c r="G469" t="s">
        <v>90</v>
      </c>
      <c r="H469" t="s">
        <v>38</v>
      </c>
      <c r="I469" t="s">
        <v>39</v>
      </c>
      <c r="J469" t="s">
        <v>40</v>
      </c>
      <c r="K469" t="s">
        <v>74</v>
      </c>
      <c r="L469" t="s">
        <v>80</v>
      </c>
      <c r="M469" t="s">
        <v>1502</v>
      </c>
      <c r="N469" t="s">
        <v>50</v>
      </c>
      <c r="O469">
        <v>5</v>
      </c>
      <c r="P469">
        <v>4288.33</v>
      </c>
      <c r="Q469" s="11">
        <v>0.1</v>
      </c>
      <c r="R469">
        <v>19297.490000000002</v>
      </c>
      <c r="S469">
        <v>15451.66</v>
      </c>
      <c r="T469">
        <v>3845.83</v>
      </c>
      <c r="U469" t="s">
        <v>102</v>
      </c>
      <c r="V469" t="s">
        <v>68</v>
      </c>
      <c r="X469" s="8" t="str">
        <f>IF(C469&gt;=B469,"Valid", "Invalid-Date")</f>
        <v>Valid</v>
      </c>
      <c r="Y469" s="8" t="str">
        <f t="shared" si="120"/>
        <v>Valid</v>
      </c>
      <c r="Z469" s="8" t="str">
        <f t="shared" si="121"/>
        <v>Pass</v>
      </c>
      <c r="AA469" s="8" t="str">
        <f t="shared" si="122"/>
        <v>Pass</v>
      </c>
      <c r="AB469" s="8" t="str">
        <f>TEXT(B469,"mmmm")</f>
        <v>August</v>
      </c>
      <c r="AC469" s="8" t="str">
        <f>TEXT(B469,"yyyy")</f>
        <v>2024</v>
      </c>
      <c r="AE469">
        <f t="shared" si="123"/>
        <v>21441.65</v>
      </c>
      <c r="AF469" s="11">
        <f t="shared" si="124"/>
        <v>19297.485000000001</v>
      </c>
      <c r="AG469">
        <f t="shared" si="125"/>
        <v>5989.9900000000016</v>
      </c>
      <c r="AH469" s="11">
        <f t="shared" si="126"/>
        <v>0.27936236250475133</v>
      </c>
      <c r="AI469" s="9">
        <f t="shared" si="127"/>
        <v>0.27936236250475133</v>
      </c>
      <c r="AJ469">
        <f t="shared" si="128"/>
        <v>0</v>
      </c>
      <c r="AK469">
        <f t="shared" si="129"/>
        <v>0</v>
      </c>
      <c r="AL469">
        <f t="shared" si="130"/>
        <v>19297.490000000002</v>
      </c>
      <c r="AM469">
        <f t="shared" si="131"/>
        <v>1</v>
      </c>
      <c r="AN469">
        <f t="shared" si="132"/>
        <v>0</v>
      </c>
      <c r="AO469">
        <f t="shared" si="133"/>
        <v>0</v>
      </c>
      <c r="AP469">
        <f t="shared" si="134"/>
        <v>0</v>
      </c>
      <c r="AQ469">
        <f t="shared" si="135"/>
        <v>0</v>
      </c>
    </row>
    <row r="470" spans="1:43">
      <c r="A470" t="s">
        <v>1503</v>
      </c>
      <c r="B470" s="5">
        <v>45666</v>
      </c>
      <c r="C470" s="5">
        <v>45839</v>
      </c>
      <c r="D470" s="13">
        <f t="shared" si="119"/>
        <v>173</v>
      </c>
      <c r="E470" t="s">
        <v>1504</v>
      </c>
      <c r="F470" t="s">
        <v>128</v>
      </c>
      <c r="G470" t="s">
        <v>95</v>
      </c>
      <c r="H470" t="s">
        <v>38</v>
      </c>
      <c r="I470" t="s">
        <v>99</v>
      </c>
      <c r="J470" t="s">
        <v>100</v>
      </c>
      <c r="K470" t="s">
        <v>28</v>
      </c>
      <c r="L470" t="s">
        <v>153</v>
      </c>
      <c r="M470" t="s">
        <v>1505</v>
      </c>
      <c r="N470" t="s">
        <v>31</v>
      </c>
      <c r="O470">
        <v>3</v>
      </c>
      <c r="P470">
        <v>2188.33</v>
      </c>
      <c r="Q470" s="11">
        <v>0</v>
      </c>
      <c r="R470">
        <v>6564.99</v>
      </c>
      <c r="S470">
        <v>5407.24</v>
      </c>
      <c r="T470">
        <v>1157.75</v>
      </c>
      <c r="U470" t="s">
        <v>32</v>
      </c>
      <c r="V470" t="s">
        <v>33</v>
      </c>
      <c r="X470" s="8" t="str">
        <f>IF(C470&gt;=B470,"Valid", "Invalid-Date")</f>
        <v>Valid</v>
      </c>
      <c r="Y470" s="8" t="str">
        <f t="shared" si="120"/>
        <v>Valid</v>
      </c>
      <c r="Z470" s="8" t="str">
        <f t="shared" si="121"/>
        <v>Pass</v>
      </c>
      <c r="AA470" s="8" t="str">
        <f t="shared" si="122"/>
        <v>Pass</v>
      </c>
      <c r="AB470" s="8" t="str">
        <f>TEXT(B470,"mmmm")</f>
        <v>January</v>
      </c>
      <c r="AC470" s="8" t="str">
        <f>TEXT(B470,"yyyy")</f>
        <v>2025</v>
      </c>
      <c r="AE470">
        <f t="shared" si="123"/>
        <v>6564.99</v>
      </c>
      <c r="AF470" s="11">
        <f t="shared" si="124"/>
        <v>6564.99</v>
      </c>
      <c r="AG470">
        <f t="shared" si="125"/>
        <v>1157.75</v>
      </c>
      <c r="AH470" s="11">
        <f t="shared" si="126"/>
        <v>0.17635213458055535</v>
      </c>
      <c r="AI470" s="9">
        <f t="shared" si="127"/>
        <v>0.17635213458055535</v>
      </c>
      <c r="AJ470">
        <f t="shared" si="128"/>
        <v>6564.99</v>
      </c>
      <c r="AK470">
        <f t="shared" si="129"/>
        <v>1</v>
      </c>
      <c r="AL470">
        <f t="shared" si="130"/>
        <v>0</v>
      </c>
      <c r="AM470">
        <f t="shared" si="131"/>
        <v>0</v>
      </c>
      <c r="AN470">
        <f t="shared" si="132"/>
        <v>0</v>
      </c>
      <c r="AO470">
        <f t="shared" si="133"/>
        <v>0</v>
      </c>
      <c r="AP470">
        <f t="shared" si="134"/>
        <v>0</v>
      </c>
      <c r="AQ470">
        <f t="shared" si="135"/>
        <v>0</v>
      </c>
    </row>
    <row r="471" spans="1:43">
      <c r="A471" t="s">
        <v>1506</v>
      </c>
      <c r="B471" s="5">
        <v>45310</v>
      </c>
      <c r="C471" s="5">
        <v>45316</v>
      </c>
      <c r="D471" s="13">
        <f t="shared" si="119"/>
        <v>6</v>
      </c>
      <c r="E471" t="s">
        <v>1507</v>
      </c>
      <c r="F471" t="s">
        <v>89</v>
      </c>
      <c r="G471" t="s">
        <v>90</v>
      </c>
      <c r="H471" t="s">
        <v>63</v>
      </c>
      <c r="I471" t="s">
        <v>190</v>
      </c>
      <c r="J471" t="s">
        <v>191</v>
      </c>
      <c r="K471" t="s">
        <v>74</v>
      </c>
      <c r="L471" t="s">
        <v>80</v>
      </c>
      <c r="M471" t="s">
        <v>1508</v>
      </c>
      <c r="N471" t="s">
        <v>50</v>
      </c>
      <c r="O471">
        <v>3</v>
      </c>
      <c r="P471">
        <v>1041.6600000000001</v>
      </c>
      <c r="Q471" s="11">
        <v>0.1</v>
      </c>
      <c r="R471">
        <v>2812.48</v>
      </c>
      <c r="S471">
        <v>2282.12</v>
      </c>
      <c r="T471">
        <v>530.36</v>
      </c>
      <c r="U471" t="s">
        <v>32</v>
      </c>
      <c r="V471" t="s">
        <v>33</v>
      </c>
      <c r="X471" s="8" t="str">
        <f>IF(C471&gt;=B471,"Valid", "Invalid-Date")</f>
        <v>Valid</v>
      </c>
      <c r="Y471" s="8" t="str">
        <f t="shared" si="120"/>
        <v>Valid</v>
      </c>
      <c r="Z471" s="8" t="str">
        <f t="shared" si="121"/>
        <v>Pass</v>
      </c>
      <c r="AA471" s="8" t="str">
        <f t="shared" si="122"/>
        <v>Pass</v>
      </c>
      <c r="AB471" s="8" t="str">
        <f>TEXT(B471,"mmmm")</f>
        <v>January</v>
      </c>
      <c r="AC471" s="8" t="str">
        <f>TEXT(B471,"yyyy")</f>
        <v>2024</v>
      </c>
      <c r="AE471">
        <f t="shared" si="123"/>
        <v>3124.9800000000005</v>
      </c>
      <c r="AF471" s="11">
        <f t="shared" si="124"/>
        <v>2812.4820000000004</v>
      </c>
      <c r="AG471">
        <f t="shared" si="125"/>
        <v>842.86000000000058</v>
      </c>
      <c r="AH471" s="11">
        <f t="shared" si="126"/>
        <v>0.26971692618832777</v>
      </c>
      <c r="AI471" s="9">
        <f t="shared" si="127"/>
        <v>0.26971692618832777</v>
      </c>
      <c r="AJ471">
        <f t="shared" si="128"/>
        <v>2812.48</v>
      </c>
      <c r="AK471">
        <f t="shared" si="129"/>
        <v>1</v>
      </c>
      <c r="AL471">
        <f t="shared" si="130"/>
        <v>0</v>
      </c>
      <c r="AM471">
        <f t="shared" si="131"/>
        <v>0</v>
      </c>
      <c r="AN471">
        <f t="shared" si="132"/>
        <v>0</v>
      </c>
      <c r="AO471">
        <f t="shared" si="133"/>
        <v>0</v>
      </c>
      <c r="AP471">
        <f t="shared" si="134"/>
        <v>0</v>
      </c>
      <c r="AQ471">
        <f t="shared" si="135"/>
        <v>0</v>
      </c>
    </row>
    <row r="472" spans="1:43">
      <c r="A472" t="s">
        <v>1509</v>
      </c>
      <c r="B472" s="5">
        <v>45501</v>
      </c>
      <c r="C472" s="5">
        <v>45504</v>
      </c>
      <c r="D472" s="13">
        <f t="shared" si="119"/>
        <v>3</v>
      </c>
      <c r="E472" t="s">
        <v>1510</v>
      </c>
      <c r="F472" t="s">
        <v>89</v>
      </c>
      <c r="G472" t="s">
        <v>24</v>
      </c>
      <c r="H472" t="s">
        <v>25</v>
      </c>
      <c r="I472" t="s">
        <v>26</v>
      </c>
      <c r="J472" t="s">
        <v>27</v>
      </c>
      <c r="K472" t="s">
        <v>41</v>
      </c>
      <c r="L472" t="s">
        <v>42</v>
      </c>
      <c r="M472" t="s">
        <v>1511</v>
      </c>
      <c r="N472" t="s">
        <v>44</v>
      </c>
      <c r="O472">
        <v>2</v>
      </c>
      <c r="P472">
        <v>4424.78</v>
      </c>
      <c r="Q472" s="11">
        <v>0.2</v>
      </c>
      <c r="R472">
        <v>7079.65</v>
      </c>
      <c r="S472">
        <v>4465.91</v>
      </c>
      <c r="T472">
        <v>2613.7399999999998</v>
      </c>
      <c r="U472" t="s">
        <v>32</v>
      </c>
      <c r="V472" t="s">
        <v>33</v>
      </c>
      <c r="X472" s="8" t="str">
        <f>IF(C472&gt;=B472,"Valid", "Invalid-Date")</f>
        <v>Valid</v>
      </c>
      <c r="Y472" s="8" t="str">
        <f t="shared" si="120"/>
        <v>Valid</v>
      </c>
      <c r="Z472" s="8" t="str">
        <f t="shared" si="121"/>
        <v>Pass</v>
      </c>
      <c r="AA472" s="8" t="str">
        <f t="shared" si="122"/>
        <v>Pass</v>
      </c>
      <c r="AB472" s="8" t="str">
        <f>TEXT(B472,"mmmm")</f>
        <v>July</v>
      </c>
      <c r="AC472" s="8" t="str">
        <f>TEXT(B472,"yyyy")</f>
        <v>2024</v>
      </c>
      <c r="AE472">
        <f t="shared" si="123"/>
        <v>8849.56</v>
      </c>
      <c r="AF472" s="11">
        <f t="shared" si="124"/>
        <v>7079.6480000000001</v>
      </c>
      <c r="AG472">
        <f t="shared" si="125"/>
        <v>4383.6499999999996</v>
      </c>
      <c r="AH472" s="11">
        <f t="shared" si="126"/>
        <v>0.49535231130135282</v>
      </c>
      <c r="AI472" s="9">
        <f t="shared" si="127"/>
        <v>0.49535231130135282</v>
      </c>
      <c r="AJ472">
        <f t="shared" si="128"/>
        <v>7079.65</v>
      </c>
      <c r="AK472">
        <f t="shared" si="129"/>
        <v>1</v>
      </c>
      <c r="AL472">
        <f t="shared" si="130"/>
        <v>0</v>
      </c>
      <c r="AM472">
        <f t="shared" si="131"/>
        <v>0</v>
      </c>
      <c r="AN472">
        <f t="shared" si="132"/>
        <v>0</v>
      </c>
      <c r="AO472">
        <f t="shared" si="133"/>
        <v>0</v>
      </c>
      <c r="AP472">
        <f t="shared" si="134"/>
        <v>0</v>
      </c>
      <c r="AQ472">
        <f t="shared" si="135"/>
        <v>0</v>
      </c>
    </row>
    <row r="473" spans="1:43">
      <c r="A473" t="s">
        <v>1512</v>
      </c>
      <c r="B473" s="5">
        <v>45333</v>
      </c>
      <c r="C473" s="5">
        <v>45337</v>
      </c>
      <c r="D473" s="13">
        <f t="shared" si="119"/>
        <v>4</v>
      </c>
      <c r="E473" t="s">
        <v>1513</v>
      </c>
      <c r="F473" t="s">
        <v>264</v>
      </c>
      <c r="G473" t="s">
        <v>24</v>
      </c>
      <c r="H473" t="s">
        <v>54</v>
      </c>
      <c r="I473" t="s">
        <v>55</v>
      </c>
      <c r="J473" t="s">
        <v>56</v>
      </c>
      <c r="K473" t="s">
        <v>28</v>
      </c>
      <c r="L473" t="s">
        <v>153</v>
      </c>
      <c r="M473" t="s">
        <v>1514</v>
      </c>
      <c r="N473" t="s">
        <v>59</v>
      </c>
      <c r="O473">
        <v>3</v>
      </c>
      <c r="P473">
        <v>3019.14</v>
      </c>
      <c r="Q473" s="11">
        <v>0.25</v>
      </c>
      <c r="R473">
        <v>6793.07</v>
      </c>
      <c r="S473">
        <v>4985.22</v>
      </c>
      <c r="T473">
        <v>1807.85</v>
      </c>
      <c r="U473" t="s">
        <v>32</v>
      </c>
      <c r="V473" t="s">
        <v>33</v>
      </c>
      <c r="X473" s="8" t="str">
        <f>IF(C473&gt;=B473,"Valid", "Invalid-Date")</f>
        <v>Valid</v>
      </c>
      <c r="Y473" s="8" t="str">
        <f t="shared" si="120"/>
        <v>Valid</v>
      </c>
      <c r="Z473" s="8" t="str">
        <f t="shared" si="121"/>
        <v>Pass</v>
      </c>
      <c r="AA473" s="8" t="str">
        <f t="shared" si="122"/>
        <v>Pass</v>
      </c>
      <c r="AB473" s="8" t="str">
        <f>TEXT(B473,"mmmm")</f>
        <v>February</v>
      </c>
      <c r="AC473" s="8" t="str">
        <f>TEXT(B473,"yyyy")</f>
        <v>2024</v>
      </c>
      <c r="AE473">
        <f t="shared" si="123"/>
        <v>9057.42</v>
      </c>
      <c r="AF473" s="11">
        <f t="shared" si="124"/>
        <v>6793.0650000000005</v>
      </c>
      <c r="AG473">
        <f t="shared" si="125"/>
        <v>4072.2</v>
      </c>
      <c r="AH473" s="11">
        <f t="shared" si="126"/>
        <v>0.44959822995952486</v>
      </c>
      <c r="AI473" s="9">
        <f t="shared" si="127"/>
        <v>0.44959822995952486</v>
      </c>
      <c r="AJ473">
        <f t="shared" si="128"/>
        <v>6793.07</v>
      </c>
      <c r="AK473">
        <f t="shared" si="129"/>
        <v>1</v>
      </c>
      <c r="AL473">
        <f t="shared" si="130"/>
        <v>0</v>
      </c>
      <c r="AM473">
        <f t="shared" si="131"/>
        <v>0</v>
      </c>
      <c r="AN473">
        <f t="shared" si="132"/>
        <v>0</v>
      </c>
      <c r="AO473">
        <f t="shared" si="133"/>
        <v>0</v>
      </c>
      <c r="AP473">
        <f t="shared" si="134"/>
        <v>0</v>
      </c>
      <c r="AQ473">
        <f t="shared" si="135"/>
        <v>0</v>
      </c>
    </row>
    <row r="474" spans="1:43">
      <c r="A474" t="s">
        <v>1515</v>
      </c>
      <c r="B474" s="5">
        <v>45353</v>
      </c>
      <c r="C474" s="5">
        <v>45476</v>
      </c>
      <c r="D474" s="13">
        <f t="shared" si="119"/>
        <v>123</v>
      </c>
      <c r="E474" t="s">
        <v>1516</v>
      </c>
      <c r="F474" t="s">
        <v>141</v>
      </c>
      <c r="G474" t="s">
        <v>90</v>
      </c>
      <c r="H474" t="s">
        <v>38</v>
      </c>
      <c r="I474" t="s">
        <v>39</v>
      </c>
      <c r="J474" t="s">
        <v>40</v>
      </c>
      <c r="K474" t="s">
        <v>28</v>
      </c>
      <c r="L474" t="s">
        <v>124</v>
      </c>
      <c r="M474" t="s">
        <v>1517</v>
      </c>
      <c r="N474" t="s">
        <v>59</v>
      </c>
      <c r="O474">
        <v>7</v>
      </c>
      <c r="P474">
        <v>263.45999999999998</v>
      </c>
      <c r="Q474" s="11">
        <v>0</v>
      </c>
      <c r="R474">
        <v>1844.22</v>
      </c>
      <c r="S474">
        <v>1094.21</v>
      </c>
      <c r="T474">
        <v>750.01</v>
      </c>
      <c r="U474" t="s">
        <v>32</v>
      </c>
      <c r="V474" t="s">
        <v>33</v>
      </c>
      <c r="X474" s="8" t="str">
        <f>IF(C474&gt;=B474,"Valid", "Invalid-Date")</f>
        <v>Valid</v>
      </c>
      <c r="Y474" s="8" t="str">
        <f t="shared" si="120"/>
        <v>Valid</v>
      </c>
      <c r="Z474" s="8" t="str">
        <f t="shared" si="121"/>
        <v>Pass</v>
      </c>
      <c r="AA474" s="8" t="str">
        <f t="shared" si="122"/>
        <v>Pass</v>
      </c>
      <c r="AB474" s="8" t="str">
        <f>TEXT(B474,"mmmm")</f>
        <v>March</v>
      </c>
      <c r="AC474" s="8" t="str">
        <f>TEXT(B474,"yyyy")</f>
        <v>2024</v>
      </c>
      <c r="AE474">
        <f t="shared" si="123"/>
        <v>1844.2199999999998</v>
      </c>
      <c r="AF474" s="11">
        <f t="shared" si="124"/>
        <v>1844.2199999999998</v>
      </c>
      <c r="AG474">
        <f t="shared" si="125"/>
        <v>750.00999999999976</v>
      </c>
      <c r="AH474" s="11">
        <f t="shared" si="126"/>
        <v>0.40668141544934977</v>
      </c>
      <c r="AI474" s="9">
        <f t="shared" si="127"/>
        <v>0.40668141544934977</v>
      </c>
      <c r="AJ474">
        <f t="shared" si="128"/>
        <v>1844.22</v>
      </c>
      <c r="AK474">
        <f t="shared" si="129"/>
        <v>1</v>
      </c>
      <c r="AL474">
        <f t="shared" si="130"/>
        <v>0</v>
      </c>
      <c r="AM474">
        <f t="shared" si="131"/>
        <v>0</v>
      </c>
      <c r="AN474">
        <f t="shared" si="132"/>
        <v>0</v>
      </c>
      <c r="AO474">
        <f t="shared" si="133"/>
        <v>0</v>
      </c>
      <c r="AP474">
        <f t="shared" si="134"/>
        <v>0</v>
      </c>
      <c r="AQ474">
        <f t="shared" si="135"/>
        <v>0</v>
      </c>
    </row>
    <row r="475" spans="1:43">
      <c r="A475" t="s">
        <v>1518</v>
      </c>
      <c r="B475" s="5">
        <v>45609</v>
      </c>
      <c r="C475" s="5">
        <v>45609</v>
      </c>
      <c r="D475" s="13">
        <f t="shared" si="119"/>
        <v>0</v>
      </c>
      <c r="E475" t="s">
        <v>1519</v>
      </c>
      <c r="F475" t="s">
        <v>114</v>
      </c>
      <c r="G475" t="s">
        <v>24</v>
      </c>
      <c r="H475" t="s">
        <v>63</v>
      </c>
      <c r="I475" t="s">
        <v>190</v>
      </c>
      <c r="J475" t="s">
        <v>191</v>
      </c>
      <c r="K475" t="s">
        <v>74</v>
      </c>
      <c r="L475" t="s">
        <v>80</v>
      </c>
      <c r="M475" t="s">
        <v>1520</v>
      </c>
      <c r="N475" t="s">
        <v>59</v>
      </c>
      <c r="O475">
        <v>6</v>
      </c>
      <c r="P475">
        <v>191.45</v>
      </c>
      <c r="Q475" s="11">
        <v>0.2</v>
      </c>
      <c r="R475">
        <v>918.96</v>
      </c>
      <c r="S475">
        <v>554.17999999999995</v>
      </c>
      <c r="T475">
        <v>364.78</v>
      </c>
      <c r="U475" t="s">
        <v>32</v>
      </c>
      <c r="V475" t="s">
        <v>33</v>
      </c>
      <c r="X475" s="8" t="str">
        <f>IF(C475&gt;=B475,"Valid", "Invalid-Date")</f>
        <v>Valid</v>
      </c>
      <c r="Y475" s="8" t="str">
        <f t="shared" si="120"/>
        <v>Valid</v>
      </c>
      <c r="Z475" s="8" t="str">
        <f t="shared" si="121"/>
        <v>Pass</v>
      </c>
      <c r="AA475" s="8" t="str">
        <f t="shared" si="122"/>
        <v>Pass</v>
      </c>
      <c r="AB475" s="8" t="str">
        <f>TEXT(B475,"mmmm")</f>
        <v>November</v>
      </c>
      <c r="AC475" s="8" t="str">
        <f>TEXT(B475,"yyyy")</f>
        <v>2024</v>
      </c>
      <c r="AE475">
        <f t="shared" si="123"/>
        <v>1148.6999999999998</v>
      </c>
      <c r="AF475" s="11">
        <f t="shared" si="124"/>
        <v>918.95999999999992</v>
      </c>
      <c r="AG475">
        <f t="shared" si="125"/>
        <v>594.51999999999987</v>
      </c>
      <c r="AH475" s="11">
        <f t="shared" si="126"/>
        <v>0.51755897971620091</v>
      </c>
      <c r="AI475" s="9">
        <f t="shared" si="127"/>
        <v>0.51755897971620091</v>
      </c>
      <c r="AJ475">
        <f t="shared" si="128"/>
        <v>918.96</v>
      </c>
      <c r="AK475">
        <f t="shared" si="129"/>
        <v>1</v>
      </c>
      <c r="AL475">
        <f t="shared" si="130"/>
        <v>0</v>
      </c>
      <c r="AM475">
        <f t="shared" si="131"/>
        <v>0</v>
      </c>
      <c r="AN475">
        <f t="shared" si="132"/>
        <v>0</v>
      </c>
      <c r="AO475">
        <f t="shared" si="133"/>
        <v>0</v>
      </c>
      <c r="AP475">
        <f t="shared" si="134"/>
        <v>0</v>
      </c>
      <c r="AQ475">
        <f t="shared" si="135"/>
        <v>0</v>
      </c>
    </row>
    <row r="476" spans="1:43">
      <c r="A476" t="s">
        <v>1521</v>
      </c>
      <c r="B476" s="5">
        <v>45446</v>
      </c>
      <c r="C476" s="5">
        <v>45571</v>
      </c>
      <c r="D476" s="13">
        <f t="shared" si="119"/>
        <v>125</v>
      </c>
      <c r="E476" t="s">
        <v>1522</v>
      </c>
      <c r="F476" t="s">
        <v>162</v>
      </c>
      <c r="G476" t="s">
        <v>90</v>
      </c>
      <c r="H476" t="s">
        <v>25</v>
      </c>
      <c r="I476" t="s">
        <v>122</v>
      </c>
      <c r="J476" t="s">
        <v>123</v>
      </c>
      <c r="K476" t="s">
        <v>41</v>
      </c>
      <c r="L476" t="s">
        <v>57</v>
      </c>
      <c r="M476" t="s">
        <v>1523</v>
      </c>
      <c r="N476" t="s">
        <v>59</v>
      </c>
      <c r="O476">
        <v>3</v>
      </c>
      <c r="P476">
        <v>1633.57</v>
      </c>
      <c r="Q476" s="11">
        <v>0</v>
      </c>
      <c r="R476">
        <v>4900.71</v>
      </c>
      <c r="S476">
        <v>2713.9</v>
      </c>
      <c r="T476">
        <v>2186.81</v>
      </c>
      <c r="U476" t="s">
        <v>32</v>
      </c>
      <c r="V476" t="s">
        <v>33</v>
      </c>
      <c r="X476" s="8" t="str">
        <f>IF(C476&gt;=B476,"Valid", "Invalid-Date")</f>
        <v>Valid</v>
      </c>
      <c r="Y476" s="8" t="str">
        <f t="shared" si="120"/>
        <v>Valid</v>
      </c>
      <c r="Z476" s="8" t="str">
        <f t="shared" si="121"/>
        <v>Pass</v>
      </c>
      <c r="AA476" s="8" t="str">
        <f t="shared" si="122"/>
        <v>Pass</v>
      </c>
      <c r="AB476" s="8" t="str">
        <f>TEXT(B476,"mmmm")</f>
        <v>June</v>
      </c>
      <c r="AC476" s="8" t="str">
        <f>TEXT(B476,"yyyy")</f>
        <v>2024</v>
      </c>
      <c r="AE476">
        <f t="shared" si="123"/>
        <v>4900.71</v>
      </c>
      <c r="AF476" s="11">
        <f t="shared" si="124"/>
        <v>4900.71</v>
      </c>
      <c r="AG476">
        <f t="shared" si="125"/>
        <v>2186.81</v>
      </c>
      <c r="AH476" s="11">
        <f t="shared" si="126"/>
        <v>0.44622309828575857</v>
      </c>
      <c r="AI476" s="9">
        <f t="shared" si="127"/>
        <v>0.44622309828575857</v>
      </c>
      <c r="AJ476">
        <f t="shared" si="128"/>
        <v>4900.71</v>
      </c>
      <c r="AK476">
        <f t="shared" si="129"/>
        <v>1</v>
      </c>
      <c r="AL476">
        <f t="shared" si="130"/>
        <v>0</v>
      </c>
      <c r="AM476">
        <f t="shared" si="131"/>
        <v>0</v>
      </c>
      <c r="AN476">
        <f t="shared" si="132"/>
        <v>0</v>
      </c>
      <c r="AO476">
        <f t="shared" si="133"/>
        <v>0</v>
      </c>
      <c r="AP476">
        <f t="shared" si="134"/>
        <v>0</v>
      </c>
      <c r="AQ476">
        <f t="shared" si="135"/>
        <v>0</v>
      </c>
    </row>
    <row r="477" spans="1:43">
      <c r="A477" t="s">
        <v>1524</v>
      </c>
      <c r="B477" s="5">
        <v>45660</v>
      </c>
      <c r="C477" s="5">
        <v>45872</v>
      </c>
      <c r="D477" s="13">
        <f t="shared" si="119"/>
        <v>212</v>
      </c>
      <c r="E477" t="s">
        <v>1525</v>
      </c>
      <c r="F477" t="s">
        <v>71</v>
      </c>
      <c r="G477" t="s">
        <v>24</v>
      </c>
      <c r="H477" t="s">
        <v>38</v>
      </c>
      <c r="I477" t="s">
        <v>99</v>
      </c>
      <c r="J477" t="s">
        <v>100</v>
      </c>
      <c r="K477" t="s">
        <v>41</v>
      </c>
      <c r="L477" t="s">
        <v>66</v>
      </c>
      <c r="M477" t="s">
        <v>1526</v>
      </c>
      <c r="N477" t="s">
        <v>44</v>
      </c>
      <c r="O477">
        <v>8</v>
      </c>
      <c r="P477">
        <v>3378.82</v>
      </c>
      <c r="Q477" s="11">
        <v>0.25</v>
      </c>
      <c r="R477">
        <v>20272.919999999998</v>
      </c>
      <c r="S477">
        <v>15873.38</v>
      </c>
      <c r="T477">
        <v>4399.54</v>
      </c>
      <c r="U477" t="s">
        <v>111</v>
      </c>
      <c r="V477" t="s">
        <v>103</v>
      </c>
      <c r="X477" s="8" t="str">
        <f>IF(C477&gt;=B477,"Valid", "Invalid-Date")</f>
        <v>Valid</v>
      </c>
      <c r="Y477" s="8" t="str">
        <f t="shared" si="120"/>
        <v>Valid</v>
      </c>
      <c r="Z477" s="8" t="str">
        <f t="shared" si="121"/>
        <v>Pass</v>
      </c>
      <c r="AA477" s="8" t="str">
        <f t="shared" si="122"/>
        <v>Pass</v>
      </c>
      <c r="AB477" s="8" t="str">
        <f>TEXT(B477,"mmmm")</f>
        <v>January</v>
      </c>
      <c r="AC477" s="8" t="str">
        <f>TEXT(B477,"yyyy")</f>
        <v>2025</v>
      </c>
      <c r="AE477">
        <f t="shared" si="123"/>
        <v>27030.560000000001</v>
      </c>
      <c r="AF477" s="11">
        <f t="shared" si="124"/>
        <v>20272.920000000002</v>
      </c>
      <c r="AG477">
        <f t="shared" si="125"/>
        <v>11157.180000000002</v>
      </c>
      <c r="AH477" s="11">
        <f t="shared" si="126"/>
        <v>0.41276170379008059</v>
      </c>
      <c r="AI477" s="9">
        <f t="shared" si="127"/>
        <v>0.41276170379008059</v>
      </c>
      <c r="AJ477">
        <f t="shared" si="128"/>
        <v>0</v>
      </c>
      <c r="AK477">
        <f t="shared" si="129"/>
        <v>0</v>
      </c>
      <c r="AL477">
        <f t="shared" si="130"/>
        <v>0</v>
      </c>
      <c r="AM477">
        <f t="shared" si="131"/>
        <v>0</v>
      </c>
      <c r="AN477">
        <f t="shared" si="132"/>
        <v>0</v>
      </c>
      <c r="AO477">
        <f t="shared" si="133"/>
        <v>0</v>
      </c>
      <c r="AP477">
        <f t="shared" si="134"/>
        <v>20272.919999999998</v>
      </c>
      <c r="AQ477">
        <f t="shared" si="135"/>
        <v>1</v>
      </c>
    </row>
    <row r="478" spans="1:43">
      <c r="A478" t="s">
        <v>1527</v>
      </c>
      <c r="B478" s="5">
        <v>45478</v>
      </c>
      <c r="C478" s="5">
        <v>45426</v>
      </c>
      <c r="D478" s="13">
        <f t="shared" si="119"/>
        <v>-52</v>
      </c>
      <c r="E478" t="s">
        <v>1528</v>
      </c>
      <c r="F478" t="s">
        <v>132</v>
      </c>
      <c r="G478" t="s">
        <v>37</v>
      </c>
      <c r="H478" t="s">
        <v>25</v>
      </c>
      <c r="I478" t="s">
        <v>26</v>
      </c>
      <c r="J478" t="s">
        <v>27</v>
      </c>
      <c r="K478" t="s">
        <v>28</v>
      </c>
      <c r="L478" t="s">
        <v>124</v>
      </c>
      <c r="M478" t="s">
        <v>1529</v>
      </c>
      <c r="N478" t="s">
        <v>50</v>
      </c>
      <c r="O478">
        <v>3</v>
      </c>
      <c r="P478">
        <v>383.58</v>
      </c>
      <c r="Q478" s="11">
        <v>0.1</v>
      </c>
      <c r="R478">
        <v>1035.67</v>
      </c>
      <c r="S478">
        <v>595.41999999999996</v>
      </c>
      <c r="T478">
        <v>440.25</v>
      </c>
      <c r="U478" t="s">
        <v>32</v>
      </c>
      <c r="V478" t="s">
        <v>33</v>
      </c>
      <c r="X478" s="8" t="str">
        <f>IF(C478&gt;=B478,"Valid", "Invalid-Date")</f>
        <v>Invalid-Date</v>
      </c>
      <c r="Y478" s="8" t="str">
        <f t="shared" si="120"/>
        <v>Valid</v>
      </c>
      <c r="Z478" s="8" t="str">
        <f t="shared" si="121"/>
        <v>Pass</v>
      </c>
      <c r="AA478" s="8" t="str">
        <f t="shared" si="122"/>
        <v>Pass</v>
      </c>
      <c r="AB478" s="8" t="str">
        <f>TEXT(B478,"mmmm")</f>
        <v>July</v>
      </c>
      <c r="AC478" s="8" t="str">
        <f>TEXT(B478,"yyyy")</f>
        <v>2024</v>
      </c>
      <c r="AE478">
        <f t="shared" si="123"/>
        <v>1150.74</v>
      </c>
      <c r="AF478" s="11">
        <f t="shared" si="124"/>
        <v>1035.6659999999999</v>
      </c>
      <c r="AG478">
        <f t="shared" si="125"/>
        <v>555.32000000000005</v>
      </c>
      <c r="AH478" s="11">
        <f t="shared" si="126"/>
        <v>0.48257642908041787</v>
      </c>
      <c r="AI478" s="9">
        <f t="shared" si="127"/>
        <v>0.48257642908041787</v>
      </c>
      <c r="AJ478">
        <f t="shared" si="128"/>
        <v>1035.67</v>
      </c>
      <c r="AK478">
        <f t="shared" si="129"/>
        <v>1</v>
      </c>
      <c r="AL478">
        <f t="shared" si="130"/>
        <v>0</v>
      </c>
      <c r="AM478">
        <f t="shared" si="131"/>
        <v>0</v>
      </c>
      <c r="AN478">
        <f t="shared" si="132"/>
        <v>0</v>
      </c>
      <c r="AO478">
        <f t="shared" si="133"/>
        <v>0</v>
      </c>
      <c r="AP478">
        <f t="shared" si="134"/>
        <v>0</v>
      </c>
      <c r="AQ478">
        <f t="shared" si="135"/>
        <v>0</v>
      </c>
    </row>
    <row r="479" spans="1:43">
      <c r="A479" t="s">
        <v>1530</v>
      </c>
      <c r="B479" s="5">
        <v>45892</v>
      </c>
      <c r="C479" s="5">
        <v>45897</v>
      </c>
      <c r="D479" s="13">
        <f t="shared" si="119"/>
        <v>5</v>
      </c>
      <c r="E479" t="s">
        <v>1531</v>
      </c>
      <c r="F479" t="s">
        <v>71</v>
      </c>
      <c r="G479" t="s">
        <v>90</v>
      </c>
      <c r="H479" t="s">
        <v>63</v>
      </c>
      <c r="I479" t="s">
        <v>180</v>
      </c>
      <c r="J479" t="s">
        <v>181</v>
      </c>
      <c r="K479" t="s">
        <v>41</v>
      </c>
      <c r="L479" t="s">
        <v>66</v>
      </c>
      <c r="M479" t="s">
        <v>1532</v>
      </c>
      <c r="N479" t="s">
        <v>59</v>
      </c>
      <c r="O479">
        <v>6</v>
      </c>
      <c r="P479">
        <v>2193.23</v>
      </c>
      <c r="Q479" s="11">
        <v>0.1</v>
      </c>
      <c r="R479">
        <v>11843.44</v>
      </c>
      <c r="S479">
        <v>9356.8799999999992</v>
      </c>
      <c r="T479">
        <v>2486.56</v>
      </c>
      <c r="U479" t="s">
        <v>32</v>
      </c>
      <c r="V479" t="s">
        <v>68</v>
      </c>
      <c r="X479" s="8" t="str">
        <f>IF(C479&gt;=B479,"Valid", "Invalid-Date")</f>
        <v>Valid</v>
      </c>
      <c r="Y479" s="8" t="str">
        <f t="shared" si="120"/>
        <v>Valid</v>
      </c>
      <c r="Z479" s="8" t="str">
        <f t="shared" si="121"/>
        <v>Pass</v>
      </c>
      <c r="AA479" s="8" t="str">
        <f t="shared" si="122"/>
        <v>Pass</v>
      </c>
      <c r="AB479" s="8" t="str">
        <f>TEXT(B479,"mmmm")</f>
        <v>August</v>
      </c>
      <c r="AC479" s="8" t="str">
        <f>TEXT(B479,"yyyy")</f>
        <v>2025</v>
      </c>
      <c r="AE479">
        <f t="shared" si="123"/>
        <v>13159.380000000001</v>
      </c>
      <c r="AF479" s="11">
        <f t="shared" si="124"/>
        <v>11843.442000000001</v>
      </c>
      <c r="AG479">
        <f t="shared" si="125"/>
        <v>3802.5000000000018</v>
      </c>
      <c r="AH479" s="11">
        <f t="shared" si="126"/>
        <v>0.28895738249066455</v>
      </c>
      <c r="AI479" s="9">
        <f t="shared" si="127"/>
        <v>0.28895738249066455</v>
      </c>
      <c r="AJ479">
        <f t="shared" si="128"/>
        <v>0</v>
      </c>
      <c r="AK479">
        <f t="shared" si="129"/>
        <v>0</v>
      </c>
      <c r="AL479">
        <f t="shared" si="130"/>
        <v>11843.44</v>
      </c>
      <c r="AM479">
        <f t="shared" si="131"/>
        <v>1</v>
      </c>
      <c r="AN479">
        <f t="shared" si="132"/>
        <v>0</v>
      </c>
      <c r="AO479">
        <f t="shared" si="133"/>
        <v>0</v>
      </c>
      <c r="AP479">
        <f t="shared" si="134"/>
        <v>0</v>
      </c>
      <c r="AQ479">
        <f t="shared" si="135"/>
        <v>0</v>
      </c>
    </row>
    <row r="480" spans="1:43">
      <c r="A480" t="s">
        <v>1533</v>
      </c>
      <c r="B480" s="5">
        <v>45541</v>
      </c>
      <c r="C480" s="5">
        <v>45456</v>
      </c>
      <c r="D480" s="13">
        <f t="shared" si="119"/>
        <v>-85</v>
      </c>
      <c r="E480" t="s">
        <v>1534</v>
      </c>
      <c r="F480" t="s">
        <v>36</v>
      </c>
      <c r="G480" t="s">
        <v>95</v>
      </c>
      <c r="H480" t="s">
        <v>2785</v>
      </c>
      <c r="I480" t="s">
        <v>136</v>
      </c>
      <c r="J480" t="s">
        <v>137</v>
      </c>
      <c r="K480" t="s">
        <v>74</v>
      </c>
      <c r="L480" t="s">
        <v>274</v>
      </c>
      <c r="M480" t="s">
        <v>1535</v>
      </c>
      <c r="N480" t="s">
        <v>44</v>
      </c>
      <c r="O480">
        <v>7</v>
      </c>
      <c r="P480">
        <v>4079.71</v>
      </c>
      <c r="Q480" s="11">
        <v>0.1</v>
      </c>
      <c r="R480">
        <v>25702.17</v>
      </c>
      <c r="S480">
        <v>14571.48</v>
      </c>
      <c r="T480">
        <v>11130.69</v>
      </c>
      <c r="U480" t="s">
        <v>102</v>
      </c>
      <c r="V480" t="s">
        <v>103</v>
      </c>
      <c r="X480" s="8" t="str">
        <f>IF(C480&gt;=B480,"Valid", "Invalid-Date")</f>
        <v>Invalid-Date</v>
      </c>
      <c r="Y480" s="8" t="str">
        <f t="shared" si="120"/>
        <v>Valid</v>
      </c>
      <c r="Z480" s="8" t="str">
        <f t="shared" si="121"/>
        <v>Pass</v>
      </c>
      <c r="AA480" s="8" t="str">
        <f t="shared" si="122"/>
        <v>Flagged</v>
      </c>
      <c r="AB480" s="8" t="str">
        <f>TEXT(B480,"mmmm")</f>
        <v>September</v>
      </c>
      <c r="AC480" s="8" t="str">
        <f>TEXT(B480,"yyyy")</f>
        <v>2024</v>
      </c>
      <c r="AE480">
        <f t="shared" si="123"/>
        <v>28557.97</v>
      </c>
      <c r="AF480" s="11">
        <f t="shared" si="124"/>
        <v>25702.173000000003</v>
      </c>
      <c r="AG480">
        <f t="shared" si="125"/>
        <v>13986.490000000002</v>
      </c>
      <c r="AH480" s="11">
        <f t="shared" si="126"/>
        <v>0.48975785043544767</v>
      </c>
      <c r="AI480" s="9">
        <f t="shared" si="127"/>
        <v>0.48975785043544767</v>
      </c>
      <c r="AJ480">
        <f t="shared" si="128"/>
        <v>0</v>
      </c>
      <c r="AK480">
        <f t="shared" si="129"/>
        <v>0</v>
      </c>
      <c r="AL480">
        <f t="shared" si="130"/>
        <v>0</v>
      </c>
      <c r="AM480">
        <f t="shared" si="131"/>
        <v>0</v>
      </c>
      <c r="AN480">
        <f t="shared" si="132"/>
        <v>0</v>
      </c>
      <c r="AO480">
        <f t="shared" si="133"/>
        <v>0</v>
      </c>
      <c r="AP480">
        <f t="shared" si="134"/>
        <v>25702.17</v>
      </c>
      <c r="AQ480">
        <f t="shared" si="135"/>
        <v>1</v>
      </c>
    </row>
    <row r="481" spans="1:43">
      <c r="A481" t="s">
        <v>1536</v>
      </c>
      <c r="B481" s="5">
        <v>45345</v>
      </c>
      <c r="C481" s="5">
        <v>45342</v>
      </c>
      <c r="D481" s="13">
        <f t="shared" si="119"/>
        <v>-3</v>
      </c>
      <c r="E481" t="s">
        <v>1537</v>
      </c>
      <c r="F481" t="s">
        <v>53</v>
      </c>
      <c r="G481" t="s">
        <v>90</v>
      </c>
      <c r="H481" t="s">
        <v>38</v>
      </c>
      <c r="I481" t="s">
        <v>39</v>
      </c>
      <c r="J481" t="s">
        <v>40</v>
      </c>
      <c r="K481" t="s">
        <v>41</v>
      </c>
      <c r="L481" t="s">
        <v>66</v>
      </c>
      <c r="M481" t="s">
        <v>1538</v>
      </c>
      <c r="N481" t="s">
        <v>31</v>
      </c>
      <c r="O481">
        <v>1</v>
      </c>
      <c r="P481">
        <v>2202.5500000000002</v>
      </c>
      <c r="Q481" s="11">
        <v>0</v>
      </c>
      <c r="R481">
        <v>1651.91</v>
      </c>
      <c r="S481">
        <v>1034.57</v>
      </c>
      <c r="T481">
        <v>617.34</v>
      </c>
      <c r="U481" t="s">
        <v>32</v>
      </c>
      <c r="V481" t="s">
        <v>33</v>
      </c>
      <c r="X481" s="8" t="str">
        <f>IF(C481&gt;=B481,"Valid", "Invalid-Date")</f>
        <v>Invalid-Date</v>
      </c>
      <c r="Y481" s="8" t="str">
        <f t="shared" si="120"/>
        <v>Valid</v>
      </c>
      <c r="Z481" s="8" t="str">
        <f t="shared" si="121"/>
        <v>Pass</v>
      </c>
      <c r="AA481" s="8" t="str">
        <f t="shared" si="122"/>
        <v>Pass</v>
      </c>
      <c r="AB481" s="8" t="str">
        <f>TEXT(B481,"mmmm")</f>
        <v>February</v>
      </c>
      <c r="AC481" s="8" t="str">
        <f>TEXT(B481,"yyyy")</f>
        <v>2024</v>
      </c>
      <c r="AE481">
        <f t="shared" si="123"/>
        <v>2202.5500000000002</v>
      </c>
      <c r="AF481" s="11">
        <f t="shared" si="124"/>
        <v>2202.5500000000002</v>
      </c>
      <c r="AG481">
        <f t="shared" si="125"/>
        <v>1167.9800000000002</v>
      </c>
      <c r="AH481" s="11">
        <f t="shared" si="126"/>
        <v>0.53028535107035035</v>
      </c>
      <c r="AI481" s="9">
        <f t="shared" si="127"/>
        <v>0.53028535107035035</v>
      </c>
      <c r="AJ481">
        <f t="shared" si="128"/>
        <v>1651.91</v>
      </c>
      <c r="AK481">
        <f t="shared" si="129"/>
        <v>1</v>
      </c>
      <c r="AL481">
        <f t="shared" si="130"/>
        <v>0</v>
      </c>
      <c r="AM481">
        <f t="shared" si="131"/>
        <v>0</v>
      </c>
      <c r="AN481">
        <f t="shared" si="132"/>
        <v>0</v>
      </c>
      <c r="AO481">
        <f t="shared" si="133"/>
        <v>0</v>
      </c>
      <c r="AP481">
        <f t="shared" si="134"/>
        <v>0</v>
      </c>
      <c r="AQ481">
        <f t="shared" si="135"/>
        <v>0</v>
      </c>
    </row>
    <row r="482" spans="1:43">
      <c r="A482" t="s">
        <v>1539</v>
      </c>
      <c r="B482" s="5">
        <v>45662</v>
      </c>
      <c r="C482" s="5">
        <v>45901</v>
      </c>
      <c r="D482" s="13">
        <f t="shared" si="119"/>
        <v>239</v>
      </c>
      <c r="E482" t="s">
        <v>1540</v>
      </c>
      <c r="F482" t="s">
        <v>79</v>
      </c>
      <c r="G482" t="s">
        <v>37</v>
      </c>
      <c r="H482" t="s">
        <v>54</v>
      </c>
      <c r="I482" t="s">
        <v>247</v>
      </c>
      <c r="J482" t="s">
        <v>248</v>
      </c>
      <c r="K482" t="s">
        <v>28</v>
      </c>
      <c r="L482" t="s">
        <v>124</v>
      </c>
      <c r="M482" t="s">
        <v>1541</v>
      </c>
      <c r="N482" t="s">
        <v>2785</v>
      </c>
      <c r="O482">
        <v>5</v>
      </c>
      <c r="P482">
        <v>905.16</v>
      </c>
      <c r="Q482" s="11">
        <v>0</v>
      </c>
      <c r="R482">
        <v>4525.8</v>
      </c>
      <c r="S482">
        <v>2714.51</v>
      </c>
      <c r="T482">
        <v>1811.29</v>
      </c>
      <c r="U482" t="s">
        <v>32</v>
      </c>
      <c r="V482" t="s">
        <v>33</v>
      </c>
      <c r="X482" s="8" t="str">
        <f>IF(C482&gt;=B482,"Valid", "Invalid-Date")</f>
        <v>Valid</v>
      </c>
      <c r="Y482" s="8" t="str">
        <f t="shared" si="120"/>
        <v>Valid</v>
      </c>
      <c r="Z482" s="8" t="str">
        <f t="shared" si="121"/>
        <v>Flagged</v>
      </c>
      <c r="AA482" s="8" t="str">
        <f t="shared" si="122"/>
        <v>Pass</v>
      </c>
      <c r="AB482" s="8" t="str">
        <f>TEXT(B482,"mmmm")</f>
        <v>January</v>
      </c>
      <c r="AC482" s="8" t="str">
        <f>TEXT(B482,"yyyy")</f>
        <v>2025</v>
      </c>
      <c r="AE482">
        <f t="shared" si="123"/>
        <v>4525.8</v>
      </c>
      <c r="AF482" s="11">
        <f t="shared" si="124"/>
        <v>4525.8</v>
      </c>
      <c r="AG482">
        <f t="shared" si="125"/>
        <v>1811.29</v>
      </c>
      <c r="AH482" s="11">
        <f t="shared" si="126"/>
        <v>0.40021432674886204</v>
      </c>
      <c r="AI482" s="9">
        <f t="shared" si="127"/>
        <v>0.40021432674886204</v>
      </c>
      <c r="AJ482">
        <f t="shared" si="128"/>
        <v>4525.8</v>
      </c>
      <c r="AK482">
        <f t="shared" si="129"/>
        <v>1</v>
      </c>
      <c r="AL482">
        <f t="shared" si="130"/>
        <v>0</v>
      </c>
      <c r="AM482">
        <f t="shared" si="131"/>
        <v>0</v>
      </c>
      <c r="AN482">
        <f t="shared" si="132"/>
        <v>0</v>
      </c>
      <c r="AO482">
        <f t="shared" si="133"/>
        <v>0</v>
      </c>
      <c r="AP482">
        <f t="shared" si="134"/>
        <v>0</v>
      </c>
      <c r="AQ482">
        <f t="shared" si="135"/>
        <v>0</v>
      </c>
    </row>
    <row r="483" spans="1:43">
      <c r="A483" t="s">
        <v>1542</v>
      </c>
      <c r="B483" s="5">
        <v>45813</v>
      </c>
      <c r="C483" s="5">
        <v>45821</v>
      </c>
      <c r="D483" s="13">
        <f t="shared" si="119"/>
        <v>8</v>
      </c>
      <c r="E483" t="s">
        <v>1543</v>
      </c>
      <c r="F483" t="s">
        <v>47</v>
      </c>
      <c r="G483" t="s">
        <v>24</v>
      </c>
      <c r="H483" t="s">
        <v>25</v>
      </c>
      <c r="I483" t="s">
        <v>136</v>
      </c>
      <c r="J483" t="s">
        <v>137</v>
      </c>
      <c r="K483" t="s">
        <v>74</v>
      </c>
      <c r="L483" t="s">
        <v>274</v>
      </c>
      <c r="M483" t="s">
        <v>1544</v>
      </c>
      <c r="N483" t="s">
        <v>44</v>
      </c>
      <c r="O483">
        <v>4</v>
      </c>
      <c r="P483">
        <v>2793.88</v>
      </c>
      <c r="Q483" s="11">
        <v>0.85</v>
      </c>
      <c r="R483">
        <v>10616.74</v>
      </c>
      <c r="S483">
        <v>6353.59</v>
      </c>
      <c r="T483">
        <v>4263.1499999999996</v>
      </c>
      <c r="U483" t="s">
        <v>32</v>
      </c>
      <c r="V483" t="s">
        <v>33</v>
      </c>
      <c r="X483" s="8" t="str">
        <f>IF(C483&gt;=B483,"Valid", "Invalid-Date")</f>
        <v>Valid</v>
      </c>
      <c r="Y483" s="8" t="str">
        <f t="shared" si="120"/>
        <v>Invalid-Discount</v>
      </c>
      <c r="Z483" s="8" t="str">
        <f t="shared" si="121"/>
        <v>Pass</v>
      </c>
      <c r="AA483" s="8" t="str">
        <f t="shared" si="122"/>
        <v>Pass</v>
      </c>
      <c r="AB483" s="8" t="str">
        <f>TEXT(B483,"mmmm")</f>
        <v>June</v>
      </c>
      <c r="AC483" s="8" t="str">
        <f>TEXT(B483,"yyyy")</f>
        <v>2025</v>
      </c>
      <c r="AE483">
        <f t="shared" si="123"/>
        <v>11175.52</v>
      </c>
      <c r="AF483" s="11">
        <f t="shared" si="124"/>
        <v>1676.3280000000002</v>
      </c>
      <c r="AG483">
        <f t="shared" si="125"/>
        <v>4821.93</v>
      </c>
      <c r="AH483" s="11">
        <f t="shared" si="126"/>
        <v>0.43147253998024254</v>
      </c>
      <c r="AI483" s="9">
        <f t="shared" si="127"/>
        <v>0.43147253998024254</v>
      </c>
      <c r="AJ483">
        <f t="shared" si="128"/>
        <v>10616.74</v>
      </c>
      <c r="AK483">
        <f t="shared" si="129"/>
        <v>1</v>
      </c>
      <c r="AL483">
        <f t="shared" si="130"/>
        <v>0</v>
      </c>
      <c r="AM483">
        <f t="shared" si="131"/>
        <v>0</v>
      </c>
      <c r="AN483">
        <f t="shared" si="132"/>
        <v>0</v>
      </c>
      <c r="AO483">
        <f t="shared" si="133"/>
        <v>0</v>
      </c>
      <c r="AP483">
        <f t="shared" si="134"/>
        <v>0</v>
      </c>
      <c r="AQ483">
        <f t="shared" si="135"/>
        <v>0</v>
      </c>
    </row>
    <row r="484" spans="1:43">
      <c r="A484" t="s">
        <v>1545</v>
      </c>
      <c r="B484" s="5">
        <v>45495</v>
      </c>
      <c r="C484" s="5">
        <v>45495</v>
      </c>
      <c r="D484" s="13">
        <f t="shared" si="119"/>
        <v>0</v>
      </c>
      <c r="E484" t="s">
        <v>1546</v>
      </c>
      <c r="F484" t="s">
        <v>114</v>
      </c>
      <c r="G484" t="s">
        <v>24</v>
      </c>
      <c r="H484" t="s">
        <v>54</v>
      </c>
      <c r="I484" t="s">
        <v>175</v>
      </c>
      <c r="J484" t="s">
        <v>176</v>
      </c>
      <c r="K484" t="s">
        <v>74</v>
      </c>
      <c r="L484" t="s">
        <v>75</v>
      </c>
      <c r="M484" t="s">
        <v>1547</v>
      </c>
      <c r="N484" t="s">
        <v>31</v>
      </c>
      <c r="O484">
        <v>3</v>
      </c>
      <c r="P484">
        <v>1286.22</v>
      </c>
      <c r="Q484" s="11">
        <v>0.25</v>
      </c>
      <c r="R484">
        <v>2893.99</v>
      </c>
      <c r="S484">
        <v>1856.03</v>
      </c>
      <c r="T484">
        <v>1037.96</v>
      </c>
      <c r="U484" t="s">
        <v>32</v>
      </c>
      <c r="V484" t="s">
        <v>33</v>
      </c>
      <c r="X484" s="8" t="str">
        <f>IF(C484&gt;=B484,"Valid", "Invalid-Date")</f>
        <v>Valid</v>
      </c>
      <c r="Y484" s="8" t="str">
        <f t="shared" si="120"/>
        <v>Valid</v>
      </c>
      <c r="Z484" s="8" t="str">
        <f t="shared" si="121"/>
        <v>Pass</v>
      </c>
      <c r="AA484" s="8" t="str">
        <f t="shared" si="122"/>
        <v>Pass</v>
      </c>
      <c r="AB484" s="8" t="str">
        <f>TEXT(B484,"mmmm")</f>
        <v>July</v>
      </c>
      <c r="AC484" s="8" t="str">
        <f>TEXT(B484,"yyyy")</f>
        <v>2024</v>
      </c>
      <c r="AE484">
        <f t="shared" si="123"/>
        <v>3858.66</v>
      </c>
      <c r="AF484" s="11">
        <f t="shared" si="124"/>
        <v>2893.9949999999999</v>
      </c>
      <c r="AG484">
        <f t="shared" si="125"/>
        <v>2002.6299999999999</v>
      </c>
      <c r="AH484" s="11">
        <f t="shared" si="126"/>
        <v>0.51899623185250843</v>
      </c>
      <c r="AI484" s="9">
        <f t="shared" si="127"/>
        <v>0.51899623185250843</v>
      </c>
      <c r="AJ484">
        <f t="shared" si="128"/>
        <v>2893.99</v>
      </c>
      <c r="AK484">
        <f t="shared" si="129"/>
        <v>1</v>
      </c>
      <c r="AL484">
        <f t="shared" si="130"/>
        <v>0</v>
      </c>
      <c r="AM484">
        <f t="shared" si="131"/>
        <v>0</v>
      </c>
      <c r="AN484">
        <f t="shared" si="132"/>
        <v>0</v>
      </c>
      <c r="AO484">
        <f t="shared" si="133"/>
        <v>0</v>
      </c>
      <c r="AP484">
        <f t="shared" si="134"/>
        <v>0</v>
      </c>
      <c r="AQ484">
        <f t="shared" si="135"/>
        <v>0</v>
      </c>
    </row>
    <row r="485" spans="1:43">
      <c r="A485" t="s">
        <v>1548</v>
      </c>
      <c r="B485" s="5">
        <v>45651</v>
      </c>
      <c r="C485" s="5">
        <v>45651</v>
      </c>
      <c r="D485" s="13">
        <f t="shared" si="119"/>
        <v>0</v>
      </c>
      <c r="E485" t="s">
        <v>1549</v>
      </c>
      <c r="F485" t="s">
        <v>36</v>
      </c>
      <c r="G485" t="s">
        <v>90</v>
      </c>
      <c r="H485" t="s">
        <v>38</v>
      </c>
      <c r="I485" t="s">
        <v>145</v>
      </c>
      <c r="J485" t="s">
        <v>146</v>
      </c>
      <c r="K485" t="s">
        <v>74</v>
      </c>
      <c r="L485" t="s">
        <v>80</v>
      </c>
      <c r="M485" t="s">
        <v>1550</v>
      </c>
      <c r="N485" t="s">
        <v>59</v>
      </c>
      <c r="O485">
        <v>1</v>
      </c>
      <c r="P485">
        <v>829.66</v>
      </c>
      <c r="Q485" s="11">
        <v>0.15</v>
      </c>
      <c r="R485">
        <v>705.21</v>
      </c>
      <c r="S485">
        <v>438.32</v>
      </c>
      <c r="T485">
        <v>266.89</v>
      </c>
      <c r="U485" t="s">
        <v>32</v>
      </c>
      <c r="V485" t="s">
        <v>33</v>
      </c>
      <c r="X485" s="8" t="str">
        <f>IF(C485&gt;=B485,"Valid", "Invalid-Date")</f>
        <v>Valid</v>
      </c>
      <c r="Y485" s="8" t="str">
        <f t="shared" si="120"/>
        <v>Valid</v>
      </c>
      <c r="Z485" s="8" t="str">
        <f t="shared" si="121"/>
        <v>Pass</v>
      </c>
      <c r="AA485" s="8" t="str">
        <f t="shared" si="122"/>
        <v>Pass</v>
      </c>
      <c r="AB485" s="8" t="str">
        <f>TEXT(B485,"mmmm")</f>
        <v>December</v>
      </c>
      <c r="AC485" s="8" t="str">
        <f>TEXT(B485,"yyyy")</f>
        <v>2024</v>
      </c>
      <c r="AE485">
        <f t="shared" si="123"/>
        <v>829.66</v>
      </c>
      <c r="AF485" s="11">
        <f t="shared" si="124"/>
        <v>705.2109999999999</v>
      </c>
      <c r="AG485">
        <f t="shared" si="125"/>
        <v>391.34</v>
      </c>
      <c r="AH485" s="11">
        <f t="shared" si="126"/>
        <v>0.47168719716510377</v>
      </c>
      <c r="AI485" s="9">
        <f t="shared" si="127"/>
        <v>0.47168719716510377</v>
      </c>
      <c r="AJ485">
        <f t="shared" si="128"/>
        <v>705.21</v>
      </c>
      <c r="AK485">
        <f t="shared" si="129"/>
        <v>1</v>
      </c>
      <c r="AL485">
        <f t="shared" si="130"/>
        <v>0</v>
      </c>
      <c r="AM485">
        <f t="shared" si="131"/>
        <v>0</v>
      </c>
      <c r="AN485">
        <f t="shared" si="132"/>
        <v>0</v>
      </c>
      <c r="AO485">
        <f t="shared" si="133"/>
        <v>0</v>
      </c>
      <c r="AP485">
        <f t="shared" si="134"/>
        <v>0</v>
      </c>
      <c r="AQ485">
        <f t="shared" si="135"/>
        <v>0</v>
      </c>
    </row>
    <row r="486" spans="1:43">
      <c r="A486" t="s">
        <v>1551</v>
      </c>
      <c r="B486" s="5">
        <v>45654</v>
      </c>
      <c r="C486" s="5">
        <v>45657</v>
      </c>
      <c r="D486" s="13">
        <f t="shared" si="119"/>
        <v>3</v>
      </c>
      <c r="E486" t="s">
        <v>1552</v>
      </c>
      <c r="F486" t="s">
        <v>36</v>
      </c>
      <c r="G486" t="s">
        <v>37</v>
      </c>
      <c r="H486" t="s">
        <v>54</v>
      </c>
      <c r="I486" t="s">
        <v>84</v>
      </c>
      <c r="J486" t="s">
        <v>85</v>
      </c>
      <c r="K486" t="s">
        <v>41</v>
      </c>
      <c r="L486" t="s">
        <v>57</v>
      </c>
      <c r="M486" t="s">
        <v>1553</v>
      </c>
      <c r="N486" t="s">
        <v>50</v>
      </c>
      <c r="O486">
        <v>6</v>
      </c>
      <c r="P486">
        <v>3641.22</v>
      </c>
      <c r="Q486" s="11">
        <v>0.25</v>
      </c>
      <c r="R486">
        <v>16385.490000000002</v>
      </c>
      <c r="S486">
        <v>13679.24</v>
      </c>
      <c r="T486">
        <v>2706.25</v>
      </c>
      <c r="U486" t="s">
        <v>32</v>
      </c>
      <c r="V486" t="s">
        <v>33</v>
      </c>
      <c r="X486" s="8" t="str">
        <f>IF(C486&gt;=B486,"Valid", "Invalid-Date")</f>
        <v>Valid</v>
      </c>
      <c r="Y486" s="8" t="str">
        <f t="shared" si="120"/>
        <v>Valid</v>
      </c>
      <c r="Z486" s="8" t="str">
        <f t="shared" si="121"/>
        <v>Pass</v>
      </c>
      <c r="AA486" s="8" t="str">
        <f t="shared" si="122"/>
        <v>Pass</v>
      </c>
      <c r="AB486" s="8" t="str">
        <f>TEXT(B486,"mmmm")</f>
        <v>December</v>
      </c>
      <c r="AC486" s="8" t="str">
        <f>TEXT(B486,"yyyy")</f>
        <v>2024</v>
      </c>
      <c r="AE486">
        <f t="shared" si="123"/>
        <v>21847.32</v>
      </c>
      <c r="AF486" s="11">
        <f t="shared" si="124"/>
        <v>16385.489999999998</v>
      </c>
      <c r="AG486">
        <f t="shared" si="125"/>
        <v>8168.08</v>
      </c>
      <c r="AH486" s="11">
        <f t="shared" si="126"/>
        <v>0.37387102857467186</v>
      </c>
      <c r="AI486" s="9">
        <f t="shared" si="127"/>
        <v>0.37387102857467186</v>
      </c>
      <c r="AJ486">
        <f t="shared" si="128"/>
        <v>16385.490000000002</v>
      </c>
      <c r="AK486">
        <f t="shared" si="129"/>
        <v>1</v>
      </c>
      <c r="AL486">
        <f t="shared" si="130"/>
        <v>0</v>
      </c>
      <c r="AM486">
        <f t="shared" si="131"/>
        <v>0</v>
      </c>
      <c r="AN486">
        <f t="shared" si="132"/>
        <v>0</v>
      </c>
      <c r="AO486">
        <f t="shared" si="133"/>
        <v>0</v>
      </c>
      <c r="AP486">
        <f t="shared" si="134"/>
        <v>0</v>
      </c>
      <c r="AQ486">
        <f t="shared" si="135"/>
        <v>0</v>
      </c>
    </row>
    <row r="487" spans="1:43">
      <c r="A487" t="s">
        <v>1554</v>
      </c>
      <c r="B487" s="5">
        <v>45679</v>
      </c>
      <c r="C487" s="5">
        <v>45680</v>
      </c>
      <c r="D487" s="13">
        <f t="shared" si="119"/>
        <v>1</v>
      </c>
      <c r="E487" t="s">
        <v>1555</v>
      </c>
      <c r="F487" t="s">
        <v>118</v>
      </c>
      <c r="G487" t="s">
        <v>90</v>
      </c>
      <c r="H487" t="s">
        <v>63</v>
      </c>
      <c r="I487" t="s">
        <v>190</v>
      </c>
      <c r="J487" t="s">
        <v>191</v>
      </c>
      <c r="K487" t="s">
        <v>41</v>
      </c>
      <c r="L487" t="s">
        <v>158</v>
      </c>
      <c r="M487" t="s">
        <v>1556</v>
      </c>
      <c r="N487" t="s">
        <v>59</v>
      </c>
      <c r="O487">
        <v>4</v>
      </c>
      <c r="P487">
        <v>2555.19</v>
      </c>
      <c r="Q487" s="11">
        <v>0.25</v>
      </c>
      <c r="R487">
        <v>7665.57</v>
      </c>
      <c r="S487">
        <v>5595.6</v>
      </c>
      <c r="T487">
        <v>2069.9699999999998</v>
      </c>
      <c r="U487" t="s">
        <v>32</v>
      </c>
      <c r="V487" t="s">
        <v>33</v>
      </c>
      <c r="X487" s="8" t="str">
        <f>IF(C487&gt;=B487,"Valid", "Invalid-Date")</f>
        <v>Valid</v>
      </c>
      <c r="Y487" s="8" t="str">
        <f t="shared" si="120"/>
        <v>Valid</v>
      </c>
      <c r="Z487" s="8" t="str">
        <f t="shared" si="121"/>
        <v>Pass</v>
      </c>
      <c r="AA487" s="8" t="str">
        <f t="shared" si="122"/>
        <v>Pass</v>
      </c>
      <c r="AB487" s="8" t="str">
        <f>TEXT(B487,"mmmm")</f>
        <v>January</v>
      </c>
      <c r="AC487" s="8" t="str">
        <f>TEXT(B487,"yyyy")</f>
        <v>2025</v>
      </c>
      <c r="AE487">
        <f t="shared" si="123"/>
        <v>10220.76</v>
      </c>
      <c r="AF487" s="11">
        <f t="shared" si="124"/>
        <v>7665.57</v>
      </c>
      <c r="AG487">
        <f t="shared" si="125"/>
        <v>4625.16</v>
      </c>
      <c r="AH487" s="11">
        <f t="shared" si="126"/>
        <v>0.45252603524591123</v>
      </c>
      <c r="AI487" s="9">
        <f t="shared" si="127"/>
        <v>0.45252603524591123</v>
      </c>
      <c r="AJ487">
        <f t="shared" si="128"/>
        <v>7665.57</v>
      </c>
      <c r="AK487">
        <f t="shared" si="129"/>
        <v>1</v>
      </c>
      <c r="AL487">
        <f t="shared" si="130"/>
        <v>0</v>
      </c>
      <c r="AM487">
        <f t="shared" si="131"/>
        <v>0</v>
      </c>
      <c r="AN487">
        <f t="shared" si="132"/>
        <v>0</v>
      </c>
      <c r="AO487">
        <f t="shared" si="133"/>
        <v>0</v>
      </c>
      <c r="AP487">
        <f t="shared" si="134"/>
        <v>0</v>
      </c>
      <c r="AQ487">
        <f t="shared" si="135"/>
        <v>0</v>
      </c>
    </row>
    <row r="488" spans="1:43">
      <c r="A488" t="s">
        <v>1557</v>
      </c>
      <c r="B488" s="5">
        <v>45830</v>
      </c>
      <c r="C488" s="5">
        <v>45834</v>
      </c>
      <c r="D488" s="13">
        <f t="shared" si="119"/>
        <v>4</v>
      </c>
      <c r="E488" t="s">
        <v>1558</v>
      </c>
      <c r="F488" t="s">
        <v>118</v>
      </c>
      <c r="G488" t="s">
        <v>90</v>
      </c>
      <c r="H488" t="s">
        <v>63</v>
      </c>
      <c r="I488" t="s">
        <v>190</v>
      </c>
      <c r="J488" t="s">
        <v>191</v>
      </c>
      <c r="K488" t="s">
        <v>41</v>
      </c>
      <c r="L488" t="s">
        <v>42</v>
      </c>
      <c r="M488" t="s">
        <v>1559</v>
      </c>
      <c r="N488" t="s">
        <v>59</v>
      </c>
      <c r="O488">
        <v>3</v>
      </c>
      <c r="P488">
        <v>1946.18</v>
      </c>
      <c r="Q488" s="11">
        <v>0.2</v>
      </c>
      <c r="R488">
        <v>4670.83</v>
      </c>
      <c r="S488">
        <v>3166.49</v>
      </c>
      <c r="T488">
        <v>1504.34</v>
      </c>
      <c r="U488" t="s">
        <v>32</v>
      </c>
      <c r="V488" t="s">
        <v>33</v>
      </c>
      <c r="X488" s="8" t="str">
        <f>IF(C488&gt;=B488,"Valid", "Invalid-Date")</f>
        <v>Valid</v>
      </c>
      <c r="Y488" s="8" t="str">
        <f t="shared" si="120"/>
        <v>Valid</v>
      </c>
      <c r="Z488" s="8" t="str">
        <f t="shared" si="121"/>
        <v>Pass</v>
      </c>
      <c r="AA488" s="8" t="str">
        <f t="shared" si="122"/>
        <v>Pass</v>
      </c>
      <c r="AB488" s="8" t="str">
        <f>TEXT(B488,"mmmm")</f>
        <v>June</v>
      </c>
      <c r="AC488" s="8" t="str">
        <f>TEXT(B488,"yyyy")</f>
        <v>2025</v>
      </c>
      <c r="AE488">
        <f t="shared" si="123"/>
        <v>5838.54</v>
      </c>
      <c r="AF488" s="11">
        <f t="shared" si="124"/>
        <v>4670.8320000000003</v>
      </c>
      <c r="AG488">
        <f t="shared" si="125"/>
        <v>2672.05</v>
      </c>
      <c r="AH488" s="11">
        <f t="shared" si="126"/>
        <v>0.45765722252480934</v>
      </c>
      <c r="AI488" s="9">
        <f t="shared" si="127"/>
        <v>0.45765722252480934</v>
      </c>
      <c r="AJ488">
        <f t="shared" si="128"/>
        <v>4670.83</v>
      </c>
      <c r="AK488">
        <f t="shared" si="129"/>
        <v>1</v>
      </c>
      <c r="AL488">
        <f t="shared" si="130"/>
        <v>0</v>
      </c>
      <c r="AM488">
        <f t="shared" si="131"/>
        <v>0</v>
      </c>
      <c r="AN488">
        <f t="shared" si="132"/>
        <v>0</v>
      </c>
      <c r="AO488">
        <f t="shared" si="133"/>
        <v>0</v>
      </c>
      <c r="AP488">
        <f t="shared" si="134"/>
        <v>0</v>
      </c>
      <c r="AQ488">
        <f t="shared" si="135"/>
        <v>0</v>
      </c>
    </row>
    <row r="489" spans="1:43">
      <c r="A489" t="s">
        <v>1560</v>
      </c>
      <c r="B489" s="5">
        <v>45818</v>
      </c>
      <c r="C489" s="5">
        <v>45825</v>
      </c>
      <c r="D489" s="13">
        <f t="shared" si="119"/>
        <v>7</v>
      </c>
      <c r="E489" t="s">
        <v>1561</v>
      </c>
      <c r="F489" t="s">
        <v>118</v>
      </c>
      <c r="G489" t="s">
        <v>90</v>
      </c>
      <c r="H489" t="s">
        <v>54</v>
      </c>
      <c r="I489" t="s">
        <v>55</v>
      </c>
      <c r="J489" t="s">
        <v>56</v>
      </c>
      <c r="K489" t="s">
        <v>41</v>
      </c>
      <c r="L489" t="s">
        <v>57</v>
      </c>
      <c r="M489" t="s">
        <v>1562</v>
      </c>
      <c r="N489" t="s">
        <v>59</v>
      </c>
      <c r="O489">
        <v>5</v>
      </c>
      <c r="P489">
        <v>1231.0999999999999</v>
      </c>
      <c r="Q489" s="11">
        <v>0</v>
      </c>
      <c r="R489">
        <v>6155.5</v>
      </c>
      <c r="S489">
        <v>4282.09</v>
      </c>
      <c r="T489">
        <v>1873.41</v>
      </c>
      <c r="U489" t="s">
        <v>102</v>
      </c>
      <c r="V489" t="s">
        <v>103</v>
      </c>
      <c r="X489" s="8" t="str">
        <f>IF(C489&gt;=B489,"Valid", "Invalid-Date")</f>
        <v>Valid</v>
      </c>
      <c r="Y489" s="8" t="str">
        <f t="shared" si="120"/>
        <v>Valid</v>
      </c>
      <c r="Z489" s="8" t="str">
        <f t="shared" si="121"/>
        <v>Pass</v>
      </c>
      <c r="AA489" s="8" t="str">
        <f t="shared" si="122"/>
        <v>Pass</v>
      </c>
      <c r="AB489" s="8" t="str">
        <f>TEXT(B489,"mmmm")</f>
        <v>June</v>
      </c>
      <c r="AC489" s="8" t="str">
        <f>TEXT(B489,"yyyy")</f>
        <v>2025</v>
      </c>
      <c r="AE489">
        <f t="shared" si="123"/>
        <v>6155.5</v>
      </c>
      <c r="AF489" s="11">
        <f t="shared" si="124"/>
        <v>6155.5</v>
      </c>
      <c r="AG489">
        <f t="shared" si="125"/>
        <v>1873.4099999999999</v>
      </c>
      <c r="AH489" s="11">
        <f t="shared" si="126"/>
        <v>0.3043473316546178</v>
      </c>
      <c r="AI489" s="9">
        <f t="shared" si="127"/>
        <v>0.3043473316546178</v>
      </c>
      <c r="AJ489">
        <f t="shared" si="128"/>
        <v>0</v>
      </c>
      <c r="AK489">
        <f t="shared" si="129"/>
        <v>0</v>
      </c>
      <c r="AL489">
        <f t="shared" si="130"/>
        <v>0</v>
      </c>
      <c r="AM489">
        <f t="shared" si="131"/>
        <v>0</v>
      </c>
      <c r="AN489">
        <f t="shared" si="132"/>
        <v>0</v>
      </c>
      <c r="AO489">
        <f t="shared" si="133"/>
        <v>0</v>
      </c>
      <c r="AP489">
        <f t="shared" si="134"/>
        <v>6155.5</v>
      </c>
      <c r="AQ489">
        <f t="shared" si="135"/>
        <v>1</v>
      </c>
    </row>
    <row r="490" spans="1:43">
      <c r="A490" t="s">
        <v>1563</v>
      </c>
      <c r="B490" s="5">
        <v>45579</v>
      </c>
      <c r="C490" s="5">
        <v>45585</v>
      </c>
      <c r="D490" s="13">
        <f t="shared" si="119"/>
        <v>6</v>
      </c>
      <c r="E490" t="s">
        <v>1564</v>
      </c>
      <c r="F490" t="s">
        <v>89</v>
      </c>
      <c r="G490" t="s">
        <v>37</v>
      </c>
      <c r="H490" t="s">
        <v>25</v>
      </c>
      <c r="I490" t="s">
        <v>26</v>
      </c>
      <c r="J490" t="s">
        <v>27</v>
      </c>
      <c r="K490" t="s">
        <v>41</v>
      </c>
      <c r="L490" t="s">
        <v>42</v>
      </c>
      <c r="M490" t="s">
        <v>1565</v>
      </c>
      <c r="N490" t="s">
        <v>44</v>
      </c>
      <c r="O490">
        <v>7</v>
      </c>
      <c r="P490">
        <v>1547.6</v>
      </c>
      <c r="Q490" s="11">
        <v>0.2</v>
      </c>
      <c r="R490">
        <v>8666.56</v>
      </c>
      <c r="S490">
        <v>5967.44</v>
      </c>
      <c r="T490">
        <v>2699.12</v>
      </c>
      <c r="U490" t="s">
        <v>32</v>
      </c>
      <c r="V490" t="s">
        <v>33</v>
      </c>
      <c r="X490" s="8" t="str">
        <f>IF(C490&gt;=B490,"Valid", "Invalid-Date")</f>
        <v>Valid</v>
      </c>
      <c r="Y490" s="8" t="str">
        <f t="shared" si="120"/>
        <v>Valid</v>
      </c>
      <c r="Z490" s="8" t="str">
        <f t="shared" si="121"/>
        <v>Pass</v>
      </c>
      <c r="AA490" s="8" t="str">
        <f t="shared" si="122"/>
        <v>Pass</v>
      </c>
      <c r="AB490" s="8" t="str">
        <f>TEXT(B490,"mmmm")</f>
        <v>October</v>
      </c>
      <c r="AC490" s="8" t="str">
        <f>TEXT(B490,"yyyy")</f>
        <v>2024</v>
      </c>
      <c r="AE490">
        <f t="shared" si="123"/>
        <v>10833.199999999999</v>
      </c>
      <c r="AF490" s="11">
        <f t="shared" si="124"/>
        <v>8666.56</v>
      </c>
      <c r="AG490">
        <f t="shared" si="125"/>
        <v>4865.7599999999993</v>
      </c>
      <c r="AH490" s="11">
        <f t="shared" si="126"/>
        <v>0.44915260495513787</v>
      </c>
      <c r="AI490" s="9">
        <f t="shared" si="127"/>
        <v>0.44915260495513787</v>
      </c>
      <c r="AJ490">
        <f t="shared" si="128"/>
        <v>8666.56</v>
      </c>
      <c r="AK490">
        <f t="shared" si="129"/>
        <v>1</v>
      </c>
      <c r="AL490">
        <f t="shared" si="130"/>
        <v>0</v>
      </c>
      <c r="AM490">
        <f t="shared" si="131"/>
        <v>0</v>
      </c>
      <c r="AN490">
        <f t="shared" si="132"/>
        <v>0</v>
      </c>
      <c r="AO490">
        <f t="shared" si="133"/>
        <v>0</v>
      </c>
      <c r="AP490">
        <f t="shared" si="134"/>
        <v>0</v>
      </c>
      <c r="AQ490">
        <f t="shared" si="135"/>
        <v>0</v>
      </c>
    </row>
    <row r="491" spans="1:43">
      <c r="A491" t="s">
        <v>1566</v>
      </c>
      <c r="B491" s="5">
        <v>45329</v>
      </c>
      <c r="C491" s="5">
        <v>45628</v>
      </c>
      <c r="D491" s="13">
        <f t="shared" si="119"/>
        <v>299</v>
      </c>
      <c r="E491" t="s">
        <v>1567</v>
      </c>
      <c r="F491" t="s">
        <v>53</v>
      </c>
      <c r="G491" t="s">
        <v>95</v>
      </c>
      <c r="H491" t="s">
        <v>38</v>
      </c>
      <c r="I491" t="s">
        <v>99</v>
      </c>
      <c r="J491" t="s">
        <v>100</v>
      </c>
      <c r="K491" t="s">
        <v>74</v>
      </c>
      <c r="L491" t="s">
        <v>75</v>
      </c>
      <c r="M491" t="s">
        <v>1568</v>
      </c>
      <c r="N491" t="s">
        <v>31</v>
      </c>
      <c r="O491">
        <v>1</v>
      </c>
      <c r="P491">
        <v>452.19</v>
      </c>
      <c r="Q491" s="11">
        <v>0.2</v>
      </c>
      <c r="R491">
        <v>361.75</v>
      </c>
      <c r="S491">
        <v>262.52999999999997</v>
      </c>
      <c r="T491">
        <v>99.22</v>
      </c>
      <c r="U491" t="s">
        <v>32</v>
      </c>
      <c r="V491" t="s">
        <v>33</v>
      </c>
      <c r="X491" s="8" t="str">
        <f>IF(C491&gt;=B491,"Valid", "Invalid-Date")</f>
        <v>Valid</v>
      </c>
      <c r="Y491" s="8" t="str">
        <f t="shared" si="120"/>
        <v>Valid</v>
      </c>
      <c r="Z491" s="8" t="str">
        <f t="shared" si="121"/>
        <v>Pass</v>
      </c>
      <c r="AA491" s="8" t="str">
        <f t="shared" si="122"/>
        <v>Pass</v>
      </c>
      <c r="AB491" s="8" t="str">
        <f>TEXT(B491,"mmmm")</f>
        <v>February</v>
      </c>
      <c r="AC491" s="8" t="str">
        <f>TEXT(B491,"yyyy")</f>
        <v>2024</v>
      </c>
      <c r="AE491">
        <f t="shared" si="123"/>
        <v>452.19</v>
      </c>
      <c r="AF491" s="11">
        <f t="shared" si="124"/>
        <v>361.75200000000001</v>
      </c>
      <c r="AG491">
        <f t="shared" si="125"/>
        <v>189.66000000000003</v>
      </c>
      <c r="AH491" s="11">
        <f t="shared" si="126"/>
        <v>0.41942546274796</v>
      </c>
      <c r="AI491" s="9">
        <f t="shared" si="127"/>
        <v>0.41942546274796</v>
      </c>
      <c r="AJ491">
        <f t="shared" si="128"/>
        <v>361.75</v>
      </c>
      <c r="AK491">
        <f t="shared" si="129"/>
        <v>1</v>
      </c>
      <c r="AL491">
        <f t="shared" si="130"/>
        <v>0</v>
      </c>
      <c r="AM491">
        <f t="shared" si="131"/>
        <v>0</v>
      </c>
      <c r="AN491">
        <f t="shared" si="132"/>
        <v>0</v>
      </c>
      <c r="AO491">
        <f t="shared" si="133"/>
        <v>0</v>
      </c>
      <c r="AP491">
        <f t="shared" si="134"/>
        <v>0</v>
      </c>
      <c r="AQ491">
        <f t="shared" si="135"/>
        <v>0</v>
      </c>
    </row>
    <row r="492" spans="1:43">
      <c r="A492" t="s">
        <v>1569</v>
      </c>
      <c r="B492" s="5">
        <v>45551</v>
      </c>
      <c r="C492" s="5">
        <v>45554</v>
      </c>
      <c r="D492" s="13">
        <f t="shared" si="119"/>
        <v>3</v>
      </c>
      <c r="E492" t="s">
        <v>1570</v>
      </c>
      <c r="F492" t="s">
        <v>89</v>
      </c>
      <c r="G492" t="s">
        <v>24</v>
      </c>
      <c r="H492" t="s">
        <v>63</v>
      </c>
      <c r="I492" t="s">
        <v>26</v>
      </c>
      <c r="J492" t="s">
        <v>109</v>
      </c>
      <c r="K492" t="s">
        <v>28</v>
      </c>
      <c r="L492" t="s">
        <v>153</v>
      </c>
      <c r="M492" t="s">
        <v>1571</v>
      </c>
      <c r="N492" t="s">
        <v>50</v>
      </c>
      <c r="O492">
        <v>7</v>
      </c>
      <c r="P492">
        <v>406.42</v>
      </c>
      <c r="Q492" s="11">
        <v>0.15</v>
      </c>
      <c r="R492">
        <v>2418.1999999999998</v>
      </c>
      <c r="S492">
        <v>1613.82</v>
      </c>
      <c r="T492">
        <v>804.38</v>
      </c>
      <c r="U492" t="s">
        <v>32</v>
      </c>
      <c r="V492" t="s">
        <v>33</v>
      </c>
      <c r="X492" s="8" t="str">
        <f>IF(C492&gt;=B492,"Valid", "Invalid-Date")</f>
        <v>Valid</v>
      </c>
      <c r="Y492" s="8" t="str">
        <f t="shared" si="120"/>
        <v>Valid</v>
      </c>
      <c r="Z492" s="8" t="str">
        <f t="shared" si="121"/>
        <v>Pass</v>
      </c>
      <c r="AA492" s="8" t="str">
        <f t="shared" si="122"/>
        <v>Pass</v>
      </c>
      <c r="AB492" s="8" t="str">
        <f>TEXT(B492,"mmmm")</f>
        <v>September</v>
      </c>
      <c r="AC492" s="8" t="str">
        <f>TEXT(B492,"yyyy")</f>
        <v>2024</v>
      </c>
      <c r="AE492">
        <f t="shared" si="123"/>
        <v>2844.94</v>
      </c>
      <c r="AF492" s="11">
        <f t="shared" si="124"/>
        <v>2418.1990000000001</v>
      </c>
      <c r="AG492">
        <f t="shared" si="125"/>
        <v>1231.1200000000001</v>
      </c>
      <c r="AH492" s="11">
        <f t="shared" si="126"/>
        <v>0.43274023353743846</v>
      </c>
      <c r="AI492" s="9">
        <f t="shared" si="127"/>
        <v>0.43274023353743846</v>
      </c>
      <c r="AJ492">
        <f t="shared" si="128"/>
        <v>2418.1999999999998</v>
      </c>
      <c r="AK492">
        <f t="shared" si="129"/>
        <v>1</v>
      </c>
      <c r="AL492">
        <f t="shared" si="130"/>
        <v>0</v>
      </c>
      <c r="AM492">
        <f t="shared" si="131"/>
        <v>0</v>
      </c>
      <c r="AN492">
        <f t="shared" si="132"/>
        <v>0</v>
      </c>
      <c r="AO492">
        <f t="shared" si="133"/>
        <v>0</v>
      </c>
      <c r="AP492">
        <f t="shared" si="134"/>
        <v>0</v>
      </c>
      <c r="AQ492">
        <f t="shared" si="135"/>
        <v>0</v>
      </c>
    </row>
    <row r="493" spans="1:43">
      <c r="A493" t="s">
        <v>1572</v>
      </c>
      <c r="B493" s="5">
        <v>45776</v>
      </c>
      <c r="C493" s="5">
        <v>45777</v>
      </c>
      <c r="D493" s="13">
        <f t="shared" si="119"/>
        <v>1</v>
      </c>
      <c r="E493" t="s">
        <v>1573</v>
      </c>
      <c r="F493" t="s">
        <v>36</v>
      </c>
      <c r="G493" t="s">
        <v>90</v>
      </c>
      <c r="H493" t="s">
        <v>54</v>
      </c>
      <c r="I493" t="s">
        <v>185</v>
      </c>
      <c r="J493" t="s">
        <v>186</v>
      </c>
      <c r="K493" t="s">
        <v>74</v>
      </c>
      <c r="L493" t="s">
        <v>75</v>
      </c>
      <c r="M493" t="s">
        <v>1574</v>
      </c>
      <c r="N493" t="s">
        <v>59</v>
      </c>
      <c r="O493">
        <v>4</v>
      </c>
      <c r="P493">
        <v>606.58000000000004</v>
      </c>
      <c r="Q493" s="11">
        <v>0.2</v>
      </c>
      <c r="R493">
        <v>1941.06</v>
      </c>
      <c r="S493">
        <v>1207.42</v>
      </c>
      <c r="T493">
        <v>733.64</v>
      </c>
      <c r="U493" t="s">
        <v>32</v>
      </c>
      <c r="V493" t="s">
        <v>33</v>
      </c>
      <c r="X493" s="8" t="str">
        <f>IF(C493&gt;=B493,"Valid", "Invalid-Date")</f>
        <v>Valid</v>
      </c>
      <c r="Y493" s="8" t="str">
        <f t="shared" si="120"/>
        <v>Valid</v>
      </c>
      <c r="Z493" s="8" t="str">
        <f t="shared" si="121"/>
        <v>Pass</v>
      </c>
      <c r="AA493" s="8" t="str">
        <f t="shared" si="122"/>
        <v>Pass</v>
      </c>
      <c r="AB493" s="8" t="str">
        <f>TEXT(B493,"mmmm")</f>
        <v>April</v>
      </c>
      <c r="AC493" s="8" t="str">
        <f>TEXT(B493,"yyyy")</f>
        <v>2025</v>
      </c>
      <c r="AE493">
        <f t="shared" si="123"/>
        <v>2426.3200000000002</v>
      </c>
      <c r="AF493" s="11">
        <f t="shared" si="124"/>
        <v>1941.0560000000003</v>
      </c>
      <c r="AG493">
        <f t="shared" si="125"/>
        <v>1218.9000000000001</v>
      </c>
      <c r="AH493" s="11">
        <f t="shared" si="126"/>
        <v>0.50236572257575263</v>
      </c>
      <c r="AI493" s="9">
        <f t="shared" si="127"/>
        <v>0.50236572257575263</v>
      </c>
      <c r="AJ493">
        <f t="shared" si="128"/>
        <v>1941.06</v>
      </c>
      <c r="AK493">
        <f t="shared" si="129"/>
        <v>1</v>
      </c>
      <c r="AL493">
        <f t="shared" si="130"/>
        <v>0</v>
      </c>
      <c r="AM493">
        <f t="shared" si="131"/>
        <v>0</v>
      </c>
      <c r="AN493">
        <f t="shared" si="132"/>
        <v>0</v>
      </c>
      <c r="AO493">
        <f t="shared" si="133"/>
        <v>0</v>
      </c>
      <c r="AP493">
        <f t="shared" si="134"/>
        <v>0</v>
      </c>
      <c r="AQ493">
        <f t="shared" si="135"/>
        <v>0</v>
      </c>
    </row>
    <row r="494" spans="1:43">
      <c r="A494" t="s">
        <v>1575</v>
      </c>
      <c r="B494" s="5">
        <v>45836</v>
      </c>
      <c r="C494" s="5">
        <v>45695</v>
      </c>
      <c r="D494" s="13">
        <f t="shared" si="119"/>
        <v>-141</v>
      </c>
      <c r="E494" t="s">
        <v>1576</v>
      </c>
      <c r="F494" t="s">
        <v>62</v>
      </c>
      <c r="G494" t="s">
        <v>90</v>
      </c>
      <c r="H494" t="s">
        <v>54</v>
      </c>
      <c r="I494" t="s">
        <v>84</v>
      </c>
      <c r="J494" t="s">
        <v>85</v>
      </c>
      <c r="K494" t="s">
        <v>28</v>
      </c>
      <c r="L494" t="s">
        <v>124</v>
      </c>
      <c r="M494" t="s">
        <v>1577</v>
      </c>
      <c r="N494" t="s">
        <v>31</v>
      </c>
      <c r="O494">
        <v>2</v>
      </c>
      <c r="P494">
        <v>2725.44</v>
      </c>
      <c r="Q494" s="11">
        <v>0.25</v>
      </c>
      <c r="R494">
        <v>4088.16</v>
      </c>
      <c r="S494">
        <v>3205.68</v>
      </c>
      <c r="T494">
        <v>882.48</v>
      </c>
      <c r="U494" t="s">
        <v>32</v>
      </c>
      <c r="V494" t="s">
        <v>33</v>
      </c>
      <c r="X494" s="8" t="str">
        <f>IF(C494&gt;=B494,"Valid", "Invalid-Date")</f>
        <v>Invalid-Date</v>
      </c>
      <c r="Y494" s="8" t="str">
        <f t="shared" si="120"/>
        <v>Valid</v>
      </c>
      <c r="Z494" s="8" t="str">
        <f t="shared" si="121"/>
        <v>Pass</v>
      </c>
      <c r="AA494" s="8" t="str">
        <f t="shared" si="122"/>
        <v>Pass</v>
      </c>
      <c r="AB494" s="8" t="str">
        <f>TEXT(B494,"mmmm")</f>
        <v>June</v>
      </c>
      <c r="AC494" s="8" t="str">
        <f>TEXT(B494,"yyyy")</f>
        <v>2025</v>
      </c>
      <c r="AE494">
        <f t="shared" si="123"/>
        <v>5450.88</v>
      </c>
      <c r="AF494" s="11">
        <f t="shared" si="124"/>
        <v>4088.16</v>
      </c>
      <c r="AG494">
        <f t="shared" si="125"/>
        <v>2245.2000000000003</v>
      </c>
      <c r="AH494" s="11">
        <f t="shared" si="126"/>
        <v>0.41189679464600215</v>
      </c>
      <c r="AI494" s="9">
        <f t="shared" si="127"/>
        <v>0.41189679464600215</v>
      </c>
      <c r="AJ494">
        <f t="shared" si="128"/>
        <v>4088.16</v>
      </c>
      <c r="AK494">
        <f t="shared" si="129"/>
        <v>1</v>
      </c>
      <c r="AL494">
        <f t="shared" si="130"/>
        <v>0</v>
      </c>
      <c r="AM494">
        <f t="shared" si="131"/>
        <v>0</v>
      </c>
      <c r="AN494">
        <f t="shared" si="132"/>
        <v>0</v>
      </c>
      <c r="AO494">
        <f t="shared" si="133"/>
        <v>0</v>
      </c>
      <c r="AP494">
        <f t="shared" si="134"/>
        <v>0</v>
      </c>
      <c r="AQ494">
        <f t="shared" si="135"/>
        <v>0</v>
      </c>
    </row>
    <row r="495" spans="1:43">
      <c r="A495" t="s">
        <v>1578</v>
      </c>
      <c r="B495" s="5">
        <v>45701</v>
      </c>
      <c r="C495" s="5">
        <v>45701</v>
      </c>
      <c r="D495" s="13">
        <f t="shared" si="119"/>
        <v>0</v>
      </c>
      <c r="E495" t="s">
        <v>1579</v>
      </c>
      <c r="F495" t="s">
        <v>264</v>
      </c>
      <c r="G495" t="s">
        <v>90</v>
      </c>
      <c r="H495" t="s">
        <v>38</v>
      </c>
      <c r="I495" t="s">
        <v>39</v>
      </c>
      <c r="J495" t="s">
        <v>40</v>
      </c>
      <c r="K495" t="s">
        <v>28</v>
      </c>
      <c r="L495" t="s">
        <v>29</v>
      </c>
      <c r="M495" t="s">
        <v>1580</v>
      </c>
      <c r="N495" t="s">
        <v>31</v>
      </c>
      <c r="O495">
        <v>7</v>
      </c>
      <c r="P495">
        <v>2296.6999999999998</v>
      </c>
      <c r="Q495" s="11">
        <v>0.05</v>
      </c>
      <c r="R495">
        <v>15273.05</v>
      </c>
      <c r="S495">
        <v>11088.76</v>
      </c>
      <c r="T495">
        <v>4184.29</v>
      </c>
      <c r="U495" t="s">
        <v>32</v>
      </c>
      <c r="V495" t="s">
        <v>33</v>
      </c>
      <c r="X495" s="8" t="str">
        <f>IF(C495&gt;=B495,"Valid", "Invalid-Date")</f>
        <v>Valid</v>
      </c>
      <c r="Y495" s="8" t="str">
        <f t="shared" si="120"/>
        <v>Valid</v>
      </c>
      <c r="Z495" s="8" t="str">
        <f t="shared" si="121"/>
        <v>Pass</v>
      </c>
      <c r="AA495" s="8" t="str">
        <f t="shared" si="122"/>
        <v>Pass</v>
      </c>
      <c r="AB495" s="8" t="str">
        <f>TEXT(B495,"mmmm")</f>
        <v>February</v>
      </c>
      <c r="AC495" s="8" t="str">
        <f>TEXT(B495,"yyyy")</f>
        <v>2025</v>
      </c>
      <c r="AE495">
        <f t="shared" si="123"/>
        <v>16076.899999999998</v>
      </c>
      <c r="AF495" s="11">
        <f t="shared" si="124"/>
        <v>15273.054999999997</v>
      </c>
      <c r="AG495">
        <f t="shared" si="125"/>
        <v>4988.1399999999976</v>
      </c>
      <c r="AH495" s="11">
        <f t="shared" si="126"/>
        <v>0.31026752669979896</v>
      </c>
      <c r="AI495" s="9">
        <f t="shared" si="127"/>
        <v>0.31026752669979896</v>
      </c>
      <c r="AJ495">
        <f t="shared" si="128"/>
        <v>15273.05</v>
      </c>
      <c r="AK495">
        <f t="shared" si="129"/>
        <v>1</v>
      </c>
      <c r="AL495">
        <f t="shared" si="130"/>
        <v>0</v>
      </c>
      <c r="AM495">
        <f t="shared" si="131"/>
        <v>0</v>
      </c>
      <c r="AN495">
        <f t="shared" si="132"/>
        <v>0</v>
      </c>
      <c r="AO495">
        <f t="shared" si="133"/>
        <v>0</v>
      </c>
      <c r="AP495">
        <f t="shared" si="134"/>
        <v>0</v>
      </c>
      <c r="AQ495">
        <f t="shared" si="135"/>
        <v>0</v>
      </c>
    </row>
    <row r="496" spans="1:43">
      <c r="A496" t="s">
        <v>1581</v>
      </c>
      <c r="B496" s="5">
        <v>45610</v>
      </c>
      <c r="C496" s="5">
        <v>45618</v>
      </c>
      <c r="D496" s="13">
        <f t="shared" si="119"/>
        <v>8</v>
      </c>
      <c r="E496" t="s">
        <v>1582</v>
      </c>
      <c r="F496" t="s">
        <v>47</v>
      </c>
      <c r="G496" t="s">
        <v>24</v>
      </c>
      <c r="H496" t="s">
        <v>63</v>
      </c>
      <c r="I496" t="s">
        <v>72</v>
      </c>
      <c r="J496" t="s">
        <v>73</v>
      </c>
      <c r="K496" t="s">
        <v>74</v>
      </c>
      <c r="L496" t="s">
        <v>171</v>
      </c>
      <c r="M496" t="s">
        <v>1583</v>
      </c>
      <c r="N496" t="s">
        <v>59</v>
      </c>
      <c r="O496">
        <v>3</v>
      </c>
      <c r="P496">
        <v>671.68</v>
      </c>
      <c r="Q496" s="11">
        <v>-0.13</v>
      </c>
      <c r="R496">
        <v>1712.78</v>
      </c>
      <c r="S496">
        <v>1569.38</v>
      </c>
      <c r="T496">
        <v>360.66</v>
      </c>
      <c r="U496" t="s">
        <v>155</v>
      </c>
      <c r="V496" t="s">
        <v>68</v>
      </c>
      <c r="X496" s="8" t="str">
        <f>IF(C496&gt;=B496,"Valid", "Invalid-Date")</f>
        <v>Valid</v>
      </c>
      <c r="Y496" s="8" t="str">
        <f t="shared" si="120"/>
        <v>Invalid-Discount</v>
      </c>
      <c r="Z496" s="8" t="str">
        <f t="shared" si="121"/>
        <v>Pass</v>
      </c>
      <c r="AA496" s="8" t="str">
        <f t="shared" si="122"/>
        <v>Pass</v>
      </c>
      <c r="AB496" s="8" t="str">
        <f>TEXT(B496,"mmmm")</f>
        <v>November</v>
      </c>
      <c r="AC496" s="8" t="str">
        <f>TEXT(B496,"yyyy")</f>
        <v>2024</v>
      </c>
      <c r="AE496">
        <f t="shared" si="123"/>
        <v>2015.04</v>
      </c>
      <c r="AF496" s="11">
        <f t="shared" si="124"/>
        <v>2276.9951999999998</v>
      </c>
      <c r="AG496">
        <f t="shared" si="125"/>
        <v>445.65999999999985</v>
      </c>
      <c r="AH496" s="11">
        <f t="shared" si="126"/>
        <v>0.22116682547244712</v>
      </c>
      <c r="AI496" s="9">
        <f t="shared" si="127"/>
        <v>0.22116682547244712</v>
      </c>
      <c r="AJ496">
        <f t="shared" si="128"/>
        <v>0</v>
      </c>
      <c r="AK496">
        <f t="shared" si="129"/>
        <v>0</v>
      </c>
      <c r="AL496">
        <f t="shared" si="130"/>
        <v>1712.78</v>
      </c>
      <c r="AM496">
        <f t="shared" si="131"/>
        <v>1</v>
      </c>
      <c r="AN496">
        <f t="shared" si="132"/>
        <v>1712.78</v>
      </c>
      <c r="AO496">
        <f t="shared" si="133"/>
        <v>1</v>
      </c>
      <c r="AP496">
        <f t="shared" si="134"/>
        <v>0</v>
      </c>
      <c r="AQ496">
        <f t="shared" si="135"/>
        <v>0</v>
      </c>
    </row>
    <row r="497" spans="1:43">
      <c r="A497" t="s">
        <v>1584</v>
      </c>
      <c r="B497" s="5">
        <v>45540</v>
      </c>
      <c r="C497" s="5">
        <v>45427</v>
      </c>
      <c r="D497" s="13">
        <f t="shared" si="119"/>
        <v>-113</v>
      </c>
      <c r="E497" t="s">
        <v>1585</v>
      </c>
      <c r="F497" t="s">
        <v>36</v>
      </c>
      <c r="G497" t="s">
        <v>37</v>
      </c>
      <c r="H497" t="s">
        <v>38</v>
      </c>
      <c r="I497" t="s">
        <v>166</v>
      </c>
      <c r="J497" t="s">
        <v>167</v>
      </c>
      <c r="K497" t="s">
        <v>74</v>
      </c>
      <c r="L497" t="s">
        <v>171</v>
      </c>
      <c r="M497" t="s">
        <v>1586</v>
      </c>
      <c r="N497" t="s">
        <v>31</v>
      </c>
      <c r="O497">
        <v>4</v>
      </c>
      <c r="P497">
        <v>995.98</v>
      </c>
      <c r="Q497" s="11">
        <v>0.05</v>
      </c>
      <c r="R497">
        <v>3784.72</v>
      </c>
      <c r="S497">
        <v>2419.2399999999998</v>
      </c>
      <c r="T497">
        <v>1365.48</v>
      </c>
      <c r="U497" t="s">
        <v>102</v>
      </c>
      <c r="V497" t="s">
        <v>103</v>
      </c>
      <c r="X497" s="8" t="str">
        <f>IF(C497&gt;=B497,"Valid", "Invalid-Date")</f>
        <v>Invalid-Date</v>
      </c>
      <c r="Y497" s="8" t="str">
        <f t="shared" si="120"/>
        <v>Valid</v>
      </c>
      <c r="Z497" s="8" t="str">
        <f t="shared" si="121"/>
        <v>Pass</v>
      </c>
      <c r="AA497" s="8" t="str">
        <f t="shared" si="122"/>
        <v>Pass</v>
      </c>
      <c r="AB497" s="8" t="str">
        <f>TEXT(B497,"mmmm")</f>
        <v>September</v>
      </c>
      <c r="AC497" s="8" t="str">
        <f>TEXT(B497,"yyyy")</f>
        <v>2024</v>
      </c>
      <c r="AE497">
        <f t="shared" si="123"/>
        <v>3983.92</v>
      </c>
      <c r="AF497" s="11">
        <f t="shared" si="124"/>
        <v>3784.7239999999997</v>
      </c>
      <c r="AG497">
        <f t="shared" si="125"/>
        <v>1564.6800000000003</v>
      </c>
      <c r="AH497" s="11">
        <f t="shared" si="126"/>
        <v>0.3927488503785217</v>
      </c>
      <c r="AI497" s="9">
        <f t="shared" si="127"/>
        <v>0.3927488503785217</v>
      </c>
      <c r="AJ497">
        <f t="shared" si="128"/>
        <v>0</v>
      </c>
      <c r="AK497">
        <f t="shared" si="129"/>
        <v>0</v>
      </c>
      <c r="AL497">
        <f t="shared" si="130"/>
        <v>0</v>
      </c>
      <c r="AM497">
        <f t="shared" si="131"/>
        <v>0</v>
      </c>
      <c r="AN497">
        <f t="shared" si="132"/>
        <v>0</v>
      </c>
      <c r="AO497">
        <f t="shared" si="133"/>
        <v>0</v>
      </c>
      <c r="AP497">
        <f t="shared" si="134"/>
        <v>3784.72</v>
      </c>
      <c r="AQ497">
        <f t="shared" si="135"/>
        <v>1</v>
      </c>
    </row>
    <row r="498" spans="1:43">
      <c r="A498" t="s">
        <v>1587</v>
      </c>
      <c r="B498" s="5">
        <v>45842</v>
      </c>
      <c r="C498" s="5">
        <v>45815</v>
      </c>
      <c r="D498" s="13">
        <f t="shared" si="119"/>
        <v>-27</v>
      </c>
      <c r="E498" t="s">
        <v>1588</v>
      </c>
      <c r="F498" t="s">
        <v>264</v>
      </c>
      <c r="G498" t="s">
        <v>37</v>
      </c>
      <c r="H498" t="s">
        <v>38</v>
      </c>
      <c r="I498" t="s">
        <v>228</v>
      </c>
      <c r="J498" t="s">
        <v>229</v>
      </c>
      <c r="K498" t="s">
        <v>41</v>
      </c>
      <c r="L498" t="s">
        <v>66</v>
      </c>
      <c r="M498" t="s">
        <v>1589</v>
      </c>
      <c r="N498" t="s">
        <v>31</v>
      </c>
      <c r="O498">
        <v>2</v>
      </c>
      <c r="P498">
        <v>3686.42</v>
      </c>
      <c r="Q498" s="11">
        <v>0.1</v>
      </c>
      <c r="R498">
        <v>6635.56</v>
      </c>
      <c r="S498">
        <v>3652.91</v>
      </c>
      <c r="T498">
        <v>2982.65</v>
      </c>
      <c r="U498" t="s">
        <v>32</v>
      </c>
      <c r="V498" t="s">
        <v>33</v>
      </c>
      <c r="X498" s="8" t="str">
        <f>IF(C498&gt;=B498,"Valid", "Invalid-Date")</f>
        <v>Invalid-Date</v>
      </c>
      <c r="Y498" s="8" t="str">
        <f t="shared" si="120"/>
        <v>Valid</v>
      </c>
      <c r="Z498" s="8" t="str">
        <f t="shared" si="121"/>
        <v>Pass</v>
      </c>
      <c r="AA498" s="8" t="str">
        <f t="shared" si="122"/>
        <v>Pass</v>
      </c>
      <c r="AB498" s="8" t="str">
        <f>TEXT(B498,"mmmm")</f>
        <v>July</v>
      </c>
      <c r="AC498" s="8" t="str">
        <f>TEXT(B498,"yyyy")</f>
        <v>2025</v>
      </c>
      <c r="AE498">
        <f t="shared" si="123"/>
        <v>7372.84</v>
      </c>
      <c r="AF498" s="11">
        <f t="shared" si="124"/>
        <v>6635.5560000000005</v>
      </c>
      <c r="AG498">
        <f t="shared" si="125"/>
        <v>3719.9300000000003</v>
      </c>
      <c r="AH498" s="11">
        <f t="shared" si="126"/>
        <v>0.50454505997688814</v>
      </c>
      <c r="AI498" s="9">
        <f t="shared" si="127"/>
        <v>0.50454505997688814</v>
      </c>
      <c r="AJ498">
        <f t="shared" si="128"/>
        <v>6635.56</v>
      </c>
      <c r="AK498">
        <f t="shared" si="129"/>
        <v>1</v>
      </c>
      <c r="AL498">
        <f t="shared" si="130"/>
        <v>0</v>
      </c>
      <c r="AM498">
        <f t="shared" si="131"/>
        <v>0</v>
      </c>
      <c r="AN498">
        <f t="shared" si="132"/>
        <v>0</v>
      </c>
      <c r="AO498">
        <f t="shared" si="133"/>
        <v>0</v>
      </c>
      <c r="AP498">
        <f t="shared" si="134"/>
        <v>0</v>
      </c>
      <c r="AQ498">
        <f t="shared" si="135"/>
        <v>0</v>
      </c>
    </row>
    <row r="499" spans="1:43">
      <c r="A499" t="s">
        <v>1590</v>
      </c>
      <c r="B499" s="5">
        <v>45533</v>
      </c>
      <c r="C499" s="5">
        <v>45533</v>
      </c>
      <c r="D499" s="13">
        <f t="shared" si="119"/>
        <v>0</v>
      </c>
      <c r="E499" t="s">
        <v>1591</v>
      </c>
      <c r="F499" t="s">
        <v>132</v>
      </c>
      <c r="G499" t="s">
        <v>37</v>
      </c>
      <c r="H499" t="s">
        <v>25</v>
      </c>
      <c r="I499" t="s">
        <v>136</v>
      </c>
      <c r="J499" t="s">
        <v>137</v>
      </c>
      <c r="K499" t="s">
        <v>74</v>
      </c>
      <c r="L499" t="s">
        <v>75</v>
      </c>
      <c r="M499" t="s">
        <v>1592</v>
      </c>
      <c r="N499" t="s">
        <v>31</v>
      </c>
      <c r="O499">
        <v>1</v>
      </c>
      <c r="P499">
        <v>3106.88</v>
      </c>
      <c r="Q499" s="11">
        <v>0.2</v>
      </c>
      <c r="R499">
        <v>2485.5</v>
      </c>
      <c r="S499">
        <v>2028.43</v>
      </c>
      <c r="T499">
        <v>457.07</v>
      </c>
      <c r="U499" t="s">
        <v>32</v>
      </c>
      <c r="V499" t="s">
        <v>68</v>
      </c>
      <c r="X499" s="8" t="str">
        <f>IF(C499&gt;=B499,"Valid", "Invalid-Date")</f>
        <v>Valid</v>
      </c>
      <c r="Y499" s="8" t="str">
        <f t="shared" si="120"/>
        <v>Valid</v>
      </c>
      <c r="Z499" s="8" t="str">
        <f t="shared" si="121"/>
        <v>Pass</v>
      </c>
      <c r="AA499" s="8" t="str">
        <f t="shared" si="122"/>
        <v>Pass</v>
      </c>
      <c r="AB499" s="8" t="str">
        <f>TEXT(B499,"mmmm")</f>
        <v>August</v>
      </c>
      <c r="AC499" s="8" t="str">
        <f>TEXT(B499,"yyyy")</f>
        <v>2024</v>
      </c>
      <c r="AE499">
        <f t="shared" si="123"/>
        <v>3106.88</v>
      </c>
      <c r="AF499" s="11">
        <f t="shared" si="124"/>
        <v>2485.5040000000004</v>
      </c>
      <c r="AG499">
        <f t="shared" si="125"/>
        <v>1078.45</v>
      </c>
      <c r="AH499" s="11">
        <f t="shared" si="126"/>
        <v>0.34711672159851686</v>
      </c>
      <c r="AI499" s="9">
        <f t="shared" si="127"/>
        <v>0.34711672159851686</v>
      </c>
      <c r="AJ499">
        <f t="shared" si="128"/>
        <v>0</v>
      </c>
      <c r="AK499">
        <f t="shared" si="129"/>
        <v>0</v>
      </c>
      <c r="AL499">
        <f t="shared" si="130"/>
        <v>2485.5</v>
      </c>
      <c r="AM499">
        <f t="shared" si="131"/>
        <v>1</v>
      </c>
      <c r="AN499">
        <f t="shared" si="132"/>
        <v>0</v>
      </c>
      <c r="AO499">
        <f t="shared" si="133"/>
        <v>0</v>
      </c>
      <c r="AP499">
        <f t="shared" si="134"/>
        <v>0</v>
      </c>
      <c r="AQ499">
        <f t="shared" si="135"/>
        <v>0</v>
      </c>
    </row>
    <row r="500" spans="1:43">
      <c r="A500" t="s">
        <v>1593</v>
      </c>
      <c r="B500" s="5">
        <v>45907</v>
      </c>
      <c r="C500" s="5">
        <v>45939</v>
      </c>
      <c r="D500" s="13">
        <f t="shared" si="119"/>
        <v>32</v>
      </c>
      <c r="E500" t="s">
        <v>1594</v>
      </c>
      <c r="F500" t="s">
        <v>23</v>
      </c>
      <c r="G500" t="s">
        <v>24</v>
      </c>
      <c r="H500" t="s">
        <v>25</v>
      </c>
      <c r="I500" t="s">
        <v>122</v>
      </c>
      <c r="J500" t="s">
        <v>123</v>
      </c>
      <c r="K500" t="s">
        <v>41</v>
      </c>
      <c r="L500" t="s">
        <v>66</v>
      </c>
      <c r="M500" t="s">
        <v>1595</v>
      </c>
      <c r="N500" t="s">
        <v>44</v>
      </c>
      <c r="O500">
        <v>2</v>
      </c>
      <c r="P500">
        <v>447.55</v>
      </c>
      <c r="Q500" s="11">
        <v>0.05</v>
      </c>
      <c r="R500">
        <v>850.35</v>
      </c>
      <c r="S500">
        <v>600.98</v>
      </c>
      <c r="T500">
        <v>249.37</v>
      </c>
      <c r="U500" t="s">
        <v>102</v>
      </c>
      <c r="V500" t="s">
        <v>68</v>
      </c>
      <c r="X500" s="8" t="str">
        <f>IF(C500&gt;=B500,"Valid", "Invalid-Date")</f>
        <v>Valid</v>
      </c>
      <c r="Y500" s="8" t="str">
        <f t="shared" si="120"/>
        <v>Valid</v>
      </c>
      <c r="Z500" s="8" t="str">
        <f t="shared" si="121"/>
        <v>Pass</v>
      </c>
      <c r="AA500" s="8" t="str">
        <f t="shared" si="122"/>
        <v>Pass</v>
      </c>
      <c r="AB500" s="8" t="str">
        <f>TEXT(B500,"mmmm")</f>
        <v>September</v>
      </c>
      <c r="AC500" s="8" t="str">
        <f>TEXT(B500,"yyyy")</f>
        <v>2025</v>
      </c>
      <c r="AE500">
        <f t="shared" si="123"/>
        <v>895.1</v>
      </c>
      <c r="AF500" s="11">
        <f t="shared" si="124"/>
        <v>850.34500000000003</v>
      </c>
      <c r="AG500">
        <f t="shared" si="125"/>
        <v>294.12</v>
      </c>
      <c r="AH500" s="11">
        <f t="shared" si="126"/>
        <v>0.32858898447100882</v>
      </c>
      <c r="AI500" s="9">
        <f t="shared" si="127"/>
        <v>0.32858898447100882</v>
      </c>
      <c r="AJ500">
        <f t="shared" si="128"/>
        <v>0</v>
      </c>
      <c r="AK500">
        <f t="shared" si="129"/>
        <v>0</v>
      </c>
      <c r="AL500">
        <f t="shared" si="130"/>
        <v>850.35</v>
      </c>
      <c r="AM500">
        <f t="shared" si="131"/>
        <v>1</v>
      </c>
      <c r="AN500">
        <f t="shared" si="132"/>
        <v>0</v>
      </c>
      <c r="AO500">
        <f t="shared" si="133"/>
        <v>0</v>
      </c>
      <c r="AP500">
        <f t="shared" si="134"/>
        <v>0</v>
      </c>
      <c r="AQ500">
        <f t="shared" si="135"/>
        <v>0</v>
      </c>
    </row>
    <row r="501" spans="1:43">
      <c r="A501" t="s">
        <v>1596</v>
      </c>
      <c r="B501" s="5">
        <v>45648</v>
      </c>
      <c r="C501" s="5">
        <v>45652</v>
      </c>
      <c r="D501" s="13">
        <f t="shared" si="119"/>
        <v>4</v>
      </c>
      <c r="E501" t="s">
        <v>1597</v>
      </c>
      <c r="F501" t="s">
        <v>118</v>
      </c>
      <c r="G501" t="s">
        <v>95</v>
      </c>
      <c r="H501" t="s">
        <v>25</v>
      </c>
      <c r="I501" t="s">
        <v>136</v>
      </c>
      <c r="J501" t="s">
        <v>137</v>
      </c>
      <c r="K501" t="s">
        <v>41</v>
      </c>
      <c r="L501" t="s">
        <v>66</v>
      </c>
      <c r="M501" t="s">
        <v>1598</v>
      </c>
      <c r="N501" t="s">
        <v>59</v>
      </c>
      <c r="O501">
        <v>9</v>
      </c>
      <c r="P501">
        <v>1110.8699999999999</v>
      </c>
      <c r="Q501" s="11">
        <v>0</v>
      </c>
      <c r="R501">
        <v>7498.37</v>
      </c>
      <c r="S501">
        <v>6059.07</v>
      </c>
      <c r="T501">
        <v>1439.3</v>
      </c>
      <c r="U501" t="s">
        <v>32</v>
      </c>
      <c r="V501" t="s">
        <v>68</v>
      </c>
      <c r="X501" s="8" t="str">
        <f>IF(C501&gt;=B501,"Valid", "Invalid-Date")</f>
        <v>Valid</v>
      </c>
      <c r="Y501" s="8" t="str">
        <f t="shared" si="120"/>
        <v>Valid</v>
      </c>
      <c r="Z501" s="8" t="str">
        <f t="shared" si="121"/>
        <v>Pass</v>
      </c>
      <c r="AA501" s="8" t="str">
        <f t="shared" si="122"/>
        <v>Pass</v>
      </c>
      <c r="AB501" s="8" t="str">
        <f>TEXT(B501,"mmmm")</f>
        <v>December</v>
      </c>
      <c r="AC501" s="8" t="str">
        <f>TEXT(B501,"yyyy")</f>
        <v>2024</v>
      </c>
      <c r="AE501">
        <f t="shared" si="123"/>
        <v>9997.8299999999981</v>
      </c>
      <c r="AF501" s="11">
        <f t="shared" si="124"/>
        <v>9997.8299999999981</v>
      </c>
      <c r="AG501">
        <f t="shared" si="125"/>
        <v>3938.7599999999984</v>
      </c>
      <c r="AH501" s="11">
        <f t="shared" si="126"/>
        <v>0.3939614896432525</v>
      </c>
      <c r="AI501" s="9">
        <f t="shared" si="127"/>
        <v>0.3939614896432525</v>
      </c>
      <c r="AJ501">
        <f t="shared" si="128"/>
        <v>0</v>
      </c>
      <c r="AK501">
        <f t="shared" si="129"/>
        <v>0</v>
      </c>
      <c r="AL501">
        <f t="shared" si="130"/>
        <v>7498.37</v>
      </c>
      <c r="AM501">
        <f t="shared" si="131"/>
        <v>1</v>
      </c>
      <c r="AN501">
        <f t="shared" si="132"/>
        <v>0</v>
      </c>
      <c r="AO501">
        <f t="shared" si="133"/>
        <v>0</v>
      </c>
      <c r="AP501">
        <f t="shared" si="134"/>
        <v>0</v>
      </c>
      <c r="AQ501">
        <f t="shared" si="135"/>
        <v>0</v>
      </c>
    </row>
    <row r="502" spans="1:43">
      <c r="A502" t="s">
        <v>1599</v>
      </c>
      <c r="B502" s="5">
        <v>45429</v>
      </c>
      <c r="C502" s="5">
        <v>45434</v>
      </c>
      <c r="D502" s="13">
        <f t="shared" si="119"/>
        <v>5</v>
      </c>
      <c r="E502" t="s">
        <v>1600</v>
      </c>
      <c r="F502" t="s">
        <v>132</v>
      </c>
      <c r="G502" t="s">
        <v>24</v>
      </c>
      <c r="H502" t="s">
        <v>54</v>
      </c>
      <c r="I502" t="s">
        <v>185</v>
      </c>
      <c r="J502" t="s">
        <v>186</v>
      </c>
      <c r="K502" t="s">
        <v>74</v>
      </c>
      <c r="L502" t="s">
        <v>171</v>
      </c>
      <c r="M502" t="s">
        <v>1601</v>
      </c>
      <c r="N502" t="s">
        <v>44</v>
      </c>
      <c r="O502">
        <v>9</v>
      </c>
      <c r="P502">
        <v>3795.99</v>
      </c>
      <c r="Q502" s="11">
        <v>0.85</v>
      </c>
      <c r="R502">
        <v>34163.910000000003</v>
      </c>
      <c r="S502">
        <v>28577.15</v>
      </c>
      <c r="T502">
        <v>5586.76</v>
      </c>
      <c r="U502" t="s">
        <v>32</v>
      </c>
      <c r="V502" t="s">
        <v>33</v>
      </c>
      <c r="X502" s="8" t="str">
        <f>IF(C502&gt;=B502,"Valid", "Invalid-Date")</f>
        <v>Valid</v>
      </c>
      <c r="Y502" s="8" t="str">
        <f t="shared" si="120"/>
        <v>Invalid-Discount</v>
      </c>
      <c r="Z502" s="8" t="str">
        <f t="shared" si="121"/>
        <v>Pass</v>
      </c>
      <c r="AA502" s="8" t="str">
        <f t="shared" si="122"/>
        <v>Pass</v>
      </c>
      <c r="AB502" s="8" t="str">
        <f>TEXT(B502,"mmmm")</f>
        <v>May</v>
      </c>
      <c r="AC502" s="8" t="str">
        <f>TEXT(B502,"yyyy")</f>
        <v>2024</v>
      </c>
      <c r="AE502">
        <f t="shared" si="123"/>
        <v>34163.909999999996</v>
      </c>
      <c r="AF502" s="11">
        <f t="shared" si="124"/>
        <v>5124.5865000000003</v>
      </c>
      <c r="AG502">
        <f t="shared" si="125"/>
        <v>5586.7599999999948</v>
      </c>
      <c r="AH502" s="11">
        <f t="shared" si="126"/>
        <v>0.1635281207566697</v>
      </c>
      <c r="AI502" s="9">
        <f t="shared" si="127"/>
        <v>0.1635281207566697</v>
      </c>
      <c r="AJ502">
        <f t="shared" si="128"/>
        <v>34163.910000000003</v>
      </c>
      <c r="AK502">
        <f t="shared" si="129"/>
        <v>1</v>
      </c>
      <c r="AL502">
        <f t="shared" si="130"/>
        <v>0</v>
      </c>
      <c r="AM502">
        <f t="shared" si="131"/>
        <v>0</v>
      </c>
      <c r="AN502">
        <f t="shared" si="132"/>
        <v>0</v>
      </c>
      <c r="AO502">
        <f t="shared" si="133"/>
        <v>0</v>
      </c>
      <c r="AP502">
        <f t="shared" si="134"/>
        <v>0</v>
      </c>
      <c r="AQ502">
        <f t="shared" si="135"/>
        <v>0</v>
      </c>
    </row>
    <row r="503" spans="1:43">
      <c r="A503" t="s">
        <v>1602</v>
      </c>
      <c r="B503" s="5">
        <v>45515</v>
      </c>
      <c r="C503" s="5">
        <v>45521</v>
      </c>
      <c r="D503" s="13">
        <f t="shared" si="119"/>
        <v>6</v>
      </c>
      <c r="E503" t="s">
        <v>807</v>
      </c>
      <c r="F503" t="s">
        <v>79</v>
      </c>
      <c r="G503" t="s">
        <v>24</v>
      </c>
      <c r="H503" t="s">
        <v>38</v>
      </c>
      <c r="I503" t="s">
        <v>228</v>
      </c>
      <c r="J503" t="s">
        <v>229</v>
      </c>
      <c r="K503" t="s">
        <v>28</v>
      </c>
      <c r="L503" t="s">
        <v>48</v>
      </c>
      <c r="M503" t="s">
        <v>1603</v>
      </c>
      <c r="N503" t="s">
        <v>31</v>
      </c>
      <c r="O503">
        <v>6</v>
      </c>
      <c r="P503">
        <v>3497.54</v>
      </c>
      <c r="Q503" s="11">
        <v>0.15</v>
      </c>
      <c r="R503">
        <v>17837.45</v>
      </c>
      <c r="S503">
        <v>13627.02</v>
      </c>
      <c r="T503">
        <v>4210.43</v>
      </c>
      <c r="U503" t="s">
        <v>32</v>
      </c>
      <c r="V503" t="s">
        <v>33</v>
      </c>
      <c r="X503" s="8" t="str">
        <f>IF(C503&gt;=B503,"Valid", "Invalid-Date")</f>
        <v>Valid</v>
      </c>
      <c r="Y503" s="8" t="str">
        <f t="shared" si="120"/>
        <v>Valid</v>
      </c>
      <c r="Z503" s="8" t="str">
        <f t="shared" si="121"/>
        <v>Pass</v>
      </c>
      <c r="AA503" s="8" t="str">
        <f t="shared" si="122"/>
        <v>Pass</v>
      </c>
      <c r="AB503" s="8" t="str">
        <f>TEXT(B503,"mmmm")</f>
        <v>August</v>
      </c>
      <c r="AC503" s="8" t="str">
        <f>TEXT(B503,"yyyy")</f>
        <v>2024</v>
      </c>
      <c r="AE503">
        <f t="shared" si="123"/>
        <v>20985.239999999998</v>
      </c>
      <c r="AF503" s="11">
        <f t="shared" si="124"/>
        <v>17837.453999999998</v>
      </c>
      <c r="AG503">
        <f t="shared" si="125"/>
        <v>7358.2199999999975</v>
      </c>
      <c r="AH503" s="11">
        <f t="shared" si="126"/>
        <v>0.35063787690776937</v>
      </c>
      <c r="AI503" s="9">
        <f t="shared" si="127"/>
        <v>0.35063787690776937</v>
      </c>
      <c r="AJ503">
        <f t="shared" si="128"/>
        <v>17837.45</v>
      </c>
      <c r="AK503">
        <f t="shared" si="129"/>
        <v>1</v>
      </c>
      <c r="AL503">
        <f t="shared" si="130"/>
        <v>0</v>
      </c>
      <c r="AM503">
        <f t="shared" si="131"/>
        <v>0</v>
      </c>
      <c r="AN503">
        <f t="shared" si="132"/>
        <v>0</v>
      </c>
      <c r="AO503">
        <f t="shared" si="133"/>
        <v>0</v>
      </c>
      <c r="AP503">
        <f t="shared" si="134"/>
        <v>0</v>
      </c>
      <c r="AQ503">
        <f t="shared" si="135"/>
        <v>0</v>
      </c>
    </row>
    <row r="504" spans="1:43" s="15" customFormat="1">
      <c r="A504" s="15" t="s">
        <v>1604</v>
      </c>
      <c r="B504" s="16">
        <v>45295</v>
      </c>
      <c r="C504" s="16">
        <v>45539</v>
      </c>
      <c r="D504" s="17">
        <f t="shared" si="119"/>
        <v>244</v>
      </c>
      <c r="E504" s="15" t="s">
        <v>1605</v>
      </c>
      <c r="F504" s="15" t="s">
        <v>114</v>
      </c>
      <c r="G504" s="15" t="s">
        <v>37</v>
      </c>
      <c r="H504" s="15" t="s">
        <v>38</v>
      </c>
      <c r="I504" s="15" t="s">
        <v>39</v>
      </c>
      <c r="J504" s="15" t="s">
        <v>40</v>
      </c>
      <c r="K504" s="15" t="s">
        <v>74</v>
      </c>
      <c r="L504" s="15" t="s">
        <v>80</v>
      </c>
      <c r="M504" s="15" t="s">
        <v>1606</v>
      </c>
      <c r="N504" s="15" t="s">
        <v>31</v>
      </c>
      <c r="O504" s="15">
        <v>6</v>
      </c>
      <c r="P504" s="15">
        <v>826.93</v>
      </c>
      <c r="Q504" s="18">
        <v>0.1</v>
      </c>
      <c r="R504" s="15">
        <v>4465.42</v>
      </c>
      <c r="S504" s="15">
        <v>3377.1</v>
      </c>
      <c r="T504" s="15">
        <v>1088.32</v>
      </c>
      <c r="U504" s="15" t="s">
        <v>32</v>
      </c>
      <c r="V504" s="15" t="s">
        <v>33</v>
      </c>
      <c r="W504" s="25"/>
      <c r="X504" s="8" t="str">
        <f>IF(C504&gt;=B504,"Valid", "Invalid-Date")</f>
        <v>Valid</v>
      </c>
      <c r="Y504" s="8" t="str">
        <f t="shared" si="120"/>
        <v>Valid</v>
      </c>
      <c r="Z504" s="19" t="str">
        <f t="shared" si="121"/>
        <v>Pass</v>
      </c>
      <c r="AA504" s="19" t="str">
        <f t="shared" si="122"/>
        <v>Pass</v>
      </c>
      <c r="AB504" s="19" t="str">
        <f>TEXT(B504,"mmmm")</f>
        <v>January</v>
      </c>
      <c r="AC504" s="19" t="str">
        <f>TEXT(B504,"yyyy")</f>
        <v>2024</v>
      </c>
      <c r="AD504" s="20"/>
      <c r="AE504" s="15">
        <f t="shared" si="123"/>
        <v>4961.58</v>
      </c>
      <c r="AF504" s="11">
        <f t="shared" si="124"/>
        <v>4465.4220000000005</v>
      </c>
      <c r="AG504" s="15">
        <f t="shared" si="125"/>
        <v>1584.48</v>
      </c>
      <c r="AH504" s="18">
        <f t="shared" si="126"/>
        <v>0.31934988451259477</v>
      </c>
      <c r="AI504" s="21">
        <f t="shared" si="127"/>
        <v>0.31934988451259477</v>
      </c>
      <c r="AJ504">
        <f t="shared" si="128"/>
        <v>4465.42</v>
      </c>
      <c r="AK504">
        <f t="shared" si="129"/>
        <v>1</v>
      </c>
      <c r="AL504">
        <f t="shared" si="130"/>
        <v>0</v>
      </c>
      <c r="AM504">
        <f t="shared" si="131"/>
        <v>0</v>
      </c>
      <c r="AN504">
        <f t="shared" si="132"/>
        <v>0</v>
      </c>
      <c r="AO504">
        <f t="shared" si="133"/>
        <v>0</v>
      </c>
      <c r="AP504">
        <f t="shared" si="134"/>
        <v>0</v>
      </c>
      <c r="AQ504">
        <f t="shared" si="135"/>
        <v>0</v>
      </c>
    </row>
    <row r="505" spans="1:43">
      <c r="A505" t="s">
        <v>1607</v>
      </c>
      <c r="B505" s="5">
        <v>45563</v>
      </c>
      <c r="C505" s="5">
        <v>45422</v>
      </c>
      <c r="D505" s="13">
        <f t="shared" si="119"/>
        <v>-141</v>
      </c>
      <c r="E505" t="s">
        <v>1608</v>
      </c>
      <c r="F505" t="s">
        <v>128</v>
      </c>
      <c r="G505" t="s">
        <v>24</v>
      </c>
      <c r="H505" t="s">
        <v>54</v>
      </c>
      <c r="I505" t="s">
        <v>247</v>
      </c>
      <c r="J505" t="s">
        <v>248</v>
      </c>
      <c r="K505" t="s">
        <v>74</v>
      </c>
      <c r="L505" t="s">
        <v>171</v>
      </c>
      <c r="M505" t="s">
        <v>1609</v>
      </c>
      <c r="N505" t="s">
        <v>59</v>
      </c>
      <c r="O505">
        <v>7</v>
      </c>
      <c r="P505">
        <v>1681.6</v>
      </c>
      <c r="Q505" s="11">
        <v>0.1</v>
      </c>
      <c r="R505">
        <v>10594.08</v>
      </c>
      <c r="S505">
        <v>7160.31</v>
      </c>
      <c r="T505">
        <v>3433.77</v>
      </c>
      <c r="U505" t="s">
        <v>32</v>
      </c>
      <c r="V505" t="s">
        <v>33</v>
      </c>
      <c r="X505" s="8" t="str">
        <f>IF(C505&gt;=B505,"Valid", "Invalid-Date")</f>
        <v>Invalid-Date</v>
      </c>
      <c r="Y505" s="8" t="str">
        <f t="shared" si="120"/>
        <v>Valid</v>
      </c>
      <c r="Z505" s="8" t="str">
        <f t="shared" si="121"/>
        <v>Pass</v>
      </c>
      <c r="AA505" s="8" t="str">
        <f t="shared" si="122"/>
        <v>Pass</v>
      </c>
      <c r="AB505" s="8" t="str">
        <f>TEXT(B505,"mmmm")</f>
        <v>September</v>
      </c>
      <c r="AC505" s="8" t="str">
        <f>TEXT(B505,"yyyy")</f>
        <v>2024</v>
      </c>
      <c r="AE505">
        <f t="shared" si="123"/>
        <v>11771.199999999999</v>
      </c>
      <c r="AF505" s="11">
        <f t="shared" si="124"/>
        <v>10594.08</v>
      </c>
      <c r="AG505">
        <f t="shared" si="125"/>
        <v>4610.8899999999985</v>
      </c>
      <c r="AH505" s="11">
        <f t="shared" si="126"/>
        <v>0.39170942639662898</v>
      </c>
      <c r="AI505" s="9">
        <f t="shared" si="127"/>
        <v>0.39170942639662898</v>
      </c>
      <c r="AJ505">
        <f t="shared" si="128"/>
        <v>10594.08</v>
      </c>
      <c r="AK505">
        <f t="shared" si="129"/>
        <v>1</v>
      </c>
      <c r="AL505">
        <f t="shared" si="130"/>
        <v>0</v>
      </c>
      <c r="AM505">
        <f t="shared" si="131"/>
        <v>0</v>
      </c>
      <c r="AN505">
        <f t="shared" si="132"/>
        <v>0</v>
      </c>
      <c r="AO505">
        <f t="shared" si="133"/>
        <v>0</v>
      </c>
      <c r="AP505">
        <f t="shared" si="134"/>
        <v>0</v>
      </c>
      <c r="AQ505">
        <f t="shared" si="135"/>
        <v>0</v>
      </c>
    </row>
    <row r="506" spans="1:43">
      <c r="A506" t="s">
        <v>1610</v>
      </c>
      <c r="B506" s="5">
        <v>45700</v>
      </c>
      <c r="C506" s="5">
        <v>45705</v>
      </c>
      <c r="D506" s="13">
        <f t="shared" si="119"/>
        <v>5</v>
      </c>
      <c r="E506" t="s">
        <v>1611</v>
      </c>
      <c r="F506" t="s">
        <v>53</v>
      </c>
      <c r="G506" t="s">
        <v>90</v>
      </c>
      <c r="H506" t="s">
        <v>63</v>
      </c>
      <c r="I506" t="s">
        <v>180</v>
      </c>
      <c r="J506" t="s">
        <v>181</v>
      </c>
      <c r="K506" t="s">
        <v>28</v>
      </c>
      <c r="L506" t="s">
        <v>48</v>
      </c>
      <c r="M506" t="s">
        <v>1612</v>
      </c>
      <c r="N506" t="s">
        <v>59</v>
      </c>
      <c r="O506">
        <v>4</v>
      </c>
      <c r="P506">
        <v>4328.12</v>
      </c>
      <c r="Q506" s="11">
        <v>0</v>
      </c>
      <c r="R506">
        <v>17312.48</v>
      </c>
      <c r="S506">
        <v>14424.22</v>
      </c>
      <c r="T506">
        <v>2888.26</v>
      </c>
      <c r="U506" t="s">
        <v>32</v>
      </c>
      <c r="V506" t="s">
        <v>33</v>
      </c>
      <c r="X506" s="8" t="str">
        <f>IF(C506&gt;=B506,"Valid", "Invalid-Date")</f>
        <v>Valid</v>
      </c>
      <c r="Y506" s="8" t="str">
        <f t="shared" si="120"/>
        <v>Valid</v>
      </c>
      <c r="Z506" s="8" t="str">
        <f t="shared" si="121"/>
        <v>Pass</v>
      </c>
      <c r="AA506" s="8" t="str">
        <f t="shared" si="122"/>
        <v>Pass</v>
      </c>
      <c r="AB506" s="8" t="str">
        <f>TEXT(B506,"mmmm")</f>
        <v>February</v>
      </c>
      <c r="AC506" s="8" t="str">
        <f>TEXT(B506,"yyyy")</f>
        <v>2025</v>
      </c>
      <c r="AE506">
        <f t="shared" si="123"/>
        <v>17312.48</v>
      </c>
      <c r="AF506" s="11">
        <f t="shared" si="124"/>
        <v>17312.48</v>
      </c>
      <c r="AG506">
        <f t="shared" si="125"/>
        <v>2888.26</v>
      </c>
      <c r="AH506" s="11">
        <f t="shared" si="126"/>
        <v>0.16683109525613893</v>
      </c>
      <c r="AI506" s="9">
        <f t="shared" si="127"/>
        <v>0.16683109525613893</v>
      </c>
      <c r="AJ506">
        <f t="shared" si="128"/>
        <v>17312.48</v>
      </c>
      <c r="AK506">
        <f t="shared" si="129"/>
        <v>1</v>
      </c>
      <c r="AL506">
        <f t="shared" si="130"/>
        <v>0</v>
      </c>
      <c r="AM506">
        <f t="shared" si="131"/>
        <v>0</v>
      </c>
      <c r="AN506">
        <f t="shared" si="132"/>
        <v>0</v>
      </c>
      <c r="AO506">
        <f t="shared" si="133"/>
        <v>0</v>
      </c>
      <c r="AP506">
        <f t="shared" si="134"/>
        <v>0</v>
      </c>
      <c r="AQ506">
        <f t="shared" si="135"/>
        <v>0</v>
      </c>
    </row>
    <row r="507" spans="1:43">
      <c r="A507" t="s">
        <v>1613</v>
      </c>
      <c r="B507" s="5">
        <v>45605</v>
      </c>
      <c r="C507" s="5">
        <v>45610</v>
      </c>
      <c r="D507" s="13">
        <f t="shared" si="119"/>
        <v>5</v>
      </c>
      <c r="E507" t="s">
        <v>1614</v>
      </c>
      <c r="F507" t="s">
        <v>79</v>
      </c>
      <c r="G507" t="s">
        <v>90</v>
      </c>
      <c r="H507" t="s">
        <v>63</v>
      </c>
      <c r="I507" t="s">
        <v>72</v>
      </c>
      <c r="J507" t="s">
        <v>73</v>
      </c>
      <c r="K507" t="s">
        <v>28</v>
      </c>
      <c r="L507" t="s">
        <v>48</v>
      </c>
      <c r="M507" t="s">
        <v>1615</v>
      </c>
      <c r="N507" t="s">
        <v>50</v>
      </c>
      <c r="O507">
        <v>9</v>
      </c>
      <c r="P507">
        <v>2438.29</v>
      </c>
      <c r="Q507" s="11">
        <v>0.2</v>
      </c>
      <c r="R507">
        <v>17555.689999999999</v>
      </c>
      <c r="S507">
        <v>13293.2</v>
      </c>
      <c r="T507">
        <v>4262.49</v>
      </c>
      <c r="U507" t="s">
        <v>32</v>
      </c>
      <c r="V507" t="s">
        <v>68</v>
      </c>
      <c r="X507" s="8" t="str">
        <f>IF(C507&gt;=B507,"Valid", "Invalid-Date")</f>
        <v>Valid</v>
      </c>
      <c r="Y507" s="8" t="str">
        <f t="shared" si="120"/>
        <v>Valid</v>
      </c>
      <c r="Z507" s="8" t="str">
        <f t="shared" si="121"/>
        <v>Pass</v>
      </c>
      <c r="AA507" s="8" t="str">
        <f t="shared" si="122"/>
        <v>Pass</v>
      </c>
      <c r="AB507" s="8" t="str">
        <f>TEXT(B507,"mmmm")</f>
        <v>November</v>
      </c>
      <c r="AC507" s="8" t="str">
        <f>TEXT(B507,"yyyy")</f>
        <v>2024</v>
      </c>
      <c r="AE507">
        <f t="shared" si="123"/>
        <v>21944.61</v>
      </c>
      <c r="AF507" s="11">
        <f t="shared" si="124"/>
        <v>17555.688000000002</v>
      </c>
      <c r="AG507">
        <f t="shared" si="125"/>
        <v>8651.41</v>
      </c>
      <c r="AH507" s="11">
        <f t="shared" si="126"/>
        <v>0.39423849409946221</v>
      </c>
      <c r="AI507" s="9">
        <f t="shared" si="127"/>
        <v>0.39423849409946221</v>
      </c>
      <c r="AJ507">
        <f t="shared" si="128"/>
        <v>0</v>
      </c>
      <c r="AK507">
        <f t="shared" si="129"/>
        <v>0</v>
      </c>
      <c r="AL507">
        <f t="shared" si="130"/>
        <v>17555.689999999999</v>
      </c>
      <c r="AM507">
        <f t="shared" si="131"/>
        <v>1</v>
      </c>
      <c r="AN507">
        <f t="shared" si="132"/>
        <v>0</v>
      </c>
      <c r="AO507">
        <f t="shared" si="133"/>
        <v>0</v>
      </c>
      <c r="AP507">
        <f t="shared" si="134"/>
        <v>0</v>
      </c>
      <c r="AQ507">
        <f t="shared" si="135"/>
        <v>0</v>
      </c>
    </row>
    <row r="508" spans="1:43">
      <c r="A508" t="s">
        <v>1616</v>
      </c>
      <c r="B508" s="5">
        <v>45641</v>
      </c>
      <c r="C508" s="5">
        <v>45641</v>
      </c>
      <c r="D508" s="13">
        <f t="shared" si="119"/>
        <v>0</v>
      </c>
      <c r="E508" t="s">
        <v>1617</v>
      </c>
      <c r="F508" t="s">
        <v>128</v>
      </c>
      <c r="G508" t="s">
        <v>37</v>
      </c>
      <c r="H508" t="s">
        <v>25</v>
      </c>
      <c r="I508" t="s">
        <v>122</v>
      </c>
      <c r="J508" t="s">
        <v>123</v>
      </c>
      <c r="K508" t="s">
        <v>41</v>
      </c>
      <c r="L508" t="s">
        <v>57</v>
      </c>
      <c r="M508" t="s">
        <v>1618</v>
      </c>
      <c r="N508" t="s">
        <v>50</v>
      </c>
      <c r="O508">
        <v>2</v>
      </c>
      <c r="P508">
        <v>669.8</v>
      </c>
      <c r="Q508" s="11">
        <v>0.1</v>
      </c>
      <c r="R508">
        <v>1205.6400000000001</v>
      </c>
      <c r="S508">
        <v>842.07</v>
      </c>
      <c r="T508">
        <v>363.57</v>
      </c>
      <c r="U508" t="s">
        <v>102</v>
      </c>
      <c r="V508" t="s">
        <v>103</v>
      </c>
      <c r="X508" s="8" t="str">
        <f>IF(C508&gt;=B508,"Valid", "Invalid-Date")</f>
        <v>Valid</v>
      </c>
      <c r="Y508" s="8" t="str">
        <f t="shared" si="120"/>
        <v>Valid</v>
      </c>
      <c r="Z508" s="8" t="str">
        <f t="shared" si="121"/>
        <v>Pass</v>
      </c>
      <c r="AA508" s="8" t="str">
        <f t="shared" si="122"/>
        <v>Pass</v>
      </c>
      <c r="AB508" s="8" t="str">
        <f>TEXT(B508,"mmmm")</f>
        <v>December</v>
      </c>
      <c r="AC508" s="8" t="str">
        <f>TEXT(B508,"yyyy")</f>
        <v>2024</v>
      </c>
      <c r="AE508">
        <f t="shared" si="123"/>
        <v>1339.6</v>
      </c>
      <c r="AF508" s="11">
        <f t="shared" si="124"/>
        <v>1205.6399999999999</v>
      </c>
      <c r="AG508">
        <f t="shared" si="125"/>
        <v>497.52999999999986</v>
      </c>
      <c r="AH508" s="11">
        <f t="shared" si="126"/>
        <v>0.37140191101821429</v>
      </c>
      <c r="AI508" s="9">
        <f t="shared" si="127"/>
        <v>0.37140191101821429</v>
      </c>
      <c r="AJ508">
        <f t="shared" si="128"/>
        <v>0</v>
      </c>
      <c r="AK508">
        <f t="shared" si="129"/>
        <v>0</v>
      </c>
      <c r="AL508">
        <f t="shared" si="130"/>
        <v>0</v>
      </c>
      <c r="AM508">
        <f t="shared" si="131"/>
        <v>0</v>
      </c>
      <c r="AN508">
        <f t="shared" si="132"/>
        <v>0</v>
      </c>
      <c r="AO508">
        <f t="shared" si="133"/>
        <v>0</v>
      </c>
      <c r="AP508">
        <f t="shared" si="134"/>
        <v>1205.6400000000001</v>
      </c>
      <c r="AQ508">
        <f t="shared" si="135"/>
        <v>1</v>
      </c>
    </row>
    <row r="509" spans="1:43">
      <c r="A509" t="s">
        <v>1619</v>
      </c>
      <c r="B509" s="5">
        <v>45762</v>
      </c>
      <c r="C509" s="5">
        <v>45769</v>
      </c>
      <c r="D509" s="13">
        <f t="shared" si="119"/>
        <v>7</v>
      </c>
      <c r="E509" t="s">
        <v>1620</v>
      </c>
      <c r="F509" t="s">
        <v>47</v>
      </c>
      <c r="G509" t="s">
        <v>37</v>
      </c>
      <c r="H509" t="s">
        <v>25</v>
      </c>
      <c r="I509" t="s">
        <v>236</v>
      </c>
      <c r="J509" t="s">
        <v>237</v>
      </c>
      <c r="K509" t="s">
        <v>28</v>
      </c>
      <c r="L509" t="s">
        <v>153</v>
      </c>
      <c r="M509" t="s">
        <v>1621</v>
      </c>
      <c r="N509" t="s">
        <v>44</v>
      </c>
      <c r="O509">
        <v>4</v>
      </c>
      <c r="P509">
        <v>2990.42</v>
      </c>
      <c r="Q509" s="11">
        <v>0.25</v>
      </c>
      <c r="R509">
        <v>8971.26</v>
      </c>
      <c r="S509">
        <v>6814.35</v>
      </c>
      <c r="T509">
        <v>2156.91</v>
      </c>
      <c r="U509" t="s">
        <v>32</v>
      </c>
      <c r="V509" t="s">
        <v>33</v>
      </c>
      <c r="X509" s="8" t="str">
        <f>IF(C509&gt;=B509,"Valid", "Invalid-Date")</f>
        <v>Valid</v>
      </c>
      <c r="Y509" s="8" t="str">
        <f t="shared" si="120"/>
        <v>Valid</v>
      </c>
      <c r="Z509" s="8" t="str">
        <f t="shared" si="121"/>
        <v>Pass</v>
      </c>
      <c r="AA509" s="8" t="str">
        <f t="shared" si="122"/>
        <v>Pass</v>
      </c>
      <c r="AB509" s="8" t="str">
        <f>TEXT(B509,"mmmm")</f>
        <v>April</v>
      </c>
      <c r="AC509" s="8" t="str">
        <f>TEXT(B509,"yyyy")</f>
        <v>2025</v>
      </c>
      <c r="AE509">
        <f t="shared" si="123"/>
        <v>11961.68</v>
      </c>
      <c r="AF509" s="11">
        <f t="shared" si="124"/>
        <v>8971.26</v>
      </c>
      <c r="AG509">
        <f t="shared" si="125"/>
        <v>5147.33</v>
      </c>
      <c r="AH509" s="11">
        <f t="shared" si="126"/>
        <v>0.43031831649066016</v>
      </c>
      <c r="AI509" s="9">
        <f t="shared" si="127"/>
        <v>0.43031831649066016</v>
      </c>
      <c r="AJ509">
        <f t="shared" si="128"/>
        <v>8971.26</v>
      </c>
      <c r="AK509">
        <f t="shared" si="129"/>
        <v>1</v>
      </c>
      <c r="AL509">
        <f t="shared" si="130"/>
        <v>0</v>
      </c>
      <c r="AM509">
        <f t="shared" si="131"/>
        <v>0</v>
      </c>
      <c r="AN509">
        <f t="shared" si="132"/>
        <v>0</v>
      </c>
      <c r="AO509">
        <f t="shared" si="133"/>
        <v>0</v>
      </c>
      <c r="AP509">
        <f t="shared" si="134"/>
        <v>0</v>
      </c>
      <c r="AQ509">
        <f t="shared" si="135"/>
        <v>0</v>
      </c>
    </row>
    <row r="510" spans="1:43">
      <c r="A510" t="s">
        <v>1622</v>
      </c>
      <c r="B510" s="5">
        <v>45382</v>
      </c>
      <c r="C510" s="5">
        <v>45389</v>
      </c>
      <c r="D510" s="13">
        <f t="shared" si="119"/>
        <v>7</v>
      </c>
      <c r="E510" t="s">
        <v>1623</v>
      </c>
      <c r="F510" t="s">
        <v>47</v>
      </c>
      <c r="G510" t="s">
        <v>37</v>
      </c>
      <c r="H510" t="s">
        <v>25</v>
      </c>
      <c r="I510" t="s">
        <v>236</v>
      </c>
      <c r="J510" t="s">
        <v>237</v>
      </c>
      <c r="K510" t="s">
        <v>74</v>
      </c>
      <c r="L510" t="s">
        <v>274</v>
      </c>
      <c r="M510" t="s">
        <v>1624</v>
      </c>
      <c r="N510" t="s">
        <v>31</v>
      </c>
      <c r="O510">
        <v>4</v>
      </c>
      <c r="P510">
        <v>1831</v>
      </c>
      <c r="Q510" s="11">
        <v>0</v>
      </c>
      <c r="R510">
        <v>7324</v>
      </c>
      <c r="S510">
        <v>4179.63</v>
      </c>
      <c r="T510">
        <v>3144.37</v>
      </c>
      <c r="U510" t="s">
        <v>32</v>
      </c>
      <c r="V510" t="s">
        <v>33</v>
      </c>
      <c r="X510" s="8" t="str">
        <f>IF(C510&gt;=B510,"Valid", "Invalid-Date")</f>
        <v>Valid</v>
      </c>
      <c r="Y510" s="8" t="str">
        <f t="shared" si="120"/>
        <v>Valid</v>
      </c>
      <c r="Z510" s="8" t="str">
        <f t="shared" si="121"/>
        <v>Pass</v>
      </c>
      <c r="AA510" s="8" t="str">
        <f t="shared" si="122"/>
        <v>Pass</v>
      </c>
      <c r="AB510" s="8" t="str">
        <f>TEXT(B510,"mmmm")</f>
        <v>March</v>
      </c>
      <c r="AC510" s="8" t="str">
        <f>TEXT(B510,"yyyy")</f>
        <v>2024</v>
      </c>
      <c r="AE510">
        <f t="shared" si="123"/>
        <v>7324</v>
      </c>
      <c r="AF510" s="11">
        <f t="shared" si="124"/>
        <v>7324</v>
      </c>
      <c r="AG510">
        <f t="shared" si="125"/>
        <v>3144.37</v>
      </c>
      <c r="AH510" s="11">
        <f t="shared" si="126"/>
        <v>0.42932413981430911</v>
      </c>
      <c r="AI510" s="9">
        <f t="shared" si="127"/>
        <v>0.42932413981430911</v>
      </c>
      <c r="AJ510">
        <f t="shared" si="128"/>
        <v>7324</v>
      </c>
      <c r="AK510">
        <f t="shared" si="129"/>
        <v>1</v>
      </c>
      <c r="AL510">
        <f t="shared" si="130"/>
        <v>0</v>
      </c>
      <c r="AM510">
        <f t="shared" si="131"/>
        <v>0</v>
      </c>
      <c r="AN510">
        <f t="shared" si="132"/>
        <v>0</v>
      </c>
      <c r="AO510">
        <f t="shared" si="133"/>
        <v>0</v>
      </c>
      <c r="AP510">
        <f t="shared" si="134"/>
        <v>0</v>
      </c>
      <c r="AQ510">
        <f t="shared" si="135"/>
        <v>0</v>
      </c>
    </row>
    <row r="511" spans="1:43">
      <c r="A511" t="s">
        <v>1625</v>
      </c>
      <c r="B511" s="5">
        <v>45789</v>
      </c>
      <c r="C511" s="5">
        <v>45791</v>
      </c>
      <c r="D511" s="13">
        <f t="shared" si="119"/>
        <v>2</v>
      </c>
      <c r="E511" t="s">
        <v>1626</v>
      </c>
      <c r="F511" t="s">
        <v>79</v>
      </c>
      <c r="G511" t="s">
        <v>24</v>
      </c>
      <c r="H511" t="s">
        <v>63</v>
      </c>
      <c r="I511" t="s">
        <v>180</v>
      </c>
      <c r="J511" t="s">
        <v>181</v>
      </c>
      <c r="K511" t="s">
        <v>74</v>
      </c>
      <c r="L511" t="s">
        <v>274</v>
      </c>
      <c r="M511" t="s">
        <v>1627</v>
      </c>
      <c r="N511" t="s">
        <v>44</v>
      </c>
      <c r="O511">
        <v>8</v>
      </c>
      <c r="P511">
        <v>3631.44</v>
      </c>
      <c r="Q511" s="11">
        <v>0.2</v>
      </c>
      <c r="R511">
        <v>23241.22</v>
      </c>
      <c r="S511">
        <v>17220.900000000001</v>
      </c>
      <c r="T511">
        <v>6020.32</v>
      </c>
      <c r="U511" t="s">
        <v>32</v>
      </c>
      <c r="V511" t="s">
        <v>33</v>
      </c>
      <c r="X511" s="8" t="str">
        <f>IF(C511&gt;=B511,"Valid", "Invalid-Date")</f>
        <v>Valid</v>
      </c>
      <c r="Y511" s="8" t="str">
        <f t="shared" si="120"/>
        <v>Valid</v>
      </c>
      <c r="Z511" s="8" t="str">
        <f t="shared" si="121"/>
        <v>Pass</v>
      </c>
      <c r="AA511" s="8" t="str">
        <f t="shared" si="122"/>
        <v>Pass</v>
      </c>
      <c r="AB511" s="8" t="str">
        <f>TEXT(B511,"mmmm")</f>
        <v>May</v>
      </c>
      <c r="AC511" s="8" t="str">
        <f>TEXT(B511,"yyyy")</f>
        <v>2025</v>
      </c>
      <c r="AE511">
        <f t="shared" si="123"/>
        <v>29051.52</v>
      </c>
      <c r="AF511" s="11">
        <f t="shared" si="124"/>
        <v>23241.216</v>
      </c>
      <c r="AG511">
        <f t="shared" si="125"/>
        <v>11830.619999999999</v>
      </c>
      <c r="AH511" s="11">
        <f t="shared" si="126"/>
        <v>0.40722895049897556</v>
      </c>
      <c r="AI511" s="9">
        <f t="shared" si="127"/>
        <v>0.40722895049897556</v>
      </c>
      <c r="AJ511">
        <f t="shared" si="128"/>
        <v>23241.22</v>
      </c>
      <c r="AK511">
        <f t="shared" si="129"/>
        <v>1</v>
      </c>
      <c r="AL511">
        <f t="shared" si="130"/>
        <v>0</v>
      </c>
      <c r="AM511">
        <f t="shared" si="131"/>
        <v>0</v>
      </c>
      <c r="AN511">
        <f t="shared" si="132"/>
        <v>0</v>
      </c>
      <c r="AO511">
        <f t="shared" si="133"/>
        <v>0</v>
      </c>
      <c r="AP511">
        <f t="shared" si="134"/>
        <v>0</v>
      </c>
      <c r="AQ511">
        <f t="shared" si="135"/>
        <v>0</v>
      </c>
    </row>
    <row r="512" spans="1:43">
      <c r="A512" t="s">
        <v>1628</v>
      </c>
      <c r="B512" s="5">
        <v>45583</v>
      </c>
      <c r="C512" s="5">
        <v>45586</v>
      </c>
      <c r="D512" s="13">
        <f t="shared" si="119"/>
        <v>3</v>
      </c>
      <c r="E512" t="s">
        <v>1629</v>
      </c>
      <c r="F512" t="s">
        <v>128</v>
      </c>
      <c r="G512" t="s">
        <v>24</v>
      </c>
      <c r="H512" t="s">
        <v>54</v>
      </c>
      <c r="I512" t="s">
        <v>175</v>
      </c>
      <c r="J512" t="s">
        <v>176</v>
      </c>
      <c r="K512" t="s">
        <v>28</v>
      </c>
      <c r="L512" t="s">
        <v>124</v>
      </c>
      <c r="M512" t="s">
        <v>1630</v>
      </c>
      <c r="N512" t="s">
        <v>31</v>
      </c>
      <c r="O512">
        <v>2</v>
      </c>
      <c r="P512">
        <v>4238.51</v>
      </c>
      <c r="Q512" s="11">
        <v>0</v>
      </c>
      <c r="R512">
        <v>8477.02</v>
      </c>
      <c r="S512">
        <v>6884.96</v>
      </c>
      <c r="T512">
        <v>1592.06</v>
      </c>
      <c r="U512" t="s">
        <v>32</v>
      </c>
      <c r="V512" t="s">
        <v>33</v>
      </c>
      <c r="X512" s="8" t="str">
        <f>IF(C512&gt;=B512,"Valid", "Invalid-Date")</f>
        <v>Valid</v>
      </c>
      <c r="Y512" s="8" t="str">
        <f t="shared" si="120"/>
        <v>Valid</v>
      </c>
      <c r="Z512" s="8" t="str">
        <f t="shared" si="121"/>
        <v>Pass</v>
      </c>
      <c r="AA512" s="8" t="str">
        <f t="shared" si="122"/>
        <v>Pass</v>
      </c>
      <c r="AB512" s="8" t="str">
        <f>TEXT(B512,"mmmm")</f>
        <v>October</v>
      </c>
      <c r="AC512" s="8" t="str">
        <f>TEXT(B512,"yyyy")</f>
        <v>2024</v>
      </c>
      <c r="AE512">
        <f t="shared" si="123"/>
        <v>8477.02</v>
      </c>
      <c r="AF512" s="11">
        <f t="shared" si="124"/>
        <v>8477.02</v>
      </c>
      <c r="AG512">
        <f t="shared" si="125"/>
        <v>1592.0600000000004</v>
      </c>
      <c r="AH512" s="11">
        <f t="shared" si="126"/>
        <v>0.18780892341884298</v>
      </c>
      <c r="AI512" s="9">
        <f t="shared" si="127"/>
        <v>0.18780892341884298</v>
      </c>
      <c r="AJ512">
        <f t="shared" si="128"/>
        <v>8477.02</v>
      </c>
      <c r="AK512">
        <f t="shared" si="129"/>
        <v>1</v>
      </c>
      <c r="AL512">
        <f t="shared" si="130"/>
        <v>0</v>
      </c>
      <c r="AM512">
        <f t="shared" si="131"/>
        <v>0</v>
      </c>
      <c r="AN512">
        <f t="shared" si="132"/>
        <v>0</v>
      </c>
      <c r="AO512">
        <f t="shared" si="133"/>
        <v>0</v>
      </c>
      <c r="AP512">
        <f t="shared" si="134"/>
        <v>0</v>
      </c>
      <c r="AQ512">
        <f t="shared" si="135"/>
        <v>0</v>
      </c>
    </row>
    <row r="513" spans="1:43">
      <c r="A513" t="s">
        <v>1631</v>
      </c>
      <c r="B513" s="5">
        <v>45588</v>
      </c>
      <c r="C513" s="5">
        <v>45591</v>
      </c>
      <c r="D513" s="13">
        <f t="shared" si="119"/>
        <v>3</v>
      </c>
      <c r="E513" t="s">
        <v>1632</v>
      </c>
      <c r="F513" t="s">
        <v>132</v>
      </c>
      <c r="G513" t="s">
        <v>24</v>
      </c>
      <c r="H513" t="s">
        <v>63</v>
      </c>
      <c r="I513" t="s">
        <v>72</v>
      </c>
      <c r="J513" t="s">
        <v>73</v>
      </c>
      <c r="K513" t="s">
        <v>41</v>
      </c>
      <c r="L513" t="s">
        <v>158</v>
      </c>
      <c r="M513" t="s">
        <v>1633</v>
      </c>
      <c r="N513" t="s">
        <v>59</v>
      </c>
      <c r="O513">
        <v>9</v>
      </c>
      <c r="P513">
        <v>544.27</v>
      </c>
      <c r="Q513" s="11">
        <v>0.25</v>
      </c>
      <c r="R513">
        <v>3673.82</v>
      </c>
      <c r="S513">
        <v>2088.15</v>
      </c>
      <c r="T513">
        <v>1585.67</v>
      </c>
      <c r="U513" t="s">
        <v>32</v>
      </c>
      <c r="V513" t="s">
        <v>33</v>
      </c>
      <c r="X513" s="8" t="str">
        <f>IF(C513&gt;=B513,"Valid", "Invalid-Date")</f>
        <v>Valid</v>
      </c>
      <c r="Y513" s="8" t="str">
        <f t="shared" si="120"/>
        <v>Valid</v>
      </c>
      <c r="Z513" s="8" t="str">
        <f t="shared" si="121"/>
        <v>Pass</v>
      </c>
      <c r="AA513" s="8" t="str">
        <f t="shared" si="122"/>
        <v>Pass</v>
      </c>
      <c r="AB513" s="8" t="str">
        <f>TEXT(B513,"mmmm")</f>
        <v>October</v>
      </c>
      <c r="AC513" s="8" t="str">
        <f>TEXT(B513,"yyyy")</f>
        <v>2024</v>
      </c>
      <c r="AE513">
        <f t="shared" si="123"/>
        <v>4898.43</v>
      </c>
      <c r="AF513" s="11">
        <f t="shared" si="124"/>
        <v>3673.8225000000002</v>
      </c>
      <c r="AG513">
        <f t="shared" si="125"/>
        <v>2810.28</v>
      </c>
      <c r="AH513" s="11">
        <f t="shared" si="126"/>
        <v>0.57371035209240517</v>
      </c>
      <c r="AI513" s="9">
        <f t="shared" si="127"/>
        <v>0.57371035209240517</v>
      </c>
      <c r="AJ513">
        <f t="shared" si="128"/>
        <v>3673.82</v>
      </c>
      <c r="AK513">
        <f t="shared" si="129"/>
        <v>1</v>
      </c>
      <c r="AL513">
        <f t="shared" si="130"/>
        <v>0</v>
      </c>
      <c r="AM513">
        <f t="shared" si="131"/>
        <v>0</v>
      </c>
      <c r="AN513">
        <f t="shared" si="132"/>
        <v>0</v>
      </c>
      <c r="AO513">
        <f t="shared" si="133"/>
        <v>0</v>
      </c>
      <c r="AP513">
        <f t="shared" si="134"/>
        <v>0</v>
      </c>
      <c r="AQ513">
        <f t="shared" si="135"/>
        <v>0</v>
      </c>
    </row>
    <row r="514" spans="1:43">
      <c r="A514" t="s">
        <v>1634</v>
      </c>
      <c r="B514" s="5">
        <v>45691</v>
      </c>
      <c r="C514" s="5">
        <v>45719</v>
      </c>
      <c r="D514" s="13">
        <f t="shared" si="119"/>
        <v>28</v>
      </c>
      <c r="E514" t="s">
        <v>1246</v>
      </c>
      <c r="F514" t="s">
        <v>47</v>
      </c>
      <c r="G514" t="s">
        <v>90</v>
      </c>
      <c r="H514" t="s">
        <v>54</v>
      </c>
      <c r="I514" t="s">
        <v>185</v>
      </c>
      <c r="J514" t="s">
        <v>186</v>
      </c>
      <c r="K514" t="s">
        <v>28</v>
      </c>
      <c r="L514" t="s">
        <v>91</v>
      </c>
      <c r="M514" t="s">
        <v>1635</v>
      </c>
      <c r="N514" t="s">
        <v>31</v>
      </c>
      <c r="O514">
        <v>2</v>
      </c>
      <c r="P514">
        <v>4031.45</v>
      </c>
      <c r="Q514" s="11">
        <v>0.25</v>
      </c>
      <c r="R514">
        <v>6047.17</v>
      </c>
      <c r="S514">
        <v>3368.79</v>
      </c>
      <c r="T514">
        <v>2678.38</v>
      </c>
      <c r="U514" t="s">
        <v>32</v>
      </c>
      <c r="V514" t="s">
        <v>33</v>
      </c>
      <c r="X514" s="8" t="str">
        <f>IF(C514&gt;=B514,"Valid", "Invalid-Date")</f>
        <v>Valid</v>
      </c>
      <c r="Y514" s="8" t="str">
        <f t="shared" si="120"/>
        <v>Valid</v>
      </c>
      <c r="Z514" s="8" t="str">
        <f t="shared" si="121"/>
        <v>Pass</v>
      </c>
      <c r="AA514" s="8" t="str">
        <f t="shared" si="122"/>
        <v>Pass</v>
      </c>
      <c r="AB514" s="8" t="str">
        <f>TEXT(B514,"mmmm")</f>
        <v>February</v>
      </c>
      <c r="AC514" s="8" t="str">
        <f>TEXT(B514,"yyyy")</f>
        <v>2025</v>
      </c>
      <c r="AE514">
        <f t="shared" si="123"/>
        <v>8062.9</v>
      </c>
      <c r="AF514" s="11">
        <f t="shared" si="124"/>
        <v>6047.1749999999993</v>
      </c>
      <c r="AG514">
        <f t="shared" si="125"/>
        <v>4694.1099999999997</v>
      </c>
      <c r="AH514" s="11">
        <f t="shared" si="126"/>
        <v>0.58218631013655131</v>
      </c>
      <c r="AI514" s="9">
        <f t="shared" si="127"/>
        <v>0.58218631013655131</v>
      </c>
      <c r="AJ514">
        <f t="shared" si="128"/>
        <v>6047.17</v>
      </c>
      <c r="AK514">
        <f t="shared" si="129"/>
        <v>1</v>
      </c>
      <c r="AL514">
        <f t="shared" si="130"/>
        <v>0</v>
      </c>
      <c r="AM514">
        <f t="shared" si="131"/>
        <v>0</v>
      </c>
      <c r="AN514">
        <f t="shared" si="132"/>
        <v>0</v>
      </c>
      <c r="AO514">
        <f t="shared" si="133"/>
        <v>0</v>
      </c>
      <c r="AP514">
        <f t="shared" si="134"/>
        <v>0</v>
      </c>
      <c r="AQ514">
        <f t="shared" si="135"/>
        <v>0</v>
      </c>
    </row>
    <row r="515" spans="1:43">
      <c r="A515" t="s">
        <v>1636</v>
      </c>
      <c r="B515" s="5">
        <v>45835</v>
      </c>
      <c r="C515" s="5">
        <v>45695</v>
      </c>
      <c r="D515" s="13">
        <f t="shared" ref="D515:D578" si="136">C515-B515</f>
        <v>-140</v>
      </c>
      <c r="E515" t="s">
        <v>1637</v>
      </c>
      <c r="F515" t="s">
        <v>128</v>
      </c>
      <c r="G515" t="s">
        <v>90</v>
      </c>
      <c r="H515" t="s">
        <v>54</v>
      </c>
      <c r="I515" t="s">
        <v>185</v>
      </c>
      <c r="J515" t="s">
        <v>186</v>
      </c>
      <c r="K515" t="s">
        <v>74</v>
      </c>
      <c r="L515" t="s">
        <v>75</v>
      </c>
      <c r="M515" t="s">
        <v>1638</v>
      </c>
      <c r="N515" t="s">
        <v>50</v>
      </c>
      <c r="O515">
        <v>6</v>
      </c>
      <c r="P515">
        <v>1099.49</v>
      </c>
      <c r="Q515" s="11">
        <v>0.1</v>
      </c>
      <c r="R515">
        <v>6212.38</v>
      </c>
      <c r="S515">
        <v>4088.46</v>
      </c>
      <c r="T515">
        <v>1848.79</v>
      </c>
      <c r="U515" t="s">
        <v>32</v>
      </c>
      <c r="V515" t="s">
        <v>33</v>
      </c>
      <c r="X515" s="8" t="str">
        <f>IF(C515&gt;=B515,"Valid", "Invalid-Date")</f>
        <v>Invalid-Date</v>
      </c>
      <c r="Y515" s="8" t="str">
        <f t="shared" ref="Y515:Y578" si="137">IF(OR(Q515&lt;0, Q515&gt;0.5), "Invalid-Discount", "Valid")</f>
        <v>Valid</v>
      </c>
      <c r="Z515" s="8" t="str">
        <f t="shared" ref="Z515:Z578" si="138">IF(N515="Unknown","Flagged","Pass")</f>
        <v>Pass</v>
      </c>
      <c r="AA515" s="8" t="str">
        <f t="shared" ref="AA515:AA578" si="139">IF(H515="Unknown","Flagged","Pass")</f>
        <v>Pass</v>
      </c>
      <c r="AB515" s="8" t="str">
        <f>TEXT(B515,"mmmm")</f>
        <v>June</v>
      </c>
      <c r="AC515" s="8" t="str">
        <f>TEXT(B515,"yyyy")</f>
        <v>2025</v>
      </c>
      <c r="AE515">
        <f t="shared" ref="AE515:AE578" si="140">O515*P515</f>
        <v>6596.9400000000005</v>
      </c>
      <c r="AF515" s="11">
        <f t="shared" ref="AF515:AF578" si="141">AE515*(1-Q515)</f>
        <v>5937.246000000001</v>
      </c>
      <c r="AG515">
        <f t="shared" ref="AG515:AG578" si="142">AE515-S515</f>
        <v>2508.4800000000005</v>
      </c>
      <c r="AH515" s="11">
        <f t="shared" ref="AH515:AH578" si="143">AG515/AE515</f>
        <v>0.3802490245477449</v>
      </c>
      <c r="AI515" s="9">
        <f t="shared" ref="AI515:AI578" si="144">AG515/AE515</f>
        <v>0.3802490245477449</v>
      </c>
      <c r="AJ515">
        <f t="shared" ref="AJ515:AJ578" si="145">SUMIFS(R515, V515, "Completed", U515, "Paid")</f>
        <v>6212.38</v>
      </c>
      <c r="AK515">
        <f t="shared" ref="AK515:AK578" si="146">COUNTIFS(V515, "Completed", U515, "Paid")</f>
        <v>1</v>
      </c>
      <c r="AL515">
        <f t="shared" ref="AL515:AL578" si="147">SUMIFS(R515, V515, "Cancelled")</f>
        <v>0</v>
      </c>
      <c r="AM515">
        <f t="shared" ref="AM515:AM578" si="148">COUNTIFS(V515, "Cancelled")</f>
        <v>0</v>
      </c>
      <c r="AN515">
        <f t="shared" ref="AN515:AN578" si="149">SUMIFS(R515, U515, "Failed")</f>
        <v>0</v>
      </c>
      <c r="AO515">
        <f t="shared" ref="AO515:AO578" si="150">COUNTIFS(U515, "Failed")</f>
        <v>0</v>
      </c>
      <c r="AP515">
        <f t="shared" ref="AP515:AP578" si="151">SUMIFS(R515, V515, "Returned")</f>
        <v>0</v>
      </c>
      <c r="AQ515">
        <f t="shared" ref="AQ515:AQ578" si="152">COUNTIFS(V515, "Returned")</f>
        <v>0</v>
      </c>
    </row>
    <row r="516" spans="1:43">
      <c r="A516" t="s">
        <v>1639</v>
      </c>
      <c r="B516" s="5">
        <v>45614</v>
      </c>
      <c r="C516" s="5">
        <v>45618</v>
      </c>
      <c r="D516" s="13">
        <f t="shared" si="136"/>
        <v>4</v>
      </c>
      <c r="E516" t="s">
        <v>1640</v>
      </c>
      <c r="F516" t="s">
        <v>23</v>
      </c>
      <c r="G516" t="s">
        <v>95</v>
      </c>
      <c r="H516" t="s">
        <v>54</v>
      </c>
      <c r="I516" t="s">
        <v>185</v>
      </c>
      <c r="J516" t="s">
        <v>186</v>
      </c>
      <c r="K516" t="s">
        <v>74</v>
      </c>
      <c r="L516" t="s">
        <v>75</v>
      </c>
      <c r="M516" t="s">
        <v>1641</v>
      </c>
      <c r="N516" t="s">
        <v>59</v>
      </c>
      <c r="O516">
        <v>6</v>
      </c>
      <c r="P516">
        <v>3872.94</v>
      </c>
      <c r="Q516" s="11">
        <v>0.1</v>
      </c>
      <c r="R516">
        <v>20913.88</v>
      </c>
      <c r="S516">
        <v>11684.68</v>
      </c>
      <c r="T516">
        <v>9229.2000000000007</v>
      </c>
      <c r="U516" t="s">
        <v>32</v>
      </c>
      <c r="V516" t="s">
        <v>33</v>
      </c>
      <c r="X516" s="8" t="str">
        <f>IF(C516&gt;=B516,"Valid", "Invalid-Date")</f>
        <v>Valid</v>
      </c>
      <c r="Y516" s="8" t="str">
        <f t="shared" si="137"/>
        <v>Valid</v>
      </c>
      <c r="Z516" s="8" t="str">
        <f t="shared" si="138"/>
        <v>Pass</v>
      </c>
      <c r="AA516" s="8" t="str">
        <f t="shared" si="139"/>
        <v>Pass</v>
      </c>
      <c r="AB516" s="8" t="str">
        <f>TEXT(B516,"mmmm")</f>
        <v>November</v>
      </c>
      <c r="AC516" s="8" t="str">
        <f>TEXT(B516,"yyyy")</f>
        <v>2024</v>
      </c>
      <c r="AE516">
        <f t="shared" si="140"/>
        <v>23237.64</v>
      </c>
      <c r="AF516" s="11">
        <f t="shared" si="141"/>
        <v>20913.876</v>
      </c>
      <c r="AG516">
        <f t="shared" si="142"/>
        <v>11552.96</v>
      </c>
      <c r="AH516" s="11">
        <f t="shared" si="143"/>
        <v>0.49716580513339564</v>
      </c>
      <c r="AI516" s="9">
        <f t="shared" si="144"/>
        <v>0.49716580513339564</v>
      </c>
      <c r="AJ516">
        <f t="shared" si="145"/>
        <v>20913.88</v>
      </c>
      <c r="AK516">
        <f t="shared" si="146"/>
        <v>1</v>
      </c>
      <c r="AL516">
        <f t="shared" si="147"/>
        <v>0</v>
      </c>
      <c r="AM516">
        <f t="shared" si="148"/>
        <v>0</v>
      </c>
      <c r="AN516">
        <f t="shared" si="149"/>
        <v>0</v>
      </c>
      <c r="AO516">
        <f t="shared" si="150"/>
        <v>0</v>
      </c>
      <c r="AP516">
        <f t="shared" si="151"/>
        <v>0</v>
      </c>
      <c r="AQ516">
        <f t="shared" si="152"/>
        <v>0</v>
      </c>
    </row>
    <row r="517" spans="1:43">
      <c r="A517" t="s">
        <v>1642</v>
      </c>
      <c r="B517" s="5">
        <v>45965</v>
      </c>
      <c r="C517" s="5">
        <v>45965</v>
      </c>
      <c r="D517" s="13">
        <f t="shared" si="136"/>
        <v>0</v>
      </c>
      <c r="E517" t="s">
        <v>1643</v>
      </c>
      <c r="F517" t="s">
        <v>118</v>
      </c>
      <c r="G517" t="s">
        <v>90</v>
      </c>
      <c r="H517" t="s">
        <v>25</v>
      </c>
      <c r="I517" t="s">
        <v>350</v>
      </c>
      <c r="J517" t="s">
        <v>351</v>
      </c>
      <c r="K517" t="s">
        <v>28</v>
      </c>
      <c r="L517" t="s">
        <v>29</v>
      </c>
      <c r="M517" t="s">
        <v>1644</v>
      </c>
      <c r="N517" t="s">
        <v>59</v>
      </c>
      <c r="O517">
        <v>1</v>
      </c>
      <c r="P517">
        <v>4458.49</v>
      </c>
      <c r="Q517" s="11">
        <v>-7.0000000000000007E-2</v>
      </c>
      <c r="R517">
        <v>3566.79</v>
      </c>
      <c r="S517">
        <v>2083.41</v>
      </c>
      <c r="T517">
        <v>1483.38</v>
      </c>
      <c r="U517" t="s">
        <v>32</v>
      </c>
      <c r="V517" t="s">
        <v>33</v>
      </c>
      <c r="X517" s="8" t="str">
        <f>IF(C517&gt;=B517,"Valid", "Invalid-Date")</f>
        <v>Valid</v>
      </c>
      <c r="Y517" s="8" t="str">
        <f t="shared" si="137"/>
        <v>Invalid-Discount</v>
      </c>
      <c r="Z517" s="8" t="str">
        <f t="shared" si="138"/>
        <v>Pass</v>
      </c>
      <c r="AA517" s="8" t="str">
        <f t="shared" si="139"/>
        <v>Pass</v>
      </c>
      <c r="AB517" s="8" t="str">
        <f>TEXT(B517,"mmmm")</f>
        <v>November</v>
      </c>
      <c r="AC517" s="8" t="str">
        <f>TEXT(B517,"yyyy")</f>
        <v>2025</v>
      </c>
      <c r="AE517">
        <f t="shared" si="140"/>
        <v>4458.49</v>
      </c>
      <c r="AF517" s="11">
        <f t="shared" si="141"/>
        <v>4770.5843000000004</v>
      </c>
      <c r="AG517">
        <f t="shared" si="142"/>
        <v>2375.08</v>
      </c>
      <c r="AH517" s="11">
        <f t="shared" si="143"/>
        <v>0.53270950478749535</v>
      </c>
      <c r="AI517" s="9">
        <f t="shared" si="144"/>
        <v>0.53270950478749535</v>
      </c>
      <c r="AJ517">
        <f t="shared" si="145"/>
        <v>3566.79</v>
      </c>
      <c r="AK517">
        <f t="shared" si="146"/>
        <v>1</v>
      </c>
      <c r="AL517">
        <f t="shared" si="147"/>
        <v>0</v>
      </c>
      <c r="AM517">
        <f t="shared" si="148"/>
        <v>0</v>
      </c>
      <c r="AN517">
        <f t="shared" si="149"/>
        <v>0</v>
      </c>
      <c r="AO517">
        <f t="shared" si="150"/>
        <v>0</v>
      </c>
      <c r="AP517">
        <f t="shared" si="151"/>
        <v>0</v>
      </c>
      <c r="AQ517">
        <f t="shared" si="152"/>
        <v>0</v>
      </c>
    </row>
    <row r="518" spans="1:43">
      <c r="A518" t="s">
        <v>1645</v>
      </c>
      <c r="B518" s="5">
        <v>45563</v>
      </c>
      <c r="C518" s="5">
        <v>45392</v>
      </c>
      <c r="D518" s="13">
        <f t="shared" si="136"/>
        <v>-171</v>
      </c>
      <c r="E518" t="s">
        <v>1646</v>
      </c>
      <c r="F518" t="s">
        <v>264</v>
      </c>
      <c r="G518" t="s">
        <v>95</v>
      </c>
      <c r="H518" t="s">
        <v>25</v>
      </c>
      <c r="I518" t="s">
        <v>350</v>
      </c>
      <c r="J518" t="s">
        <v>351</v>
      </c>
      <c r="K518" t="s">
        <v>74</v>
      </c>
      <c r="L518" t="s">
        <v>80</v>
      </c>
      <c r="M518" t="s">
        <v>1647</v>
      </c>
      <c r="N518" t="s">
        <v>59</v>
      </c>
      <c r="O518">
        <v>1</v>
      </c>
      <c r="P518">
        <v>2233.1799999999998</v>
      </c>
      <c r="Q518" s="11">
        <v>0</v>
      </c>
      <c r="R518">
        <v>2233.1799999999998</v>
      </c>
      <c r="S518">
        <v>1585.82</v>
      </c>
      <c r="T518">
        <v>647.36</v>
      </c>
      <c r="U518" t="s">
        <v>155</v>
      </c>
      <c r="V518" t="s">
        <v>103</v>
      </c>
      <c r="X518" s="8" t="str">
        <f>IF(C518&gt;=B518,"Valid", "Invalid-Date")</f>
        <v>Invalid-Date</v>
      </c>
      <c r="Y518" s="8" t="str">
        <f t="shared" si="137"/>
        <v>Valid</v>
      </c>
      <c r="Z518" s="8" t="str">
        <f t="shared" si="138"/>
        <v>Pass</v>
      </c>
      <c r="AA518" s="8" t="str">
        <f t="shared" si="139"/>
        <v>Pass</v>
      </c>
      <c r="AB518" s="8" t="str">
        <f>TEXT(B518,"mmmm")</f>
        <v>September</v>
      </c>
      <c r="AC518" s="8" t="str">
        <f>TEXT(B518,"yyyy")</f>
        <v>2024</v>
      </c>
      <c r="AE518">
        <f t="shared" si="140"/>
        <v>2233.1799999999998</v>
      </c>
      <c r="AF518" s="11">
        <f t="shared" si="141"/>
        <v>2233.1799999999998</v>
      </c>
      <c r="AG518">
        <f t="shared" si="142"/>
        <v>647.3599999999999</v>
      </c>
      <c r="AH518" s="11">
        <f t="shared" si="143"/>
        <v>0.28988258895386843</v>
      </c>
      <c r="AI518" s="9">
        <f t="shared" si="144"/>
        <v>0.28988258895386843</v>
      </c>
      <c r="AJ518">
        <f t="shared" si="145"/>
        <v>0</v>
      </c>
      <c r="AK518">
        <f t="shared" si="146"/>
        <v>0</v>
      </c>
      <c r="AL518">
        <f t="shared" si="147"/>
        <v>0</v>
      </c>
      <c r="AM518">
        <f t="shared" si="148"/>
        <v>0</v>
      </c>
      <c r="AN518">
        <f t="shared" si="149"/>
        <v>2233.1799999999998</v>
      </c>
      <c r="AO518">
        <f t="shared" si="150"/>
        <v>1</v>
      </c>
      <c r="AP518">
        <f t="shared" si="151"/>
        <v>2233.1799999999998</v>
      </c>
      <c r="AQ518">
        <f t="shared" si="152"/>
        <v>1</v>
      </c>
    </row>
    <row r="519" spans="1:43">
      <c r="A519" t="s">
        <v>1648</v>
      </c>
      <c r="B519" s="5">
        <v>45802</v>
      </c>
      <c r="C519" s="5">
        <v>45804</v>
      </c>
      <c r="D519" s="13">
        <f t="shared" si="136"/>
        <v>2</v>
      </c>
      <c r="E519" t="s">
        <v>1649</v>
      </c>
      <c r="F519" t="s">
        <v>118</v>
      </c>
      <c r="G519" t="s">
        <v>24</v>
      </c>
      <c r="H519" t="s">
        <v>38</v>
      </c>
      <c r="I519" t="s">
        <v>39</v>
      </c>
      <c r="J519" t="s">
        <v>40</v>
      </c>
      <c r="K519" t="s">
        <v>41</v>
      </c>
      <c r="L519" t="s">
        <v>57</v>
      </c>
      <c r="M519" t="s">
        <v>1650</v>
      </c>
      <c r="N519" t="s">
        <v>31</v>
      </c>
      <c r="O519">
        <v>7</v>
      </c>
      <c r="P519">
        <v>2123.2800000000002</v>
      </c>
      <c r="Q519" s="11">
        <v>0.2</v>
      </c>
      <c r="R519">
        <v>11890.37</v>
      </c>
      <c r="S519">
        <v>9234.5300000000007</v>
      </c>
      <c r="T519">
        <v>2655.84</v>
      </c>
      <c r="U519" t="s">
        <v>102</v>
      </c>
      <c r="V519" t="s">
        <v>103</v>
      </c>
      <c r="X519" s="8" t="str">
        <f>IF(C519&gt;=B519,"Valid", "Invalid-Date")</f>
        <v>Valid</v>
      </c>
      <c r="Y519" s="8" t="str">
        <f t="shared" si="137"/>
        <v>Valid</v>
      </c>
      <c r="Z519" s="8" t="str">
        <f t="shared" si="138"/>
        <v>Pass</v>
      </c>
      <c r="AA519" s="8" t="str">
        <f t="shared" si="139"/>
        <v>Pass</v>
      </c>
      <c r="AB519" s="8" t="str">
        <f>TEXT(B519,"mmmm")</f>
        <v>May</v>
      </c>
      <c r="AC519" s="8" t="str">
        <f>TEXT(B519,"yyyy")</f>
        <v>2025</v>
      </c>
      <c r="AE519">
        <f t="shared" si="140"/>
        <v>14862.960000000001</v>
      </c>
      <c r="AF519" s="11">
        <f t="shared" si="141"/>
        <v>11890.368000000002</v>
      </c>
      <c r="AG519">
        <f t="shared" si="142"/>
        <v>5628.43</v>
      </c>
      <c r="AH519" s="11">
        <f t="shared" si="143"/>
        <v>0.37868836355611535</v>
      </c>
      <c r="AI519" s="9">
        <f t="shared" si="144"/>
        <v>0.37868836355611535</v>
      </c>
      <c r="AJ519">
        <f t="shared" si="145"/>
        <v>0</v>
      </c>
      <c r="AK519">
        <f t="shared" si="146"/>
        <v>0</v>
      </c>
      <c r="AL519">
        <f t="shared" si="147"/>
        <v>0</v>
      </c>
      <c r="AM519">
        <f t="shared" si="148"/>
        <v>0</v>
      </c>
      <c r="AN519">
        <f t="shared" si="149"/>
        <v>0</v>
      </c>
      <c r="AO519">
        <f t="shared" si="150"/>
        <v>0</v>
      </c>
      <c r="AP519">
        <f t="shared" si="151"/>
        <v>11890.37</v>
      </c>
      <c r="AQ519">
        <f t="shared" si="152"/>
        <v>1</v>
      </c>
    </row>
    <row r="520" spans="1:43">
      <c r="A520" t="s">
        <v>1651</v>
      </c>
      <c r="B520" s="5">
        <v>45777</v>
      </c>
      <c r="C520" s="5">
        <v>45773</v>
      </c>
      <c r="D520" s="13">
        <f t="shared" si="136"/>
        <v>-4</v>
      </c>
      <c r="E520" t="s">
        <v>1652</v>
      </c>
      <c r="F520" t="s">
        <v>162</v>
      </c>
      <c r="G520" t="s">
        <v>90</v>
      </c>
      <c r="H520" t="s">
        <v>38</v>
      </c>
      <c r="I520" t="s">
        <v>39</v>
      </c>
      <c r="J520" t="s">
        <v>40</v>
      </c>
      <c r="K520" t="s">
        <v>41</v>
      </c>
      <c r="L520" t="s">
        <v>42</v>
      </c>
      <c r="M520" t="s">
        <v>1653</v>
      </c>
      <c r="N520" t="s">
        <v>50</v>
      </c>
      <c r="O520">
        <v>7</v>
      </c>
      <c r="P520">
        <v>1604.13</v>
      </c>
      <c r="Q520" s="11">
        <v>0.25</v>
      </c>
      <c r="R520">
        <v>8421.68</v>
      </c>
      <c r="S520">
        <v>6534.47</v>
      </c>
      <c r="T520">
        <v>1887.21</v>
      </c>
      <c r="U520" t="s">
        <v>32</v>
      </c>
      <c r="V520" t="s">
        <v>68</v>
      </c>
      <c r="X520" s="8" t="str">
        <f>IF(C520&gt;=B520,"Valid", "Invalid-Date")</f>
        <v>Invalid-Date</v>
      </c>
      <c r="Y520" s="8" t="str">
        <f t="shared" si="137"/>
        <v>Valid</v>
      </c>
      <c r="Z520" s="8" t="str">
        <f t="shared" si="138"/>
        <v>Pass</v>
      </c>
      <c r="AA520" s="8" t="str">
        <f t="shared" si="139"/>
        <v>Pass</v>
      </c>
      <c r="AB520" s="8" t="str">
        <f>TEXT(B520,"mmmm")</f>
        <v>April</v>
      </c>
      <c r="AC520" s="8" t="str">
        <f>TEXT(B520,"yyyy")</f>
        <v>2025</v>
      </c>
      <c r="AE520">
        <f t="shared" si="140"/>
        <v>11228.91</v>
      </c>
      <c r="AF520" s="11">
        <f t="shared" si="141"/>
        <v>8421.682499999999</v>
      </c>
      <c r="AG520">
        <f t="shared" si="142"/>
        <v>4694.4399999999996</v>
      </c>
      <c r="AH520" s="11">
        <f t="shared" si="143"/>
        <v>0.41806729237299078</v>
      </c>
      <c r="AI520" s="9">
        <f t="shared" si="144"/>
        <v>0.41806729237299078</v>
      </c>
      <c r="AJ520">
        <f t="shared" si="145"/>
        <v>0</v>
      </c>
      <c r="AK520">
        <f t="shared" si="146"/>
        <v>0</v>
      </c>
      <c r="AL520">
        <f t="shared" si="147"/>
        <v>8421.68</v>
      </c>
      <c r="AM520">
        <f t="shared" si="148"/>
        <v>1</v>
      </c>
      <c r="AN520">
        <f t="shared" si="149"/>
        <v>0</v>
      </c>
      <c r="AO520">
        <f t="shared" si="150"/>
        <v>0</v>
      </c>
      <c r="AP520">
        <f t="shared" si="151"/>
        <v>0</v>
      </c>
      <c r="AQ520">
        <f t="shared" si="152"/>
        <v>0</v>
      </c>
    </row>
    <row r="521" spans="1:43">
      <c r="A521" t="s">
        <v>1654</v>
      </c>
      <c r="B521" s="5">
        <v>45841</v>
      </c>
      <c r="C521" s="5">
        <v>45845</v>
      </c>
      <c r="D521" s="13">
        <f t="shared" si="136"/>
        <v>4</v>
      </c>
      <c r="E521" t="s">
        <v>1655</v>
      </c>
      <c r="F521" t="s">
        <v>114</v>
      </c>
      <c r="G521" t="s">
        <v>24</v>
      </c>
      <c r="H521" t="s">
        <v>25</v>
      </c>
      <c r="I521" t="s">
        <v>136</v>
      </c>
      <c r="J521" t="s">
        <v>137</v>
      </c>
      <c r="K521" t="s">
        <v>41</v>
      </c>
      <c r="L521" t="s">
        <v>42</v>
      </c>
      <c r="M521" t="s">
        <v>1656</v>
      </c>
      <c r="N521" t="s">
        <v>59</v>
      </c>
      <c r="O521">
        <v>4</v>
      </c>
      <c r="P521">
        <v>4365.21</v>
      </c>
      <c r="Q521" s="11">
        <v>0.2</v>
      </c>
      <c r="R521">
        <v>13968.67</v>
      </c>
      <c r="S521">
        <v>8857.58</v>
      </c>
      <c r="T521">
        <v>5111.09</v>
      </c>
      <c r="U521" t="s">
        <v>111</v>
      </c>
      <c r="V521" t="s">
        <v>68</v>
      </c>
      <c r="X521" s="8" t="str">
        <f>IF(C521&gt;=B521,"Valid", "Invalid-Date")</f>
        <v>Valid</v>
      </c>
      <c r="Y521" s="8" t="str">
        <f t="shared" si="137"/>
        <v>Valid</v>
      </c>
      <c r="Z521" s="8" t="str">
        <f t="shared" si="138"/>
        <v>Pass</v>
      </c>
      <c r="AA521" s="8" t="str">
        <f t="shared" si="139"/>
        <v>Pass</v>
      </c>
      <c r="AB521" s="8" t="str">
        <f>TEXT(B521,"mmmm")</f>
        <v>July</v>
      </c>
      <c r="AC521" s="8" t="str">
        <f>TEXT(B521,"yyyy")</f>
        <v>2025</v>
      </c>
      <c r="AE521">
        <f t="shared" si="140"/>
        <v>17460.84</v>
      </c>
      <c r="AF521" s="11">
        <f t="shared" si="141"/>
        <v>13968.672</v>
      </c>
      <c r="AG521">
        <f t="shared" si="142"/>
        <v>8603.26</v>
      </c>
      <c r="AH521" s="11">
        <f t="shared" si="143"/>
        <v>0.49271741794781926</v>
      </c>
      <c r="AI521" s="9">
        <f t="shared" si="144"/>
        <v>0.49271741794781926</v>
      </c>
      <c r="AJ521">
        <f t="shared" si="145"/>
        <v>0</v>
      </c>
      <c r="AK521">
        <f t="shared" si="146"/>
        <v>0</v>
      </c>
      <c r="AL521">
        <f t="shared" si="147"/>
        <v>13968.67</v>
      </c>
      <c r="AM521">
        <f t="shared" si="148"/>
        <v>1</v>
      </c>
      <c r="AN521">
        <f t="shared" si="149"/>
        <v>0</v>
      </c>
      <c r="AO521">
        <f t="shared" si="150"/>
        <v>0</v>
      </c>
      <c r="AP521">
        <f t="shared" si="151"/>
        <v>0</v>
      </c>
      <c r="AQ521">
        <f t="shared" si="152"/>
        <v>0</v>
      </c>
    </row>
    <row r="522" spans="1:43">
      <c r="A522" t="s">
        <v>1657</v>
      </c>
      <c r="B522" s="5">
        <v>45489</v>
      </c>
      <c r="C522" s="5">
        <v>45496</v>
      </c>
      <c r="D522" s="13">
        <f t="shared" si="136"/>
        <v>7</v>
      </c>
      <c r="E522" t="s">
        <v>1658</v>
      </c>
      <c r="F522" t="s">
        <v>128</v>
      </c>
      <c r="G522" t="s">
        <v>95</v>
      </c>
      <c r="H522" t="s">
        <v>54</v>
      </c>
      <c r="I522" t="s">
        <v>175</v>
      </c>
      <c r="J522" t="s">
        <v>176</v>
      </c>
      <c r="K522" t="s">
        <v>74</v>
      </c>
      <c r="L522" t="s">
        <v>274</v>
      </c>
      <c r="M522" t="s">
        <v>1659</v>
      </c>
      <c r="N522" t="s">
        <v>44</v>
      </c>
      <c r="O522">
        <v>1</v>
      </c>
      <c r="P522">
        <v>1695.91</v>
      </c>
      <c r="Q522" s="11">
        <v>0.05</v>
      </c>
      <c r="R522">
        <v>1611.11</v>
      </c>
      <c r="S522">
        <v>895.15</v>
      </c>
      <c r="T522">
        <v>715.96</v>
      </c>
      <c r="U522" t="s">
        <v>32</v>
      </c>
      <c r="V522" t="s">
        <v>33</v>
      </c>
      <c r="X522" s="8" t="str">
        <f>IF(C522&gt;=B522,"Valid", "Invalid-Date")</f>
        <v>Valid</v>
      </c>
      <c r="Y522" s="8" t="str">
        <f t="shared" si="137"/>
        <v>Valid</v>
      </c>
      <c r="Z522" s="8" t="str">
        <f t="shared" si="138"/>
        <v>Pass</v>
      </c>
      <c r="AA522" s="8" t="str">
        <f t="shared" si="139"/>
        <v>Pass</v>
      </c>
      <c r="AB522" s="8" t="str">
        <f>TEXT(B522,"mmmm")</f>
        <v>July</v>
      </c>
      <c r="AC522" s="8" t="str">
        <f>TEXT(B522,"yyyy")</f>
        <v>2024</v>
      </c>
      <c r="AE522">
        <f t="shared" si="140"/>
        <v>1695.91</v>
      </c>
      <c r="AF522" s="11">
        <f t="shared" si="141"/>
        <v>1611.1144999999999</v>
      </c>
      <c r="AG522">
        <f t="shared" si="142"/>
        <v>800.7600000000001</v>
      </c>
      <c r="AH522" s="11">
        <f t="shared" si="143"/>
        <v>0.47217128267419856</v>
      </c>
      <c r="AI522" s="9">
        <f t="shared" si="144"/>
        <v>0.47217128267419856</v>
      </c>
      <c r="AJ522">
        <f t="shared" si="145"/>
        <v>1611.11</v>
      </c>
      <c r="AK522">
        <f t="shared" si="146"/>
        <v>1</v>
      </c>
      <c r="AL522">
        <f t="shared" si="147"/>
        <v>0</v>
      </c>
      <c r="AM522">
        <f t="shared" si="148"/>
        <v>0</v>
      </c>
      <c r="AN522">
        <f t="shared" si="149"/>
        <v>0</v>
      </c>
      <c r="AO522">
        <f t="shared" si="150"/>
        <v>0</v>
      </c>
      <c r="AP522">
        <f t="shared" si="151"/>
        <v>0</v>
      </c>
      <c r="AQ522">
        <f t="shared" si="152"/>
        <v>0</v>
      </c>
    </row>
    <row r="523" spans="1:43">
      <c r="A523" t="s">
        <v>1660</v>
      </c>
      <c r="B523" s="5">
        <v>45741</v>
      </c>
      <c r="C523" s="5">
        <v>45661</v>
      </c>
      <c r="D523" s="13">
        <f t="shared" si="136"/>
        <v>-80</v>
      </c>
      <c r="E523" t="s">
        <v>1661</v>
      </c>
      <c r="F523" t="s">
        <v>162</v>
      </c>
      <c r="G523" t="s">
        <v>24</v>
      </c>
      <c r="H523" t="s">
        <v>25</v>
      </c>
      <c r="I523" t="s">
        <v>122</v>
      </c>
      <c r="J523" t="s">
        <v>123</v>
      </c>
      <c r="K523" t="s">
        <v>28</v>
      </c>
      <c r="L523" t="s">
        <v>91</v>
      </c>
      <c r="M523" t="s">
        <v>1662</v>
      </c>
      <c r="N523" t="s">
        <v>31</v>
      </c>
      <c r="O523">
        <v>6</v>
      </c>
      <c r="P523">
        <v>2192.11</v>
      </c>
      <c r="Q523" s="11">
        <v>0.05</v>
      </c>
      <c r="R523">
        <v>12495.03</v>
      </c>
      <c r="S523">
        <v>9184.52</v>
      </c>
      <c r="T523">
        <v>3310.51</v>
      </c>
      <c r="U523" t="s">
        <v>32</v>
      </c>
      <c r="V523" t="s">
        <v>33</v>
      </c>
      <c r="X523" s="8" t="str">
        <f>IF(C523&gt;=B523,"Valid", "Invalid-Date")</f>
        <v>Invalid-Date</v>
      </c>
      <c r="Y523" s="8" t="str">
        <f t="shared" si="137"/>
        <v>Valid</v>
      </c>
      <c r="Z523" s="8" t="str">
        <f t="shared" si="138"/>
        <v>Pass</v>
      </c>
      <c r="AA523" s="8" t="str">
        <f t="shared" si="139"/>
        <v>Pass</v>
      </c>
      <c r="AB523" s="8" t="str">
        <f>TEXT(B523,"mmmm")</f>
        <v>March</v>
      </c>
      <c r="AC523" s="8" t="str">
        <f>TEXT(B523,"yyyy")</f>
        <v>2025</v>
      </c>
      <c r="AE523">
        <f t="shared" si="140"/>
        <v>13152.66</v>
      </c>
      <c r="AF523" s="11">
        <f t="shared" si="141"/>
        <v>12495.027</v>
      </c>
      <c r="AG523">
        <f t="shared" si="142"/>
        <v>3968.1399999999994</v>
      </c>
      <c r="AH523" s="11">
        <f t="shared" si="143"/>
        <v>0.3016986677979967</v>
      </c>
      <c r="AI523" s="9">
        <f t="shared" si="144"/>
        <v>0.3016986677979967</v>
      </c>
      <c r="AJ523">
        <f t="shared" si="145"/>
        <v>12495.03</v>
      </c>
      <c r="AK523">
        <f t="shared" si="146"/>
        <v>1</v>
      </c>
      <c r="AL523">
        <f t="shared" si="147"/>
        <v>0</v>
      </c>
      <c r="AM523">
        <f t="shared" si="148"/>
        <v>0</v>
      </c>
      <c r="AN523">
        <f t="shared" si="149"/>
        <v>0</v>
      </c>
      <c r="AO523">
        <f t="shared" si="150"/>
        <v>0</v>
      </c>
      <c r="AP523">
        <f t="shared" si="151"/>
        <v>0</v>
      </c>
      <c r="AQ523">
        <f t="shared" si="152"/>
        <v>0</v>
      </c>
    </row>
    <row r="524" spans="1:43">
      <c r="A524" t="s">
        <v>1663</v>
      </c>
      <c r="B524" s="5">
        <v>45716</v>
      </c>
      <c r="C524" s="5">
        <v>45872</v>
      </c>
      <c r="D524" s="13">
        <f t="shared" si="136"/>
        <v>156</v>
      </c>
      <c r="E524" t="s">
        <v>1664</v>
      </c>
      <c r="F524" t="s">
        <v>79</v>
      </c>
      <c r="G524" t="s">
        <v>37</v>
      </c>
      <c r="H524" t="s">
        <v>38</v>
      </c>
      <c r="I524" t="s">
        <v>228</v>
      </c>
      <c r="J524" t="s">
        <v>229</v>
      </c>
      <c r="K524" t="s">
        <v>74</v>
      </c>
      <c r="L524" t="s">
        <v>171</v>
      </c>
      <c r="M524" t="s">
        <v>1665</v>
      </c>
      <c r="N524" t="s">
        <v>50</v>
      </c>
      <c r="O524">
        <v>9</v>
      </c>
      <c r="P524">
        <v>3670.54</v>
      </c>
      <c r="Q524" s="11">
        <v>0</v>
      </c>
      <c r="R524">
        <v>33034.86</v>
      </c>
      <c r="S524">
        <v>24539.83</v>
      </c>
      <c r="T524">
        <v>8495.0300000000007</v>
      </c>
      <c r="U524" t="s">
        <v>32</v>
      </c>
      <c r="V524" t="s">
        <v>33</v>
      </c>
      <c r="X524" s="8" t="str">
        <f>IF(C524&gt;=B524,"Valid", "Invalid-Date")</f>
        <v>Valid</v>
      </c>
      <c r="Y524" s="8" t="str">
        <f t="shared" si="137"/>
        <v>Valid</v>
      </c>
      <c r="Z524" s="8" t="str">
        <f t="shared" si="138"/>
        <v>Pass</v>
      </c>
      <c r="AA524" s="8" t="str">
        <f t="shared" si="139"/>
        <v>Pass</v>
      </c>
      <c r="AB524" s="8" t="str">
        <f>TEXT(B524,"mmmm")</f>
        <v>February</v>
      </c>
      <c r="AC524" s="8" t="str">
        <f>TEXT(B524,"yyyy")</f>
        <v>2025</v>
      </c>
      <c r="AE524">
        <f t="shared" si="140"/>
        <v>33034.86</v>
      </c>
      <c r="AF524" s="11">
        <f t="shared" si="141"/>
        <v>33034.86</v>
      </c>
      <c r="AG524">
        <f t="shared" si="142"/>
        <v>8495.0299999999988</v>
      </c>
      <c r="AH524" s="11">
        <f t="shared" si="143"/>
        <v>0.25715350390466307</v>
      </c>
      <c r="AI524" s="9">
        <f t="shared" si="144"/>
        <v>0.25715350390466307</v>
      </c>
      <c r="AJ524">
        <f t="shared" si="145"/>
        <v>33034.86</v>
      </c>
      <c r="AK524">
        <f t="shared" si="146"/>
        <v>1</v>
      </c>
      <c r="AL524">
        <f t="shared" si="147"/>
        <v>0</v>
      </c>
      <c r="AM524">
        <f t="shared" si="148"/>
        <v>0</v>
      </c>
      <c r="AN524">
        <f t="shared" si="149"/>
        <v>0</v>
      </c>
      <c r="AO524">
        <f t="shared" si="150"/>
        <v>0</v>
      </c>
      <c r="AP524">
        <f t="shared" si="151"/>
        <v>0</v>
      </c>
      <c r="AQ524">
        <f t="shared" si="152"/>
        <v>0</v>
      </c>
    </row>
    <row r="525" spans="1:43">
      <c r="A525" t="s">
        <v>1666</v>
      </c>
      <c r="B525" s="5">
        <v>45384</v>
      </c>
      <c r="C525" s="5">
        <v>45355</v>
      </c>
      <c r="D525" s="13">
        <f t="shared" si="136"/>
        <v>-29</v>
      </c>
      <c r="E525" t="s">
        <v>1667</v>
      </c>
      <c r="F525" t="s">
        <v>264</v>
      </c>
      <c r="G525" t="s">
        <v>95</v>
      </c>
      <c r="H525" t="s">
        <v>63</v>
      </c>
      <c r="I525" t="s">
        <v>190</v>
      </c>
      <c r="J525" t="s">
        <v>191</v>
      </c>
      <c r="K525" t="s">
        <v>28</v>
      </c>
      <c r="L525" t="s">
        <v>29</v>
      </c>
      <c r="M525" t="s">
        <v>1668</v>
      </c>
      <c r="N525" t="s">
        <v>31</v>
      </c>
      <c r="O525">
        <v>2</v>
      </c>
      <c r="P525">
        <v>2902.63</v>
      </c>
      <c r="Q525" s="11">
        <v>0</v>
      </c>
      <c r="R525">
        <v>5805.26</v>
      </c>
      <c r="S525">
        <v>4654.3599999999997</v>
      </c>
      <c r="T525">
        <v>1150.9000000000001</v>
      </c>
      <c r="U525" t="s">
        <v>32</v>
      </c>
      <c r="V525" t="s">
        <v>103</v>
      </c>
      <c r="X525" s="8" t="str">
        <f>IF(C525&gt;=B525,"Valid", "Invalid-Date")</f>
        <v>Invalid-Date</v>
      </c>
      <c r="Y525" s="8" t="str">
        <f t="shared" si="137"/>
        <v>Valid</v>
      </c>
      <c r="Z525" s="8" t="str">
        <f t="shared" si="138"/>
        <v>Pass</v>
      </c>
      <c r="AA525" s="8" t="str">
        <f t="shared" si="139"/>
        <v>Pass</v>
      </c>
      <c r="AB525" s="8" t="str">
        <f>TEXT(B525,"mmmm")</f>
        <v>April</v>
      </c>
      <c r="AC525" s="8" t="str">
        <f>TEXT(B525,"yyyy")</f>
        <v>2024</v>
      </c>
      <c r="AE525">
        <f t="shared" si="140"/>
        <v>5805.26</v>
      </c>
      <c r="AF525" s="11">
        <f t="shared" si="141"/>
        <v>5805.26</v>
      </c>
      <c r="AG525">
        <f t="shared" si="142"/>
        <v>1150.9000000000005</v>
      </c>
      <c r="AH525" s="11">
        <f t="shared" si="143"/>
        <v>0.19825124111581574</v>
      </c>
      <c r="AI525" s="9">
        <f t="shared" si="144"/>
        <v>0.19825124111581574</v>
      </c>
      <c r="AJ525">
        <f t="shared" si="145"/>
        <v>0</v>
      </c>
      <c r="AK525">
        <f t="shared" si="146"/>
        <v>0</v>
      </c>
      <c r="AL525">
        <f t="shared" si="147"/>
        <v>0</v>
      </c>
      <c r="AM525">
        <f t="shared" si="148"/>
        <v>0</v>
      </c>
      <c r="AN525">
        <f t="shared" si="149"/>
        <v>0</v>
      </c>
      <c r="AO525">
        <f t="shared" si="150"/>
        <v>0</v>
      </c>
      <c r="AP525">
        <f t="shared" si="151"/>
        <v>5805.26</v>
      </c>
      <c r="AQ525">
        <f t="shared" si="152"/>
        <v>1</v>
      </c>
    </row>
    <row r="526" spans="1:43">
      <c r="A526" t="s">
        <v>1669</v>
      </c>
      <c r="B526" s="5">
        <v>45626</v>
      </c>
      <c r="C526" s="5">
        <v>45303</v>
      </c>
      <c r="D526" s="13">
        <f t="shared" si="136"/>
        <v>-323</v>
      </c>
      <c r="E526" t="s">
        <v>1670</v>
      </c>
      <c r="F526" t="s">
        <v>62</v>
      </c>
      <c r="G526" t="s">
        <v>90</v>
      </c>
      <c r="H526" t="s">
        <v>63</v>
      </c>
      <c r="I526" t="s">
        <v>180</v>
      </c>
      <c r="J526" t="s">
        <v>181</v>
      </c>
      <c r="K526" t="s">
        <v>41</v>
      </c>
      <c r="L526" t="s">
        <v>66</v>
      </c>
      <c r="M526" t="s">
        <v>1671</v>
      </c>
      <c r="N526" t="s">
        <v>50</v>
      </c>
      <c r="O526">
        <v>9</v>
      </c>
      <c r="P526">
        <v>4207.3599999999997</v>
      </c>
      <c r="Q526" s="11">
        <v>0.1</v>
      </c>
      <c r="R526">
        <v>34079.620000000003</v>
      </c>
      <c r="S526">
        <v>21871.39</v>
      </c>
      <c r="T526">
        <v>12208.23</v>
      </c>
      <c r="U526" t="s">
        <v>32</v>
      </c>
      <c r="V526" t="s">
        <v>33</v>
      </c>
      <c r="X526" s="8" t="str">
        <f>IF(C526&gt;=B526,"Valid", "Invalid-Date")</f>
        <v>Invalid-Date</v>
      </c>
      <c r="Y526" s="8" t="str">
        <f t="shared" si="137"/>
        <v>Valid</v>
      </c>
      <c r="Z526" s="8" t="str">
        <f t="shared" si="138"/>
        <v>Pass</v>
      </c>
      <c r="AA526" s="8" t="str">
        <f t="shared" si="139"/>
        <v>Pass</v>
      </c>
      <c r="AB526" s="8" t="str">
        <f>TEXT(B526,"mmmm")</f>
        <v>November</v>
      </c>
      <c r="AC526" s="8" t="str">
        <f>TEXT(B526,"yyyy")</f>
        <v>2024</v>
      </c>
      <c r="AE526">
        <f t="shared" si="140"/>
        <v>37866.239999999998</v>
      </c>
      <c r="AF526" s="11">
        <f t="shared" si="141"/>
        <v>34079.616000000002</v>
      </c>
      <c r="AG526">
        <f t="shared" si="142"/>
        <v>15994.849999999999</v>
      </c>
      <c r="AH526" s="11">
        <f t="shared" si="143"/>
        <v>0.42240396722779971</v>
      </c>
      <c r="AI526" s="9">
        <f t="shared" si="144"/>
        <v>0.42240396722779971</v>
      </c>
      <c r="AJ526">
        <f t="shared" si="145"/>
        <v>34079.620000000003</v>
      </c>
      <c r="AK526">
        <f t="shared" si="146"/>
        <v>1</v>
      </c>
      <c r="AL526">
        <f t="shared" si="147"/>
        <v>0</v>
      </c>
      <c r="AM526">
        <f t="shared" si="148"/>
        <v>0</v>
      </c>
      <c r="AN526">
        <f t="shared" si="149"/>
        <v>0</v>
      </c>
      <c r="AO526">
        <f t="shared" si="150"/>
        <v>0</v>
      </c>
      <c r="AP526">
        <f t="shared" si="151"/>
        <v>0</v>
      </c>
      <c r="AQ526">
        <f t="shared" si="152"/>
        <v>0</v>
      </c>
    </row>
    <row r="527" spans="1:43">
      <c r="A527" t="s">
        <v>1672</v>
      </c>
      <c r="B527" s="5">
        <v>45582</v>
      </c>
      <c r="C527" s="5">
        <v>45582</v>
      </c>
      <c r="D527" s="13">
        <f t="shared" si="136"/>
        <v>0</v>
      </c>
      <c r="E527" t="s">
        <v>1673</v>
      </c>
      <c r="F527" t="s">
        <v>114</v>
      </c>
      <c r="G527" t="s">
        <v>95</v>
      </c>
      <c r="H527" t="s">
        <v>38</v>
      </c>
      <c r="I527" t="s">
        <v>99</v>
      </c>
      <c r="J527" t="s">
        <v>100</v>
      </c>
      <c r="K527" t="s">
        <v>41</v>
      </c>
      <c r="L527" t="s">
        <v>66</v>
      </c>
      <c r="M527" t="s">
        <v>1674</v>
      </c>
      <c r="N527" t="s">
        <v>59</v>
      </c>
      <c r="O527">
        <v>5</v>
      </c>
      <c r="P527">
        <v>2524.4</v>
      </c>
      <c r="Q527" s="11">
        <v>0.1</v>
      </c>
      <c r="R527">
        <v>11359.8</v>
      </c>
      <c r="S527">
        <v>7062.44</v>
      </c>
      <c r="T527">
        <v>4297.3599999999997</v>
      </c>
      <c r="U527" t="s">
        <v>32</v>
      </c>
      <c r="V527" t="s">
        <v>33</v>
      </c>
      <c r="X527" s="8" t="str">
        <f>IF(C527&gt;=B527,"Valid", "Invalid-Date")</f>
        <v>Valid</v>
      </c>
      <c r="Y527" s="8" t="str">
        <f t="shared" si="137"/>
        <v>Valid</v>
      </c>
      <c r="Z527" s="8" t="str">
        <f t="shared" si="138"/>
        <v>Pass</v>
      </c>
      <c r="AA527" s="8" t="str">
        <f t="shared" si="139"/>
        <v>Pass</v>
      </c>
      <c r="AB527" s="8" t="str">
        <f>TEXT(B527,"mmmm")</f>
        <v>October</v>
      </c>
      <c r="AC527" s="8" t="str">
        <f>TEXT(B527,"yyyy")</f>
        <v>2024</v>
      </c>
      <c r="AE527">
        <f t="shared" si="140"/>
        <v>12622</v>
      </c>
      <c r="AF527" s="11">
        <f t="shared" si="141"/>
        <v>11359.800000000001</v>
      </c>
      <c r="AG527">
        <f t="shared" si="142"/>
        <v>5559.56</v>
      </c>
      <c r="AH527" s="11">
        <f t="shared" si="143"/>
        <v>0.44046585327206467</v>
      </c>
      <c r="AI527" s="9">
        <f t="shared" si="144"/>
        <v>0.44046585327206467</v>
      </c>
      <c r="AJ527">
        <f t="shared" si="145"/>
        <v>11359.8</v>
      </c>
      <c r="AK527">
        <f t="shared" si="146"/>
        <v>1</v>
      </c>
      <c r="AL527">
        <f t="shared" si="147"/>
        <v>0</v>
      </c>
      <c r="AM527">
        <f t="shared" si="148"/>
        <v>0</v>
      </c>
      <c r="AN527">
        <f t="shared" si="149"/>
        <v>0</v>
      </c>
      <c r="AO527">
        <f t="shared" si="150"/>
        <v>0</v>
      </c>
      <c r="AP527">
        <f t="shared" si="151"/>
        <v>0</v>
      </c>
      <c r="AQ527">
        <f t="shared" si="152"/>
        <v>0</v>
      </c>
    </row>
    <row r="528" spans="1:43">
      <c r="A528" t="s">
        <v>1675</v>
      </c>
      <c r="B528" s="5">
        <v>45856</v>
      </c>
      <c r="C528" s="5">
        <v>45859</v>
      </c>
      <c r="D528" s="13">
        <f t="shared" si="136"/>
        <v>3</v>
      </c>
      <c r="E528" t="s">
        <v>1676</v>
      </c>
      <c r="F528" t="s">
        <v>114</v>
      </c>
      <c r="G528" t="s">
        <v>24</v>
      </c>
      <c r="H528" t="s">
        <v>38</v>
      </c>
      <c r="I528" t="s">
        <v>39</v>
      </c>
      <c r="J528" t="s">
        <v>40</v>
      </c>
      <c r="K528" t="s">
        <v>41</v>
      </c>
      <c r="L528" t="s">
        <v>42</v>
      </c>
      <c r="M528" t="s">
        <v>1677</v>
      </c>
      <c r="N528" t="s">
        <v>31</v>
      </c>
      <c r="O528">
        <v>4</v>
      </c>
      <c r="P528">
        <v>284.04000000000002</v>
      </c>
      <c r="Q528" s="11">
        <v>0</v>
      </c>
      <c r="R528">
        <v>908.93</v>
      </c>
      <c r="S528">
        <v>572.08000000000004</v>
      </c>
      <c r="T528">
        <v>336.85</v>
      </c>
      <c r="U528" t="s">
        <v>32</v>
      </c>
      <c r="V528" t="s">
        <v>33</v>
      </c>
      <c r="X528" s="8" t="str">
        <f>IF(C528&gt;=B528,"Valid", "Invalid-Date")</f>
        <v>Valid</v>
      </c>
      <c r="Y528" s="8" t="str">
        <f t="shared" si="137"/>
        <v>Valid</v>
      </c>
      <c r="Z528" s="8" t="str">
        <f t="shared" si="138"/>
        <v>Pass</v>
      </c>
      <c r="AA528" s="8" t="str">
        <f t="shared" si="139"/>
        <v>Pass</v>
      </c>
      <c r="AB528" s="8" t="str">
        <f>TEXT(B528,"mmmm")</f>
        <v>July</v>
      </c>
      <c r="AC528" s="8" t="str">
        <f>TEXT(B528,"yyyy")</f>
        <v>2025</v>
      </c>
      <c r="AE528">
        <f t="shared" si="140"/>
        <v>1136.1600000000001</v>
      </c>
      <c r="AF528" s="11">
        <f t="shared" si="141"/>
        <v>1136.1600000000001</v>
      </c>
      <c r="AG528">
        <f t="shared" si="142"/>
        <v>564.08000000000004</v>
      </c>
      <c r="AH528" s="11">
        <f t="shared" si="143"/>
        <v>0.49647936910294327</v>
      </c>
      <c r="AI528" s="9">
        <f t="shared" si="144"/>
        <v>0.49647936910294327</v>
      </c>
      <c r="AJ528">
        <f t="shared" si="145"/>
        <v>908.93</v>
      </c>
      <c r="AK528">
        <f t="shared" si="146"/>
        <v>1</v>
      </c>
      <c r="AL528">
        <f t="shared" si="147"/>
        <v>0</v>
      </c>
      <c r="AM528">
        <f t="shared" si="148"/>
        <v>0</v>
      </c>
      <c r="AN528">
        <f t="shared" si="149"/>
        <v>0</v>
      </c>
      <c r="AO528">
        <f t="shared" si="150"/>
        <v>0</v>
      </c>
      <c r="AP528">
        <f t="shared" si="151"/>
        <v>0</v>
      </c>
      <c r="AQ528">
        <f t="shared" si="152"/>
        <v>0</v>
      </c>
    </row>
    <row r="529" spans="1:43">
      <c r="A529" t="s">
        <v>1678</v>
      </c>
      <c r="B529" s="5">
        <v>45931</v>
      </c>
      <c r="C529" s="5">
        <v>45787</v>
      </c>
      <c r="D529" s="13">
        <f t="shared" si="136"/>
        <v>-144</v>
      </c>
      <c r="E529" t="s">
        <v>1679</v>
      </c>
      <c r="F529" t="s">
        <v>89</v>
      </c>
      <c r="G529" t="s">
        <v>95</v>
      </c>
      <c r="H529" t="s">
        <v>25</v>
      </c>
      <c r="I529" t="s">
        <v>236</v>
      </c>
      <c r="J529" t="s">
        <v>237</v>
      </c>
      <c r="K529" t="s">
        <v>28</v>
      </c>
      <c r="L529" t="s">
        <v>29</v>
      </c>
      <c r="M529" t="s">
        <v>1680</v>
      </c>
      <c r="N529" t="s">
        <v>50</v>
      </c>
      <c r="O529">
        <v>5</v>
      </c>
      <c r="P529">
        <v>3247.56</v>
      </c>
      <c r="Q529" s="11">
        <v>0.15</v>
      </c>
      <c r="R529">
        <v>13802.13</v>
      </c>
      <c r="S529">
        <v>10075.93</v>
      </c>
      <c r="T529">
        <v>3726.2</v>
      </c>
      <c r="U529" t="s">
        <v>32</v>
      </c>
      <c r="V529" t="s">
        <v>33</v>
      </c>
      <c r="X529" s="8" t="str">
        <f>IF(C529&gt;=B529,"Valid", "Invalid-Date")</f>
        <v>Invalid-Date</v>
      </c>
      <c r="Y529" s="8" t="str">
        <f t="shared" si="137"/>
        <v>Valid</v>
      </c>
      <c r="Z529" s="8" t="str">
        <f t="shared" si="138"/>
        <v>Pass</v>
      </c>
      <c r="AA529" s="8" t="str">
        <f t="shared" si="139"/>
        <v>Pass</v>
      </c>
      <c r="AB529" s="8" t="str">
        <f>TEXT(B529,"mmmm")</f>
        <v>October</v>
      </c>
      <c r="AC529" s="8" t="str">
        <f>TEXT(B529,"yyyy")</f>
        <v>2025</v>
      </c>
      <c r="AE529">
        <f t="shared" si="140"/>
        <v>16237.8</v>
      </c>
      <c r="AF529" s="11">
        <f t="shared" si="141"/>
        <v>13802.13</v>
      </c>
      <c r="AG529">
        <f t="shared" si="142"/>
        <v>6161.869999999999</v>
      </c>
      <c r="AH529" s="11">
        <f t="shared" si="143"/>
        <v>0.37947689957999231</v>
      </c>
      <c r="AI529" s="9">
        <f t="shared" si="144"/>
        <v>0.37947689957999231</v>
      </c>
      <c r="AJ529">
        <f t="shared" si="145"/>
        <v>13802.13</v>
      </c>
      <c r="AK529">
        <f t="shared" si="146"/>
        <v>1</v>
      </c>
      <c r="AL529">
        <f t="shared" si="147"/>
        <v>0</v>
      </c>
      <c r="AM529">
        <f t="shared" si="148"/>
        <v>0</v>
      </c>
      <c r="AN529">
        <f t="shared" si="149"/>
        <v>0</v>
      </c>
      <c r="AO529">
        <f t="shared" si="150"/>
        <v>0</v>
      </c>
      <c r="AP529">
        <f t="shared" si="151"/>
        <v>0</v>
      </c>
      <c r="AQ529">
        <f t="shared" si="152"/>
        <v>0</v>
      </c>
    </row>
    <row r="530" spans="1:43">
      <c r="A530" t="s">
        <v>1681</v>
      </c>
      <c r="B530" s="5">
        <v>45572</v>
      </c>
      <c r="C530" s="5">
        <v>45574</v>
      </c>
      <c r="D530" s="13">
        <f t="shared" si="136"/>
        <v>2</v>
      </c>
      <c r="E530" t="s">
        <v>1682</v>
      </c>
      <c r="F530" t="s">
        <v>162</v>
      </c>
      <c r="G530" t="s">
        <v>24</v>
      </c>
      <c r="H530" t="s">
        <v>54</v>
      </c>
      <c r="I530" t="s">
        <v>247</v>
      </c>
      <c r="J530" t="s">
        <v>248</v>
      </c>
      <c r="K530" t="s">
        <v>28</v>
      </c>
      <c r="L530" t="s">
        <v>153</v>
      </c>
      <c r="M530" t="s">
        <v>1683</v>
      </c>
      <c r="N530" t="s">
        <v>59</v>
      </c>
      <c r="O530">
        <v>9</v>
      </c>
      <c r="P530">
        <v>3457.09</v>
      </c>
      <c r="Q530" s="11">
        <v>0.05</v>
      </c>
      <c r="R530">
        <v>29558.12</v>
      </c>
      <c r="S530">
        <v>21302.13</v>
      </c>
      <c r="T530">
        <v>8255.99</v>
      </c>
      <c r="U530" t="s">
        <v>111</v>
      </c>
      <c r="V530" t="s">
        <v>103</v>
      </c>
      <c r="X530" s="8" t="str">
        <f>IF(C530&gt;=B530,"Valid", "Invalid-Date")</f>
        <v>Valid</v>
      </c>
      <c r="Y530" s="8" t="str">
        <f t="shared" si="137"/>
        <v>Valid</v>
      </c>
      <c r="Z530" s="8" t="str">
        <f t="shared" si="138"/>
        <v>Pass</v>
      </c>
      <c r="AA530" s="8" t="str">
        <f t="shared" si="139"/>
        <v>Pass</v>
      </c>
      <c r="AB530" s="8" t="str">
        <f>TEXT(B530,"mmmm")</f>
        <v>October</v>
      </c>
      <c r="AC530" s="8" t="str">
        <f>TEXT(B530,"yyyy")</f>
        <v>2024</v>
      </c>
      <c r="AE530">
        <f t="shared" si="140"/>
        <v>31113.81</v>
      </c>
      <c r="AF530" s="11">
        <f t="shared" si="141"/>
        <v>29558.119500000001</v>
      </c>
      <c r="AG530">
        <f t="shared" si="142"/>
        <v>9811.68</v>
      </c>
      <c r="AH530" s="11">
        <f t="shared" si="143"/>
        <v>0.31534807212617161</v>
      </c>
      <c r="AI530" s="9">
        <f t="shared" si="144"/>
        <v>0.31534807212617161</v>
      </c>
      <c r="AJ530">
        <f t="shared" si="145"/>
        <v>0</v>
      </c>
      <c r="AK530">
        <f t="shared" si="146"/>
        <v>0</v>
      </c>
      <c r="AL530">
        <f t="shared" si="147"/>
        <v>0</v>
      </c>
      <c r="AM530">
        <f t="shared" si="148"/>
        <v>0</v>
      </c>
      <c r="AN530">
        <f t="shared" si="149"/>
        <v>0</v>
      </c>
      <c r="AO530">
        <f t="shared" si="150"/>
        <v>0</v>
      </c>
      <c r="AP530">
        <f t="shared" si="151"/>
        <v>29558.12</v>
      </c>
      <c r="AQ530">
        <f t="shared" si="152"/>
        <v>1</v>
      </c>
    </row>
    <row r="531" spans="1:43">
      <c r="A531" t="s">
        <v>1684</v>
      </c>
      <c r="B531" s="5">
        <v>45328</v>
      </c>
      <c r="C531" s="5">
        <v>45506</v>
      </c>
      <c r="D531" s="13">
        <f t="shared" si="136"/>
        <v>178</v>
      </c>
      <c r="E531" t="s">
        <v>729</v>
      </c>
      <c r="F531" t="s">
        <v>23</v>
      </c>
      <c r="G531" t="s">
        <v>24</v>
      </c>
      <c r="H531" t="s">
        <v>38</v>
      </c>
      <c r="I531" t="s">
        <v>228</v>
      </c>
      <c r="J531" t="s">
        <v>229</v>
      </c>
      <c r="K531" t="s">
        <v>41</v>
      </c>
      <c r="L531" t="s">
        <v>158</v>
      </c>
      <c r="M531" t="s">
        <v>1685</v>
      </c>
      <c r="N531" t="s">
        <v>31</v>
      </c>
      <c r="O531">
        <v>9</v>
      </c>
      <c r="P531">
        <v>1822.25</v>
      </c>
      <c r="Q531" s="11">
        <v>0</v>
      </c>
      <c r="R531">
        <v>16400.25</v>
      </c>
      <c r="S531">
        <v>12146.96</v>
      </c>
      <c r="T531">
        <v>4253.29</v>
      </c>
      <c r="U531" t="s">
        <v>32</v>
      </c>
      <c r="V531" t="s">
        <v>33</v>
      </c>
      <c r="X531" s="8" t="str">
        <f>IF(C531&gt;=B531,"Valid", "Invalid-Date")</f>
        <v>Valid</v>
      </c>
      <c r="Y531" s="8" t="str">
        <f t="shared" si="137"/>
        <v>Valid</v>
      </c>
      <c r="Z531" s="8" t="str">
        <f t="shared" si="138"/>
        <v>Pass</v>
      </c>
      <c r="AA531" s="8" t="str">
        <f t="shared" si="139"/>
        <v>Pass</v>
      </c>
      <c r="AB531" s="8" t="str">
        <f>TEXT(B531,"mmmm")</f>
        <v>February</v>
      </c>
      <c r="AC531" s="8" t="str">
        <f>TEXT(B531,"yyyy")</f>
        <v>2024</v>
      </c>
      <c r="AE531">
        <f t="shared" si="140"/>
        <v>16400.25</v>
      </c>
      <c r="AF531" s="11">
        <f t="shared" si="141"/>
        <v>16400.25</v>
      </c>
      <c r="AG531">
        <f t="shared" si="142"/>
        <v>4253.2900000000009</v>
      </c>
      <c r="AH531" s="11">
        <f t="shared" si="143"/>
        <v>0.25934299782015524</v>
      </c>
      <c r="AI531" s="9">
        <f t="shared" si="144"/>
        <v>0.25934299782015524</v>
      </c>
      <c r="AJ531">
        <f t="shared" si="145"/>
        <v>16400.25</v>
      </c>
      <c r="AK531">
        <f t="shared" si="146"/>
        <v>1</v>
      </c>
      <c r="AL531">
        <f t="shared" si="147"/>
        <v>0</v>
      </c>
      <c r="AM531">
        <f t="shared" si="148"/>
        <v>0</v>
      </c>
      <c r="AN531">
        <f t="shared" si="149"/>
        <v>0</v>
      </c>
      <c r="AO531">
        <f t="shared" si="150"/>
        <v>0</v>
      </c>
      <c r="AP531">
        <f t="shared" si="151"/>
        <v>0</v>
      </c>
      <c r="AQ531">
        <f t="shared" si="152"/>
        <v>0</v>
      </c>
    </row>
    <row r="532" spans="1:43">
      <c r="A532" t="s">
        <v>1686</v>
      </c>
      <c r="B532" s="5">
        <v>45807</v>
      </c>
      <c r="C532" s="5">
        <v>45663</v>
      </c>
      <c r="D532" s="13">
        <f t="shared" si="136"/>
        <v>-144</v>
      </c>
      <c r="E532" t="s">
        <v>1687</v>
      </c>
      <c r="F532" t="s">
        <v>118</v>
      </c>
      <c r="G532" t="s">
        <v>95</v>
      </c>
      <c r="H532" t="s">
        <v>54</v>
      </c>
      <c r="I532" t="s">
        <v>247</v>
      </c>
      <c r="J532" t="s">
        <v>248</v>
      </c>
      <c r="K532" t="s">
        <v>28</v>
      </c>
      <c r="L532" t="s">
        <v>153</v>
      </c>
      <c r="M532" t="s">
        <v>1688</v>
      </c>
      <c r="N532" t="s">
        <v>59</v>
      </c>
      <c r="O532">
        <v>9</v>
      </c>
      <c r="P532">
        <v>1994.51</v>
      </c>
      <c r="Q532" s="11">
        <v>0.05</v>
      </c>
      <c r="R532">
        <v>17053.060000000001</v>
      </c>
      <c r="S532">
        <v>10742.38</v>
      </c>
      <c r="T532">
        <v>6310.68</v>
      </c>
      <c r="U532" t="s">
        <v>32</v>
      </c>
      <c r="V532" t="s">
        <v>33</v>
      </c>
      <c r="X532" s="8" t="str">
        <f>IF(C532&gt;=B532,"Valid", "Invalid-Date")</f>
        <v>Invalid-Date</v>
      </c>
      <c r="Y532" s="8" t="str">
        <f t="shared" si="137"/>
        <v>Valid</v>
      </c>
      <c r="Z532" s="8" t="str">
        <f t="shared" si="138"/>
        <v>Pass</v>
      </c>
      <c r="AA532" s="8" t="str">
        <f t="shared" si="139"/>
        <v>Pass</v>
      </c>
      <c r="AB532" s="8" t="str">
        <f>TEXT(B532,"mmmm")</f>
        <v>May</v>
      </c>
      <c r="AC532" s="8" t="str">
        <f>TEXT(B532,"yyyy")</f>
        <v>2025</v>
      </c>
      <c r="AE532">
        <f t="shared" si="140"/>
        <v>17950.59</v>
      </c>
      <c r="AF532" s="11">
        <f t="shared" si="141"/>
        <v>17053.0605</v>
      </c>
      <c r="AG532">
        <f t="shared" si="142"/>
        <v>7208.2100000000009</v>
      </c>
      <c r="AH532" s="11">
        <f t="shared" si="143"/>
        <v>0.4015583888886104</v>
      </c>
      <c r="AI532" s="9">
        <f t="shared" si="144"/>
        <v>0.4015583888886104</v>
      </c>
      <c r="AJ532">
        <f t="shared" si="145"/>
        <v>17053.060000000001</v>
      </c>
      <c r="AK532">
        <f t="shared" si="146"/>
        <v>1</v>
      </c>
      <c r="AL532">
        <f t="shared" si="147"/>
        <v>0</v>
      </c>
      <c r="AM532">
        <f t="shared" si="148"/>
        <v>0</v>
      </c>
      <c r="AN532">
        <f t="shared" si="149"/>
        <v>0</v>
      </c>
      <c r="AO532">
        <f t="shared" si="150"/>
        <v>0</v>
      </c>
      <c r="AP532">
        <f t="shared" si="151"/>
        <v>0</v>
      </c>
      <c r="AQ532">
        <f t="shared" si="152"/>
        <v>0</v>
      </c>
    </row>
    <row r="533" spans="1:43">
      <c r="A533" t="s">
        <v>1689</v>
      </c>
      <c r="B533" s="5">
        <v>45505</v>
      </c>
      <c r="C533" s="5">
        <v>45512</v>
      </c>
      <c r="D533" s="13">
        <f t="shared" si="136"/>
        <v>7</v>
      </c>
      <c r="E533" t="s">
        <v>1690</v>
      </c>
      <c r="F533" t="s">
        <v>162</v>
      </c>
      <c r="G533" t="s">
        <v>37</v>
      </c>
      <c r="H533" t="s">
        <v>63</v>
      </c>
      <c r="I533" t="s">
        <v>64</v>
      </c>
      <c r="J533" t="s">
        <v>65</v>
      </c>
      <c r="K533" t="s">
        <v>28</v>
      </c>
      <c r="L533" t="s">
        <v>124</v>
      </c>
      <c r="M533" t="s">
        <v>1691</v>
      </c>
      <c r="N533" t="s">
        <v>2785</v>
      </c>
      <c r="O533">
        <v>1</v>
      </c>
      <c r="P533">
        <v>442.97</v>
      </c>
      <c r="Q533" s="11">
        <v>0.1</v>
      </c>
      <c r="R533">
        <v>398.67</v>
      </c>
      <c r="S533">
        <v>311.66000000000003</v>
      </c>
      <c r="T533">
        <v>87.01</v>
      </c>
      <c r="U533" t="s">
        <v>32</v>
      </c>
      <c r="V533" t="s">
        <v>33</v>
      </c>
      <c r="X533" s="8" t="str">
        <f>IF(C533&gt;=B533,"Valid", "Invalid-Date")</f>
        <v>Valid</v>
      </c>
      <c r="Y533" s="8" t="str">
        <f t="shared" si="137"/>
        <v>Valid</v>
      </c>
      <c r="Z533" s="8" t="str">
        <f t="shared" si="138"/>
        <v>Flagged</v>
      </c>
      <c r="AA533" s="8" t="str">
        <f t="shared" si="139"/>
        <v>Pass</v>
      </c>
      <c r="AB533" s="8" t="str">
        <f>TEXT(B533,"mmmm")</f>
        <v>August</v>
      </c>
      <c r="AC533" s="8" t="str">
        <f>TEXT(B533,"yyyy")</f>
        <v>2024</v>
      </c>
      <c r="AE533">
        <f t="shared" si="140"/>
        <v>442.97</v>
      </c>
      <c r="AF533" s="11">
        <f t="shared" si="141"/>
        <v>398.67300000000006</v>
      </c>
      <c r="AG533">
        <f t="shared" si="142"/>
        <v>131.31</v>
      </c>
      <c r="AH533" s="11">
        <f t="shared" si="143"/>
        <v>0.29643090954240692</v>
      </c>
      <c r="AI533" s="9">
        <f t="shared" si="144"/>
        <v>0.29643090954240692</v>
      </c>
      <c r="AJ533">
        <f t="shared" si="145"/>
        <v>398.67</v>
      </c>
      <c r="AK533">
        <f t="shared" si="146"/>
        <v>1</v>
      </c>
      <c r="AL533">
        <f t="shared" si="147"/>
        <v>0</v>
      </c>
      <c r="AM533">
        <f t="shared" si="148"/>
        <v>0</v>
      </c>
      <c r="AN533">
        <f t="shared" si="149"/>
        <v>0</v>
      </c>
      <c r="AO533">
        <f t="shared" si="150"/>
        <v>0</v>
      </c>
      <c r="AP533">
        <f t="shared" si="151"/>
        <v>0</v>
      </c>
      <c r="AQ533">
        <f t="shared" si="152"/>
        <v>0</v>
      </c>
    </row>
    <row r="534" spans="1:43">
      <c r="A534" t="s">
        <v>1692</v>
      </c>
      <c r="B534" s="5">
        <v>45935</v>
      </c>
      <c r="C534" s="5">
        <v>45940</v>
      </c>
      <c r="D534" s="13">
        <f t="shared" si="136"/>
        <v>5</v>
      </c>
      <c r="E534" t="s">
        <v>1693</v>
      </c>
      <c r="F534" t="s">
        <v>114</v>
      </c>
      <c r="G534" t="s">
        <v>90</v>
      </c>
      <c r="H534" t="s">
        <v>38</v>
      </c>
      <c r="I534" t="s">
        <v>166</v>
      </c>
      <c r="J534" t="s">
        <v>167</v>
      </c>
      <c r="K534" t="s">
        <v>41</v>
      </c>
      <c r="L534" t="s">
        <v>42</v>
      </c>
      <c r="M534" t="s">
        <v>1694</v>
      </c>
      <c r="N534" t="s">
        <v>31</v>
      </c>
      <c r="O534">
        <v>9</v>
      </c>
      <c r="P534">
        <v>2089.14</v>
      </c>
      <c r="Q534" s="11">
        <v>0.05</v>
      </c>
      <c r="R534">
        <v>17862.150000000001</v>
      </c>
      <c r="S534">
        <v>9892.2099999999991</v>
      </c>
      <c r="T534">
        <v>7969.94</v>
      </c>
      <c r="U534" t="s">
        <v>155</v>
      </c>
      <c r="V534" t="s">
        <v>68</v>
      </c>
      <c r="X534" s="8" t="str">
        <f>IF(C534&gt;=B534,"Valid", "Invalid-Date")</f>
        <v>Valid</v>
      </c>
      <c r="Y534" s="8" t="str">
        <f t="shared" si="137"/>
        <v>Valid</v>
      </c>
      <c r="Z534" s="8" t="str">
        <f t="shared" si="138"/>
        <v>Pass</v>
      </c>
      <c r="AA534" s="8" t="str">
        <f t="shared" si="139"/>
        <v>Pass</v>
      </c>
      <c r="AB534" s="8" t="str">
        <f>TEXT(B534,"mmmm")</f>
        <v>October</v>
      </c>
      <c r="AC534" s="8" t="str">
        <f>TEXT(B534,"yyyy")</f>
        <v>2025</v>
      </c>
      <c r="AE534">
        <f t="shared" si="140"/>
        <v>18802.259999999998</v>
      </c>
      <c r="AF534" s="11">
        <f t="shared" si="141"/>
        <v>17862.146999999997</v>
      </c>
      <c r="AG534">
        <f t="shared" si="142"/>
        <v>8910.0499999999993</v>
      </c>
      <c r="AH534" s="11">
        <f t="shared" si="143"/>
        <v>0.47388186313772918</v>
      </c>
      <c r="AI534" s="9">
        <f t="shared" si="144"/>
        <v>0.47388186313772918</v>
      </c>
      <c r="AJ534">
        <f t="shared" si="145"/>
        <v>0</v>
      </c>
      <c r="AK534">
        <f t="shared" si="146"/>
        <v>0</v>
      </c>
      <c r="AL534">
        <f t="shared" si="147"/>
        <v>17862.150000000001</v>
      </c>
      <c r="AM534">
        <f t="shared" si="148"/>
        <v>1</v>
      </c>
      <c r="AN534">
        <f t="shared" si="149"/>
        <v>17862.150000000001</v>
      </c>
      <c r="AO534">
        <f t="shared" si="150"/>
        <v>1</v>
      </c>
      <c r="AP534">
        <f t="shared" si="151"/>
        <v>0</v>
      </c>
      <c r="AQ534">
        <f t="shared" si="152"/>
        <v>0</v>
      </c>
    </row>
    <row r="535" spans="1:43">
      <c r="A535" t="s">
        <v>1695</v>
      </c>
      <c r="B535" s="5">
        <v>45529</v>
      </c>
      <c r="C535" s="5">
        <v>45300</v>
      </c>
      <c r="D535" s="13">
        <f t="shared" si="136"/>
        <v>-229</v>
      </c>
      <c r="E535" t="s">
        <v>1696</v>
      </c>
      <c r="F535" t="s">
        <v>47</v>
      </c>
      <c r="G535" t="s">
        <v>95</v>
      </c>
      <c r="H535" t="s">
        <v>25</v>
      </c>
      <c r="I535" t="s">
        <v>26</v>
      </c>
      <c r="J535" t="s">
        <v>27</v>
      </c>
      <c r="K535" t="s">
        <v>41</v>
      </c>
      <c r="L535" t="s">
        <v>42</v>
      </c>
      <c r="M535" t="s">
        <v>1697</v>
      </c>
      <c r="N535" t="s">
        <v>44</v>
      </c>
      <c r="O535">
        <v>6</v>
      </c>
      <c r="P535">
        <v>481.3</v>
      </c>
      <c r="Q535" s="11">
        <v>0.25</v>
      </c>
      <c r="R535">
        <v>2165.85</v>
      </c>
      <c r="S535">
        <v>2124.48</v>
      </c>
      <c r="T535">
        <v>430.45</v>
      </c>
      <c r="U535" t="s">
        <v>32</v>
      </c>
      <c r="V535" t="s">
        <v>33</v>
      </c>
      <c r="X535" s="8" t="str">
        <f>IF(C535&gt;=B535,"Valid", "Invalid-Date")</f>
        <v>Invalid-Date</v>
      </c>
      <c r="Y535" s="8" t="str">
        <f t="shared" si="137"/>
        <v>Valid</v>
      </c>
      <c r="Z535" s="8" t="str">
        <f t="shared" si="138"/>
        <v>Pass</v>
      </c>
      <c r="AA535" s="8" t="str">
        <f t="shared" si="139"/>
        <v>Pass</v>
      </c>
      <c r="AB535" s="8" t="str">
        <f>TEXT(B535,"mmmm")</f>
        <v>August</v>
      </c>
      <c r="AC535" s="8" t="str">
        <f>TEXT(B535,"yyyy")</f>
        <v>2024</v>
      </c>
      <c r="AE535">
        <f t="shared" si="140"/>
        <v>2887.8</v>
      </c>
      <c r="AF535" s="11">
        <f t="shared" si="141"/>
        <v>2165.8500000000004</v>
      </c>
      <c r="AG535">
        <f t="shared" si="142"/>
        <v>763.32000000000016</v>
      </c>
      <c r="AH535" s="11">
        <f t="shared" si="143"/>
        <v>0.2643257843340952</v>
      </c>
      <c r="AI535" s="9">
        <f t="shared" si="144"/>
        <v>0.2643257843340952</v>
      </c>
      <c r="AJ535">
        <f t="shared" si="145"/>
        <v>2165.85</v>
      </c>
      <c r="AK535">
        <f t="shared" si="146"/>
        <v>1</v>
      </c>
      <c r="AL535">
        <f t="shared" si="147"/>
        <v>0</v>
      </c>
      <c r="AM535">
        <f t="shared" si="148"/>
        <v>0</v>
      </c>
      <c r="AN535">
        <f t="shared" si="149"/>
        <v>0</v>
      </c>
      <c r="AO535">
        <f t="shared" si="150"/>
        <v>0</v>
      </c>
      <c r="AP535">
        <f t="shared" si="151"/>
        <v>0</v>
      </c>
      <c r="AQ535">
        <f t="shared" si="152"/>
        <v>0</v>
      </c>
    </row>
    <row r="536" spans="1:43">
      <c r="A536" t="s">
        <v>1698</v>
      </c>
      <c r="B536" s="5">
        <v>45774</v>
      </c>
      <c r="C536" s="5">
        <v>45782</v>
      </c>
      <c r="D536" s="13">
        <f t="shared" si="136"/>
        <v>8</v>
      </c>
      <c r="E536" t="s">
        <v>1699</v>
      </c>
      <c r="F536" t="s">
        <v>141</v>
      </c>
      <c r="G536" t="s">
        <v>95</v>
      </c>
      <c r="H536" t="s">
        <v>38</v>
      </c>
      <c r="I536" t="s">
        <v>145</v>
      </c>
      <c r="J536" t="s">
        <v>146</v>
      </c>
      <c r="K536" t="s">
        <v>74</v>
      </c>
      <c r="L536" t="s">
        <v>75</v>
      </c>
      <c r="M536" t="s">
        <v>1700</v>
      </c>
      <c r="N536" t="s">
        <v>31</v>
      </c>
      <c r="O536">
        <v>4</v>
      </c>
      <c r="P536">
        <v>3963.39</v>
      </c>
      <c r="Q536" s="11">
        <v>0.1</v>
      </c>
      <c r="R536">
        <v>14268.2</v>
      </c>
      <c r="S536">
        <v>11705.3</v>
      </c>
      <c r="T536">
        <v>2562.9</v>
      </c>
      <c r="U536" t="s">
        <v>111</v>
      </c>
      <c r="V536" t="s">
        <v>103</v>
      </c>
      <c r="X536" s="8" t="str">
        <f>IF(C536&gt;=B536,"Valid", "Invalid-Date")</f>
        <v>Valid</v>
      </c>
      <c r="Y536" s="8" t="str">
        <f t="shared" si="137"/>
        <v>Valid</v>
      </c>
      <c r="Z536" s="8" t="str">
        <f t="shared" si="138"/>
        <v>Pass</v>
      </c>
      <c r="AA536" s="8" t="str">
        <f t="shared" si="139"/>
        <v>Pass</v>
      </c>
      <c r="AB536" s="8" t="str">
        <f>TEXT(B536,"mmmm")</f>
        <v>April</v>
      </c>
      <c r="AC536" s="8" t="str">
        <f>TEXT(B536,"yyyy")</f>
        <v>2025</v>
      </c>
      <c r="AE536">
        <f t="shared" si="140"/>
        <v>15853.56</v>
      </c>
      <c r="AF536" s="11">
        <f t="shared" si="141"/>
        <v>14268.204</v>
      </c>
      <c r="AG536">
        <f t="shared" si="142"/>
        <v>4148.26</v>
      </c>
      <c r="AH536" s="11">
        <f t="shared" si="143"/>
        <v>0.26166110324747249</v>
      </c>
      <c r="AI536" s="9">
        <f t="shared" si="144"/>
        <v>0.26166110324747249</v>
      </c>
      <c r="AJ536">
        <f t="shared" si="145"/>
        <v>0</v>
      </c>
      <c r="AK536">
        <f t="shared" si="146"/>
        <v>0</v>
      </c>
      <c r="AL536">
        <f t="shared" si="147"/>
        <v>0</v>
      </c>
      <c r="AM536">
        <f t="shared" si="148"/>
        <v>0</v>
      </c>
      <c r="AN536">
        <f t="shared" si="149"/>
        <v>0</v>
      </c>
      <c r="AO536">
        <f t="shared" si="150"/>
        <v>0</v>
      </c>
      <c r="AP536">
        <f t="shared" si="151"/>
        <v>14268.2</v>
      </c>
      <c r="AQ536">
        <f t="shared" si="152"/>
        <v>1</v>
      </c>
    </row>
    <row r="537" spans="1:43">
      <c r="A537" t="s">
        <v>1701</v>
      </c>
      <c r="B537" s="5">
        <v>45431</v>
      </c>
      <c r="C537" s="5">
        <v>45433</v>
      </c>
      <c r="D537" s="13">
        <f t="shared" si="136"/>
        <v>2</v>
      </c>
      <c r="E537" t="s">
        <v>1702</v>
      </c>
      <c r="F537" t="s">
        <v>162</v>
      </c>
      <c r="G537" t="s">
        <v>37</v>
      </c>
      <c r="H537" t="s">
        <v>63</v>
      </c>
      <c r="I537" t="s">
        <v>64</v>
      </c>
      <c r="J537" t="s">
        <v>65</v>
      </c>
      <c r="K537" t="s">
        <v>74</v>
      </c>
      <c r="L537" t="s">
        <v>80</v>
      </c>
      <c r="M537" t="s">
        <v>1703</v>
      </c>
      <c r="N537" t="s">
        <v>50</v>
      </c>
      <c r="O537">
        <v>3</v>
      </c>
      <c r="P537">
        <v>4000.98</v>
      </c>
      <c r="Q537" s="11">
        <v>0.2</v>
      </c>
      <c r="R537">
        <v>9602.35</v>
      </c>
      <c r="S537">
        <v>7387.57</v>
      </c>
      <c r="T537">
        <v>2214.7800000000002</v>
      </c>
      <c r="U537" t="s">
        <v>32</v>
      </c>
      <c r="V537" t="s">
        <v>33</v>
      </c>
      <c r="X537" s="8" t="str">
        <f>IF(C537&gt;=B537,"Valid", "Invalid-Date")</f>
        <v>Valid</v>
      </c>
      <c r="Y537" s="8" t="str">
        <f t="shared" si="137"/>
        <v>Valid</v>
      </c>
      <c r="Z537" s="8" t="str">
        <f t="shared" si="138"/>
        <v>Pass</v>
      </c>
      <c r="AA537" s="8" t="str">
        <f t="shared" si="139"/>
        <v>Pass</v>
      </c>
      <c r="AB537" s="8" t="str">
        <f>TEXT(B537,"mmmm")</f>
        <v>May</v>
      </c>
      <c r="AC537" s="8" t="str">
        <f>TEXT(B537,"yyyy")</f>
        <v>2024</v>
      </c>
      <c r="AE537">
        <f t="shared" si="140"/>
        <v>12002.94</v>
      </c>
      <c r="AF537" s="11">
        <f t="shared" si="141"/>
        <v>9602.3520000000008</v>
      </c>
      <c r="AG537">
        <f t="shared" si="142"/>
        <v>4615.3700000000008</v>
      </c>
      <c r="AH537" s="11">
        <f t="shared" si="143"/>
        <v>0.38451995927664395</v>
      </c>
      <c r="AI537" s="9">
        <f t="shared" si="144"/>
        <v>0.38451995927664395</v>
      </c>
      <c r="AJ537">
        <f t="shared" si="145"/>
        <v>9602.35</v>
      </c>
      <c r="AK537">
        <f t="shared" si="146"/>
        <v>1</v>
      </c>
      <c r="AL537">
        <f t="shared" si="147"/>
        <v>0</v>
      </c>
      <c r="AM537">
        <f t="shared" si="148"/>
        <v>0</v>
      </c>
      <c r="AN537">
        <f t="shared" si="149"/>
        <v>0</v>
      </c>
      <c r="AO537">
        <f t="shared" si="150"/>
        <v>0</v>
      </c>
      <c r="AP537">
        <f t="shared" si="151"/>
        <v>0</v>
      </c>
      <c r="AQ537">
        <f t="shared" si="152"/>
        <v>0</v>
      </c>
    </row>
    <row r="538" spans="1:43">
      <c r="A538" t="s">
        <v>1704</v>
      </c>
      <c r="B538" s="5">
        <v>45757</v>
      </c>
      <c r="C538" s="5">
        <v>45764</v>
      </c>
      <c r="D538" s="13">
        <f t="shared" si="136"/>
        <v>7</v>
      </c>
      <c r="E538" t="s">
        <v>1705</v>
      </c>
      <c r="F538" t="s">
        <v>62</v>
      </c>
      <c r="G538" t="s">
        <v>37</v>
      </c>
      <c r="H538" t="s">
        <v>63</v>
      </c>
      <c r="I538" t="s">
        <v>26</v>
      </c>
      <c r="J538" t="s">
        <v>109</v>
      </c>
      <c r="K538" t="s">
        <v>41</v>
      </c>
      <c r="L538" t="s">
        <v>66</v>
      </c>
      <c r="M538" t="s">
        <v>1706</v>
      </c>
      <c r="N538" t="s">
        <v>50</v>
      </c>
      <c r="O538">
        <v>7</v>
      </c>
      <c r="P538">
        <v>3788.9</v>
      </c>
      <c r="Q538" s="11">
        <v>0.25</v>
      </c>
      <c r="R538">
        <v>19891.72</v>
      </c>
      <c r="S538">
        <v>12295.76</v>
      </c>
      <c r="T538">
        <v>7595.96</v>
      </c>
      <c r="U538" t="s">
        <v>155</v>
      </c>
      <c r="V538" t="s">
        <v>68</v>
      </c>
      <c r="X538" s="8" t="str">
        <f>IF(C538&gt;=B538,"Valid", "Invalid-Date")</f>
        <v>Valid</v>
      </c>
      <c r="Y538" s="8" t="str">
        <f t="shared" si="137"/>
        <v>Valid</v>
      </c>
      <c r="Z538" s="8" t="str">
        <f t="shared" si="138"/>
        <v>Pass</v>
      </c>
      <c r="AA538" s="8" t="str">
        <f t="shared" si="139"/>
        <v>Pass</v>
      </c>
      <c r="AB538" s="8" t="str">
        <f>TEXT(B538,"mmmm")</f>
        <v>April</v>
      </c>
      <c r="AC538" s="8" t="str">
        <f>TEXT(B538,"yyyy")</f>
        <v>2025</v>
      </c>
      <c r="AE538">
        <f t="shared" si="140"/>
        <v>26522.3</v>
      </c>
      <c r="AF538" s="11">
        <f t="shared" si="141"/>
        <v>19891.724999999999</v>
      </c>
      <c r="AG538">
        <f t="shared" si="142"/>
        <v>14226.539999999999</v>
      </c>
      <c r="AH538" s="11">
        <f t="shared" si="143"/>
        <v>0.53639918106649875</v>
      </c>
      <c r="AI538" s="9">
        <f t="shared" si="144"/>
        <v>0.53639918106649875</v>
      </c>
      <c r="AJ538">
        <f t="shared" si="145"/>
        <v>0</v>
      </c>
      <c r="AK538">
        <f t="shared" si="146"/>
        <v>0</v>
      </c>
      <c r="AL538">
        <f t="shared" si="147"/>
        <v>19891.72</v>
      </c>
      <c r="AM538">
        <f t="shared" si="148"/>
        <v>1</v>
      </c>
      <c r="AN538">
        <f t="shared" si="149"/>
        <v>19891.72</v>
      </c>
      <c r="AO538">
        <f t="shared" si="150"/>
        <v>1</v>
      </c>
      <c r="AP538">
        <f t="shared" si="151"/>
        <v>0</v>
      </c>
      <c r="AQ538">
        <f t="shared" si="152"/>
        <v>0</v>
      </c>
    </row>
    <row r="539" spans="1:43">
      <c r="A539" t="s">
        <v>1707</v>
      </c>
      <c r="B539" s="5">
        <v>45313</v>
      </c>
      <c r="C539" s="5">
        <v>45321</v>
      </c>
      <c r="D539" s="13">
        <f t="shared" si="136"/>
        <v>8</v>
      </c>
      <c r="E539" t="s">
        <v>1708</v>
      </c>
      <c r="F539" t="s">
        <v>62</v>
      </c>
      <c r="G539" t="s">
        <v>37</v>
      </c>
      <c r="H539" t="s">
        <v>25</v>
      </c>
      <c r="I539" t="s">
        <v>236</v>
      </c>
      <c r="J539" t="s">
        <v>237</v>
      </c>
      <c r="K539" t="s">
        <v>28</v>
      </c>
      <c r="L539" t="s">
        <v>48</v>
      </c>
      <c r="M539" t="s">
        <v>1709</v>
      </c>
      <c r="N539" t="s">
        <v>44</v>
      </c>
      <c r="O539">
        <v>3</v>
      </c>
      <c r="P539">
        <v>676.37</v>
      </c>
      <c r="Q539" s="11">
        <v>0.05</v>
      </c>
      <c r="R539">
        <v>1927.65</v>
      </c>
      <c r="S539">
        <v>1460.6</v>
      </c>
      <c r="T539">
        <v>467.05</v>
      </c>
      <c r="U539" t="s">
        <v>155</v>
      </c>
      <c r="V539" t="s">
        <v>68</v>
      </c>
      <c r="X539" s="8" t="str">
        <f>IF(C539&gt;=B539,"Valid", "Invalid-Date")</f>
        <v>Valid</v>
      </c>
      <c r="Y539" s="8" t="str">
        <f t="shared" si="137"/>
        <v>Valid</v>
      </c>
      <c r="Z539" s="8" t="str">
        <f t="shared" si="138"/>
        <v>Pass</v>
      </c>
      <c r="AA539" s="8" t="str">
        <f t="shared" si="139"/>
        <v>Pass</v>
      </c>
      <c r="AB539" s="8" t="str">
        <f>TEXT(B539,"mmmm")</f>
        <v>January</v>
      </c>
      <c r="AC539" s="8" t="str">
        <f>TEXT(B539,"yyyy")</f>
        <v>2024</v>
      </c>
      <c r="AE539">
        <f t="shared" si="140"/>
        <v>2029.1100000000001</v>
      </c>
      <c r="AF539" s="11">
        <f t="shared" si="141"/>
        <v>1927.6545000000001</v>
      </c>
      <c r="AG539">
        <f t="shared" si="142"/>
        <v>568.51000000000022</v>
      </c>
      <c r="AH539" s="11">
        <f t="shared" si="143"/>
        <v>0.28017702342406287</v>
      </c>
      <c r="AI539" s="9">
        <f t="shared" si="144"/>
        <v>0.28017702342406287</v>
      </c>
      <c r="AJ539">
        <f t="shared" si="145"/>
        <v>0</v>
      </c>
      <c r="AK539">
        <f t="shared" si="146"/>
        <v>0</v>
      </c>
      <c r="AL539">
        <f t="shared" si="147"/>
        <v>1927.65</v>
      </c>
      <c r="AM539">
        <f t="shared" si="148"/>
        <v>1</v>
      </c>
      <c r="AN539">
        <f t="shared" si="149"/>
        <v>1927.65</v>
      </c>
      <c r="AO539">
        <f t="shared" si="150"/>
        <v>1</v>
      </c>
      <c r="AP539">
        <f t="shared" si="151"/>
        <v>0</v>
      </c>
      <c r="AQ539">
        <f t="shared" si="152"/>
        <v>0</v>
      </c>
    </row>
    <row r="540" spans="1:43">
      <c r="A540" t="s">
        <v>1710</v>
      </c>
      <c r="B540" s="5">
        <v>45560</v>
      </c>
      <c r="C540" s="5">
        <v>45566</v>
      </c>
      <c r="D540" s="13">
        <f t="shared" si="136"/>
        <v>6</v>
      </c>
      <c r="E540" t="s">
        <v>1711</v>
      </c>
      <c r="F540" t="s">
        <v>162</v>
      </c>
      <c r="G540" t="s">
        <v>37</v>
      </c>
      <c r="H540" t="s">
        <v>38</v>
      </c>
      <c r="I540" t="s">
        <v>228</v>
      </c>
      <c r="J540" t="s">
        <v>229</v>
      </c>
      <c r="K540" t="s">
        <v>41</v>
      </c>
      <c r="L540" t="s">
        <v>42</v>
      </c>
      <c r="M540" t="s">
        <v>1712</v>
      </c>
      <c r="N540" t="s">
        <v>31</v>
      </c>
      <c r="O540">
        <v>9</v>
      </c>
      <c r="P540">
        <v>3908.6</v>
      </c>
      <c r="Q540" s="11">
        <v>0.15</v>
      </c>
      <c r="R540">
        <v>29900.79</v>
      </c>
      <c r="S540">
        <v>24650.67</v>
      </c>
      <c r="T540">
        <v>5250.12</v>
      </c>
      <c r="U540" t="s">
        <v>32</v>
      </c>
      <c r="V540" t="s">
        <v>33</v>
      </c>
      <c r="X540" s="8" t="str">
        <f>IF(C540&gt;=B540,"Valid", "Invalid-Date")</f>
        <v>Valid</v>
      </c>
      <c r="Y540" s="8" t="str">
        <f t="shared" si="137"/>
        <v>Valid</v>
      </c>
      <c r="Z540" s="8" t="str">
        <f t="shared" si="138"/>
        <v>Pass</v>
      </c>
      <c r="AA540" s="8" t="str">
        <f t="shared" si="139"/>
        <v>Pass</v>
      </c>
      <c r="AB540" s="8" t="str">
        <f>TEXT(B540,"mmmm")</f>
        <v>September</v>
      </c>
      <c r="AC540" s="8" t="str">
        <f>TEXT(B540,"yyyy")</f>
        <v>2024</v>
      </c>
      <c r="AE540">
        <f t="shared" si="140"/>
        <v>35177.4</v>
      </c>
      <c r="AF540" s="11">
        <f t="shared" si="141"/>
        <v>29900.79</v>
      </c>
      <c r="AG540">
        <f t="shared" si="142"/>
        <v>10526.730000000003</v>
      </c>
      <c r="AH540" s="11">
        <f t="shared" si="143"/>
        <v>0.2992469596957138</v>
      </c>
      <c r="AI540" s="9">
        <f t="shared" si="144"/>
        <v>0.2992469596957138</v>
      </c>
      <c r="AJ540">
        <f t="shared" si="145"/>
        <v>29900.79</v>
      </c>
      <c r="AK540">
        <f t="shared" si="146"/>
        <v>1</v>
      </c>
      <c r="AL540">
        <f t="shared" si="147"/>
        <v>0</v>
      </c>
      <c r="AM540">
        <f t="shared" si="148"/>
        <v>0</v>
      </c>
      <c r="AN540">
        <f t="shared" si="149"/>
        <v>0</v>
      </c>
      <c r="AO540">
        <f t="shared" si="150"/>
        <v>0</v>
      </c>
      <c r="AP540">
        <f t="shared" si="151"/>
        <v>0</v>
      </c>
      <c r="AQ540">
        <f t="shared" si="152"/>
        <v>0</v>
      </c>
    </row>
    <row r="541" spans="1:43">
      <c r="A541" t="s">
        <v>1713</v>
      </c>
      <c r="B541" s="5">
        <v>45754</v>
      </c>
      <c r="C541" s="5">
        <v>45754</v>
      </c>
      <c r="D541" s="13">
        <f t="shared" si="136"/>
        <v>0</v>
      </c>
      <c r="E541" t="s">
        <v>1714</v>
      </c>
      <c r="F541" t="s">
        <v>1715</v>
      </c>
      <c r="G541" t="s">
        <v>37</v>
      </c>
      <c r="H541" t="s">
        <v>54</v>
      </c>
      <c r="I541" t="s">
        <v>247</v>
      </c>
      <c r="J541" t="s">
        <v>248</v>
      </c>
      <c r="K541" t="s">
        <v>41</v>
      </c>
      <c r="L541" t="s">
        <v>66</v>
      </c>
      <c r="M541" t="s">
        <v>1716</v>
      </c>
      <c r="N541" t="s">
        <v>59</v>
      </c>
      <c r="O541">
        <v>3</v>
      </c>
      <c r="P541">
        <v>705.35</v>
      </c>
      <c r="Q541" s="11">
        <v>0.1</v>
      </c>
      <c r="R541">
        <v>1904.45</v>
      </c>
      <c r="S541">
        <v>1316.54</v>
      </c>
      <c r="T541">
        <v>587.91</v>
      </c>
      <c r="U541" t="s">
        <v>32</v>
      </c>
      <c r="V541" t="s">
        <v>68</v>
      </c>
      <c r="X541" s="8" t="str">
        <f>IF(C541&gt;=B541,"Valid", "Invalid-Date")</f>
        <v>Valid</v>
      </c>
      <c r="Y541" s="8" t="str">
        <f t="shared" si="137"/>
        <v>Valid</v>
      </c>
      <c r="Z541" s="8" t="str">
        <f t="shared" si="138"/>
        <v>Pass</v>
      </c>
      <c r="AA541" s="8" t="str">
        <f t="shared" si="139"/>
        <v>Pass</v>
      </c>
      <c r="AB541" s="8" t="str">
        <f>TEXT(B541,"mmmm")</f>
        <v>April</v>
      </c>
      <c r="AC541" s="8" t="str">
        <f>TEXT(B541,"yyyy")</f>
        <v>2025</v>
      </c>
      <c r="AE541">
        <f t="shared" si="140"/>
        <v>2116.0500000000002</v>
      </c>
      <c r="AF541" s="11">
        <f t="shared" si="141"/>
        <v>1904.4450000000002</v>
      </c>
      <c r="AG541">
        <f t="shared" si="142"/>
        <v>799.51000000000022</v>
      </c>
      <c r="AH541" s="11">
        <f t="shared" si="143"/>
        <v>0.37783133668864166</v>
      </c>
      <c r="AI541" s="9">
        <f t="shared" si="144"/>
        <v>0.37783133668864166</v>
      </c>
      <c r="AJ541">
        <f t="shared" si="145"/>
        <v>0</v>
      </c>
      <c r="AK541">
        <f t="shared" si="146"/>
        <v>0</v>
      </c>
      <c r="AL541">
        <f t="shared" si="147"/>
        <v>1904.45</v>
      </c>
      <c r="AM541">
        <f t="shared" si="148"/>
        <v>1</v>
      </c>
      <c r="AN541">
        <f t="shared" si="149"/>
        <v>0</v>
      </c>
      <c r="AO541">
        <f t="shared" si="150"/>
        <v>0</v>
      </c>
      <c r="AP541">
        <f t="shared" si="151"/>
        <v>0</v>
      </c>
      <c r="AQ541">
        <f t="shared" si="152"/>
        <v>0</v>
      </c>
    </row>
    <row r="542" spans="1:43">
      <c r="A542" t="s">
        <v>1717</v>
      </c>
      <c r="B542" s="5">
        <v>45348</v>
      </c>
      <c r="C542" s="5">
        <v>45345</v>
      </c>
      <c r="D542" s="13">
        <f t="shared" si="136"/>
        <v>-3</v>
      </c>
      <c r="E542" t="s">
        <v>1718</v>
      </c>
      <c r="F542" t="s">
        <v>264</v>
      </c>
      <c r="G542" t="s">
        <v>24</v>
      </c>
      <c r="H542" t="s">
        <v>63</v>
      </c>
      <c r="I542" t="s">
        <v>180</v>
      </c>
      <c r="J542" t="s">
        <v>181</v>
      </c>
      <c r="K542" t="s">
        <v>41</v>
      </c>
      <c r="L542" t="s">
        <v>57</v>
      </c>
      <c r="M542" t="s">
        <v>1719</v>
      </c>
      <c r="N542" t="s">
        <v>59</v>
      </c>
      <c r="O542">
        <v>7</v>
      </c>
      <c r="P542">
        <v>3852.07</v>
      </c>
      <c r="Q542" s="11">
        <v>0.2</v>
      </c>
      <c r="R542">
        <v>21571.59</v>
      </c>
      <c r="S542">
        <v>17118.07</v>
      </c>
      <c r="T542">
        <v>4453.5200000000004</v>
      </c>
      <c r="U542" t="s">
        <v>32</v>
      </c>
      <c r="V542" t="s">
        <v>33</v>
      </c>
      <c r="X542" s="8" t="str">
        <f>IF(C542&gt;=B542,"Valid", "Invalid-Date")</f>
        <v>Invalid-Date</v>
      </c>
      <c r="Y542" s="8" t="str">
        <f t="shared" si="137"/>
        <v>Valid</v>
      </c>
      <c r="Z542" s="8" t="str">
        <f t="shared" si="138"/>
        <v>Pass</v>
      </c>
      <c r="AA542" s="8" t="str">
        <f t="shared" si="139"/>
        <v>Pass</v>
      </c>
      <c r="AB542" s="8" t="str">
        <f>TEXT(B542,"mmmm")</f>
        <v>February</v>
      </c>
      <c r="AC542" s="8" t="str">
        <f>TEXT(B542,"yyyy")</f>
        <v>2024</v>
      </c>
      <c r="AE542">
        <f t="shared" si="140"/>
        <v>26964.49</v>
      </c>
      <c r="AF542" s="11">
        <f t="shared" si="141"/>
        <v>21571.592000000004</v>
      </c>
      <c r="AG542">
        <f t="shared" si="142"/>
        <v>9846.4200000000019</v>
      </c>
      <c r="AH542" s="11">
        <f t="shared" si="143"/>
        <v>0.36516247850413641</v>
      </c>
      <c r="AI542" s="9">
        <f t="shared" si="144"/>
        <v>0.36516247850413641</v>
      </c>
      <c r="AJ542">
        <f t="shared" si="145"/>
        <v>21571.59</v>
      </c>
      <c r="AK542">
        <f t="shared" si="146"/>
        <v>1</v>
      </c>
      <c r="AL542">
        <f t="shared" si="147"/>
        <v>0</v>
      </c>
      <c r="AM542">
        <f t="shared" si="148"/>
        <v>0</v>
      </c>
      <c r="AN542">
        <f t="shared" si="149"/>
        <v>0</v>
      </c>
      <c r="AO542">
        <f t="shared" si="150"/>
        <v>0</v>
      </c>
      <c r="AP542">
        <f t="shared" si="151"/>
        <v>0</v>
      </c>
      <c r="AQ542">
        <f t="shared" si="152"/>
        <v>0</v>
      </c>
    </row>
    <row r="543" spans="1:43">
      <c r="A543" t="s">
        <v>1720</v>
      </c>
      <c r="B543" s="5">
        <v>45846</v>
      </c>
      <c r="C543" s="5">
        <v>45907</v>
      </c>
      <c r="D543" s="13">
        <f t="shared" si="136"/>
        <v>61</v>
      </c>
      <c r="E543" t="s">
        <v>1721</v>
      </c>
      <c r="F543" t="s">
        <v>132</v>
      </c>
      <c r="G543" t="s">
        <v>24</v>
      </c>
      <c r="H543" t="s">
        <v>63</v>
      </c>
      <c r="I543" t="s">
        <v>64</v>
      </c>
      <c r="J543" t="s">
        <v>65</v>
      </c>
      <c r="K543" t="s">
        <v>74</v>
      </c>
      <c r="L543" t="s">
        <v>80</v>
      </c>
      <c r="M543" t="s">
        <v>1722</v>
      </c>
      <c r="N543" t="s">
        <v>44</v>
      </c>
      <c r="O543">
        <v>3</v>
      </c>
      <c r="P543">
        <v>2880.56</v>
      </c>
      <c r="Q543" s="11">
        <v>0</v>
      </c>
      <c r="R543">
        <v>8641.68</v>
      </c>
      <c r="S543">
        <v>5747.09</v>
      </c>
      <c r="T543">
        <v>2894.59</v>
      </c>
      <c r="U543" t="s">
        <v>32</v>
      </c>
      <c r="V543" t="s">
        <v>103</v>
      </c>
      <c r="X543" s="8" t="str">
        <f>IF(C543&gt;=B543,"Valid", "Invalid-Date")</f>
        <v>Valid</v>
      </c>
      <c r="Y543" s="8" t="str">
        <f t="shared" si="137"/>
        <v>Valid</v>
      </c>
      <c r="Z543" s="8" t="str">
        <f t="shared" si="138"/>
        <v>Pass</v>
      </c>
      <c r="AA543" s="8" t="str">
        <f t="shared" si="139"/>
        <v>Pass</v>
      </c>
      <c r="AB543" s="8" t="str">
        <f>TEXT(B543,"mmmm")</f>
        <v>July</v>
      </c>
      <c r="AC543" s="8" t="str">
        <f>TEXT(B543,"yyyy")</f>
        <v>2025</v>
      </c>
      <c r="AE543">
        <f t="shared" si="140"/>
        <v>8641.68</v>
      </c>
      <c r="AF543" s="11">
        <f t="shared" si="141"/>
        <v>8641.68</v>
      </c>
      <c r="AG543">
        <f t="shared" si="142"/>
        <v>2894.59</v>
      </c>
      <c r="AH543" s="11">
        <f t="shared" si="143"/>
        <v>0.33495686024013849</v>
      </c>
      <c r="AI543" s="9">
        <f t="shared" si="144"/>
        <v>0.33495686024013849</v>
      </c>
      <c r="AJ543">
        <f t="shared" si="145"/>
        <v>0</v>
      </c>
      <c r="AK543">
        <f t="shared" si="146"/>
        <v>0</v>
      </c>
      <c r="AL543">
        <f t="shared" si="147"/>
        <v>0</v>
      </c>
      <c r="AM543">
        <f t="shared" si="148"/>
        <v>0</v>
      </c>
      <c r="AN543">
        <f t="shared" si="149"/>
        <v>0</v>
      </c>
      <c r="AO543">
        <f t="shared" si="150"/>
        <v>0</v>
      </c>
      <c r="AP543">
        <f t="shared" si="151"/>
        <v>8641.68</v>
      </c>
      <c r="AQ543">
        <f t="shared" si="152"/>
        <v>1</v>
      </c>
    </row>
    <row r="544" spans="1:43">
      <c r="A544" t="s">
        <v>1723</v>
      </c>
      <c r="B544" s="5">
        <v>45552</v>
      </c>
      <c r="C544" s="5">
        <v>45558</v>
      </c>
      <c r="D544" s="13">
        <f t="shared" si="136"/>
        <v>6</v>
      </c>
      <c r="E544" t="s">
        <v>1724</v>
      </c>
      <c r="F544" t="s">
        <v>118</v>
      </c>
      <c r="G544" t="s">
        <v>95</v>
      </c>
      <c r="H544" t="s">
        <v>54</v>
      </c>
      <c r="I544" t="s">
        <v>185</v>
      </c>
      <c r="J544" t="s">
        <v>186</v>
      </c>
      <c r="K544" t="s">
        <v>41</v>
      </c>
      <c r="L544" t="s">
        <v>158</v>
      </c>
      <c r="M544" t="s">
        <v>1725</v>
      </c>
      <c r="N544" t="s">
        <v>31</v>
      </c>
      <c r="O544">
        <v>3</v>
      </c>
      <c r="P544">
        <v>4067.62</v>
      </c>
      <c r="Q544" s="11">
        <v>0.2</v>
      </c>
      <c r="R544">
        <v>9988.5300000000007</v>
      </c>
      <c r="S544">
        <v>8368.24</v>
      </c>
      <c r="T544">
        <v>1394.05</v>
      </c>
      <c r="U544" t="s">
        <v>32</v>
      </c>
      <c r="V544" t="s">
        <v>68</v>
      </c>
      <c r="X544" s="8" t="str">
        <f>IF(C544&gt;=B544,"Valid", "Invalid-Date")</f>
        <v>Valid</v>
      </c>
      <c r="Y544" s="8" t="str">
        <f t="shared" si="137"/>
        <v>Valid</v>
      </c>
      <c r="Z544" s="8" t="str">
        <f t="shared" si="138"/>
        <v>Pass</v>
      </c>
      <c r="AA544" s="8" t="str">
        <f t="shared" si="139"/>
        <v>Pass</v>
      </c>
      <c r="AB544" s="8" t="str">
        <f>TEXT(B544,"mmmm")</f>
        <v>September</v>
      </c>
      <c r="AC544" s="8" t="str">
        <f>TEXT(B544,"yyyy")</f>
        <v>2024</v>
      </c>
      <c r="AE544">
        <f t="shared" si="140"/>
        <v>12202.86</v>
      </c>
      <c r="AF544" s="11">
        <f t="shared" si="141"/>
        <v>9762.2880000000005</v>
      </c>
      <c r="AG544">
        <f t="shared" si="142"/>
        <v>3834.6200000000008</v>
      </c>
      <c r="AH544" s="11">
        <f t="shared" si="143"/>
        <v>0.31423944878495702</v>
      </c>
      <c r="AI544" s="9">
        <f t="shared" si="144"/>
        <v>0.31423944878495702</v>
      </c>
      <c r="AJ544">
        <f t="shared" si="145"/>
        <v>0</v>
      </c>
      <c r="AK544">
        <f t="shared" si="146"/>
        <v>0</v>
      </c>
      <c r="AL544">
        <f t="shared" si="147"/>
        <v>9988.5300000000007</v>
      </c>
      <c r="AM544">
        <f t="shared" si="148"/>
        <v>1</v>
      </c>
      <c r="AN544">
        <f t="shared" si="149"/>
        <v>0</v>
      </c>
      <c r="AO544">
        <f t="shared" si="150"/>
        <v>0</v>
      </c>
      <c r="AP544">
        <f t="shared" si="151"/>
        <v>0</v>
      </c>
      <c r="AQ544">
        <f t="shared" si="152"/>
        <v>0</v>
      </c>
    </row>
    <row r="545" spans="1:43">
      <c r="A545" t="s">
        <v>1726</v>
      </c>
      <c r="B545" s="5">
        <v>45487</v>
      </c>
      <c r="C545" s="5">
        <v>45493</v>
      </c>
      <c r="D545" s="13">
        <f t="shared" si="136"/>
        <v>6</v>
      </c>
      <c r="E545" t="s">
        <v>1727</v>
      </c>
      <c r="F545" t="s">
        <v>36</v>
      </c>
      <c r="G545" t="s">
        <v>24</v>
      </c>
      <c r="H545" t="s">
        <v>38</v>
      </c>
      <c r="I545" t="s">
        <v>145</v>
      </c>
      <c r="J545" t="s">
        <v>146</v>
      </c>
      <c r="K545" t="s">
        <v>74</v>
      </c>
      <c r="L545" t="s">
        <v>80</v>
      </c>
      <c r="M545" t="s">
        <v>1728</v>
      </c>
      <c r="N545" t="s">
        <v>44</v>
      </c>
      <c r="O545">
        <v>1</v>
      </c>
      <c r="P545">
        <v>492.67</v>
      </c>
      <c r="Q545" s="11">
        <v>0.15</v>
      </c>
      <c r="R545">
        <v>418.77</v>
      </c>
      <c r="S545">
        <v>313.72000000000003</v>
      </c>
      <c r="T545">
        <v>105.05</v>
      </c>
      <c r="U545" t="s">
        <v>32</v>
      </c>
      <c r="V545" t="s">
        <v>33</v>
      </c>
      <c r="X545" s="8" t="str">
        <f>IF(C545&gt;=B545,"Valid", "Invalid-Date")</f>
        <v>Valid</v>
      </c>
      <c r="Y545" s="8" t="str">
        <f t="shared" si="137"/>
        <v>Valid</v>
      </c>
      <c r="Z545" s="8" t="str">
        <f t="shared" si="138"/>
        <v>Pass</v>
      </c>
      <c r="AA545" s="8" t="str">
        <f t="shared" si="139"/>
        <v>Pass</v>
      </c>
      <c r="AB545" s="8" t="str">
        <f>TEXT(B545,"mmmm")</f>
        <v>July</v>
      </c>
      <c r="AC545" s="8" t="str">
        <f>TEXT(B545,"yyyy")</f>
        <v>2024</v>
      </c>
      <c r="AE545">
        <f t="shared" si="140"/>
        <v>492.67</v>
      </c>
      <c r="AF545" s="11">
        <f t="shared" si="141"/>
        <v>418.76949999999999</v>
      </c>
      <c r="AG545">
        <f t="shared" si="142"/>
        <v>178.95</v>
      </c>
      <c r="AH545" s="11">
        <f t="shared" si="143"/>
        <v>0.36322487669230924</v>
      </c>
      <c r="AI545" s="9">
        <f t="shared" si="144"/>
        <v>0.36322487669230924</v>
      </c>
      <c r="AJ545">
        <f t="shared" si="145"/>
        <v>418.77</v>
      </c>
      <c r="AK545">
        <f t="shared" si="146"/>
        <v>1</v>
      </c>
      <c r="AL545">
        <f t="shared" si="147"/>
        <v>0</v>
      </c>
      <c r="AM545">
        <f t="shared" si="148"/>
        <v>0</v>
      </c>
      <c r="AN545">
        <f t="shared" si="149"/>
        <v>0</v>
      </c>
      <c r="AO545">
        <f t="shared" si="150"/>
        <v>0</v>
      </c>
      <c r="AP545">
        <f t="shared" si="151"/>
        <v>0</v>
      </c>
      <c r="AQ545">
        <f t="shared" si="152"/>
        <v>0</v>
      </c>
    </row>
    <row r="546" spans="1:43">
      <c r="A546" t="s">
        <v>1729</v>
      </c>
      <c r="B546" s="5">
        <v>45686</v>
      </c>
      <c r="C546" s="5">
        <v>45779</v>
      </c>
      <c r="D546" s="13">
        <f t="shared" si="136"/>
        <v>93</v>
      </c>
      <c r="E546" t="s">
        <v>1730</v>
      </c>
      <c r="F546" t="s">
        <v>62</v>
      </c>
      <c r="G546" t="s">
        <v>24</v>
      </c>
      <c r="H546" t="s">
        <v>54</v>
      </c>
      <c r="I546" t="s">
        <v>185</v>
      </c>
      <c r="J546" t="s">
        <v>186</v>
      </c>
      <c r="K546" t="s">
        <v>28</v>
      </c>
      <c r="L546" t="s">
        <v>48</v>
      </c>
      <c r="M546" t="s">
        <v>1731</v>
      </c>
      <c r="N546" t="s">
        <v>44</v>
      </c>
      <c r="O546">
        <v>8</v>
      </c>
      <c r="P546">
        <v>3643.62</v>
      </c>
      <c r="Q546" s="11">
        <v>0.25</v>
      </c>
      <c r="R546">
        <v>21861.72</v>
      </c>
      <c r="S546">
        <v>18464.34</v>
      </c>
      <c r="T546">
        <v>3397.38</v>
      </c>
      <c r="U546" t="s">
        <v>32</v>
      </c>
      <c r="V546" t="s">
        <v>68</v>
      </c>
      <c r="X546" s="8" t="str">
        <f>IF(C546&gt;=B546,"Valid", "Invalid-Date")</f>
        <v>Valid</v>
      </c>
      <c r="Y546" s="8" t="str">
        <f t="shared" si="137"/>
        <v>Valid</v>
      </c>
      <c r="Z546" s="8" t="str">
        <f t="shared" si="138"/>
        <v>Pass</v>
      </c>
      <c r="AA546" s="8" t="str">
        <f t="shared" si="139"/>
        <v>Pass</v>
      </c>
      <c r="AB546" s="8" t="str">
        <f>TEXT(B546,"mmmm")</f>
        <v>January</v>
      </c>
      <c r="AC546" s="8" t="str">
        <f>TEXT(B546,"yyyy")</f>
        <v>2025</v>
      </c>
      <c r="AE546">
        <f t="shared" si="140"/>
        <v>29148.959999999999</v>
      </c>
      <c r="AF546" s="11">
        <f t="shared" si="141"/>
        <v>21861.72</v>
      </c>
      <c r="AG546">
        <f t="shared" si="142"/>
        <v>10684.619999999999</v>
      </c>
      <c r="AH546" s="11">
        <f t="shared" si="143"/>
        <v>0.36655235727106555</v>
      </c>
      <c r="AI546" s="9">
        <f t="shared" si="144"/>
        <v>0.36655235727106555</v>
      </c>
      <c r="AJ546">
        <f t="shared" si="145"/>
        <v>0</v>
      </c>
      <c r="AK546">
        <f t="shared" si="146"/>
        <v>0</v>
      </c>
      <c r="AL546">
        <f t="shared" si="147"/>
        <v>21861.72</v>
      </c>
      <c r="AM546">
        <f t="shared" si="148"/>
        <v>1</v>
      </c>
      <c r="AN546">
        <f t="shared" si="149"/>
        <v>0</v>
      </c>
      <c r="AO546">
        <f t="shared" si="150"/>
        <v>0</v>
      </c>
      <c r="AP546">
        <f t="shared" si="151"/>
        <v>0</v>
      </c>
      <c r="AQ546">
        <f t="shared" si="152"/>
        <v>0</v>
      </c>
    </row>
    <row r="547" spans="1:43">
      <c r="A547" t="s">
        <v>1732</v>
      </c>
      <c r="B547" s="5">
        <v>45439</v>
      </c>
      <c r="C547" s="5">
        <v>45442</v>
      </c>
      <c r="D547" s="13">
        <f t="shared" si="136"/>
        <v>3</v>
      </c>
      <c r="E547" t="s">
        <v>1733</v>
      </c>
      <c r="F547" t="s">
        <v>264</v>
      </c>
      <c r="G547" t="s">
        <v>37</v>
      </c>
      <c r="H547" t="s">
        <v>38</v>
      </c>
      <c r="I547" t="s">
        <v>228</v>
      </c>
      <c r="J547" t="s">
        <v>229</v>
      </c>
      <c r="K547" t="s">
        <v>28</v>
      </c>
      <c r="L547" t="s">
        <v>124</v>
      </c>
      <c r="M547" t="s">
        <v>1734</v>
      </c>
      <c r="N547" t="s">
        <v>44</v>
      </c>
      <c r="O547">
        <v>7</v>
      </c>
      <c r="P547">
        <v>2900.86</v>
      </c>
      <c r="Q547" s="11">
        <v>0.15</v>
      </c>
      <c r="R547">
        <v>17260.12</v>
      </c>
      <c r="S547">
        <v>13513.51</v>
      </c>
      <c r="T547">
        <v>3746.61</v>
      </c>
      <c r="U547" t="s">
        <v>32</v>
      </c>
      <c r="V547" t="s">
        <v>33</v>
      </c>
      <c r="X547" s="8" t="str">
        <f>IF(C547&gt;=B547,"Valid", "Invalid-Date")</f>
        <v>Valid</v>
      </c>
      <c r="Y547" s="8" t="str">
        <f t="shared" si="137"/>
        <v>Valid</v>
      </c>
      <c r="Z547" s="8" t="str">
        <f t="shared" si="138"/>
        <v>Pass</v>
      </c>
      <c r="AA547" s="8" t="str">
        <f t="shared" si="139"/>
        <v>Pass</v>
      </c>
      <c r="AB547" s="8" t="str">
        <f>TEXT(B547,"mmmm")</f>
        <v>May</v>
      </c>
      <c r="AC547" s="8" t="str">
        <f>TEXT(B547,"yyyy")</f>
        <v>2024</v>
      </c>
      <c r="AE547">
        <f t="shared" si="140"/>
        <v>20306.02</v>
      </c>
      <c r="AF547" s="11">
        <f t="shared" si="141"/>
        <v>17260.116999999998</v>
      </c>
      <c r="AG547">
        <f t="shared" si="142"/>
        <v>6792.51</v>
      </c>
      <c r="AH547" s="11">
        <f t="shared" si="143"/>
        <v>0.33450720525243255</v>
      </c>
      <c r="AI547" s="9">
        <f t="shared" si="144"/>
        <v>0.33450720525243255</v>
      </c>
      <c r="AJ547">
        <f t="shared" si="145"/>
        <v>17260.12</v>
      </c>
      <c r="AK547">
        <f t="shared" si="146"/>
        <v>1</v>
      </c>
      <c r="AL547">
        <f t="shared" si="147"/>
        <v>0</v>
      </c>
      <c r="AM547">
        <f t="shared" si="148"/>
        <v>0</v>
      </c>
      <c r="AN547">
        <f t="shared" si="149"/>
        <v>0</v>
      </c>
      <c r="AO547">
        <f t="shared" si="150"/>
        <v>0</v>
      </c>
      <c r="AP547">
        <f t="shared" si="151"/>
        <v>0</v>
      </c>
      <c r="AQ547">
        <f t="shared" si="152"/>
        <v>0</v>
      </c>
    </row>
    <row r="548" spans="1:43">
      <c r="A548" t="s">
        <v>1735</v>
      </c>
      <c r="B548" s="5">
        <v>45883</v>
      </c>
      <c r="C548" s="5">
        <v>45891</v>
      </c>
      <c r="D548" s="13">
        <f t="shared" si="136"/>
        <v>8</v>
      </c>
      <c r="E548" t="s">
        <v>1736</v>
      </c>
      <c r="F548" t="s">
        <v>53</v>
      </c>
      <c r="G548" t="s">
        <v>90</v>
      </c>
      <c r="H548" t="s">
        <v>63</v>
      </c>
      <c r="I548" t="s">
        <v>180</v>
      </c>
      <c r="J548" t="s">
        <v>181</v>
      </c>
      <c r="K548" t="s">
        <v>28</v>
      </c>
      <c r="L548" t="s">
        <v>29</v>
      </c>
      <c r="M548" t="s">
        <v>1737</v>
      </c>
      <c r="N548" t="s">
        <v>50</v>
      </c>
      <c r="O548">
        <v>5</v>
      </c>
      <c r="P548">
        <v>2567.37</v>
      </c>
      <c r="Q548" s="11">
        <v>0.15</v>
      </c>
      <c r="R548">
        <v>10911.32</v>
      </c>
      <c r="S548">
        <v>6966.44</v>
      </c>
      <c r="T548">
        <v>4395.17</v>
      </c>
      <c r="U548" t="s">
        <v>32</v>
      </c>
      <c r="V548" t="s">
        <v>33</v>
      </c>
      <c r="X548" s="8" t="str">
        <f>IF(C548&gt;=B548,"Valid", "Invalid-Date")</f>
        <v>Valid</v>
      </c>
      <c r="Y548" s="8" t="str">
        <f t="shared" si="137"/>
        <v>Valid</v>
      </c>
      <c r="Z548" s="8" t="str">
        <f t="shared" si="138"/>
        <v>Pass</v>
      </c>
      <c r="AA548" s="8" t="str">
        <f t="shared" si="139"/>
        <v>Pass</v>
      </c>
      <c r="AB548" s="8" t="str">
        <f>TEXT(B548,"mmmm")</f>
        <v>August</v>
      </c>
      <c r="AC548" s="8" t="str">
        <f>TEXT(B548,"yyyy")</f>
        <v>2025</v>
      </c>
      <c r="AE548">
        <f t="shared" si="140"/>
        <v>12836.849999999999</v>
      </c>
      <c r="AF548" s="11">
        <f t="shared" si="141"/>
        <v>10911.322499999998</v>
      </c>
      <c r="AG548">
        <f t="shared" si="142"/>
        <v>5870.4099999999989</v>
      </c>
      <c r="AH548" s="11">
        <f t="shared" si="143"/>
        <v>0.45730923084713149</v>
      </c>
      <c r="AI548" s="9">
        <f t="shared" si="144"/>
        <v>0.45730923084713149</v>
      </c>
      <c r="AJ548">
        <f t="shared" si="145"/>
        <v>10911.32</v>
      </c>
      <c r="AK548">
        <f t="shared" si="146"/>
        <v>1</v>
      </c>
      <c r="AL548">
        <f t="shared" si="147"/>
        <v>0</v>
      </c>
      <c r="AM548">
        <f t="shared" si="148"/>
        <v>0</v>
      </c>
      <c r="AN548">
        <f t="shared" si="149"/>
        <v>0</v>
      </c>
      <c r="AO548">
        <f t="shared" si="150"/>
        <v>0</v>
      </c>
      <c r="AP548">
        <f t="shared" si="151"/>
        <v>0</v>
      </c>
      <c r="AQ548">
        <f t="shared" si="152"/>
        <v>0</v>
      </c>
    </row>
    <row r="549" spans="1:43">
      <c r="A549" t="s">
        <v>1738</v>
      </c>
      <c r="B549" s="5">
        <v>45428</v>
      </c>
      <c r="C549" s="5">
        <v>45435</v>
      </c>
      <c r="D549" s="13">
        <f t="shared" si="136"/>
        <v>7</v>
      </c>
      <c r="E549" t="s">
        <v>1739</v>
      </c>
      <c r="F549" t="s">
        <v>79</v>
      </c>
      <c r="G549" t="s">
        <v>37</v>
      </c>
      <c r="H549" t="s">
        <v>25</v>
      </c>
      <c r="I549" t="s">
        <v>136</v>
      </c>
      <c r="J549" t="s">
        <v>137</v>
      </c>
      <c r="K549" t="s">
        <v>74</v>
      </c>
      <c r="L549" t="s">
        <v>80</v>
      </c>
      <c r="M549" t="s">
        <v>1740</v>
      </c>
      <c r="N549" t="s">
        <v>59</v>
      </c>
      <c r="O549">
        <v>9</v>
      </c>
      <c r="P549">
        <v>3722.09</v>
      </c>
      <c r="Q549" s="11">
        <v>0.1</v>
      </c>
      <c r="R549">
        <v>30148.93</v>
      </c>
      <c r="S549">
        <v>25155.07</v>
      </c>
      <c r="T549">
        <v>4993.8599999999997</v>
      </c>
      <c r="U549" t="s">
        <v>32</v>
      </c>
      <c r="V549" t="s">
        <v>33</v>
      </c>
      <c r="X549" s="8" t="str">
        <f>IF(C549&gt;=B549,"Valid", "Invalid-Date")</f>
        <v>Valid</v>
      </c>
      <c r="Y549" s="8" t="str">
        <f t="shared" si="137"/>
        <v>Valid</v>
      </c>
      <c r="Z549" s="8" t="str">
        <f t="shared" si="138"/>
        <v>Pass</v>
      </c>
      <c r="AA549" s="8" t="str">
        <f t="shared" si="139"/>
        <v>Pass</v>
      </c>
      <c r="AB549" s="8" t="str">
        <f>TEXT(B549,"mmmm")</f>
        <v>May</v>
      </c>
      <c r="AC549" s="8" t="str">
        <f>TEXT(B549,"yyyy")</f>
        <v>2024</v>
      </c>
      <c r="AE549">
        <f t="shared" si="140"/>
        <v>33498.81</v>
      </c>
      <c r="AF549" s="11">
        <f t="shared" si="141"/>
        <v>30148.929</v>
      </c>
      <c r="AG549">
        <f t="shared" si="142"/>
        <v>8343.739999999998</v>
      </c>
      <c r="AH549" s="11">
        <f t="shared" si="143"/>
        <v>0.24907571343579066</v>
      </c>
      <c r="AI549" s="9">
        <f t="shared" si="144"/>
        <v>0.24907571343579066</v>
      </c>
      <c r="AJ549">
        <f t="shared" si="145"/>
        <v>30148.93</v>
      </c>
      <c r="AK549">
        <f t="shared" si="146"/>
        <v>1</v>
      </c>
      <c r="AL549">
        <f t="shared" si="147"/>
        <v>0</v>
      </c>
      <c r="AM549">
        <f t="shared" si="148"/>
        <v>0</v>
      </c>
      <c r="AN549">
        <f t="shared" si="149"/>
        <v>0</v>
      </c>
      <c r="AO549">
        <f t="shared" si="150"/>
        <v>0</v>
      </c>
      <c r="AP549">
        <f t="shared" si="151"/>
        <v>0</v>
      </c>
      <c r="AQ549">
        <f t="shared" si="152"/>
        <v>0</v>
      </c>
    </row>
    <row r="550" spans="1:43">
      <c r="A550" t="s">
        <v>1741</v>
      </c>
      <c r="B550" s="5">
        <v>45441</v>
      </c>
      <c r="C550" s="5">
        <v>45441</v>
      </c>
      <c r="D550" s="13">
        <f t="shared" si="136"/>
        <v>0</v>
      </c>
      <c r="E550" t="s">
        <v>1742</v>
      </c>
      <c r="F550" t="s">
        <v>141</v>
      </c>
      <c r="G550" t="s">
        <v>90</v>
      </c>
      <c r="H550" t="s">
        <v>38</v>
      </c>
      <c r="I550" t="s">
        <v>145</v>
      </c>
      <c r="J550" t="s">
        <v>146</v>
      </c>
      <c r="K550" t="s">
        <v>41</v>
      </c>
      <c r="L550" t="s">
        <v>158</v>
      </c>
      <c r="M550" t="s">
        <v>1743</v>
      </c>
      <c r="N550" t="s">
        <v>44</v>
      </c>
      <c r="O550">
        <v>1</v>
      </c>
      <c r="P550">
        <v>1072.01</v>
      </c>
      <c r="Q550" s="11">
        <v>0</v>
      </c>
      <c r="R550">
        <v>1072.01</v>
      </c>
      <c r="S550">
        <v>852.62</v>
      </c>
      <c r="T550">
        <v>219.39</v>
      </c>
      <c r="U550" t="s">
        <v>111</v>
      </c>
      <c r="V550" t="s">
        <v>68</v>
      </c>
      <c r="X550" s="8" t="str">
        <f>IF(C550&gt;=B550,"Valid", "Invalid-Date")</f>
        <v>Valid</v>
      </c>
      <c r="Y550" s="8" t="str">
        <f t="shared" si="137"/>
        <v>Valid</v>
      </c>
      <c r="Z550" s="8" t="str">
        <f t="shared" si="138"/>
        <v>Pass</v>
      </c>
      <c r="AA550" s="8" t="str">
        <f t="shared" si="139"/>
        <v>Pass</v>
      </c>
      <c r="AB550" s="8" t="str">
        <f>TEXT(B550,"mmmm")</f>
        <v>May</v>
      </c>
      <c r="AC550" s="8" t="str">
        <f>TEXT(B550,"yyyy")</f>
        <v>2024</v>
      </c>
      <c r="AE550">
        <f t="shared" si="140"/>
        <v>1072.01</v>
      </c>
      <c r="AF550" s="11">
        <f t="shared" si="141"/>
        <v>1072.01</v>
      </c>
      <c r="AG550">
        <f t="shared" si="142"/>
        <v>219.39</v>
      </c>
      <c r="AH550" s="11">
        <f t="shared" si="143"/>
        <v>0.20465294167032022</v>
      </c>
      <c r="AI550" s="9">
        <f t="shared" si="144"/>
        <v>0.20465294167032022</v>
      </c>
      <c r="AJ550">
        <f t="shared" si="145"/>
        <v>0</v>
      </c>
      <c r="AK550">
        <f t="shared" si="146"/>
        <v>0</v>
      </c>
      <c r="AL550">
        <f t="shared" si="147"/>
        <v>1072.01</v>
      </c>
      <c r="AM550">
        <f t="shared" si="148"/>
        <v>1</v>
      </c>
      <c r="AN550">
        <f t="shared" si="149"/>
        <v>0</v>
      </c>
      <c r="AO550">
        <f t="shared" si="150"/>
        <v>0</v>
      </c>
      <c r="AP550">
        <f t="shared" si="151"/>
        <v>0</v>
      </c>
      <c r="AQ550">
        <f t="shared" si="152"/>
        <v>0</v>
      </c>
    </row>
    <row r="551" spans="1:43" s="15" customFormat="1">
      <c r="A551" s="15" t="s">
        <v>1744</v>
      </c>
      <c r="B551" s="16">
        <v>45971</v>
      </c>
      <c r="C551" s="16">
        <v>45943</v>
      </c>
      <c r="D551" s="17">
        <f t="shared" si="136"/>
        <v>-28</v>
      </c>
      <c r="E551" s="15" t="s">
        <v>1745</v>
      </c>
      <c r="F551" s="15" t="s">
        <v>36</v>
      </c>
      <c r="G551" s="15" t="s">
        <v>90</v>
      </c>
      <c r="H551" s="15" t="s">
        <v>54</v>
      </c>
      <c r="I551" s="15" t="s">
        <v>55</v>
      </c>
      <c r="J551" s="15" t="s">
        <v>56</v>
      </c>
      <c r="K551" s="15" t="s">
        <v>28</v>
      </c>
      <c r="L551" s="15" t="s">
        <v>48</v>
      </c>
      <c r="M551" s="15" t="s">
        <v>1746</v>
      </c>
      <c r="N551" s="15" t="s">
        <v>31</v>
      </c>
      <c r="O551" s="15">
        <v>3</v>
      </c>
      <c r="P551" s="15">
        <v>3804.27</v>
      </c>
      <c r="Q551" s="18">
        <v>0.1</v>
      </c>
      <c r="R551" s="15">
        <v>10271.530000000001</v>
      </c>
      <c r="S551" s="15">
        <v>8272.24</v>
      </c>
      <c r="T551" s="15">
        <v>1999.29</v>
      </c>
      <c r="U551" s="15" t="s">
        <v>32</v>
      </c>
      <c r="V551" s="15" t="s">
        <v>33</v>
      </c>
      <c r="W551" s="25"/>
      <c r="X551" s="8" t="str">
        <f>IF(C551&gt;=B551,"Valid", "Invalid-Date")</f>
        <v>Invalid-Date</v>
      </c>
      <c r="Y551" s="8" t="str">
        <f t="shared" si="137"/>
        <v>Valid</v>
      </c>
      <c r="Z551" s="19" t="str">
        <f t="shared" si="138"/>
        <v>Pass</v>
      </c>
      <c r="AA551" s="19" t="str">
        <f t="shared" si="139"/>
        <v>Pass</v>
      </c>
      <c r="AB551" s="19" t="str">
        <f>TEXT(B551,"mmmm")</f>
        <v>November</v>
      </c>
      <c r="AC551" s="19" t="str">
        <f>TEXT(B551,"yyyy")</f>
        <v>2025</v>
      </c>
      <c r="AD551" s="20"/>
      <c r="AE551" s="15">
        <f t="shared" si="140"/>
        <v>11412.81</v>
      </c>
      <c r="AF551" s="11">
        <f t="shared" si="141"/>
        <v>10271.529</v>
      </c>
      <c r="AG551" s="15">
        <f t="shared" si="142"/>
        <v>3140.5699999999997</v>
      </c>
      <c r="AH551" s="18">
        <f t="shared" si="143"/>
        <v>0.2751793817648765</v>
      </c>
      <c r="AI551" s="21">
        <f t="shared" si="144"/>
        <v>0.2751793817648765</v>
      </c>
      <c r="AJ551">
        <f t="shared" si="145"/>
        <v>10271.530000000001</v>
      </c>
      <c r="AK551">
        <f t="shared" si="146"/>
        <v>1</v>
      </c>
      <c r="AL551">
        <f t="shared" si="147"/>
        <v>0</v>
      </c>
      <c r="AM551">
        <f t="shared" si="148"/>
        <v>0</v>
      </c>
      <c r="AN551">
        <f t="shared" si="149"/>
        <v>0</v>
      </c>
      <c r="AO551">
        <f t="shared" si="150"/>
        <v>0</v>
      </c>
      <c r="AP551">
        <f t="shared" si="151"/>
        <v>0</v>
      </c>
      <c r="AQ551">
        <f t="shared" si="152"/>
        <v>0</v>
      </c>
    </row>
    <row r="552" spans="1:43">
      <c r="A552" t="s">
        <v>1747</v>
      </c>
      <c r="B552" s="5">
        <v>45506</v>
      </c>
      <c r="C552" s="5">
        <v>45573</v>
      </c>
      <c r="D552" s="13">
        <f t="shared" si="136"/>
        <v>67</v>
      </c>
      <c r="E552" t="s">
        <v>1748</v>
      </c>
      <c r="F552" t="s">
        <v>36</v>
      </c>
      <c r="G552" t="s">
        <v>95</v>
      </c>
      <c r="H552" t="s">
        <v>38</v>
      </c>
      <c r="I552" t="s">
        <v>39</v>
      </c>
      <c r="J552" t="s">
        <v>40</v>
      </c>
      <c r="K552" t="s">
        <v>74</v>
      </c>
      <c r="L552" t="s">
        <v>75</v>
      </c>
      <c r="M552" t="s">
        <v>1749</v>
      </c>
      <c r="N552" t="s">
        <v>59</v>
      </c>
      <c r="O552">
        <v>6</v>
      </c>
      <c r="P552">
        <v>2126.44</v>
      </c>
      <c r="Q552" s="11">
        <v>0.2</v>
      </c>
      <c r="R552">
        <v>10206.91</v>
      </c>
      <c r="S552">
        <v>6764.53</v>
      </c>
      <c r="T552">
        <v>3442.38</v>
      </c>
      <c r="U552" t="s">
        <v>32</v>
      </c>
      <c r="V552" t="s">
        <v>33</v>
      </c>
      <c r="X552" s="8" t="str">
        <f>IF(C552&gt;=B552,"Valid", "Invalid-Date")</f>
        <v>Valid</v>
      </c>
      <c r="Y552" s="8" t="str">
        <f t="shared" si="137"/>
        <v>Valid</v>
      </c>
      <c r="Z552" s="8" t="str">
        <f t="shared" si="138"/>
        <v>Pass</v>
      </c>
      <c r="AA552" s="8" t="str">
        <f t="shared" si="139"/>
        <v>Pass</v>
      </c>
      <c r="AB552" s="8" t="str">
        <f>TEXT(B552,"mmmm")</f>
        <v>August</v>
      </c>
      <c r="AC552" s="8" t="str">
        <f>TEXT(B552,"yyyy")</f>
        <v>2024</v>
      </c>
      <c r="AE552">
        <f t="shared" si="140"/>
        <v>12758.64</v>
      </c>
      <c r="AF552" s="11">
        <f t="shared" si="141"/>
        <v>10206.912</v>
      </c>
      <c r="AG552">
        <f t="shared" si="142"/>
        <v>5994.11</v>
      </c>
      <c r="AH552" s="11">
        <f t="shared" si="143"/>
        <v>0.46980791056100024</v>
      </c>
      <c r="AI552" s="9">
        <f t="shared" si="144"/>
        <v>0.46980791056100024</v>
      </c>
      <c r="AJ552">
        <f t="shared" si="145"/>
        <v>10206.91</v>
      </c>
      <c r="AK552">
        <f t="shared" si="146"/>
        <v>1</v>
      </c>
      <c r="AL552">
        <f t="shared" si="147"/>
        <v>0</v>
      </c>
      <c r="AM552">
        <f t="shared" si="148"/>
        <v>0</v>
      </c>
      <c r="AN552">
        <f t="shared" si="149"/>
        <v>0</v>
      </c>
      <c r="AO552">
        <f t="shared" si="150"/>
        <v>0</v>
      </c>
      <c r="AP552">
        <f t="shared" si="151"/>
        <v>0</v>
      </c>
      <c r="AQ552">
        <f t="shared" si="152"/>
        <v>0</v>
      </c>
    </row>
    <row r="553" spans="1:43">
      <c r="A553" t="s">
        <v>1750</v>
      </c>
      <c r="B553" s="5">
        <v>45349</v>
      </c>
      <c r="C553" s="5">
        <v>45349</v>
      </c>
      <c r="D553" s="13">
        <f t="shared" si="136"/>
        <v>0</v>
      </c>
      <c r="E553" t="s">
        <v>1751</v>
      </c>
      <c r="F553" t="s">
        <v>132</v>
      </c>
      <c r="G553" t="s">
        <v>24</v>
      </c>
      <c r="H553" t="s">
        <v>38</v>
      </c>
      <c r="I553" t="s">
        <v>228</v>
      </c>
      <c r="J553" t="s">
        <v>229</v>
      </c>
      <c r="K553" t="s">
        <v>41</v>
      </c>
      <c r="L553" t="s">
        <v>66</v>
      </c>
      <c r="M553" t="s">
        <v>1752</v>
      </c>
      <c r="N553" t="s">
        <v>31</v>
      </c>
      <c r="O553">
        <v>3</v>
      </c>
      <c r="P553">
        <v>3148.09</v>
      </c>
      <c r="Q553" s="11">
        <v>0.15</v>
      </c>
      <c r="R553">
        <v>8027.63</v>
      </c>
      <c r="S553">
        <v>5496.09</v>
      </c>
      <c r="T553">
        <v>2531.54</v>
      </c>
      <c r="U553" t="s">
        <v>32</v>
      </c>
      <c r="V553" t="s">
        <v>33</v>
      </c>
      <c r="X553" s="8" t="str">
        <f>IF(C553&gt;=B553,"Valid", "Invalid-Date")</f>
        <v>Valid</v>
      </c>
      <c r="Y553" s="8" t="str">
        <f t="shared" si="137"/>
        <v>Valid</v>
      </c>
      <c r="Z553" s="8" t="str">
        <f t="shared" si="138"/>
        <v>Pass</v>
      </c>
      <c r="AA553" s="8" t="str">
        <f t="shared" si="139"/>
        <v>Pass</v>
      </c>
      <c r="AB553" s="8" t="str">
        <f>TEXT(B553,"mmmm")</f>
        <v>February</v>
      </c>
      <c r="AC553" s="8" t="str">
        <f>TEXT(B553,"yyyy")</f>
        <v>2024</v>
      </c>
      <c r="AE553">
        <f t="shared" si="140"/>
        <v>9444.27</v>
      </c>
      <c r="AF553" s="11">
        <f t="shared" si="141"/>
        <v>8027.6295</v>
      </c>
      <c r="AG553">
        <f t="shared" si="142"/>
        <v>3948.1800000000003</v>
      </c>
      <c r="AH553" s="11">
        <f t="shared" si="143"/>
        <v>0.4180503098704294</v>
      </c>
      <c r="AI553" s="9">
        <f t="shared" si="144"/>
        <v>0.4180503098704294</v>
      </c>
      <c r="AJ553">
        <f t="shared" si="145"/>
        <v>8027.63</v>
      </c>
      <c r="AK553">
        <f t="shared" si="146"/>
        <v>1</v>
      </c>
      <c r="AL553">
        <f t="shared" si="147"/>
        <v>0</v>
      </c>
      <c r="AM553">
        <f t="shared" si="148"/>
        <v>0</v>
      </c>
      <c r="AN553">
        <f t="shared" si="149"/>
        <v>0</v>
      </c>
      <c r="AO553">
        <f t="shared" si="150"/>
        <v>0</v>
      </c>
      <c r="AP553">
        <f t="shared" si="151"/>
        <v>0</v>
      </c>
      <c r="AQ553">
        <f t="shared" si="152"/>
        <v>0</v>
      </c>
    </row>
    <row r="554" spans="1:43">
      <c r="A554" t="s">
        <v>1753</v>
      </c>
      <c r="B554" s="5">
        <v>45681</v>
      </c>
      <c r="C554" s="5">
        <v>45687</v>
      </c>
      <c r="D554" s="13">
        <f t="shared" si="136"/>
        <v>6</v>
      </c>
      <c r="E554" t="s">
        <v>1754</v>
      </c>
      <c r="F554" t="s">
        <v>62</v>
      </c>
      <c r="G554" t="s">
        <v>90</v>
      </c>
      <c r="H554" t="s">
        <v>38</v>
      </c>
      <c r="I554" t="s">
        <v>99</v>
      </c>
      <c r="J554" t="s">
        <v>100</v>
      </c>
      <c r="K554" t="s">
        <v>74</v>
      </c>
      <c r="L554" t="s">
        <v>80</v>
      </c>
      <c r="M554" t="s">
        <v>1755</v>
      </c>
      <c r="N554" t="s">
        <v>59</v>
      </c>
      <c r="O554">
        <v>8</v>
      </c>
      <c r="P554">
        <v>312.52999999999997</v>
      </c>
      <c r="Q554" s="11">
        <v>0.7</v>
      </c>
      <c r="R554">
        <v>1875.18</v>
      </c>
      <c r="S554">
        <v>1579.17</v>
      </c>
      <c r="T554">
        <v>296.01</v>
      </c>
      <c r="U554" t="s">
        <v>32</v>
      </c>
      <c r="V554" t="s">
        <v>33</v>
      </c>
      <c r="X554" s="8" t="str">
        <f>IF(C554&gt;=B554,"Valid", "Invalid-Date")</f>
        <v>Valid</v>
      </c>
      <c r="Y554" s="8" t="str">
        <f t="shared" si="137"/>
        <v>Invalid-Discount</v>
      </c>
      <c r="Z554" s="8" t="str">
        <f t="shared" si="138"/>
        <v>Pass</v>
      </c>
      <c r="AA554" s="8" t="str">
        <f t="shared" si="139"/>
        <v>Pass</v>
      </c>
      <c r="AB554" s="8" t="str">
        <f>TEXT(B554,"mmmm")</f>
        <v>January</v>
      </c>
      <c r="AC554" s="8" t="str">
        <f>TEXT(B554,"yyyy")</f>
        <v>2025</v>
      </c>
      <c r="AE554">
        <f t="shared" si="140"/>
        <v>2500.2399999999998</v>
      </c>
      <c r="AF554" s="11">
        <f t="shared" si="141"/>
        <v>750.072</v>
      </c>
      <c r="AG554">
        <f t="shared" si="142"/>
        <v>921.06999999999971</v>
      </c>
      <c r="AH554" s="11">
        <f t="shared" si="143"/>
        <v>0.36839263430710645</v>
      </c>
      <c r="AI554" s="9">
        <f t="shared" si="144"/>
        <v>0.36839263430710645</v>
      </c>
      <c r="AJ554">
        <f t="shared" si="145"/>
        <v>1875.18</v>
      </c>
      <c r="AK554">
        <f t="shared" si="146"/>
        <v>1</v>
      </c>
      <c r="AL554">
        <f t="shared" si="147"/>
        <v>0</v>
      </c>
      <c r="AM554">
        <f t="shared" si="148"/>
        <v>0</v>
      </c>
      <c r="AN554">
        <f t="shared" si="149"/>
        <v>0</v>
      </c>
      <c r="AO554">
        <f t="shared" si="150"/>
        <v>0</v>
      </c>
      <c r="AP554">
        <f t="shared" si="151"/>
        <v>0</v>
      </c>
      <c r="AQ554">
        <f t="shared" si="152"/>
        <v>0</v>
      </c>
    </row>
    <row r="555" spans="1:43">
      <c r="A555" t="s">
        <v>1756</v>
      </c>
      <c r="B555" s="5">
        <v>45772</v>
      </c>
      <c r="C555" s="5">
        <v>45775</v>
      </c>
      <c r="D555" s="13">
        <f t="shared" si="136"/>
        <v>3</v>
      </c>
      <c r="E555" t="s">
        <v>1757</v>
      </c>
      <c r="F555" t="s">
        <v>128</v>
      </c>
      <c r="G555" t="s">
        <v>37</v>
      </c>
      <c r="H555" t="s">
        <v>63</v>
      </c>
      <c r="I555" t="s">
        <v>180</v>
      </c>
      <c r="J555" t="s">
        <v>181</v>
      </c>
      <c r="K555" t="s">
        <v>28</v>
      </c>
      <c r="L555" t="s">
        <v>124</v>
      </c>
      <c r="M555" t="s">
        <v>1758</v>
      </c>
      <c r="N555" t="s">
        <v>50</v>
      </c>
      <c r="O555">
        <v>9</v>
      </c>
      <c r="P555">
        <v>1294.1099999999999</v>
      </c>
      <c r="Q555" s="11">
        <v>0.25</v>
      </c>
      <c r="R555">
        <v>8735.24</v>
      </c>
      <c r="S555">
        <v>6620.07</v>
      </c>
      <c r="T555">
        <v>2115.17</v>
      </c>
      <c r="U555" t="s">
        <v>32</v>
      </c>
      <c r="V555" t="s">
        <v>33</v>
      </c>
      <c r="X555" s="8" t="str">
        <f>IF(C555&gt;=B555,"Valid", "Invalid-Date")</f>
        <v>Valid</v>
      </c>
      <c r="Y555" s="8" t="str">
        <f t="shared" si="137"/>
        <v>Valid</v>
      </c>
      <c r="Z555" s="8" t="str">
        <f t="shared" si="138"/>
        <v>Pass</v>
      </c>
      <c r="AA555" s="8" t="str">
        <f t="shared" si="139"/>
        <v>Pass</v>
      </c>
      <c r="AB555" s="8" t="str">
        <f>TEXT(B555,"mmmm")</f>
        <v>April</v>
      </c>
      <c r="AC555" s="8" t="str">
        <f>TEXT(B555,"yyyy")</f>
        <v>2025</v>
      </c>
      <c r="AE555">
        <f t="shared" si="140"/>
        <v>11646.99</v>
      </c>
      <c r="AF555" s="11">
        <f t="shared" si="141"/>
        <v>8735.2425000000003</v>
      </c>
      <c r="AG555">
        <f t="shared" si="142"/>
        <v>5026.92</v>
      </c>
      <c r="AH555" s="11">
        <f t="shared" si="143"/>
        <v>0.43160679282801823</v>
      </c>
      <c r="AI555" s="9">
        <f t="shared" si="144"/>
        <v>0.43160679282801823</v>
      </c>
      <c r="AJ555">
        <f t="shared" si="145"/>
        <v>8735.24</v>
      </c>
      <c r="AK555">
        <f t="shared" si="146"/>
        <v>1</v>
      </c>
      <c r="AL555">
        <f t="shared" si="147"/>
        <v>0</v>
      </c>
      <c r="AM555">
        <f t="shared" si="148"/>
        <v>0</v>
      </c>
      <c r="AN555">
        <f t="shared" si="149"/>
        <v>0</v>
      </c>
      <c r="AO555">
        <f t="shared" si="150"/>
        <v>0</v>
      </c>
      <c r="AP555">
        <f t="shared" si="151"/>
        <v>0</v>
      </c>
      <c r="AQ555">
        <f t="shared" si="152"/>
        <v>0</v>
      </c>
    </row>
    <row r="556" spans="1:43">
      <c r="A556" t="s">
        <v>1759</v>
      </c>
      <c r="B556" s="5">
        <v>45577</v>
      </c>
      <c r="C556" s="5">
        <v>45582</v>
      </c>
      <c r="D556" s="13">
        <f t="shared" si="136"/>
        <v>5</v>
      </c>
      <c r="E556" t="s">
        <v>1760</v>
      </c>
      <c r="F556" t="s">
        <v>53</v>
      </c>
      <c r="G556" t="s">
        <v>24</v>
      </c>
      <c r="H556" t="s">
        <v>2785</v>
      </c>
      <c r="I556" t="s">
        <v>228</v>
      </c>
      <c r="J556" t="s">
        <v>229</v>
      </c>
      <c r="K556" t="s">
        <v>41</v>
      </c>
      <c r="L556" t="s">
        <v>57</v>
      </c>
      <c r="M556" t="s">
        <v>1761</v>
      </c>
      <c r="N556" t="s">
        <v>59</v>
      </c>
      <c r="O556">
        <v>4</v>
      </c>
      <c r="P556">
        <v>1071.22</v>
      </c>
      <c r="Q556" s="11">
        <v>0.05</v>
      </c>
      <c r="R556">
        <v>4070.64</v>
      </c>
      <c r="S556">
        <v>2831.62</v>
      </c>
      <c r="T556">
        <v>1239.02</v>
      </c>
      <c r="U556" t="s">
        <v>32</v>
      </c>
      <c r="V556" t="s">
        <v>33</v>
      </c>
      <c r="X556" s="8" t="str">
        <f>IF(C556&gt;=B556,"Valid", "Invalid-Date")</f>
        <v>Valid</v>
      </c>
      <c r="Y556" s="8" t="str">
        <f t="shared" si="137"/>
        <v>Valid</v>
      </c>
      <c r="Z556" s="8" t="str">
        <f t="shared" si="138"/>
        <v>Pass</v>
      </c>
      <c r="AA556" s="8" t="str">
        <f t="shared" si="139"/>
        <v>Flagged</v>
      </c>
      <c r="AB556" s="8" t="str">
        <f>TEXT(B556,"mmmm")</f>
        <v>October</v>
      </c>
      <c r="AC556" s="8" t="str">
        <f>TEXT(B556,"yyyy")</f>
        <v>2024</v>
      </c>
      <c r="AE556">
        <f t="shared" si="140"/>
        <v>4284.88</v>
      </c>
      <c r="AF556" s="11">
        <f t="shared" si="141"/>
        <v>4070.636</v>
      </c>
      <c r="AG556">
        <f t="shared" si="142"/>
        <v>1453.2600000000002</v>
      </c>
      <c r="AH556" s="11">
        <f t="shared" si="143"/>
        <v>0.3391600231511735</v>
      </c>
      <c r="AI556" s="9">
        <f t="shared" si="144"/>
        <v>0.3391600231511735</v>
      </c>
      <c r="AJ556">
        <f t="shared" si="145"/>
        <v>4070.64</v>
      </c>
      <c r="AK556">
        <f t="shared" si="146"/>
        <v>1</v>
      </c>
      <c r="AL556">
        <f t="shared" si="147"/>
        <v>0</v>
      </c>
      <c r="AM556">
        <f t="shared" si="148"/>
        <v>0</v>
      </c>
      <c r="AN556">
        <f t="shared" si="149"/>
        <v>0</v>
      </c>
      <c r="AO556">
        <f t="shared" si="150"/>
        <v>0</v>
      </c>
      <c r="AP556">
        <f t="shared" si="151"/>
        <v>0</v>
      </c>
      <c r="AQ556">
        <f t="shared" si="152"/>
        <v>0</v>
      </c>
    </row>
    <row r="557" spans="1:43">
      <c r="A557" t="s">
        <v>1762</v>
      </c>
      <c r="B557" s="5">
        <v>45692</v>
      </c>
      <c r="C557" s="5">
        <v>45932</v>
      </c>
      <c r="D557" s="13">
        <f t="shared" si="136"/>
        <v>240</v>
      </c>
      <c r="E557" t="s">
        <v>1763</v>
      </c>
      <c r="F557" t="s">
        <v>62</v>
      </c>
      <c r="G557" t="s">
        <v>37</v>
      </c>
      <c r="H557" t="s">
        <v>54</v>
      </c>
      <c r="I557" t="s">
        <v>55</v>
      </c>
      <c r="J557" t="s">
        <v>56</v>
      </c>
      <c r="K557" t="s">
        <v>28</v>
      </c>
      <c r="L557" t="s">
        <v>124</v>
      </c>
      <c r="M557" t="s">
        <v>1764</v>
      </c>
      <c r="N557" t="s">
        <v>59</v>
      </c>
      <c r="O557">
        <v>6</v>
      </c>
      <c r="P557">
        <v>1042.8</v>
      </c>
      <c r="Q557" s="11">
        <v>0.05</v>
      </c>
      <c r="R557">
        <v>5943.96</v>
      </c>
      <c r="S557">
        <v>3604.14</v>
      </c>
      <c r="T557">
        <v>2339.8200000000002</v>
      </c>
      <c r="U557" t="s">
        <v>32</v>
      </c>
      <c r="V557" t="s">
        <v>33</v>
      </c>
      <c r="X557" s="8" t="str">
        <f>IF(C557&gt;=B557,"Valid", "Invalid-Date")</f>
        <v>Valid</v>
      </c>
      <c r="Y557" s="8" t="str">
        <f t="shared" si="137"/>
        <v>Valid</v>
      </c>
      <c r="Z557" s="8" t="str">
        <f t="shared" si="138"/>
        <v>Pass</v>
      </c>
      <c r="AA557" s="8" t="str">
        <f t="shared" si="139"/>
        <v>Pass</v>
      </c>
      <c r="AB557" s="8" t="str">
        <f>TEXT(B557,"mmmm")</f>
        <v>February</v>
      </c>
      <c r="AC557" s="8" t="str">
        <f>TEXT(B557,"yyyy")</f>
        <v>2025</v>
      </c>
      <c r="AE557">
        <f t="shared" si="140"/>
        <v>6256.7999999999993</v>
      </c>
      <c r="AF557" s="11">
        <f t="shared" si="141"/>
        <v>5943.9599999999991</v>
      </c>
      <c r="AG557">
        <f t="shared" si="142"/>
        <v>2652.6599999999994</v>
      </c>
      <c r="AH557" s="11">
        <f t="shared" si="143"/>
        <v>0.42396432681242802</v>
      </c>
      <c r="AI557" s="9">
        <f t="shared" si="144"/>
        <v>0.42396432681242802</v>
      </c>
      <c r="AJ557">
        <f t="shared" si="145"/>
        <v>5943.96</v>
      </c>
      <c r="AK557">
        <f t="shared" si="146"/>
        <v>1</v>
      </c>
      <c r="AL557">
        <f t="shared" si="147"/>
        <v>0</v>
      </c>
      <c r="AM557">
        <f t="shared" si="148"/>
        <v>0</v>
      </c>
      <c r="AN557">
        <f t="shared" si="149"/>
        <v>0</v>
      </c>
      <c r="AO557">
        <f t="shared" si="150"/>
        <v>0</v>
      </c>
      <c r="AP557">
        <f t="shared" si="151"/>
        <v>0</v>
      </c>
      <c r="AQ557">
        <f t="shared" si="152"/>
        <v>0</v>
      </c>
    </row>
    <row r="558" spans="1:43">
      <c r="A558" t="s">
        <v>1765</v>
      </c>
      <c r="B558" s="5">
        <v>45466</v>
      </c>
      <c r="C558" s="5">
        <v>45472</v>
      </c>
      <c r="D558" s="13">
        <f t="shared" si="136"/>
        <v>6</v>
      </c>
      <c r="E558" t="s">
        <v>1766</v>
      </c>
      <c r="F558" t="s">
        <v>79</v>
      </c>
      <c r="G558" t="s">
        <v>24</v>
      </c>
      <c r="H558" t="s">
        <v>25</v>
      </c>
      <c r="I558" t="s">
        <v>236</v>
      </c>
      <c r="J558" t="s">
        <v>237</v>
      </c>
      <c r="K558" t="s">
        <v>41</v>
      </c>
      <c r="L558" t="s">
        <v>42</v>
      </c>
      <c r="M558" t="s">
        <v>1767</v>
      </c>
      <c r="N558" t="s">
        <v>50</v>
      </c>
      <c r="O558">
        <v>1</v>
      </c>
      <c r="P558">
        <v>4426.66</v>
      </c>
      <c r="Q558" s="11">
        <v>0</v>
      </c>
      <c r="R558">
        <v>4426.66</v>
      </c>
      <c r="S558">
        <v>3035.2</v>
      </c>
      <c r="T558">
        <v>1816.23</v>
      </c>
      <c r="U558" t="s">
        <v>32</v>
      </c>
      <c r="V558" t="s">
        <v>103</v>
      </c>
      <c r="X558" s="8" t="str">
        <f>IF(C558&gt;=B558,"Valid", "Invalid-Date")</f>
        <v>Valid</v>
      </c>
      <c r="Y558" s="8" t="str">
        <f t="shared" si="137"/>
        <v>Valid</v>
      </c>
      <c r="Z558" s="8" t="str">
        <f t="shared" si="138"/>
        <v>Pass</v>
      </c>
      <c r="AA558" s="8" t="str">
        <f t="shared" si="139"/>
        <v>Pass</v>
      </c>
      <c r="AB558" s="8" t="str">
        <f>TEXT(B558,"mmmm")</f>
        <v>June</v>
      </c>
      <c r="AC558" s="8" t="str">
        <f>TEXT(B558,"yyyy")</f>
        <v>2024</v>
      </c>
      <c r="AE558">
        <f t="shared" si="140"/>
        <v>4426.66</v>
      </c>
      <c r="AF558" s="11">
        <f t="shared" si="141"/>
        <v>4426.66</v>
      </c>
      <c r="AG558">
        <f t="shared" si="142"/>
        <v>1391.46</v>
      </c>
      <c r="AH558" s="11">
        <f t="shared" si="143"/>
        <v>0.31433631677156143</v>
      </c>
      <c r="AI558" s="9">
        <f t="shared" si="144"/>
        <v>0.31433631677156143</v>
      </c>
      <c r="AJ558">
        <f t="shared" si="145"/>
        <v>0</v>
      </c>
      <c r="AK558">
        <f t="shared" si="146"/>
        <v>0</v>
      </c>
      <c r="AL558">
        <f t="shared" si="147"/>
        <v>0</v>
      </c>
      <c r="AM558">
        <f t="shared" si="148"/>
        <v>0</v>
      </c>
      <c r="AN558">
        <f t="shared" si="149"/>
        <v>0</v>
      </c>
      <c r="AO558">
        <f t="shared" si="150"/>
        <v>0</v>
      </c>
      <c r="AP558">
        <f t="shared" si="151"/>
        <v>4426.66</v>
      </c>
      <c r="AQ558">
        <f t="shared" si="152"/>
        <v>1</v>
      </c>
    </row>
    <row r="559" spans="1:43">
      <c r="A559" t="s">
        <v>1768</v>
      </c>
      <c r="B559" s="5">
        <v>45420</v>
      </c>
      <c r="C559" s="5">
        <v>45426</v>
      </c>
      <c r="D559" s="13">
        <f t="shared" si="136"/>
        <v>6</v>
      </c>
      <c r="E559" t="s">
        <v>1769</v>
      </c>
      <c r="F559" t="s">
        <v>71</v>
      </c>
      <c r="G559" t="s">
        <v>95</v>
      </c>
      <c r="H559" t="s">
        <v>25</v>
      </c>
      <c r="I559" t="s">
        <v>236</v>
      </c>
      <c r="J559" t="s">
        <v>237</v>
      </c>
      <c r="K559" t="s">
        <v>74</v>
      </c>
      <c r="L559" t="s">
        <v>171</v>
      </c>
      <c r="M559" t="s">
        <v>1770</v>
      </c>
      <c r="N559" t="s">
        <v>50</v>
      </c>
      <c r="O559">
        <v>9</v>
      </c>
      <c r="P559">
        <v>3769.46</v>
      </c>
      <c r="Q559" s="11">
        <v>0.05</v>
      </c>
      <c r="R559">
        <v>32228.880000000001</v>
      </c>
      <c r="S559">
        <v>24971.360000000001</v>
      </c>
      <c r="T559">
        <v>7257.52</v>
      </c>
      <c r="U559" t="s">
        <v>32</v>
      </c>
      <c r="V559" t="s">
        <v>68</v>
      </c>
      <c r="X559" s="8" t="str">
        <f>IF(C559&gt;=B559,"Valid", "Invalid-Date")</f>
        <v>Valid</v>
      </c>
      <c r="Y559" s="8" t="str">
        <f t="shared" si="137"/>
        <v>Valid</v>
      </c>
      <c r="Z559" s="8" t="str">
        <f t="shared" si="138"/>
        <v>Pass</v>
      </c>
      <c r="AA559" s="8" t="str">
        <f t="shared" si="139"/>
        <v>Pass</v>
      </c>
      <c r="AB559" s="8" t="str">
        <f>TEXT(B559,"mmmm")</f>
        <v>May</v>
      </c>
      <c r="AC559" s="8" t="str">
        <f>TEXT(B559,"yyyy")</f>
        <v>2024</v>
      </c>
      <c r="AE559">
        <f t="shared" si="140"/>
        <v>33925.14</v>
      </c>
      <c r="AF559" s="11">
        <f t="shared" si="141"/>
        <v>32228.882999999998</v>
      </c>
      <c r="AG559">
        <f t="shared" si="142"/>
        <v>8953.7799999999988</v>
      </c>
      <c r="AH559" s="11">
        <f t="shared" si="143"/>
        <v>0.26392757701220981</v>
      </c>
      <c r="AI559" s="9">
        <f t="shared" si="144"/>
        <v>0.26392757701220981</v>
      </c>
      <c r="AJ559">
        <f t="shared" si="145"/>
        <v>0</v>
      </c>
      <c r="AK559">
        <f t="shared" si="146"/>
        <v>0</v>
      </c>
      <c r="AL559">
        <f t="shared" si="147"/>
        <v>32228.880000000001</v>
      </c>
      <c r="AM559">
        <f t="shared" si="148"/>
        <v>1</v>
      </c>
      <c r="AN559">
        <f t="shared" si="149"/>
        <v>0</v>
      </c>
      <c r="AO559">
        <f t="shared" si="150"/>
        <v>0</v>
      </c>
      <c r="AP559">
        <f t="shared" si="151"/>
        <v>0</v>
      </c>
      <c r="AQ559">
        <f t="shared" si="152"/>
        <v>0</v>
      </c>
    </row>
    <row r="560" spans="1:43">
      <c r="A560" t="s">
        <v>1771</v>
      </c>
      <c r="B560" s="5">
        <v>45904</v>
      </c>
      <c r="C560" s="5">
        <v>45756</v>
      </c>
      <c r="D560" s="13">
        <f t="shared" si="136"/>
        <v>-148</v>
      </c>
      <c r="E560" t="s">
        <v>1772</v>
      </c>
      <c r="F560" t="s">
        <v>89</v>
      </c>
      <c r="G560" t="s">
        <v>90</v>
      </c>
      <c r="H560" t="s">
        <v>25</v>
      </c>
      <c r="I560" t="s">
        <v>122</v>
      </c>
      <c r="J560" t="s">
        <v>123</v>
      </c>
      <c r="K560" t="s">
        <v>74</v>
      </c>
      <c r="L560" t="s">
        <v>274</v>
      </c>
      <c r="M560" t="s">
        <v>1773</v>
      </c>
      <c r="N560" t="s">
        <v>50</v>
      </c>
      <c r="O560">
        <v>8</v>
      </c>
      <c r="P560">
        <v>3079.95</v>
      </c>
      <c r="Q560" s="11">
        <v>0.2</v>
      </c>
      <c r="R560">
        <v>19711.68</v>
      </c>
      <c r="S560">
        <v>14461.8</v>
      </c>
      <c r="T560">
        <v>5249.88</v>
      </c>
      <c r="U560" t="s">
        <v>32</v>
      </c>
      <c r="V560" t="s">
        <v>33</v>
      </c>
      <c r="X560" s="8" t="str">
        <f>IF(C560&gt;=B560,"Valid", "Invalid-Date")</f>
        <v>Invalid-Date</v>
      </c>
      <c r="Y560" s="8" t="str">
        <f t="shared" si="137"/>
        <v>Valid</v>
      </c>
      <c r="Z560" s="8" t="str">
        <f t="shared" si="138"/>
        <v>Pass</v>
      </c>
      <c r="AA560" s="8" t="str">
        <f t="shared" si="139"/>
        <v>Pass</v>
      </c>
      <c r="AB560" s="8" t="str">
        <f>TEXT(B560,"mmmm")</f>
        <v>September</v>
      </c>
      <c r="AC560" s="8" t="str">
        <f>TEXT(B560,"yyyy")</f>
        <v>2025</v>
      </c>
      <c r="AE560">
        <f t="shared" si="140"/>
        <v>24639.599999999999</v>
      </c>
      <c r="AF560" s="11">
        <f t="shared" si="141"/>
        <v>19711.68</v>
      </c>
      <c r="AG560">
        <f t="shared" si="142"/>
        <v>10177.799999999999</v>
      </c>
      <c r="AH560" s="11">
        <f t="shared" si="143"/>
        <v>0.41306677056445723</v>
      </c>
      <c r="AI560" s="9">
        <f t="shared" si="144"/>
        <v>0.41306677056445723</v>
      </c>
      <c r="AJ560">
        <f t="shared" si="145"/>
        <v>19711.68</v>
      </c>
      <c r="AK560">
        <f t="shared" si="146"/>
        <v>1</v>
      </c>
      <c r="AL560">
        <f t="shared" si="147"/>
        <v>0</v>
      </c>
      <c r="AM560">
        <f t="shared" si="148"/>
        <v>0</v>
      </c>
      <c r="AN560">
        <f t="shared" si="149"/>
        <v>0</v>
      </c>
      <c r="AO560">
        <f t="shared" si="150"/>
        <v>0</v>
      </c>
      <c r="AP560">
        <f t="shared" si="151"/>
        <v>0</v>
      </c>
      <c r="AQ560">
        <f t="shared" si="152"/>
        <v>0</v>
      </c>
    </row>
    <row r="561" spans="1:43">
      <c r="A561" t="s">
        <v>1774</v>
      </c>
      <c r="B561" s="5">
        <v>45930</v>
      </c>
      <c r="C561" s="5">
        <v>45848</v>
      </c>
      <c r="D561" s="13">
        <f t="shared" si="136"/>
        <v>-82</v>
      </c>
      <c r="E561" t="s">
        <v>1775</v>
      </c>
      <c r="F561" t="s">
        <v>162</v>
      </c>
      <c r="G561" t="s">
        <v>90</v>
      </c>
      <c r="H561" t="s">
        <v>38</v>
      </c>
      <c r="I561" t="s">
        <v>145</v>
      </c>
      <c r="J561" t="s">
        <v>146</v>
      </c>
      <c r="K561" t="s">
        <v>74</v>
      </c>
      <c r="L561" t="s">
        <v>80</v>
      </c>
      <c r="M561" t="s">
        <v>1776</v>
      </c>
      <c r="N561" t="s">
        <v>31</v>
      </c>
      <c r="O561">
        <v>5</v>
      </c>
      <c r="P561">
        <v>3277.82</v>
      </c>
      <c r="Q561" s="11">
        <v>0.1</v>
      </c>
      <c r="R561">
        <v>14750.19</v>
      </c>
      <c r="S561">
        <v>9482.58</v>
      </c>
      <c r="T561">
        <v>5267.61</v>
      </c>
      <c r="U561" t="s">
        <v>32</v>
      </c>
      <c r="V561" t="s">
        <v>103</v>
      </c>
      <c r="X561" s="8" t="str">
        <f>IF(C561&gt;=B561,"Valid", "Invalid-Date")</f>
        <v>Invalid-Date</v>
      </c>
      <c r="Y561" s="8" t="str">
        <f t="shared" si="137"/>
        <v>Valid</v>
      </c>
      <c r="Z561" s="8" t="str">
        <f t="shared" si="138"/>
        <v>Pass</v>
      </c>
      <c r="AA561" s="8" t="str">
        <f t="shared" si="139"/>
        <v>Pass</v>
      </c>
      <c r="AB561" s="8" t="str">
        <f>TEXT(B561,"mmmm")</f>
        <v>September</v>
      </c>
      <c r="AC561" s="8" t="str">
        <f>TEXT(B561,"yyyy")</f>
        <v>2025</v>
      </c>
      <c r="AE561">
        <f t="shared" si="140"/>
        <v>16389.100000000002</v>
      </c>
      <c r="AF561" s="11">
        <f t="shared" si="141"/>
        <v>14750.190000000002</v>
      </c>
      <c r="AG561">
        <f t="shared" si="142"/>
        <v>6906.5200000000023</v>
      </c>
      <c r="AH561" s="11">
        <f t="shared" si="143"/>
        <v>0.42140935133716928</v>
      </c>
      <c r="AI561" s="9">
        <f t="shared" si="144"/>
        <v>0.42140935133716928</v>
      </c>
      <c r="AJ561">
        <f t="shared" si="145"/>
        <v>0</v>
      </c>
      <c r="AK561">
        <f t="shared" si="146"/>
        <v>0</v>
      </c>
      <c r="AL561">
        <f t="shared" si="147"/>
        <v>0</v>
      </c>
      <c r="AM561">
        <f t="shared" si="148"/>
        <v>0</v>
      </c>
      <c r="AN561">
        <f t="shared" si="149"/>
        <v>0</v>
      </c>
      <c r="AO561">
        <f t="shared" si="150"/>
        <v>0</v>
      </c>
      <c r="AP561">
        <f t="shared" si="151"/>
        <v>14750.19</v>
      </c>
      <c r="AQ561">
        <f t="shared" si="152"/>
        <v>1</v>
      </c>
    </row>
    <row r="562" spans="1:43">
      <c r="A562" t="s">
        <v>1777</v>
      </c>
      <c r="B562" s="5">
        <v>45307</v>
      </c>
      <c r="C562" s="5">
        <v>45313</v>
      </c>
      <c r="D562" s="13">
        <f t="shared" si="136"/>
        <v>6</v>
      </c>
      <c r="E562" t="s">
        <v>1778</v>
      </c>
      <c r="F562" t="s">
        <v>53</v>
      </c>
      <c r="G562" t="s">
        <v>24</v>
      </c>
      <c r="H562" t="s">
        <v>63</v>
      </c>
      <c r="I562" t="s">
        <v>190</v>
      </c>
      <c r="J562" t="s">
        <v>191</v>
      </c>
      <c r="K562" t="s">
        <v>28</v>
      </c>
      <c r="L562" t="s">
        <v>124</v>
      </c>
      <c r="M562" t="s">
        <v>1779</v>
      </c>
      <c r="N562" t="s">
        <v>59</v>
      </c>
      <c r="O562">
        <v>4</v>
      </c>
      <c r="P562">
        <v>282.52999999999997</v>
      </c>
      <c r="Q562" s="11">
        <v>0</v>
      </c>
      <c r="R562">
        <v>1130.1199999999999</v>
      </c>
      <c r="S562">
        <v>848.62</v>
      </c>
      <c r="T562">
        <v>281.5</v>
      </c>
      <c r="U562" t="s">
        <v>32</v>
      </c>
      <c r="V562" t="s">
        <v>68</v>
      </c>
      <c r="X562" s="8" t="str">
        <f>IF(C562&gt;=B562,"Valid", "Invalid-Date")</f>
        <v>Valid</v>
      </c>
      <c r="Y562" s="8" t="str">
        <f t="shared" si="137"/>
        <v>Valid</v>
      </c>
      <c r="Z562" s="8" t="str">
        <f t="shared" si="138"/>
        <v>Pass</v>
      </c>
      <c r="AA562" s="8" t="str">
        <f t="shared" si="139"/>
        <v>Pass</v>
      </c>
      <c r="AB562" s="8" t="str">
        <f>TEXT(B562,"mmmm")</f>
        <v>January</v>
      </c>
      <c r="AC562" s="8" t="str">
        <f>TEXT(B562,"yyyy")</f>
        <v>2024</v>
      </c>
      <c r="AE562">
        <f t="shared" si="140"/>
        <v>1130.1199999999999</v>
      </c>
      <c r="AF562" s="11">
        <f t="shared" si="141"/>
        <v>1130.1199999999999</v>
      </c>
      <c r="AG562">
        <f t="shared" si="142"/>
        <v>281.49999999999989</v>
      </c>
      <c r="AH562" s="11">
        <f t="shared" si="143"/>
        <v>0.249088592361873</v>
      </c>
      <c r="AI562" s="9">
        <f t="shared" si="144"/>
        <v>0.249088592361873</v>
      </c>
      <c r="AJ562">
        <f t="shared" si="145"/>
        <v>0</v>
      </c>
      <c r="AK562">
        <f t="shared" si="146"/>
        <v>0</v>
      </c>
      <c r="AL562">
        <f t="shared" si="147"/>
        <v>1130.1199999999999</v>
      </c>
      <c r="AM562">
        <f t="shared" si="148"/>
        <v>1</v>
      </c>
      <c r="AN562">
        <f t="shared" si="149"/>
        <v>0</v>
      </c>
      <c r="AO562">
        <f t="shared" si="150"/>
        <v>0</v>
      </c>
      <c r="AP562">
        <f t="shared" si="151"/>
        <v>0</v>
      </c>
      <c r="AQ562">
        <f t="shared" si="152"/>
        <v>0</v>
      </c>
    </row>
    <row r="563" spans="1:43">
      <c r="A563" t="s">
        <v>1780</v>
      </c>
      <c r="B563" s="5">
        <v>45852</v>
      </c>
      <c r="C563" s="5">
        <v>45856</v>
      </c>
      <c r="D563" s="13">
        <f t="shared" si="136"/>
        <v>4</v>
      </c>
      <c r="E563" t="s">
        <v>1781</v>
      </c>
      <c r="F563" t="s">
        <v>89</v>
      </c>
      <c r="G563" t="s">
        <v>24</v>
      </c>
      <c r="H563" t="s">
        <v>25</v>
      </c>
      <c r="I563" t="s">
        <v>122</v>
      </c>
      <c r="J563" t="s">
        <v>123</v>
      </c>
      <c r="K563" t="s">
        <v>74</v>
      </c>
      <c r="L563" t="s">
        <v>80</v>
      </c>
      <c r="M563" t="s">
        <v>1782</v>
      </c>
      <c r="N563" t="s">
        <v>50</v>
      </c>
      <c r="O563">
        <v>4</v>
      </c>
      <c r="P563">
        <v>725.22</v>
      </c>
      <c r="Q563" s="11">
        <v>0</v>
      </c>
      <c r="R563">
        <v>2900.88</v>
      </c>
      <c r="S563">
        <v>2391.85</v>
      </c>
      <c r="T563">
        <v>509.03</v>
      </c>
      <c r="U563" t="s">
        <v>111</v>
      </c>
      <c r="V563" t="s">
        <v>103</v>
      </c>
      <c r="X563" s="8" t="str">
        <f>IF(C563&gt;=B563,"Valid", "Invalid-Date")</f>
        <v>Valid</v>
      </c>
      <c r="Y563" s="8" t="str">
        <f t="shared" si="137"/>
        <v>Valid</v>
      </c>
      <c r="Z563" s="8" t="str">
        <f t="shared" si="138"/>
        <v>Pass</v>
      </c>
      <c r="AA563" s="8" t="str">
        <f t="shared" si="139"/>
        <v>Pass</v>
      </c>
      <c r="AB563" s="8" t="str">
        <f>TEXT(B563,"mmmm")</f>
        <v>July</v>
      </c>
      <c r="AC563" s="8" t="str">
        <f>TEXT(B563,"yyyy")</f>
        <v>2025</v>
      </c>
      <c r="AE563">
        <f t="shared" si="140"/>
        <v>2900.88</v>
      </c>
      <c r="AF563" s="11">
        <f t="shared" si="141"/>
        <v>2900.88</v>
      </c>
      <c r="AG563">
        <f t="shared" si="142"/>
        <v>509.0300000000002</v>
      </c>
      <c r="AH563" s="11">
        <f t="shared" si="143"/>
        <v>0.17547433882132324</v>
      </c>
      <c r="AI563" s="9">
        <f t="shared" si="144"/>
        <v>0.17547433882132324</v>
      </c>
      <c r="AJ563">
        <f t="shared" si="145"/>
        <v>0</v>
      </c>
      <c r="AK563">
        <f t="shared" si="146"/>
        <v>0</v>
      </c>
      <c r="AL563">
        <f t="shared" si="147"/>
        <v>0</v>
      </c>
      <c r="AM563">
        <f t="shared" si="148"/>
        <v>0</v>
      </c>
      <c r="AN563">
        <f t="shared" si="149"/>
        <v>0</v>
      </c>
      <c r="AO563">
        <f t="shared" si="150"/>
        <v>0</v>
      </c>
      <c r="AP563">
        <f t="shared" si="151"/>
        <v>2900.88</v>
      </c>
      <c r="AQ563">
        <f t="shared" si="152"/>
        <v>1</v>
      </c>
    </row>
    <row r="564" spans="1:43">
      <c r="A564" t="s">
        <v>1783</v>
      </c>
      <c r="B564" s="5">
        <v>45422</v>
      </c>
      <c r="C564" s="5">
        <v>45428</v>
      </c>
      <c r="D564" s="13">
        <f t="shared" si="136"/>
        <v>6</v>
      </c>
      <c r="E564" t="s">
        <v>1784</v>
      </c>
      <c r="F564" t="s">
        <v>23</v>
      </c>
      <c r="G564" t="s">
        <v>24</v>
      </c>
      <c r="H564" t="s">
        <v>25</v>
      </c>
      <c r="I564" t="s">
        <v>122</v>
      </c>
      <c r="J564" t="s">
        <v>123</v>
      </c>
      <c r="K564" t="s">
        <v>28</v>
      </c>
      <c r="L564" t="s">
        <v>153</v>
      </c>
      <c r="M564" t="s">
        <v>1785</v>
      </c>
      <c r="N564" t="s">
        <v>44</v>
      </c>
      <c r="O564">
        <v>7</v>
      </c>
      <c r="P564">
        <v>121.54</v>
      </c>
      <c r="Q564" s="11">
        <v>0.2</v>
      </c>
      <c r="R564">
        <v>680.62</v>
      </c>
      <c r="S564">
        <v>463.49</v>
      </c>
      <c r="T564">
        <v>217.13</v>
      </c>
      <c r="U564" t="s">
        <v>155</v>
      </c>
      <c r="V564" t="s">
        <v>103</v>
      </c>
      <c r="X564" s="8" t="str">
        <f>IF(C564&gt;=B564,"Valid", "Invalid-Date")</f>
        <v>Valid</v>
      </c>
      <c r="Y564" s="8" t="str">
        <f t="shared" si="137"/>
        <v>Valid</v>
      </c>
      <c r="Z564" s="8" t="str">
        <f t="shared" si="138"/>
        <v>Pass</v>
      </c>
      <c r="AA564" s="8" t="str">
        <f t="shared" si="139"/>
        <v>Pass</v>
      </c>
      <c r="AB564" s="8" t="str">
        <f>TEXT(B564,"mmmm")</f>
        <v>May</v>
      </c>
      <c r="AC564" s="8" t="str">
        <f>TEXT(B564,"yyyy")</f>
        <v>2024</v>
      </c>
      <c r="AE564">
        <f t="shared" si="140"/>
        <v>850.78000000000009</v>
      </c>
      <c r="AF564" s="11">
        <f t="shared" si="141"/>
        <v>680.62400000000014</v>
      </c>
      <c r="AG564">
        <f t="shared" si="142"/>
        <v>387.29000000000008</v>
      </c>
      <c r="AH564" s="11">
        <f t="shared" si="143"/>
        <v>0.45521756505794686</v>
      </c>
      <c r="AI564" s="9">
        <f t="shared" si="144"/>
        <v>0.45521756505794686</v>
      </c>
      <c r="AJ564">
        <f t="shared" si="145"/>
        <v>0</v>
      </c>
      <c r="AK564">
        <f t="shared" si="146"/>
        <v>0</v>
      </c>
      <c r="AL564">
        <f t="shared" si="147"/>
        <v>0</v>
      </c>
      <c r="AM564">
        <f t="shared" si="148"/>
        <v>0</v>
      </c>
      <c r="AN564">
        <f t="shared" si="149"/>
        <v>680.62</v>
      </c>
      <c r="AO564">
        <f t="shared" si="150"/>
        <v>1</v>
      </c>
      <c r="AP564">
        <f t="shared" si="151"/>
        <v>680.62</v>
      </c>
      <c r="AQ564">
        <f t="shared" si="152"/>
        <v>1</v>
      </c>
    </row>
    <row r="565" spans="1:43">
      <c r="A565" t="s">
        <v>1786</v>
      </c>
      <c r="B565" s="5">
        <v>45448</v>
      </c>
      <c r="C565" s="5">
        <v>45424</v>
      </c>
      <c r="D565" s="13">
        <f t="shared" si="136"/>
        <v>-24</v>
      </c>
      <c r="E565" t="s">
        <v>1787</v>
      </c>
      <c r="F565" t="s">
        <v>53</v>
      </c>
      <c r="G565" t="s">
        <v>90</v>
      </c>
      <c r="H565" t="s">
        <v>63</v>
      </c>
      <c r="I565" t="s">
        <v>190</v>
      </c>
      <c r="J565" t="s">
        <v>191</v>
      </c>
      <c r="K565" t="s">
        <v>41</v>
      </c>
      <c r="L565" t="s">
        <v>42</v>
      </c>
      <c r="M565" t="s">
        <v>1788</v>
      </c>
      <c r="N565" t="s">
        <v>59</v>
      </c>
      <c r="O565">
        <v>9</v>
      </c>
      <c r="P565">
        <v>790.97</v>
      </c>
      <c r="Q565" s="11">
        <v>0.2</v>
      </c>
      <c r="R565">
        <v>5694.98</v>
      </c>
      <c r="S565">
        <v>4618.33</v>
      </c>
      <c r="T565">
        <v>1076.6500000000001</v>
      </c>
      <c r="U565" t="s">
        <v>111</v>
      </c>
      <c r="V565" t="s">
        <v>68</v>
      </c>
      <c r="X565" s="8" t="str">
        <f>IF(C565&gt;=B565,"Valid", "Invalid-Date")</f>
        <v>Invalid-Date</v>
      </c>
      <c r="Y565" s="8" t="str">
        <f t="shared" si="137"/>
        <v>Valid</v>
      </c>
      <c r="Z565" s="8" t="str">
        <f t="shared" si="138"/>
        <v>Pass</v>
      </c>
      <c r="AA565" s="8" t="str">
        <f t="shared" si="139"/>
        <v>Pass</v>
      </c>
      <c r="AB565" s="8" t="str">
        <f>TEXT(B565,"mmmm")</f>
        <v>June</v>
      </c>
      <c r="AC565" s="8" t="str">
        <f>TEXT(B565,"yyyy")</f>
        <v>2024</v>
      </c>
      <c r="AE565">
        <f t="shared" si="140"/>
        <v>7118.7300000000005</v>
      </c>
      <c r="AF565" s="11">
        <f t="shared" si="141"/>
        <v>5694.9840000000004</v>
      </c>
      <c r="AG565">
        <f t="shared" si="142"/>
        <v>2500.4000000000005</v>
      </c>
      <c r="AH565" s="11">
        <f t="shared" si="143"/>
        <v>0.35124242666880195</v>
      </c>
      <c r="AI565" s="9">
        <f t="shared" si="144"/>
        <v>0.35124242666880195</v>
      </c>
      <c r="AJ565">
        <f t="shared" si="145"/>
        <v>0</v>
      </c>
      <c r="AK565">
        <f t="shared" si="146"/>
        <v>0</v>
      </c>
      <c r="AL565">
        <f t="shared" si="147"/>
        <v>5694.98</v>
      </c>
      <c r="AM565">
        <f t="shared" si="148"/>
        <v>1</v>
      </c>
      <c r="AN565">
        <f t="shared" si="149"/>
        <v>0</v>
      </c>
      <c r="AO565">
        <f t="shared" si="150"/>
        <v>0</v>
      </c>
      <c r="AP565">
        <f t="shared" si="151"/>
        <v>0</v>
      </c>
      <c r="AQ565">
        <f t="shared" si="152"/>
        <v>0</v>
      </c>
    </row>
    <row r="566" spans="1:43">
      <c r="A566" t="s">
        <v>1789</v>
      </c>
      <c r="B566" s="5">
        <v>45576</v>
      </c>
      <c r="C566" s="5">
        <v>45610</v>
      </c>
      <c r="D566" s="13">
        <f t="shared" si="136"/>
        <v>34</v>
      </c>
      <c r="E566" t="s">
        <v>1790</v>
      </c>
      <c r="F566" t="s">
        <v>132</v>
      </c>
      <c r="G566" t="s">
        <v>90</v>
      </c>
      <c r="H566" t="s">
        <v>54</v>
      </c>
      <c r="I566" t="s">
        <v>84</v>
      </c>
      <c r="J566" t="s">
        <v>85</v>
      </c>
      <c r="K566" t="s">
        <v>41</v>
      </c>
      <c r="L566" t="s">
        <v>42</v>
      </c>
      <c r="M566" t="s">
        <v>1791</v>
      </c>
      <c r="N566" t="s">
        <v>50</v>
      </c>
      <c r="O566">
        <v>2</v>
      </c>
      <c r="P566">
        <v>921.34</v>
      </c>
      <c r="Q566" s="11">
        <v>0.2</v>
      </c>
      <c r="R566">
        <v>1474.14</v>
      </c>
      <c r="S566">
        <v>968.46</v>
      </c>
      <c r="T566">
        <v>505.68</v>
      </c>
      <c r="U566" t="s">
        <v>32</v>
      </c>
      <c r="V566" t="s">
        <v>33</v>
      </c>
      <c r="X566" s="8" t="str">
        <f>IF(C566&gt;=B566,"Valid", "Invalid-Date")</f>
        <v>Valid</v>
      </c>
      <c r="Y566" s="8" t="str">
        <f t="shared" si="137"/>
        <v>Valid</v>
      </c>
      <c r="Z566" s="8" t="str">
        <f t="shared" si="138"/>
        <v>Pass</v>
      </c>
      <c r="AA566" s="8" t="str">
        <f t="shared" si="139"/>
        <v>Pass</v>
      </c>
      <c r="AB566" s="8" t="str">
        <f>TEXT(B566,"mmmm")</f>
        <v>October</v>
      </c>
      <c r="AC566" s="8" t="str">
        <f>TEXT(B566,"yyyy")</f>
        <v>2024</v>
      </c>
      <c r="AE566">
        <f t="shared" si="140"/>
        <v>1842.68</v>
      </c>
      <c r="AF566" s="11">
        <f t="shared" si="141"/>
        <v>1474.1440000000002</v>
      </c>
      <c r="AG566">
        <f t="shared" si="142"/>
        <v>874.22</v>
      </c>
      <c r="AH566" s="11">
        <f t="shared" si="143"/>
        <v>0.47442854972105847</v>
      </c>
      <c r="AI566" s="9">
        <f t="shared" si="144"/>
        <v>0.47442854972105847</v>
      </c>
      <c r="AJ566">
        <f t="shared" si="145"/>
        <v>1474.14</v>
      </c>
      <c r="AK566">
        <f t="shared" si="146"/>
        <v>1</v>
      </c>
      <c r="AL566">
        <f t="shared" si="147"/>
        <v>0</v>
      </c>
      <c r="AM566">
        <f t="shared" si="148"/>
        <v>0</v>
      </c>
      <c r="AN566">
        <f t="shared" si="149"/>
        <v>0</v>
      </c>
      <c r="AO566">
        <f t="shared" si="150"/>
        <v>0</v>
      </c>
      <c r="AP566">
        <f t="shared" si="151"/>
        <v>0</v>
      </c>
      <c r="AQ566">
        <f t="shared" si="152"/>
        <v>0</v>
      </c>
    </row>
    <row r="567" spans="1:43">
      <c r="A567" t="s">
        <v>1792</v>
      </c>
      <c r="B567" s="5">
        <v>45876</v>
      </c>
      <c r="C567" s="5">
        <v>45882</v>
      </c>
      <c r="D567" s="13">
        <f t="shared" si="136"/>
        <v>6</v>
      </c>
      <c r="E567" t="s">
        <v>1793</v>
      </c>
      <c r="F567" t="s">
        <v>36</v>
      </c>
      <c r="G567" t="s">
        <v>90</v>
      </c>
      <c r="H567" t="s">
        <v>25</v>
      </c>
      <c r="I567" t="s">
        <v>350</v>
      </c>
      <c r="J567" t="s">
        <v>351</v>
      </c>
      <c r="K567" t="s">
        <v>74</v>
      </c>
      <c r="L567" t="s">
        <v>171</v>
      </c>
      <c r="M567" t="s">
        <v>1794</v>
      </c>
      <c r="N567" t="s">
        <v>59</v>
      </c>
      <c r="O567">
        <v>6</v>
      </c>
      <c r="P567">
        <v>1921.86</v>
      </c>
      <c r="Q567" s="11">
        <v>0.2</v>
      </c>
      <c r="R567">
        <v>9224.93</v>
      </c>
      <c r="S567">
        <v>7005.2</v>
      </c>
      <c r="T567">
        <v>2219.73</v>
      </c>
      <c r="U567" t="s">
        <v>102</v>
      </c>
      <c r="V567" t="s">
        <v>68</v>
      </c>
      <c r="X567" s="8" t="str">
        <f>IF(C567&gt;=B567,"Valid", "Invalid-Date")</f>
        <v>Valid</v>
      </c>
      <c r="Y567" s="8" t="str">
        <f t="shared" si="137"/>
        <v>Valid</v>
      </c>
      <c r="Z567" s="8" t="str">
        <f t="shared" si="138"/>
        <v>Pass</v>
      </c>
      <c r="AA567" s="8" t="str">
        <f t="shared" si="139"/>
        <v>Pass</v>
      </c>
      <c r="AB567" s="8" t="str">
        <f>TEXT(B567,"mmmm")</f>
        <v>August</v>
      </c>
      <c r="AC567" s="8" t="str">
        <f>TEXT(B567,"yyyy")</f>
        <v>2025</v>
      </c>
      <c r="AE567">
        <f t="shared" si="140"/>
        <v>11531.16</v>
      </c>
      <c r="AF567" s="11">
        <f t="shared" si="141"/>
        <v>9224.9279999999999</v>
      </c>
      <c r="AG567">
        <f t="shared" si="142"/>
        <v>4525.96</v>
      </c>
      <c r="AH567" s="11">
        <f t="shared" si="143"/>
        <v>0.39249823955265561</v>
      </c>
      <c r="AI567" s="9">
        <f t="shared" si="144"/>
        <v>0.39249823955265561</v>
      </c>
      <c r="AJ567">
        <f t="shared" si="145"/>
        <v>0</v>
      </c>
      <c r="AK567">
        <f t="shared" si="146"/>
        <v>0</v>
      </c>
      <c r="AL567">
        <f t="shared" si="147"/>
        <v>9224.93</v>
      </c>
      <c r="AM567">
        <f t="shared" si="148"/>
        <v>1</v>
      </c>
      <c r="AN567">
        <f t="shared" si="149"/>
        <v>0</v>
      </c>
      <c r="AO567">
        <f t="shared" si="150"/>
        <v>0</v>
      </c>
      <c r="AP567">
        <f t="shared" si="151"/>
        <v>0</v>
      </c>
      <c r="AQ567">
        <f t="shared" si="152"/>
        <v>0</v>
      </c>
    </row>
    <row r="568" spans="1:43">
      <c r="A568" t="s">
        <v>1795</v>
      </c>
      <c r="B568" s="5">
        <v>45515</v>
      </c>
      <c r="C568" s="5">
        <v>45523</v>
      </c>
      <c r="D568" s="13">
        <f t="shared" si="136"/>
        <v>8</v>
      </c>
      <c r="E568" t="s">
        <v>1796</v>
      </c>
      <c r="F568" t="s">
        <v>132</v>
      </c>
      <c r="G568" t="s">
        <v>37</v>
      </c>
      <c r="H568" t="s">
        <v>63</v>
      </c>
      <c r="I568" t="s">
        <v>64</v>
      </c>
      <c r="J568" t="s">
        <v>65</v>
      </c>
      <c r="K568" t="s">
        <v>28</v>
      </c>
      <c r="L568" t="s">
        <v>29</v>
      </c>
      <c r="M568" t="s">
        <v>1797</v>
      </c>
      <c r="N568" t="s">
        <v>44</v>
      </c>
      <c r="O568">
        <v>2</v>
      </c>
      <c r="P568">
        <v>2617.89</v>
      </c>
      <c r="Q568" s="11">
        <v>0.1</v>
      </c>
      <c r="R568">
        <v>4712.2</v>
      </c>
      <c r="S568">
        <v>3851.91</v>
      </c>
      <c r="T568">
        <v>860.29</v>
      </c>
      <c r="U568" t="s">
        <v>155</v>
      </c>
      <c r="V568" t="s">
        <v>103</v>
      </c>
      <c r="X568" s="8" t="str">
        <f>IF(C568&gt;=B568,"Valid", "Invalid-Date")</f>
        <v>Valid</v>
      </c>
      <c r="Y568" s="8" t="str">
        <f t="shared" si="137"/>
        <v>Valid</v>
      </c>
      <c r="Z568" s="8" t="str">
        <f t="shared" si="138"/>
        <v>Pass</v>
      </c>
      <c r="AA568" s="8" t="str">
        <f t="shared" si="139"/>
        <v>Pass</v>
      </c>
      <c r="AB568" s="8" t="str">
        <f>TEXT(B568,"mmmm")</f>
        <v>August</v>
      </c>
      <c r="AC568" s="8" t="str">
        <f>TEXT(B568,"yyyy")</f>
        <v>2024</v>
      </c>
      <c r="AE568">
        <f t="shared" si="140"/>
        <v>5235.78</v>
      </c>
      <c r="AF568" s="11">
        <f t="shared" si="141"/>
        <v>4712.2020000000002</v>
      </c>
      <c r="AG568">
        <f t="shared" si="142"/>
        <v>1383.87</v>
      </c>
      <c r="AH568" s="11">
        <f t="shared" si="143"/>
        <v>0.26431018873978662</v>
      </c>
      <c r="AI568" s="9">
        <f t="shared" si="144"/>
        <v>0.26431018873978662</v>
      </c>
      <c r="AJ568">
        <f t="shared" si="145"/>
        <v>0</v>
      </c>
      <c r="AK568">
        <f t="shared" si="146"/>
        <v>0</v>
      </c>
      <c r="AL568">
        <f t="shared" si="147"/>
        <v>0</v>
      </c>
      <c r="AM568">
        <f t="shared" si="148"/>
        <v>0</v>
      </c>
      <c r="AN568">
        <f t="shared" si="149"/>
        <v>4712.2</v>
      </c>
      <c r="AO568">
        <f t="shared" si="150"/>
        <v>1</v>
      </c>
      <c r="AP568">
        <f t="shared" si="151"/>
        <v>4712.2</v>
      </c>
      <c r="AQ568">
        <f t="shared" si="152"/>
        <v>1</v>
      </c>
    </row>
    <row r="569" spans="1:43">
      <c r="A569" t="s">
        <v>1798</v>
      </c>
      <c r="B569" s="5">
        <v>45328</v>
      </c>
      <c r="C569" s="5">
        <v>45332</v>
      </c>
      <c r="D569" s="13">
        <f t="shared" si="136"/>
        <v>4</v>
      </c>
      <c r="E569" t="s">
        <v>1799</v>
      </c>
      <c r="F569" t="s">
        <v>53</v>
      </c>
      <c r="G569" t="s">
        <v>95</v>
      </c>
      <c r="H569" t="s">
        <v>25</v>
      </c>
      <c r="I569" t="s">
        <v>136</v>
      </c>
      <c r="J569" t="s">
        <v>137</v>
      </c>
      <c r="K569" t="s">
        <v>41</v>
      </c>
      <c r="L569" t="s">
        <v>57</v>
      </c>
      <c r="M569" t="s">
        <v>596</v>
      </c>
      <c r="N569" t="s">
        <v>44</v>
      </c>
      <c r="O569">
        <v>1</v>
      </c>
      <c r="P569">
        <v>1374.06</v>
      </c>
      <c r="Q569" s="11">
        <v>0.05</v>
      </c>
      <c r="R569">
        <v>1305.3599999999999</v>
      </c>
      <c r="S569">
        <v>731.89</v>
      </c>
      <c r="T569">
        <v>573.47</v>
      </c>
      <c r="U569" t="s">
        <v>32</v>
      </c>
      <c r="V569" t="s">
        <v>33</v>
      </c>
      <c r="X569" s="8" t="str">
        <f>IF(C569&gt;=B569,"Valid", "Invalid-Date")</f>
        <v>Valid</v>
      </c>
      <c r="Y569" s="8" t="str">
        <f t="shared" si="137"/>
        <v>Valid</v>
      </c>
      <c r="Z569" s="8" t="str">
        <f t="shared" si="138"/>
        <v>Pass</v>
      </c>
      <c r="AA569" s="8" t="str">
        <f t="shared" si="139"/>
        <v>Pass</v>
      </c>
      <c r="AB569" s="8" t="str">
        <f>TEXT(B569,"mmmm")</f>
        <v>February</v>
      </c>
      <c r="AC569" s="8" t="str">
        <f>TEXT(B569,"yyyy")</f>
        <v>2024</v>
      </c>
      <c r="AE569">
        <f t="shared" si="140"/>
        <v>1374.06</v>
      </c>
      <c r="AF569" s="11">
        <f t="shared" si="141"/>
        <v>1305.357</v>
      </c>
      <c r="AG569">
        <f t="shared" si="142"/>
        <v>642.16999999999996</v>
      </c>
      <c r="AH569" s="11">
        <f t="shared" si="143"/>
        <v>0.46735222624921763</v>
      </c>
      <c r="AI569" s="9">
        <f t="shared" si="144"/>
        <v>0.46735222624921763</v>
      </c>
      <c r="AJ569">
        <f t="shared" si="145"/>
        <v>1305.3599999999999</v>
      </c>
      <c r="AK569">
        <f t="shared" si="146"/>
        <v>1</v>
      </c>
      <c r="AL569">
        <f t="shared" si="147"/>
        <v>0</v>
      </c>
      <c r="AM569">
        <f t="shared" si="148"/>
        <v>0</v>
      </c>
      <c r="AN569">
        <f t="shared" si="149"/>
        <v>0</v>
      </c>
      <c r="AO569">
        <f t="shared" si="150"/>
        <v>0</v>
      </c>
      <c r="AP569">
        <f t="shared" si="151"/>
        <v>0</v>
      </c>
      <c r="AQ569">
        <f t="shared" si="152"/>
        <v>0</v>
      </c>
    </row>
    <row r="570" spans="1:43">
      <c r="A570" t="s">
        <v>1800</v>
      </c>
      <c r="B570" s="5">
        <v>45312</v>
      </c>
      <c r="C570" s="5">
        <v>45315</v>
      </c>
      <c r="D570" s="13">
        <f t="shared" si="136"/>
        <v>3</v>
      </c>
      <c r="E570" t="s">
        <v>1801</v>
      </c>
      <c r="F570" t="s">
        <v>264</v>
      </c>
      <c r="G570" t="s">
        <v>90</v>
      </c>
      <c r="H570" t="s">
        <v>25</v>
      </c>
      <c r="I570" t="s">
        <v>122</v>
      </c>
      <c r="J570" t="s">
        <v>123</v>
      </c>
      <c r="K570" t="s">
        <v>74</v>
      </c>
      <c r="L570" t="s">
        <v>274</v>
      </c>
      <c r="M570" t="s">
        <v>1802</v>
      </c>
      <c r="N570" t="s">
        <v>44</v>
      </c>
      <c r="O570">
        <v>1</v>
      </c>
      <c r="P570">
        <v>3806.3</v>
      </c>
      <c r="Q570" s="11">
        <v>0.25</v>
      </c>
      <c r="R570">
        <v>2854.73</v>
      </c>
      <c r="S570">
        <v>1968.12</v>
      </c>
      <c r="T570">
        <v>886.61</v>
      </c>
      <c r="U570" t="s">
        <v>32</v>
      </c>
      <c r="V570" t="s">
        <v>33</v>
      </c>
      <c r="X570" s="8" t="str">
        <f>IF(C570&gt;=B570,"Valid", "Invalid-Date")</f>
        <v>Valid</v>
      </c>
      <c r="Y570" s="8" t="str">
        <f t="shared" si="137"/>
        <v>Valid</v>
      </c>
      <c r="Z570" s="8" t="str">
        <f t="shared" si="138"/>
        <v>Pass</v>
      </c>
      <c r="AA570" s="8" t="str">
        <f t="shared" si="139"/>
        <v>Pass</v>
      </c>
      <c r="AB570" s="8" t="str">
        <f>TEXT(B570,"mmmm")</f>
        <v>January</v>
      </c>
      <c r="AC570" s="8" t="str">
        <f>TEXT(B570,"yyyy")</f>
        <v>2024</v>
      </c>
      <c r="AE570">
        <f t="shared" si="140"/>
        <v>3806.3</v>
      </c>
      <c r="AF570" s="11">
        <f t="shared" si="141"/>
        <v>2854.7250000000004</v>
      </c>
      <c r="AG570">
        <f t="shared" si="142"/>
        <v>1838.1800000000003</v>
      </c>
      <c r="AH570" s="11">
        <f t="shared" si="143"/>
        <v>0.48293093029976625</v>
      </c>
      <c r="AI570" s="9">
        <f t="shared" si="144"/>
        <v>0.48293093029976625</v>
      </c>
      <c r="AJ570">
        <f t="shared" si="145"/>
        <v>2854.73</v>
      </c>
      <c r="AK570">
        <f t="shared" si="146"/>
        <v>1</v>
      </c>
      <c r="AL570">
        <f t="shared" si="147"/>
        <v>0</v>
      </c>
      <c r="AM570">
        <f t="shared" si="148"/>
        <v>0</v>
      </c>
      <c r="AN570">
        <f t="shared" si="149"/>
        <v>0</v>
      </c>
      <c r="AO570">
        <f t="shared" si="150"/>
        <v>0</v>
      </c>
      <c r="AP570">
        <f t="shared" si="151"/>
        <v>0</v>
      </c>
      <c r="AQ570">
        <f t="shared" si="152"/>
        <v>0</v>
      </c>
    </row>
    <row r="571" spans="1:43">
      <c r="A571" t="s">
        <v>1803</v>
      </c>
      <c r="B571" s="5">
        <v>45878</v>
      </c>
      <c r="C571" s="5">
        <v>45939</v>
      </c>
      <c r="D571" s="13">
        <f t="shared" si="136"/>
        <v>61</v>
      </c>
      <c r="E571" t="s">
        <v>1804</v>
      </c>
      <c r="F571" t="s">
        <v>118</v>
      </c>
      <c r="G571" t="s">
        <v>95</v>
      </c>
      <c r="H571" t="s">
        <v>63</v>
      </c>
      <c r="I571" t="s">
        <v>64</v>
      </c>
      <c r="J571" t="s">
        <v>65</v>
      </c>
      <c r="K571" t="s">
        <v>41</v>
      </c>
      <c r="L571" t="s">
        <v>57</v>
      </c>
      <c r="M571" t="s">
        <v>1805</v>
      </c>
      <c r="N571" t="s">
        <v>59</v>
      </c>
      <c r="O571">
        <v>6</v>
      </c>
      <c r="P571">
        <v>3251.17</v>
      </c>
      <c r="Q571" s="11">
        <v>0.25</v>
      </c>
      <c r="R571">
        <v>14630.26</v>
      </c>
      <c r="S571">
        <v>11906.36</v>
      </c>
      <c r="T571">
        <v>2723.9</v>
      </c>
      <c r="U571" t="s">
        <v>102</v>
      </c>
      <c r="V571" t="s">
        <v>103</v>
      </c>
      <c r="X571" s="8" t="str">
        <f>IF(C571&gt;=B571,"Valid", "Invalid-Date")</f>
        <v>Valid</v>
      </c>
      <c r="Y571" s="8" t="str">
        <f t="shared" si="137"/>
        <v>Valid</v>
      </c>
      <c r="Z571" s="8" t="str">
        <f t="shared" si="138"/>
        <v>Pass</v>
      </c>
      <c r="AA571" s="8" t="str">
        <f t="shared" si="139"/>
        <v>Pass</v>
      </c>
      <c r="AB571" s="8" t="str">
        <f>TEXT(B571,"mmmm")</f>
        <v>August</v>
      </c>
      <c r="AC571" s="8" t="str">
        <f>TEXT(B571,"yyyy")</f>
        <v>2025</v>
      </c>
      <c r="AE571">
        <f t="shared" si="140"/>
        <v>19507.02</v>
      </c>
      <c r="AF571" s="11">
        <f t="shared" si="141"/>
        <v>14630.264999999999</v>
      </c>
      <c r="AG571">
        <f t="shared" si="142"/>
        <v>7600.66</v>
      </c>
      <c r="AH571" s="11">
        <f t="shared" si="143"/>
        <v>0.38963716651748959</v>
      </c>
      <c r="AI571" s="9">
        <f t="shared" si="144"/>
        <v>0.38963716651748959</v>
      </c>
      <c r="AJ571">
        <f t="shared" si="145"/>
        <v>0</v>
      </c>
      <c r="AK571">
        <f t="shared" si="146"/>
        <v>0</v>
      </c>
      <c r="AL571">
        <f t="shared" si="147"/>
        <v>0</v>
      </c>
      <c r="AM571">
        <f t="shared" si="148"/>
        <v>0</v>
      </c>
      <c r="AN571">
        <f t="shared" si="149"/>
        <v>0</v>
      </c>
      <c r="AO571">
        <f t="shared" si="150"/>
        <v>0</v>
      </c>
      <c r="AP571">
        <f t="shared" si="151"/>
        <v>14630.26</v>
      </c>
      <c r="AQ571">
        <f t="shared" si="152"/>
        <v>1</v>
      </c>
    </row>
    <row r="572" spans="1:43">
      <c r="A572" t="s">
        <v>1806</v>
      </c>
      <c r="B572" s="5">
        <v>45887</v>
      </c>
      <c r="C572" s="5">
        <v>45891</v>
      </c>
      <c r="D572" s="13">
        <f t="shared" si="136"/>
        <v>4</v>
      </c>
      <c r="E572" t="s">
        <v>1807</v>
      </c>
      <c r="F572" t="s">
        <v>53</v>
      </c>
      <c r="G572" t="s">
        <v>24</v>
      </c>
      <c r="H572" t="s">
        <v>38</v>
      </c>
      <c r="I572" t="s">
        <v>228</v>
      </c>
      <c r="J572" t="s">
        <v>229</v>
      </c>
      <c r="K572" t="s">
        <v>41</v>
      </c>
      <c r="L572" t="s">
        <v>57</v>
      </c>
      <c r="M572" t="s">
        <v>1808</v>
      </c>
      <c r="N572" t="s">
        <v>31</v>
      </c>
      <c r="O572">
        <v>3</v>
      </c>
      <c r="P572">
        <v>3946.44</v>
      </c>
      <c r="Q572" s="11">
        <v>0.25</v>
      </c>
      <c r="R572">
        <v>8879.49</v>
      </c>
      <c r="S572">
        <v>6344.57</v>
      </c>
      <c r="T572">
        <v>2534.92</v>
      </c>
      <c r="U572" t="s">
        <v>155</v>
      </c>
      <c r="V572" t="s">
        <v>103</v>
      </c>
      <c r="X572" s="8" t="str">
        <f>IF(C572&gt;=B572,"Valid", "Invalid-Date")</f>
        <v>Valid</v>
      </c>
      <c r="Y572" s="8" t="str">
        <f t="shared" si="137"/>
        <v>Valid</v>
      </c>
      <c r="Z572" s="8" t="str">
        <f t="shared" si="138"/>
        <v>Pass</v>
      </c>
      <c r="AA572" s="8" t="str">
        <f t="shared" si="139"/>
        <v>Pass</v>
      </c>
      <c r="AB572" s="8" t="str">
        <f>TEXT(B572,"mmmm")</f>
        <v>August</v>
      </c>
      <c r="AC572" s="8" t="str">
        <f>TEXT(B572,"yyyy")</f>
        <v>2025</v>
      </c>
      <c r="AE572">
        <f t="shared" si="140"/>
        <v>11839.32</v>
      </c>
      <c r="AF572" s="11">
        <f t="shared" si="141"/>
        <v>8879.49</v>
      </c>
      <c r="AG572">
        <f t="shared" si="142"/>
        <v>5494.75</v>
      </c>
      <c r="AH572" s="11">
        <f t="shared" si="143"/>
        <v>0.46411026984657905</v>
      </c>
      <c r="AI572" s="9">
        <f t="shared" si="144"/>
        <v>0.46411026984657905</v>
      </c>
      <c r="AJ572">
        <f t="shared" si="145"/>
        <v>0</v>
      </c>
      <c r="AK572">
        <f t="shared" si="146"/>
        <v>0</v>
      </c>
      <c r="AL572">
        <f t="shared" si="147"/>
        <v>0</v>
      </c>
      <c r="AM572">
        <f t="shared" si="148"/>
        <v>0</v>
      </c>
      <c r="AN572">
        <f t="shared" si="149"/>
        <v>8879.49</v>
      </c>
      <c r="AO572">
        <f t="shared" si="150"/>
        <v>1</v>
      </c>
      <c r="AP572">
        <f t="shared" si="151"/>
        <v>8879.49</v>
      </c>
      <c r="AQ572">
        <f t="shared" si="152"/>
        <v>1</v>
      </c>
    </row>
    <row r="573" spans="1:43" s="15" customFormat="1">
      <c r="A573" s="15" t="s">
        <v>1809</v>
      </c>
      <c r="B573" s="16">
        <v>45698</v>
      </c>
      <c r="C573" s="16">
        <v>45702</v>
      </c>
      <c r="D573" s="17">
        <f t="shared" si="136"/>
        <v>4</v>
      </c>
      <c r="E573" s="15" t="s">
        <v>1810</v>
      </c>
      <c r="F573" s="15" t="s">
        <v>114</v>
      </c>
      <c r="G573" s="15" t="s">
        <v>37</v>
      </c>
      <c r="H573" s="15" t="s">
        <v>25</v>
      </c>
      <c r="I573" s="15" t="s">
        <v>136</v>
      </c>
      <c r="J573" s="15" t="s">
        <v>137</v>
      </c>
      <c r="K573" s="15" t="s">
        <v>74</v>
      </c>
      <c r="L573" s="15" t="s">
        <v>171</v>
      </c>
      <c r="M573" s="15" t="s">
        <v>1811</v>
      </c>
      <c r="N573" s="15" t="s">
        <v>2785</v>
      </c>
      <c r="O573" s="15">
        <v>5</v>
      </c>
      <c r="P573" s="15">
        <v>4276.29</v>
      </c>
      <c r="Q573" s="18">
        <v>0</v>
      </c>
      <c r="R573" s="15">
        <v>21381.45</v>
      </c>
      <c r="S573" s="15">
        <v>13240.21</v>
      </c>
      <c r="T573" s="15">
        <v>8141.24</v>
      </c>
      <c r="U573" s="15" t="s">
        <v>155</v>
      </c>
      <c r="V573" s="15" t="s">
        <v>103</v>
      </c>
      <c r="W573" s="25"/>
      <c r="X573" s="8" t="str">
        <f>IF(C573&gt;=B573,"Valid", "Invalid-Date")</f>
        <v>Valid</v>
      </c>
      <c r="Y573" s="8" t="str">
        <f t="shared" si="137"/>
        <v>Valid</v>
      </c>
      <c r="Z573" s="19" t="str">
        <f t="shared" si="138"/>
        <v>Flagged</v>
      </c>
      <c r="AA573" s="19" t="str">
        <f t="shared" si="139"/>
        <v>Pass</v>
      </c>
      <c r="AB573" s="19" t="str">
        <f>TEXT(B573,"mmmm")</f>
        <v>February</v>
      </c>
      <c r="AC573" s="19" t="str">
        <f>TEXT(B573,"yyyy")</f>
        <v>2025</v>
      </c>
      <c r="AD573" s="20"/>
      <c r="AE573" s="15">
        <f t="shared" si="140"/>
        <v>21381.45</v>
      </c>
      <c r="AF573" s="11">
        <f t="shared" si="141"/>
        <v>21381.45</v>
      </c>
      <c r="AG573" s="15">
        <f t="shared" si="142"/>
        <v>8141.2400000000016</v>
      </c>
      <c r="AH573" s="18">
        <f t="shared" si="143"/>
        <v>0.38076182859441249</v>
      </c>
      <c r="AI573" s="21">
        <f t="shared" si="144"/>
        <v>0.38076182859441249</v>
      </c>
      <c r="AJ573">
        <f t="shared" si="145"/>
        <v>0</v>
      </c>
      <c r="AK573">
        <f t="shared" si="146"/>
        <v>0</v>
      </c>
      <c r="AL573">
        <f t="shared" si="147"/>
        <v>0</v>
      </c>
      <c r="AM573">
        <f t="shared" si="148"/>
        <v>0</v>
      </c>
      <c r="AN573">
        <f t="shared" si="149"/>
        <v>21381.45</v>
      </c>
      <c r="AO573">
        <f t="shared" si="150"/>
        <v>1</v>
      </c>
      <c r="AP573">
        <f t="shared" si="151"/>
        <v>21381.45</v>
      </c>
      <c r="AQ573">
        <f t="shared" si="152"/>
        <v>1</v>
      </c>
    </row>
    <row r="574" spans="1:43">
      <c r="A574" t="s">
        <v>1812</v>
      </c>
      <c r="B574" s="5">
        <v>45323</v>
      </c>
      <c r="C574" s="5">
        <v>45300</v>
      </c>
      <c r="D574" s="13">
        <f t="shared" si="136"/>
        <v>-23</v>
      </c>
      <c r="E574" t="s">
        <v>1813</v>
      </c>
      <c r="F574" t="s">
        <v>162</v>
      </c>
      <c r="G574" t="s">
        <v>90</v>
      </c>
      <c r="H574" t="s">
        <v>25</v>
      </c>
      <c r="I574" t="s">
        <v>350</v>
      </c>
      <c r="J574" t="s">
        <v>351</v>
      </c>
      <c r="K574" t="s">
        <v>74</v>
      </c>
      <c r="L574" t="s">
        <v>171</v>
      </c>
      <c r="M574" t="s">
        <v>1814</v>
      </c>
      <c r="N574" t="s">
        <v>59</v>
      </c>
      <c r="O574">
        <v>3</v>
      </c>
      <c r="P574">
        <v>739.56</v>
      </c>
      <c r="Q574" s="11">
        <v>0.2</v>
      </c>
      <c r="R574">
        <v>1774.94</v>
      </c>
      <c r="S574">
        <v>1007.4</v>
      </c>
      <c r="T574">
        <v>767.54</v>
      </c>
      <c r="U574" t="s">
        <v>32</v>
      </c>
      <c r="V574" t="s">
        <v>33</v>
      </c>
      <c r="X574" s="8" t="str">
        <f>IF(C574&gt;=B574,"Valid", "Invalid-Date")</f>
        <v>Invalid-Date</v>
      </c>
      <c r="Y574" s="8" t="str">
        <f t="shared" si="137"/>
        <v>Valid</v>
      </c>
      <c r="Z574" s="8" t="str">
        <f t="shared" si="138"/>
        <v>Pass</v>
      </c>
      <c r="AA574" s="8" t="str">
        <f t="shared" si="139"/>
        <v>Pass</v>
      </c>
      <c r="AB574" s="8" t="str">
        <f>TEXT(B574,"mmmm")</f>
        <v>February</v>
      </c>
      <c r="AC574" s="8" t="str">
        <f>TEXT(B574,"yyyy")</f>
        <v>2024</v>
      </c>
      <c r="AE574">
        <f t="shared" si="140"/>
        <v>2218.6799999999998</v>
      </c>
      <c r="AF574" s="11">
        <f t="shared" si="141"/>
        <v>1774.944</v>
      </c>
      <c r="AG574">
        <f t="shared" si="142"/>
        <v>1211.2799999999997</v>
      </c>
      <c r="AH574" s="11">
        <f t="shared" si="143"/>
        <v>0.54594623830385625</v>
      </c>
      <c r="AI574" s="9">
        <f t="shared" si="144"/>
        <v>0.54594623830385625</v>
      </c>
      <c r="AJ574">
        <f t="shared" si="145"/>
        <v>1774.94</v>
      </c>
      <c r="AK574">
        <f t="shared" si="146"/>
        <v>1</v>
      </c>
      <c r="AL574">
        <f t="shared" si="147"/>
        <v>0</v>
      </c>
      <c r="AM574">
        <f t="shared" si="148"/>
        <v>0</v>
      </c>
      <c r="AN574">
        <f t="shared" si="149"/>
        <v>0</v>
      </c>
      <c r="AO574">
        <f t="shared" si="150"/>
        <v>0</v>
      </c>
      <c r="AP574">
        <f t="shared" si="151"/>
        <v>0</v>
      </c>
      <c r="AQ574">
        <f t="shared" si="152"/>
        <v>0</v>
      </c>
    </row>
    <row r="575" spans="1:43">
      <c r="A575" t="s">
        <v>1815</v>
      </c>
      <c r="B575" s="5">
        <v>45922</v>
      </c>
      <c r="C575" s="5">
        <v>45926</v>
      </c>
      <c r="D575" s="13">
        <f t="shared" si="136"/>
        <v>4</v>
      </c>
      <c r="E575" t="s">
        <v>1816</v>
      </c>
      <c r="F575" t="s">
        <v>47</v>
      </c>
      <c r="G575" t="s">
        <v>24</v>
      </c>
      <c r="H575" t="s">
        <v>54</v>
      </c>
      <c r="I575" t="s">
        <v>84</v>
      </c>
      <c r="J575" t="s">
        <v>85</v>
      </c>
      <c r="K575" t="s">
        <v>74</v>
      </c>
      <c r="L575" t="s">
        <v>171</v>
      </c>
      <c r="M575" t="s">
        <v>1817</v>
      </c>
      <c r="N575" t="s">
        <v>59</v>
      </c>
      <c r="O575">
        <v>1</v>
      </c>
      <c r="P575">
        <v>573.65</v>
      </c>
      <c r="Q575" s="11">
        <v>0</v>
      </c>
      <c r="R575">
        <v>573.65</v>
      </c>
      <c r="S575">
        <v>322.67</v>
      </c>
      <c r="T575">
        <v>250.98</v>
      </c>
      <c r="U575" t="s">
        <v>32</v>
      </c>
      <c r="V575" t="s">
        <v>33</v>
      </c>
      <c r="X575" s="8" t="str">
        <f>IF(C575&gt;=B575,"Valid", "Invalid-Date")</f>
        <v>Valid</v>
      </c>
      <c r="Y575" s="8" t="str">
        <f t="shared" si="137"/>
        <v>Valid</v>
      </c>
      <c r="Z575" s="8" t="str">
        <f t="shared" si="138"/>
        <v>Pass</v>
      </c>
      <c r="AA575" s="8" t="str">
        <f t="shared" si="139"/>
        <v>Pass</v>
      </c>
      <c r="AB575" s="8" t="str">
        <f>TEXT(B575,"mmmm")</f>
        <v>September</v>
      </c>
      <c r="AC575" s="8" t="str">
        <f>TEXT(B575,"yyyy")</f>
        <v>2025</v>
      </c>
      <c r="AE575">
        <f t="shared" si="140"/>
        <v>573.65</v>
      </c>
      <c r="AF575" s="11">
        <f t="shared" si="141"/>
        <v>573.65</v>
      </c>
      <c r="AG575">
        <f t="shared" si="142"/>
        <v>250.97999999999996</v>
      </c>
      <c r="AH575" s="11">
        <f t="shared" si="143"/>
        <v>0.43751416368866031</v>
      </c>
      <c r="AI575" s="9">
        <f t="shared" si="144"/>
        <v>0.43751416368866031</v>
      </c>
      <c r="AJ575">
        <f t="shared" si="145"/>
        <v>573.65</v>
      </c>
      <c r="AK575">
        <f t="shared" si="146"/>
        <v>1</v>
      </c>
      <c r="AL575">
        <f t="shared" si="147"/>
        <v>0</v>
      </c>
      <c r="AM575">
        <f t="shared" si="148"/>
        <v>0</v>
      </c>
      <c r="AN575">
        <f t="shared" si="149"/>
        <v>0</v>
      </c>
      <c r="AO575">
        <f t="shared" si="150"/>
        <v>0</v>
      </c>
      <c r="AP575">
        <f t="shared" si="151"/>
        <v>0</v>
      </c>
      <c r="AQ575">
        <f t="shared" si="152"/>
        <v>0</v>
      </c>
    </row>
    <row r="576" spans="1:43">
      <c r="A576" t="s">
        <v>1818</v>
      </c>
      <c r="B576" s="5">
        <v>45342</v>
      </c>
      <c r="C576" s="5">
        <v>45347</v>
      </c>
      <c r="D576" s="13">
        <f t="shared" si="136"/>
        <v>5</v>
      </c>
      <c r="E576" t="s">
        <v>801</v>
      </c>
      <c r="F576" t="s">
        <v>162</v>
      </c>
      <c r="G576" t="s">
        <v>95</v>
      </c>
      <c r="H576" t="s">
        <v>25</v>
      </c>
      <c r="I576" t="s">
        <v>122</v>
      </c>
      <c r="J576" t="s">
        <v>123</v>
      </c>
      <c r="K576" t="s">
        <v>74</v>
      </c>
      <c r="L576" t="s">
        <v>274</v>
      </c>
      <c r="M576" t="s">
        <v>1819</v>
      </c>
      <c r="N576" t="s">
        <v>59</v>
      </c>
      <c r="O576">
        <v>4</v>
      </c>
      <c r="P576">
        <v>1355.8</v>
      </c>
      <c r="Q576" s="11">
        <v>0</v>
      </c>
      <c r="R576">
        <v>5423.2</v>
      </c>
      <c r="S576">
        <v>4072.44</v>
      </c>
      <c r="T576">
        <v>1350.76</v>
      </c>
      <c r="U576" t="s">
        <v>32</v>
      </c>
      <c r="V576" t="s">
        <v>33</v>
      </c>
      <c r="X576" s="8" t="str">
        <f>IF(C576&gt;=B576,"Valid", "Invalid-Date")</f>
        <v>Valid</v>
      </c>
      <c r="Y576" s="8" t="str">
        <f t="shared" si="137"/>
        <v>Valid</v>
      </c>
      <c r="Z576" s="8" t="str">
        <f t="shared" si="138"/>
        <v>Pass</v>
      </c>
      <c r="AA576" s="8" t="str">
        <f t="shared" si="139"/>
        <v>Pass</v>
      </c>
      <c r="AB576" s="8" t="str">
        <f>TEXT(B576,"mmmm")</f>
        <v>February</v>
      </c>
      <c r="AC576" s="8" t="str">
        <f>TEXT(B576,"yyyy")</f>
        <v>2024</v>
      </c>
      <c r="AE576">
        <f t="shared" si="140"/>
        <v>5423.2</v>
      </c>
      <c r="AF576" s="11">
        <f t="shared" si="141"/>
        <v>5423.2</v>
      </c>
      <c r="AG576">
        <f t="shared" si="142"/>
        <v>1350.7599999999998</v>
      </c>
      <c r="AH576" s="11">
        <f t="shared" si="143"/>
        <v>0.24907065938929043</v>
      </c>
      <c r="AI576" s="9">
        <f t="shared" si="144"/>
        <v>0.24907065938929043</v>
      </c>
      <c r="AJ576">
        <f t="shared" si="145"/>
        <v>5423.2</v>
      </c>
      <c r="AK576">
        <f t="shared" si="146"/>
        <v>1</v>
      </c>
      <c r="AL576">
        <f t="shared" si="147"/>
        <v>0</v>
      </c>
      <c r="AM576">
        <f t="shared" si="148"/>
        <v>0</v>
      </c>
      <c r="AN576">
        <f t="shared" si="149"/>
        <v>0</v>
      </c>
      <c r="AO576">
        <f t="shared" si="150"/>
        <v>0</v>
      </c>
      <c r="AP576">
        <f t="shared" si="151"/>
        <v>0</v>
      </c>
      <c r="AQ576">
        <f t="shared" si="152"/>
        <v>0</v>
      </c>
    </row>
    <row r="577" spans="1:43">
      <c r="A577" t="s">
        <v>1820</v>
      </c>
      <c r="B577" s="5">
        <v>45727</v>
      </c>
      <c r="C577" s="5">
        <v>45730</v>
      </c>
      <c r="D577" s="13">
        <f t="shared" si="136"/>
        <v>3</v>
      </c>
      <c r="E577" t="s">
        <v>1821</v>
      </c>
      <c r="F577" t="s">
        <v>132</v>
      </c>
      <c r="G577" t="s">
        <v>95</v>
      </c>
      <c r="H577" t="s">
        <v>54</v>
      </c>
      <c r="I577" t="s">
        <v>185</v>
      </c>
      <c r="J577" t="s">
        <v>186</v>
      </c>
      <c r="K577" t="s">
        <v>41</v>
      </c>
      <c r="L577" t="s">
        <v>57</v>
      </c>
      <c r="M577" t="s">
        <v>1822</v>
      </c>
      <c r="N577" t="s">
        <v>44</v>
      </c>
      <c r="O577">
        <v>4</v>
      </c>
      <c r="P577">
        <v>1244.82</v>
      </c>
      <c r="Q577" s="11">
        <v>0.2</v>
      </c>
      <c r="R577">
        <v>3983.42</v>
      </c>
      <c r="S577">
        <v>3174.91</v>
      </c>
      <c r="T577">
        <v>808.51</v>
      </c>
      <c r="U577" t="s">
        <v>155</v>
      </c>
      <c r="V577" t="s">
        <v>103</v>
      </c>
      <c r="X577" s="8" t="str">
        <f>IF(C577&gt;=B577,"Valid", "Invalid-Date")</f>
        <v>Valid</v>
      </c>
      <c r="Y577" s="8" t="str">
        <f t="shared" si="137"/>
        <v>Valid</v>
      </c>
      <c r="Z577" s="8" t="str">
        <f t="shared" si="138"/>
        <v>Pass</v>
      </c>
      <c r="AA577" s="8" t="str">
        <f t="shared" si="139"/>
        <v>Pass</v>
      </c>
      <c r="AB577" s="8" t="str">
        <f>TEXT(B577,"mmmm")</f>
        <v>March</v>
      </c>
      <c r="AC577" s="8" t="str">
        <f>TEXT(B577,"yyyy")</f>
        <v>2025</v>
      </c>
      <c r="AE577">
        <f t="shared" si="140"/>
        <v>4979.28</v>
      </c>
      <c r="AF577" s="11">
        <f t="shared" si="141"/>
        <v>3983.424</v>
      </c>
      <c r="AG577">
        <f t="shared" si="142"/>
        <v>1804.37</v>
      </c>
      <c r="AH577" s="11">
        <f t="shared" si="143"/>
        <v>0.36237568483796856</v>
      </c>
      <c r="AI577" s="9">
        <f t="shared" si="144"/>
        <v>0.36237568483796856</v>
      </c>
      <c r="AJ577">
        <f t="shared" si="145"/>
        <v>0</v>
      </c>
      <c r="AK577">
        <f t="shared" si="146"/>
        <v>0</v>
      </c>
      <c r="AL577">
        <f t="shared" si="147"/>
        <v>0</v>
      </c>
      <c r="AM577">
        <f t="shared" si="148"/>
        <v>0</v>
      </c>
      <c r="AN577">
        <f t="shared" si="149"/>
        <v>3983.42</v>
      </c>
      <c r="AO577">
        <f t="shared" si="150"/>
        <v>1</v>
      </c>
      <c r="AP577">
        <f t="shared" si="151"/>
        <v>3983.42</v>
      </c>
      <c r="AQ577">
        <f t="shared" si="152"/>
        <v>1</v>
      </c>
    </row>
    <row r="578" spans="1:43">
      <c r="A578" t="s">
        <v>1823</v>
      </c>
      <c r="B578" s="5">
        <v>45339</v>
      </c>
      <c r="C578" s="5">
        <v>45345</v>
      </c>
      <c r="D578" s="13">
        <f t="shared" si="136"/>
        <v>6</v>
      </c>
      <c r="E578" t="s">
        <v>1824</v>
      </c>
      <c r="F578" t="s">
        <v>141</v>
      </c>
      <c r="G578" t="s">
        <v>95</v>
      </c>
      <c r="H578" t="s">
        <v>2785</v>
      </c>
      <c r="I578" t="s">
        <v>145</v>
      </c>
      <c r="J578" t="s">
        <v>146</v>
      </c>
      <c r="K578" t="s">
        <v>28</v>
      </c>
      <c r="L578" t="s">
        <v>153</v>
      </c>
      <c r="M578" t="s">
        <v>1825</v>
      </c>
      <c r="N578" t="s">
        <v>59</v>
      </c>
      <c r="O578">
        <v>9</v>
      </c>
      <c r="P578">
        <v>2614.46</v>
      </c>
      <c r="Q578" s="11">
        <v>0</v>
      </c>
      <c r="R578">
        <v>23530.14</v>
      </c>
      <c r="S578">
        <v>19537.79</v>
      </c>
      <c r="T578">
        <v>3992.35</v>
      </c>
      <c r="U578" t="s">
        <v>102</v>
      </c>
      <c r="V578" t="s">
        <v>103</v>
      </c>
      <c r="X578" s="8" t="str">
        <f>IF(C578&gt;=B578,"Valid", "Invalid-Date")</f>
        <v>Valid</v>
      </c>
      <c r="Y578" s="8" t="str">
        <f t="shared" si="137"/>
        <v>Valid</v>
      </c>
      <c r="Z578" s="8" t="str">
        <f t="shared" si="138"/>
        <v>Pass</v>
      </c>
      <c r="AA578" s="8" t="str">
        <f t="shared" si="139"/>
        <v>Flagged</v>
      </c>
      <c r="AB578" s="8" t="str">
        <f>TEXT(B578,"mmmm")</f>
        <v>February</v>
      </c>
      <c r="AC578" s="8" t="str">
        <f>TEXT(B578,"yyyy")</f>
        <v>2024</v>
      </c>
      <c r="AE578">
        <f t="shared" si="140"/>
        <v>23530.14</v>
      </c>
      <c r="AF578" s="11">
        <f t="shared" si="141"/>
        <v>23530.14</v>
      </c>
      <c r="AG578">
        <f t="shared" si="142"/>
        <v>3992.3499999999985</v>
      </c>
      <c r="AH578" s="11">
        <f t="shared" si="143"/>
        <v>0.16966962372514566</v>
      </c>
      <c r="AI578" s="9">
        <f t="shared" si="144"/>
        <v>0.16966962372514566</v>
      </c>
      <c r="AJ578">
        <f t="shared" si="145"/>
        <v>0</v>
      </c>
      <c r="AK578">
        <f t="shared" si="146"/>
        <v>0</v>
      </c>
      <c r="AL578">
        <f t="shared" si="147"/>
        <v>0</v>
      </c>
      <c r="AM578">
        <f t="shared" si="148"/>
        <v>0</v>
      </c>
      <c r="AN578">
        <f t="shared" si="149"/>
        <v>0</v>
      </c>
      <c r="AO578">
        <f t="shared" si="150"/>
        <v>0</v>
      </c>
      <c r="AP578">
        <f t="shared" si="151"/>
        <v>23530.14</v>
      </c>
      <c r="AQ578">
        <f t="shared" si="152"/>
        <v>1</v>
      </c>
    </row>
    <row r="579" spans="1:43">
      <c r="A579" t="s">
        <v>1826</v>
      </c>
      <c r="B579" s="5">
        <v>45897</v>
      </c>
      <c r="C579" s="5">
        <v>45725</v>
      </c>
      <c r="D579" s="13">
        <f t="shared" ref="D579:D642" si="153">C579-B579</f>
        <v>-172</v>
      </c>
      <c r="E579" t="s">
        <v>1827</v>
      </c>
      <c r="F579" t="s">
        <v>114</v>
      </c>
      <c r="G579" t="s">
        <v>90</v>
      </c>
      <c r="H579" t="s">
        <v>63</v>
      </c>
      <c r="I579" t="s">
        <v>72</v>
      </c>
      <c r="J579" t="s">
        <v>73</v>
      </c>
      <c r="K579" t="s">
        <v>41</v>
      </c>
      <c r="L579" t="s">
        <v>57</v>
      </c>
      <c r="M579" t="s">
        <v>1828</v>
      </c>
      <c r="N579" t="s">
        <v>59</v>
      </c>
      <c r="O579">
        <v>7</v>
      </c>
      <c r="P579">
        <v>268.45</v>
      </c>
      <c r="Q579" s="11">
        <v>0</v>
      </c>
      <c r="R579">
        <v>1879.15</v>
      </c>
      <c r="S579">
        <v>1134.9000000000001</v>
      </c>
      <c r="T579">
        <v>744.25</v>
      </c>
      <c r="U579" t="s">
        <v>32</v>
      </c>
      <c r="V579" t="s">
        <v>33</v>
      </c>
      <c r="X579" s="8" t="str">
        <f>IF(C579&gt;=B579,"Valid", "Invalid-Date")</f>
        <v>Invalid-Date</v>
      </c>
      <c r="Y579" s="8" t="str">
        <f t="shared" ref="Y579:Y642" si="154">IF(OR(Q579&lt;0, Q579&gt;0.5), "Invalid-Discount", "Valid")</f>
        <v>Valid</v>
      </c>
      <c r="Z579" s="8" t="str">
        <f t="shared" ref="Z579:Z642" si="155">IF(N579="Unknown","Flagged","Pass")</f>
        <v>Pass</v>
      </c>
      <c r="AA579" s="8" t="str">
        <f t="shared" ref="AA579:AA642" si="156">IF(H579="Unknown","Flagged","Pass")</f>
        <v>Pass</v>
      </c>
      <c r="AB579" s="8" t="str">
        <f>TEXT(B579,"mmmm")</f>
        <v>August</v>
      </c>
      <c r="AC579" s="8" t="str">
        <f>TEXT(B579,"yyyy")</f>
        <v>2025</v>
      </c>
      <c r="AE579">
        <f t="shared" ref="AE579:AE642" si="157">O579*P579</f>
        <v>1879.1499999999999</v>
      </c>
      <c r="AF579" s="11">
        <f t="shared" ref="AF579:AF642" si="158">AE579*(1-Q579)</f>
        <v>1879.1499999999999</v>
      </c>
      <c r="AG579">
        <f t="shared" ref="AG579:AG642" si="159">AE579-S579</f>
        <v>744.24999999999977</v>
      </c>
      <c r="AH579" s="11">
        <f t="shared" ref="AH579:AH642" si="160">AG579/AE579</f>
        <v>0.39605672777585599</v>
      </c>
      <c r="AI579" s="9">
        <f t="shared" ref="AI579:AI642" si="161">AG579/AE579</f>
        <v>0.39605672777585599</v>
      </c>
      <c r="AJ579">
        <f t="shared" ref="AJ579:AJ642" si="162">SUMIFS(R579, V579, "Completed", U579, "Paid")</f>
        <v>1879.15</v>
      </c>
      <c r="AK579">
        <f t="shared" ref="AK579:AK642" si="163">COUNTIFS(V579, "Completed", U579, "Paid")</f>
        <v>1</v>
      </c>
      <c r="AL579">
        <f t="shared" ref="AL579:AL642" si="164">SUMIFS(R579, V579, "Cancelled")</f>
        <v>0</v>
      </c>
      <c r="AM579">
        <f t="shared" ref="AM579:AM642" si="165">COUNTIFS(V579, "Cancelled")</f>
        <v>0</v>
      </c>
      <c r="AN579">
        <f t="shared" ref="AN579:AN642" si="166">SUMIFS(R579, U579, "Failed")</f>
        <v>0</v>
      </c>
      <c r="AO579">
        <f t="shared" ref="AO579:AO642" si="167">COUNTIFS(U579, "Failed")</f>
        <v>0</v>
      </c>
      <c r="AP579">
        <f t="shared" ref="AP579:AP642" si="168">SUMIFS(R579, V579, "Returned")</f>
        <v>0</v>
      </c>
      <c r="AQ579">
        <f t="shared" ref="AQ579:AQ642" si="169">COUNTIFS(V579, "Returned")</f>
        <v>0</v>
      </c>
    </row>
    <row r="580" spans="1:43">
      <c r="A580" t="s">
        <v>1829</v>
      </c>
      <c r="B580" s="5">
        <v>45343</v>
      </c>
      <c r="C580" s="5">
        <v>45345</v>
      </c>
      <c r="D580" s="13">
        <f t="shared" si="153"/>
        <v>2</v>
      </c>
      <c r="E580" t="s">
        <v>295</v>
      </c>
      <c r="F580" t="s">
        <v>79</v>
      </c>
      <c r="G580" t="s">
        <v>37</v>
      </c>
      <c r="H580" t="s">
        <v>63</v>
      </c>
      <c r="I580" t="s">
        <v>180</v>
      </c>
      <c r="J580" t="s">
        <v>181</v>
      </c>
      <c r="K580" t="s">
        <v>74</v>
      </c>
      <c r="L580" t="s">
        <v>80</v>
      </c>
      <c r="M580" t="s">
        <v>1830</v>
      </c>
      <c r="N580" t="s">
        <v>50</v>
      </c>
      <c r="O580">
        <v>6</v>
      </c>
      <c r="P580">
        <v>2633.65</v>
      </c>
      <c r="Q580" s="11">
        <v>0.05</v>
      </c>
      <c r="R580">
        <v>15011.81</v>
      </c>
      <c r="S580">
        <v>9660.36</v>
      </c>
      <c r="T580">
        <v>5351.45</v>
      </c>
      <c r="U580" t="s">
        <v>32</v>
      </c>
      <c r="V580" t="s">
        <v>33</v>
      </c>
      <c r="X580" s="8" t="str">
        <f>IF(C580&gt;=B580,"Valid", "Invalid-Date")</f>
        <v>Valid</v>
      </c>
      <c r="Y580" s="8" t="str">
        <f t="shared" si="154"/>
        <v>Valid</v>
      </c>
      <c r="Z580" s="8" t="str">
        <f t="shared" si="155"/>
        <v>Pass</v>
      </c>
      <c r="AA580" s="8" t="str">
        <f t="shared" si="156"/>
        <v>Pass</v>
      </c>
      <c r="AB580" s="8" t="str">
        <f>TEXT(B580,"mmmm")</f>
        <v>February</v>
      </c>
      <c r="AC580" s="8" t="str">
        <f>TEXT(B580,"yyyy")</f>
        <v>2024</v>
      </c>
      <c r="AE580">
        <f t="shared" si="157"/>
        <v>15801.900000000001</v>
      </c>
      <c r="AF580" s="11">
        <f t="shared" si="158"/>
        <v>15011.805</v>
      </c>
      <c r="AG580">
        <f t="shared" si="159"/>
        <v>6141.5400000000009</v>
      </c>
      <c r="AH580" s="11">
        <f t="shared" si="160"/>
        <v>0.3886583258975187</v>
      </c>
      <c r="AI580" s="9">
        <f t="shared" si="161"/>
        <v>0.3886583258975187</v>
      </c>
      <c r="AJ580">
        <f t="shared" si="162"/>
        <v>15011.81</v>
      </c>
      <c r="AK580">
        <f t="shared" si="163"/>
        <v>1</v>
      </c>
      <c r="AL580">
        <f t="shared" si="164"/>
        <v>0</v>
      </c>
      <c r="AM580">
        <f t="shared" si="165"/>
        <v>0</v>
      </c>
      <c r="AN580">
        <f t="shared" si="166"/>
        <v>0</v>
      </c>
      <c r="AO580">
        <f t="shared" si="167"/>
        <v>0</v>
      </c>
      <c r="AP580">
        <f t="shared" si="168"/>
        <v>0</v>
      </c>
      <c r="AQ580">
        <f t="shared" si="169"/>
        <v>0</v>
      </c>
    </row>
    <row r="581" spans="1:43">
      <c r="A581" t="s">
        <v>1831</v>
      </c>
      <c r="B581" s="5">
        <v>45462</v>
      </c>
      <c r="C581" s="5">
        <v>45467</v>
      </c>
      <c r="D581" s="13">
        <f t="shared" si="153"/>
        <v>5</v>
      </c>
      <c r="E581" t="s">
        <v>1832</v>
      </c>
      <c r="F581" t="s">
        <v>128</v>
      </c>
      <c r="G581" t="s">
        <v>37</v>
      </c>
      <c r="H581" t="s">
        <v>54</v>
      </c>
      <c r="I581" t="s">
        <v>247</v>
      </c>
      <c r="J581" t="s">
        <v>248</v>
      </c>
      <c r="K581" t="s">
        <v>28</v>
      </c>
      <c r="L581" t="s">
        <v>124</v>
      </c>
      <c r="M581" t="s">
        <v>1833</v>
      </c>
      <c r="N581" t="s">
        <v>44</v>
      </c>
      <c r="O581">
        <v>1</v>
      </c>
      <c r="P581">
        <v>3202.41</v>
      </c>
      <c r="Q581" s="11">
        <v>0</v>
      </c>
      <c r="R581">
        <v>3202.41</v>
      </c>
      <c r="S581">
        <v>2608.44</v>
      </c>
      <c r="T581">
        <v>593.97</v>
      </c>
      <c r="U581" t="s">
        <v>32</v>
      </c>
      <c r="V581" t="s">
        <v>33</v>
      </c>
      <c r="X581" s="8" t="str">
        <f>IF(C581&gt;=B581,"Valid", "Invalid-Date")</f>
        <v>Valid</v>
      </c>
      <c r="Y581" s="8" t="str">
        <f t="shared" si="154"/>
        <v>Valid</v>
      </c>
      <c r="Z581" s="8" t="str">
        <f t="shared" si="155"/>
        <v>Pass</v>
      </c>
      <c r="AA581" s="8" t="str">
        <f t="shared" si="156"/>
        <v>Pass</v>
      </c>
      <c r="AB581" s="8" t="str">
        <f>TEXT(B581,"mmmm")</f>
        <v>June</v>
      </c>
      <c r="AC581" s="8" t="str">
        <f>TEXT(B581,"yyyy")</f>
        <v>2024</v>
      </c>
      <c r="AE581">
        <f t="shared" si="157"/>
        <v>3202.41</v>
      </c>
      <c r="AF581" s="11">
        <f t="shared" si="158"/>
        <v>3202.41</v>
      </c>
      <c r="AG581">
        <f t="shared" si="159"/>
        <v>593.9699999999998</v>
      </c>
      <c r="AH581" s="11">
        <f t="shared" si="160"/>
        <v>0.18547593843386695</v>
      </c>
      <c r="AI581" s="9">
        <f t="shared" si="161"/>
        <v>0.18547593843386695</v>
      </c>
      <c r="AJ581">
        <f t="shared" si="162"/>
        <v>3202.41</v>
      </c>
      <c r="AK581">
        <f t="shared" si="163"/>
        <v>1</v>
      </c>
      <c r="AL581">
        <f t="shared" si="164"/>
        <v>0</v>
      </c>
      <c r="AM581">
        <f t="shared" si="165"/>
        <v>0</v>
      </c>
      <c r="AN581">
        <f t="shared" si="166"/>
        <v>0</v>
      </c>
      <c r="AO581">
        <f t="shared" si="167"/>
        <v>0</v>
      </c>
      <c r="AP581">
        <f t="shared" si="168"/>
        <v>0</v>
      </c>
      <c r="AQ581">
        <f t="shared" si="169"/>
        <v>0</v>
      </c>
    </row>
    <row r="582" spans="1:43">
      <c r="A582" t="s">
        <v>1834</v>
      </c>
      <c r="B582" s="5">
        <v>45722</v>
      </c>
      <c r="C582" s="5">
        <v>45729</v>
      </c>
      <c r="D582" s="13">
        <f t="shared" si="153"/>
        <v>7</v>
      </c>
      <c r="E582" t="s">
        <v>1835</v>
      </c>
      <c r="F582" t="s">
        <v>264</v>
      </c>
      <c r="G582" t="s">
        <v>24</v>
      </c>
      <c r="H582" t="s">
        <v>54</v>
      </c>
      <c r="I582" t="s">
        <v>185</v>
      </c>
      <c r="J582" t="s">
        <v>186</v>
      </c>
      <c r="K582" t="s">
        <v>41</v>
      </c>
      <c r="L582" t="s">
        <v>66</v>
      </c>
      <c r="M582" t="s">
        <v>1836</v>
      </c>
      <c r="N582" t="s">
        <v>59</v>
      </c>
      <c r="O582">
        <v>3</v>
      </c>
      <c r="P582">
        <v>163.72</v>
      </c>
      <c r="Q582" s="11">
        <v>0.15</v>
      </c>
      <c r="R582">
        <v>417.49</v>
      </c>
      <c r="S582">
        <v>261.67</v>
      </c>
      <c r="T582">
        <v>155.82</v>
      </c>
      <c r="U582" t="s">
        <v>155</v>
      </c>
      <c r="V582" t="s">
        <v>103</v>
      </c>
      <c r="X582" s="8" t="str">
        <f>IF(C582&gt;=B582,"Valid", "Invalid-Date")</f>
        <v>Valid</v>
      </c>
      <c r="Y582" s="8" t="str">
        <f t="shared" si="154"/>
        <v>Valid</v>
      </c>
      <c r="Z582" s="8" t="str">
        <f t="shared" si="155"/>
        <v>Pass</v>
      </c>
      <c r="AA582" s="8" t="str">
        <f t="shared" si="156"/>
        <v>Pass</v>
      </c>
      <c r="AB582" s="8" t="str">
        <f>TEXT(B582,"mmmm")</f>
        <v>March</v>
      </c>
      <c r="AC582" s="8" t="str">
        <f>TEXT(B582,"yyyy")</f>
        <v>2025</v>
      </c>
      <c r="AE582">
        <f t="shared" si="157"/>
        <v>491.15999999999997</v>
      </c>
      <c r="AF582" s="11">
        <f t="shared" si="158"/>
        <v>417.48599999999999</v>
      </c>
      <c r="AG582">
        <f t="shared" si="159"/>
        <v>229.48999999999995</v>
      </c>
      <c r="AH582" s="11">
        <f t="shared" si="160"/>
        <v>0.46724081765616088</v>
      </c>
      <c r="AI582" s="9">
        <f t="shared" si="161"/>
        <v>0.46724081765616088</v>
      </c>
      <c r="AJ582">
        <f t="shared" si="162"/>
        <v>0</v>
      </c>
      <c r="AK582">
        <f t="shared" si="163"/>
        <v>0</v>
      </c>
      <c r="AL582">
        <f t="shared" si="164"/>
        <v>0</v>
      </c>
      <c r="AM582">
        <f t="shared" si="165"/>
        <v>0</v>
      </c>
      <c r="AN582">
        <f t="shared" si="166"/>
        <v>417.49</v>
      </c>
      <c r="AO582">
        <f t="shared" si="167"/>
        <v>1</v>
      </c>
      <c r="AP582">
        <f t="shared" si="168"/>
        <v>417.49</v>
      </c>
      <c r="AQ582">
        <f t="shared" si="169"/>
        <v>1</v>
      </c>
    </row>
    <row r="583" spans="1:43">
      <c r="A583" t="s">
        <v>1837</v>
      </c>
      <c r="B583" s="5">
        <v>45878</v>
      </c>
      <c r="C583" s="5">
        <v>45938</v>
      </c>
      <c r="D583" s="13">
        <f t="shared" si="153"/>
        <v>60</v>
      </c>
      <c r="E583" t="s">
        <v>1838</v>
      </c>
      <c r="F583" t="s">
        <v>79</v>
      </c>
      <c r="G583" t="s">
        <v>24</v>
      </c>
      <c r="H583" t="s">
        <v>25</v>
      </c>
      <c r="I583" t="s">
        <v>350</v>
      </c>
      <c r="J583" t="s">
        <v>351</v>
      </c>
      <c r="K583" t="s">
        <v>28</v>
      </c>
      <c r="L583" t="s">
        <v>48</v>
      </c>
      <c r="M583" t="s">
        <v>1839</v>
      </c>
      <c r="N583" t="s">
        <v>31</v>
      </c>
      <c r="O583">
        <v>4</v>
      </c>
      <c r="P583">
        <v>4080.95</v>
      </c>
      <c r="Q583" s="11">
        <v>0</v>
      </c>
      <c r="R583">
        <v>16323.8</v>
      </c>
      <c r="S583">
        <v>9965.7900000000009</v>
      </c>
      <c r="T583">
        <v>6358.01</v>
      </c>
      <c r="U583" t="s">
        <v>102</v>
      </c>
      <c r="V583" t="s">
        <v>103</v>
      </c>
      <c r="X583" s="8" t="str">
        <f>IF(C583&gt;=B583,"Valid", "Invalid-Date")</f>
        <v>Valid</v>
      </c>
      <c r="Y583" s="8" t="str">
        <f t="shared" si="154"/>
        <v>Valid</v>
      </c>
      <c r="Z583" s="8" t="str">
        <f t="shared" si="155"/>
        <v>Pass</v>
      </c>
      <c r="AA583" s="8" t="str">
        <f t="shared" si="156"/>
        <v>Pass</v>
      </c>
      <c r="AB583" s="8" t="str">
        <f>TEXT(B583,"mmmm")</f>
        <v>August</v>
      </c>
      <c r="AC583" s="8" t="str">
        <f>TEXT(B583,"yyyy")</f>
        <v>2025</v>
      </c>
      <c r="AE583">
        <f t="shared" si="157"/>
        <v>16323.8</v>
      </c>
      <c r="AF583" s="11">
        <f t="shared" si="158"/>
        <v>16323.8</v>
      </c>
      <c r="AG583">
        <f t="shared" si="159"/>
        <v>6358.0099999999984</v>
      </c>
      <c r="AH583" s="11">
        <f t="shared" si="160"/>
        <v>0.38949325524693995</v>
      </c>
      <c r="AI583" s="9">
        <f t="shared" si="161"/>
        <v>0.38949325524693995</v>
      </c>
      <c r="AJ583">
        <f t="shared" si="162"/>
        <v>0</v>
      </c>
      <c r="AK583">
        <f t="shared" si="163"/>
        <v>0</v>
      </c>
      <c r="AL583">
        <f t="shared" si="164"/>
        <v>0</v>
      </c>
      <c r="AM583">
        <f t="shared" si="165"/>
        <v>0</v>
      </c>
      <c r="AN583">
        <f t="shared" si="166"/>
        <v>0</v>
      </c>
      <c r="AO583">
        <f t="shared" si="167"/>
        <v>0</v>
      </c>
      <c r="AP583">
        <f t="shared" si="168"/>
        <v>16323.8</v>
      </c>
      <c r="AQ583">
        <f t="shared" si="169"/>
        <v>1</v>
      </c>
    </row>
    <row r="584" spans="1:43">
      <c r="A584" t="s">
        <v>1840</v>
      </c>
      <c r="B584" s="5">
        <v>45580</v>
      </c>
      <c r="C584" s="5">
        <v>45585</v>
      </c>
      <c r="D584" s="13">
        <f t="shared" si="153"/>
        <v>5</v>
      </c>
      <c r="E584" t="s">
        <v>1841</v>
      </c>
      <c r="F584" t="s">
        <v>62</v>
      </c>
      <c r="G584" t="s">
        <v>24</v>
      </c>
      <c r="H584" t="s">
        <v>38</v>
      </c>
      <c r="I584" t="s">
        <v>39</v>
      </c>
      <c r="J584" t="s">
        <v>40</v>
      </c>
      <c r="K584" t="s">
        <v>28</v>
      </c>
      <c r="L584" t="s">
        <v>48</v>
      </c>
      <c r="M584" t="s">
        <v>1842</v>
      </c>
      <c r="N584" t="s">
        <v>50</v>
      </c>
      <c r="O584">
        <v>5</v>
      </c>
      <c r="P584">
        <v>671.24</v>
      </c>
      <c r="Q584" s="11">
        <v>0</v>
      </c>
      <c r="R584">
        <v>3356.2</v>
      </c>
      <c r="S584">
        <v>2205.7199999999998</v>
      </c>
      <c r="T584">
        <v>1150.48</v>
      </c>
      <c r="U584" t="s">
        <v>111</v>
      </c>
      <c r="V584" t="s">
        <v>103</v>
      </c>
      <c r="X584" s="8" t="str">
        <f>IF(C584&gt;=B584,"Valid", "Invalid-Date")</f>
        <v>Valid</v>
      </c>
      <c r="Y584" s="8" t="str">
        <f t="shared" si="154"/>
        <v>Valid</v>
      </c>
      <c r="Z584" s="8" t="str">
        <f t="shared" si="155"/>
        <v>Pass</v>
      </c>
      <c r="AA584" s="8" t="str">
        <f t="shared" si="156"/>
        <v>Pass</v>
      </c>
      <c r="AB584" s="8" t="str">
        <f>TEXT(B584,"mmmm")</f>
        <v>October</v>
      </c>
      <c r="AC584" s="8" t="str">
        <f>TEXT(B584,"yyyy")</f>
        <v>2024</v>
      </c>
      <c r="AE584">
        <f t="shared" si="157"/>
        <v>3356.2</v>
      </c>
      <c r="AF584" s="11">
        <f t="shared" si="158"/>
        <v>3356.2</v>
      </c>
      <c r="AG584">
        <f t="shared" si="159"/>
        <v>1150.48</v>
      </c>
      <c r="AH584" s="11">
        <f t="shared" si="160"/>
        <v>0.34279244383528995</v>
      </c>
      <c r="AI584" s="9">
        <f t="shared" si="161"/>
        <v>0.34279244383528995</v>
      </c>
      <c r="AJ584">
        <f t="shared" si="162"/>
        <v>0</v>
      </c>
      <c r="AK584">
        <f t="shared" si="163"/>
        <v>0</v>
      </c>
      <c r="AL584">
        <f t="shared" si="164"/>
        <v>0</v>
      </c>
      <c r="AM584">
        <f t="shared" si="165"/>
        <v>0</v>
      </c>
      <c r="AN584">
        <f t="shared" si="166"/>
        <v>0</v>
      </c>
      <c r="AO584">
        <f t="shared" si="167"/>
        <v>0</v>
      </c>
      <c r="AP584">
        <f t="shared" si="168"/>
        <v>3356.2</v>
      </c>
      <c r="AQ584">
        <f t="shared" si="169"/>
        <v>1</v>
      </c>
    </row>
    <row r="585" spans="1:43">
      <c r="A585" t="s">
        <v>1843</v>
      </c>
      <c r="B585" s="5">
        <v>45350</v>
      </c>
      <c r="C585" s="5">
        <v>45350</v>
      </c>
      <c r="D585" s="13">
        <f t="shared" si="153"/>
        <v>0</v>
      </c>
      <c r="E585" t="s">
        <v>1844</v>
      </c>
      <c r="F585" t="s">
        <v>141</v>
      </c>
      <c r="G585" t="s">
        <v>37</v>
      </c>
      <c r="H585" t="s">
        <v>38</v>
      </c>
      <c r="I585" t="s">
        <v>99</v>
      </c>
      <c r="J585" t="s">
        <v>100</v>
      </c>
      <c r="K585" t="s">
        <v>28</v>
      </c>
      <c r="L585" t="s">
        <v>124</v>
      </c>
      <c r="M585" t="s">
        <v>1845</v>
      </c>
      <c r="N585" t="s">
        <v>50</v>
      </c>
      <c r="O585">
        <v>1</v>
      </c>
      <c r="P585">
        <v>2626.84</v>
      </c>
      <c r="Q585" s="11">
        <v>0.2</v>
      </c>
      <c r="R585">
        <v>2101.4699999999998</v>
      </c>
      <c r="S585">
        <v>1217.83</v>
      </c>
      <c r="T585">
        <v>883.64</v>
      </c>
      <c r="U585" t="s">
        <v>155</v>
      </c>
      <c r="V585" t="s">
        <v>103</v>
      </c>
      <c r="X585" s="8" t="str">
        <f>IF(C585&gt;=B585,"Valid", "Invalid-Date")</f>
        <v>Valid</v>
      </c>
      <c r="Y585" s="8" t="str">
        <f t="shared" si="154"/>
        <v>Valid</v>
      </c>
      <c r="Z585" s="8" t="str">
        <f t="shared" si="155"/>
        <v>Pass</v>
      </c>
      <c r="AA585" s="8" t="str">
        <f t="shared" si="156"/>
        <v>Pass</v>
      </c>
      <c r="AB585" s="8" t="str">
        <f>TEXT(B585,"mmmm")</f>
        <v>February</v>
      </c>
      <c r="AC585" s="8" t="str">
        <f>TEXT(B585,"yyyy")</f>
        <v>2024</v>
      </c>
      <c r="AE585">
        <f t="shared" si="157"/>
        <v>2626.84</v>
      </c>
      <c r="AF585" s="11">
        <f t="shared" si="158"/>
        <v>2101.4720000000002</v>
      </c>
      <c r="AG585">
        <f t="shared" si="159"/>
        <v>1409.0100000000002</v>
      </c>
      <c r="AH585" s="11">
        <f t="shared" si="160"/>
        <v>0.53638973062691297</v>
      </c>
      <c r="AI585" s="9">
        <f t="shared" si="161"/>
        <v>0.53638973062691297</v>
      </c>
      <c r="AJ585">
        <f t="shared" si="162"/>
        <v>0</v>
      </c>
      <c r="AK585">
        <f t="shared" si="163"/>
        <v>0</v>
      </c>
      <c r="AL585">
        <f t="shared" si="164"/>
        <v>0</v>
      </c>
      <c r="AM585">
        <f t="shared" si="165"/>
        <v>0</v>
      </c>
      <c r="AN585">
        <f t="shared" si="166"/>
        <v>2101.4699999999998</v>
      </c>
      <c r="AO585">
        <f t="shared" si="167"/>
        <v>1</v>
      </c>
      <c r="AP585">
        <f t="shared" si="168"/>
        <v>2101.4699999999998</v>
      </c>
      <c r="AQ585">
        <f t="shared" si="169"/>
        <v>1</v>
      </c>
    </row>
    <row r="586" spans="1:43">
      <c r="A586" t="s">
        <v>1846</v>
      </c>
      <c r="B586" s="5">
        <v>45390</v>
      </c>
      <c r="C586" s="5">
        <v>45514</v>
      </c>
      <c r="D586" s="13">
        <f t="shared" si="153"/>
        <v>124</v>
      </c>
      <c r="E586" t="s">
        <v>1847</v>
      </c>
      <c r="F586" t="s">
        <v>71</v>
      </c>
      <c r="G586" t="s">
        <v>24</v>
      </c>
      <c r="H586" t="s">
        <v>38</v>
      </c>
      <c r="I586" t="s">
        <v>145</v>
      </c>
      <c r="J586" t="s">
        <v>146</v>
      </c>
      <c r="K586" t="s">
        <v>28</v>
      </c>
      <c r="L586" t="s">
        <v>48</v>
      </c>
      <c r="M586" t="s">
        <v>1848</v>
      </c>
      <c r="N586" t="s">
        <v>44</v>
      </c>
      <c r="O586">
        <v>1</v>
      </c>
      <c r="P586">
        <v>984.93</v>
      </c>
      <c r="Q586" s="11">
        <v>0.15</v>
      </c>
      <c r="R586">
        <v>837.19</v>
      </c>
      <c r="S586">
        <v>583.79</v>
      </c>
      <c r="T586">
        <v>253.4</v>
      </c>
      <c r="U586" t="s">
        <v>111</v>
      </c>
      <c r="V586" t="s">
        <v>103</v>
      </c>
      <c r="X586" s="8" t="str">
        <f>IF(C586&gt;=B586,"Valid", "Invalid-Date")</f>
        <v>Valid</v>
      </c>
      <c r="Y586" s="8" t="str">
        <f t="shared" si="154"/>
        <v>Valid</v>
      </c>
      <c r="Z586" s="8" t="str">
        <f t="shared" si="155"/>
        <v>Pass</v>
      </c>
      <c r="AA586" s="8" t="str">
        <f t="shared" si="156"/>
        <v>Pass</v>
      </c>
      <c r="AB586" s="8" t="str">
        <f>TEXT(B586,"mmmm")</f>
        <v>April</v>
      </c>
      <c r="AC586" s="8" t="str">
        <f>TEXT(B586,"yyyy")</f>
        <v>2024</v>
      </c>
      <c r="AE586">
        <f t="shared" si="157"/>
        <v>984.93</v>
      </c>
      <c r="AF586" s="11">
        <f t="shared" si="158"/>
        <v>837.19049999999993</v>
      </c>
      <c r="AG586">
        <f t="shared" si="159"/>
        <v>401.14</v>
      </c>
      <c r="AH586" s="11">
        <f t="shared" si="160"/>
        <v>0.40727767455555219</v>
      </c>
      <c r="AI586" s="9">
        <f t="shared" si="161"/>
        <v>0.40727767455555219</v>
      </c>
      <c r="AJ586">
        <f t="shared" si="162"/>
        <v>0</v>
      </c>
      <c r="AK586">
        <f t="shared" si="163"/>
        <v>0</v>
      </c>
      <c r="AL586">
        <f t="shared" si="164"/>
        <v>0</v>
      </c>
      <c r="AM586">
        <f t="shared" si="165"/>
        <v>0</v>
      </c>
      <c r="AN586">
        <f t="shared" si="166"/>
        <v>0</v>
      </c>
      <c r="AO586">
        <f t="shared" si="167"/>
        <v>0</v>
      </c>
      <c r="AP586">
        <f t="shared" si="168"/>
        <v>837.19</v>
      </c>
      <c r="AQ586">
        <f t="shared" si="169"/>
        <v>1</v>
      </c>
    </row>
    <row r="587" spans="1:43">
      <c r="A587" t="s">
        <v>1849</v>
      </c>
      <c r="B587" s="5">
        <v>45830</v>
      </c>
      <c r="C587" s="5">
        <v>45833</v>
      </c>
      <c r="D587" s="13">
        <f t="shared" si="153"/>
        <v>3</v>
      </c>
      <c r="E587" t="s">
        <v>1850</v>
      </c>
      <c r="F587" t="s">
        <v>162</v>
      </c>
      <c r="G587" t="s">
        <v>37</v>
      </c>
      <c r="H587" t="s">
        <v>63</v>
      </c>
      <c r="I587" t="s">
        <v>64</v>
      </c>
      <c r="J587" t="s">
        <v>65</v>
      </c>
      <c r="K587" t="s">
        <v>74</v>
      </c>
      <c r="L587" t="s">
        <v>171</v>
      </c>
      <c r="M587" t="s">
        <v>1851</v>
      </c>
      <c r="N587" t="s">
        <v>50</v>
      </c>
      <c r="O587">
        <v>8</v>
      </c>
      <c r="P587">
        <v>3453.66</v>
      </c>
      <c r="Q587" s="11">
        <v>0</v>
      </c>
      <c r="R587">
        <v>27629.279999999999</v>
      </c>
      <c r="S587">
        <v>22026.48</v>
      </c>
      <c r="T587">
        <v>5602.8</v>
      </c>
      <c r="U587" t="s">
        <v>32</v>
      </c>
      <c r="V587" t="s">
        <v>33</v>
      </c>
      <c r="X587" s="8" t="str">
        <f>IF(C587&gt;=B587,"Valid", "Invalid-Date")</f>
        <v>Valid</v>
      </c>
      <c r="Y587" s="8" t="str">
        <f t="shared" si="154"/>
        <v>Valid</v>
      </c>
      <c r="Z587" s="8" t="str">
        <f t="shared" si="155"/>
        <v>Pass</v>
      </c>
      <c r="AA587" s="8" t="str">
        <f t="shared" si="156"/>
        <v>Pass</v>
      </c>
      <c r="AB587" s="8" t="str">
        <f>TEXT(B587,"mmmm")</f>
        <v>June</v>
      </c>
      <c r="AC587" s="8" t="str">
        <f>TEXT(B587,"yyyy")</f>
        <v>2025</v>
      </c>
      <c r="AE587">
        <f t="shared" si="157"/>
        <v>27629.279999999999</v>
      </c>
      <c r="AF587" s="11">
        <f t="shared" si="158"/>
        <v>27629.279999999999</v>
      </c>
      <c r="AG587">
        <f t="shared" si="159"/>
        <v>5602.7999999999993</v>
      </c>
      <c r="AH587" s="11">
        <f t="shared" si="160"/>
        <v>0.20278487170132553</v>
      </c>
      <c r="AI587" s="9">
        <f t="shared" si="161"/>
        <v>0.20278487170132553</v>
      </c>
      <c r="AJ587">
        <f t="shared" si="162"/>
        <v>27629.279999999999</v>
      </c>
      <c r="AK587">
        <f t="shared" si="163"/>
        <v>1</v>
      </c>
      <c r="AL587">
        <f t="shared" si="164"/>
        <v>0</v>
      </c>
      <c r="AM587">
        <f t="shared" si="165"/>
        <v>0</v>
      </c>
      <c r="AN587">
        <f t="shared" si="166"/>
        <v>0</v>
      </c>
      <c r="AO587">
        <f t="shared" si="167"/>
        <v>0</v>
      </c>
      <c r="AP587">
        <f t="shared" si="168"/>
        <v>0</v>
      </c>
      <c r="AQ587">
        <f t="shared" si="169"/>
        <v>0</v>
      </c>
    </row>
    <row r="588" spans="1:43">
      <c r="A588" t="s">
        <v>1852</v>
      </c>
      <c r="B588" s="5">
        <v>45759</v>
      </c>
      <c r="C588" s="5">
        <v>45995</v>
      </c>
      <c r="D588" s="13">
        <f t="shared" si="153"/>
        <v>236</v>
      </c>
      <c r="E588" t="s">
        <v>1853</v>
      </c>
      <c r="F588" t="s">
        <v>36</v>
      </c>
      <c r="G588" t="s">
        <v>95</v>
      </c>
      <c r="H588" t="s">
        <v>25</v>
      </c>
      <c r="I588" t="s">
        <v>122</v>
      </c>
      <c r="J588" t="s">
        <v>123</v>
      </c>
      <c r="K588" t="s">
        <v>28</v>
      </c>
      <c r="L588" t="s">
        <v>153</v>
      </c>
      <c r="M588" t="s">
        <v>1854</v>
      </c>
      <c r="N588" t="s">
        <v>31</v>
      </c>
      <c r="O588">
        <v>7</v>
      </c>
      <c r="P588">
        <v>1334.2</v>
      </c>
      <c r="Q588" s="11">
        <v>0.2</v>
      </c>
      <c r="R588">
        <v>7471.52</v>
      </c>
      <c r="S588">
        <v>6184.32</v>
      </c>
      <c r="T588">
        <v>1287.2</v>
      </c>
      <c r="U588" t="s">
        <v>32</v>
      </c>
      <c r="V588" t="s">
        <v>33</v>
      </c>
      <c r="X588" s="8" t="str">
        <f>IF(C588&gt;=B588,"Valid", "Invalid-Date")</f>
        <v>Valid</v>
      </c>
      <c r="Y588" s="8" t="str">
        <f t="shared" si="154"/>
        <v>Valid</v>
      </c>
      <c r="Z588" s="8" t="str">
        <f t="shared" si="155"/>
        <v>Pass</v>
      </c>
      <c r="AA588" s="8" t="str">
        <f t="shared" si="156"/>
        <v>Pass</v>
      </c>
      <c r="AB588" s="8" t="str">
        <f>TEXT(B588,"mmmm")</f>
        <v>April</v>
      </c>
      <c r="AC588" s="8" t="str">
        <f>TEXT(B588,"yyyy")</f>
        <v>2025</v>
      </c>
      <c r="AE588">
        <f t="shared" si="157"/>
        <v>9339.4</v>
      </c>
      <c r="AF588" s="11">
        <f t="shared" si="158"/>
        <v>7471.52</v>
      </c>
      <c r="AG588">
        <f t="shared" si="159"/>
        <v>3155.08</v>
      </c>
      <c r="AH588" s="11">
        <f t="shared" si="160"/>
        <v>0.33782469965950707</v>
      </c>
      <c r="AI588" s="9">
        <f t="shared" si="161"/>
        <v>0.33782469965950707</v>
      </c>
      <c r="AJ588">
        <f t="shared" si="162"/>
        <v>7471.52</v>
      </c>
      <c r="AK588">
        <f t="shared" si="163"/>
        <v>1</v>
      </c>
      <c r="AL588">
        <f t="shared" si="164"/>
        <v>0</v>
      </c>
      <c r="AM588">
        <f t="shared" si="165"/>
        <v>0</v>
      </c>
      <c r="AN588">
        <f t="shared" si="166"/>
        <v>0</v>
      </c>
      <c r="AO588">
        <f t="shared" si="167"/>
        <v>0</v>
      </c>
      <c r="AP588">
        <f t="shared" si="168"/>
        <v>0</v>
      </c>
      <c r="AQ588">
        <f t="shared" si="169"/>
        <v>0</v>
      </c>
    </row>
    <row r="589" spans="1:43">
      <c r="A589" t="s">
        <v>1855</v>
      </c>
      <c r="B589" s="5">
        <v>45861</v>
      </c>
      <c r="C589" s="5">
        <v>45869</v>
      </c>
      <c r="D589" s="13">
        <f t="shared" si="153"/>
        <v>8</v>
      </c>
      <c r="E589" t="s">
        <v>1856</v>
      </c>
      <c r="F589" t="s">
        <v>264</v>
      </c>
      <c r="G589" t="s">
        <v>95</v>
      </c>
      <c r="H589" t="s">
        <v>63</v>
      </c>
      <c r="I589" t="s">
        <v>72</v>
      </c>
      <c r="J589" t="s">
        <v>73</v>
      </c>
      <c r="K589" t="s">
        <v>74</v>
      </c>
      <c r="L589" t="s">
        <v>75</v>
      </c>
      <c r="M589" t="s">
        <v>1857</v>
      </c>
      <c r="N589" t="s">
        <v>50</v>
      </c>
      <c r="O589">
        <v>1</v>
      </c>
      <c r="P589">
        <v>4253.84</v>
      </c>
      <c r="Q589" s="11">
        <v>0.15</v>
      </c>
      <c r="R589">
        <v>3615.76</v>
      </c>
      <c r="S589">
        <v>2951.52</v>
      </c>
      <c r="T589">
        <v>664.24</v>
      </c>
      <c r="U589" t="s">
        <v>102</v>
      </c>
      <c r="V589" t="s">
        <v>68</v>
      </c>
      <c r="X589" s="8" t="str">
        <f>IF(C589&gt;=B589,"Valid", "Invalid-Date")</f>
        <v>Valid</v>
      </c>
      <c r="Y589" s="8" t="str">
        <f t="shared" si="154"/>
        <v>Valid</v>
      </c>
      <c r="Z589" s="8" t="str">
        <f t="shared" si="155"/>
        <v>Pass</v>
      </c>
      <c r="AA589" s="8" t="str">
        <f t="shared" si="156"/>
        <v>Pass</v>
      </c>
      <c r="AB589" s="8" t="str">
        <f>TEXT(B589,"mmmm")</f>
        <v>July</v>
      </c>
      <c r="AC589" s="8" t="str">
        <f>TEXT(B589,"yyyy")</f>
        <v>2025</v>
      </c>
      <c r="AE589">
        <f t="shared" si="157"/>
        <v>4253.84</v>
      </c>
      <c r="AF589" s="11">
        <f t="shared" si="158"/>
        <v>3615.7640000000001</v>
      </c>
      <c r="AG589">
        <f t="shared" si="159"/>
        <v>1302.3200000000002</v>
      </c>
      <c r="AH589" s="11">
        <f t="shared" si="160"/>
        <v>0.30615161830252197</v>
      </c>
      <c r="AI589" s="9">
        <f t="shared" si="161"/>
        <v>0.30615161830252197</v>
      </c>
      <c r="AJ589">
        <f t="shared" si="162"/>
        <v>0</v>
      </c>
      <c r="AK589">
        <f t="shared" si="163"/>
        <v>0</v>
      </c>
      <c r="AL589">
        <f t="shared" si="164"/>
        <v>3615.76</v>
      </c>
      <c r="AM589">
        <f t="shared" si="165"/>
        <v>1</v>
      </c>
      <c r="AN589">
        <f t="shared" si="166"/>
        <v>0</v>
      </c>
      <c r="AO589">
        <f t="shared" si="167"/>
        <v>0</v>
      </c>
      <c r="AP589">
        <f t="shared" si="168"/>
        <v>0</v>
      </c>
      <c r="AQ589">
        <f t="shared" si="169"/>
        <v>0</v>
      </c>
    </row>
    <row r="590" spans="1:43">
      <c r="A590" t="s">
        <v>1858</v>
      </c>
      <c r="B590" s="5">
        <v>45727</v>
      </c>
      <c r="C590" s="5">
        <v>45731</v>
      </c>
      <c r="D590" s="13">
        <f t="shared" si="153"/>
        <v>4</v>
      </c>
      <c r="E590" t="s">
        <v>1859</v>
      </c>
      <c r="F590" t="s">
        <v>128</v>
      </c>
      <c r="G590" t="s">
        <v>95</v>
      </c>
      <c r="H590" t="s">
        <v>54</v>
      </c>
      <c r="I590" t="s">
        <v>175</v>
      </c>
      <c r="J590" t="s">
        <v>176</v>
      </c>
      <c r="K590" t="s">
        <v>74</v>
      </c>
      <c r="L590" t="s">
        <v>75</v>
      </c>
      <c r="M590" t="s">
        <v>1860</v>
      </c>
      <c r="N590" t="s">
        <v>31</v>
      </c>
      <c r="O590">
        <v>8</v>
      </c>
      <c r="P590">
        <v>4446.3599999999997</v>
      </c>
      <c r="Q590" s="11">
        <v>0.1</v>
      </c>
      <c r="R590">
        <v>32013.79</v>
      </c>
      <c r="S590">
        <v>20896.88</v>
      </c>
      <c r="T590">
        <v>11116.91</v>
      </c>
      <c r="U590" t="s">
        <v>102</v>
      </c>
      <c r="V590" t="s">
        <v>68</v>
      </c>
      <c r="X590" s="8" t="str">
        <f>IF(C590&gt;=B590,"Valid", "Invalid-Date")</f>
        <v>Valid</v>
      </c>
      <c r="Y590" s="8" t="str">
        <f t="shared" si="154"/>
        <v>Valid</v>
      </c>
      <c r="Z590" s="8" t="str">
        <f t="shared" si="155"/>
        <v>Pass</v>
      </c>
      <c r="AA590" s="8" t="str">
        <f t="shared" si="156"/>
        <v>Pass</v>
      </c>
      <c r="AB590" s="8" t="str">
        <f>TEXT(B590,"mmmm")</f>
        <v>March</v>
      </c>
      <c r="AC590" s="8" t="str">
        <f>TEXT(B590,"yyyy")</f>
        <v>2025</v>
      </c>
      <c r="AE590">
        <f t="shared" si="157"/>
        <v>35570.879999999997</v>
      </c>
      <c r="AF590" s="11">
        <f t="shared" si="158"/>
        <v>32013.791999999998</v>
      </c>
      <c r="AG590">
        <f t="shared" si="159"/>
        <v>14673.999999999996</v>
      </c>
      <c r="AH590" s="11">
        <f t="shared" si="160"/>
        <v>0.41252845023794738</v>
      </c>
      <c r="AI590" s="9">
        <f t="shared" si="161"/>
        <v>0.41252845023794738</v>
      </c>
      <c r="AJ590">
        <f t="shared" si="162"/>
        <v>0</v>
      </c>
      <c r="AK590">
        <f t="shared" si="163"/>
        <v>0</v>
      </c>
      <c r="AL590">
        <f t="shared" si="164"/>
        <v>32013.79</v>
      </c>
      <c r="AM590">
        <f t="shared" si="165"/>
        <v>1</v>
      </c>
      <c r="AN590">
        <f t="shared" si="166"/>
        <v>0</v>
      </c>
      <c r="AO590">
        <f t="shared" si="167"/>
        <v>0</v>
      </c>
      <c r="AP590">
        <f t="shared" si="168"/>
        <v>0</v>
      </c>
      <c r="AQ590">
        <f t="shared" si="169"/>
        <v>0</v>
      </c>
    </row>
    <row r="591" spans="1:43">
      <c r="A591" t="s">
        <v>1861</v>
      </c>
      <c r="B591" s="5">
        <v>45632</v>
      </c>
      <c r="C591" s="5">
        <v>45638</v>
      </c>
      <c r="D591" s="13">
        <f t="shared" si="153"/>
        <v>6</v>
      </c>
      <c r="E591" t="s">
        <v>1862</v>
      </c>
      <c r="F591" t="s">
        <v>141</v>
      </c>
      <c r="G591" t="s">
        <v>90</v>
      </c>
      <c r="H591" t="s">
        <v>25</v>
      </c>
      <c r="I591" t="s">
        <v>136</v>
      </c>
      <c r="J591" t="s">
        <v>137</v>
      </c>
      <c r="K591" t="s">
        <v>74</v>
      </c>
      <c r="L591" t="s">
        <v>171</v>
      </c>
      <c r="M591" t="s">
        <v>1863</v>
      </c>
      <c r="N591" t="s">
        <v>50</v>
      </c>
      <c r="O591">
        <v>3</v>
      </c>
      <c r="P591">
        <v>524.75</v>
      </c>
      <c r="Q591" s="11">
        <v>0</v>
      </c>
      <c r="R591">
        <v>1574.25</v>
      </c>
      <c r="S591">
        <v>1326.12</v>
      </c>
      <c r="T591">
        <v>248.13</v>
      </c>
      <c r="U591" t="s">
        <v>32</v>
      </c>
      <c r="V591" t="s">
        <v>33</v>
      </c>
      <c r="X591" s="8" t="str">
        <f>IF(C591&gt;=B591,"Valid", "Invalid-Date")</f>
        <v>Valid</v>
      </c>
      <c r="Y591" s="8" t="str">
        <f t="shared" si="154"/>
        <v>Valid</v>
      </c>
      <c r="Z591" s="8" t="str">
        <f t="shared" si="155"/>
        <v>Pass</v>
      </c>
      <c r="AA591" s="8" t="str">
        <f t="shared" si="156"/>
        <v>Pass</v>
      </c>
      <c r="AB591" s="8" t="str">
        <f>TEXT(B591,"mmmm")</f>
        <v>December</v>
      </c>
      <c r="AC591" s="8" t="str">
        <f>TEXT(B591,"yyyy")</f>
        <v>2024</v>
      </c>
      <c r="AE591">
        <f t="shared" si="157"/>
        <v>1574.25</v>
      </c>
      <c r="AF591" s="11">
        <f t="shared" si="158"/>
        <v>1574.25</v>
      </c>
      <c r="AG591">
        <f t="shared" si="159"/>
        <v>248.13000000000011</v>
      </c>
      <c r="AH591" s="11">
        <f t="shared" si="160"/>
        <v>0.15761791329204389</v>
      </c>
      <c r="AI591" s="9">
        <f t="shared" si="161"/>
        <v>0.15761791329204389</v>
      </c>
      <c r="AJ591">
        <f t="shared" si="162"/>
        <v>1574.25</v>
      </c>
      <c r="AK591">
        <f t="shared" si="163"/>
        <v>1</v>
      </c>
      <c r="AL591">
        <f t="shared" si="164"/>
        <v>0</v>
      </c>
      <c r="AM591">
        <f t="shared" si="165"/>
        <v>0</v>
      </c>
      <c r="AN591">
        <f t="shared" si="166"/>
        <v>0</v>
      </c>
      <c r="AO591">
        <f t="shared" si="167"/>
        <v>0</v>
      </c>
      <c r="AP591">
        <f t="shared" si="168"/>
        <v>0</v>
      </c>
      <c r="AQ591">
        <f t="shared" si="169"/>
        <v>0</v>
      </c>
    </row>
    <row r="592" spans="1:43">
      <c r="A592" t="s">
        <v>1864</v>
      </c>
      <c r="B592" s="5">
        <v>45441</v>
      </c>
      <c r="C592" s="5">
        <v>45441</v>
      </c>
      <c r="D592" s="13">
        <f t="shared" si="153"/>
        <v>0</v>
      </c>
      <c r="E592" t="s">
        <v>1865</v>
      </c>
      <c r="F592" t="s">
        <v>128</v>
      </c>
      <c r="G592" t="s">
        <v>95</v>
      </c>
      <c r="H592" t="s">
        <v>25</v>
      </c>
      <c r="I592" t="s">
        <v>350</v>
      </c>
      <c r="J592" t="s">
        <v>351</v>
      </c>
      <c r="K592" t="s">
        <v>41</v>
      </c>
      <c r="L592" t="s">
        <v>66</v>
      </c>
      <c r="M592" t="s">
        <v>1866</v>
      </c>
      <c r="N592" t="s">
        <v>44</v>
      </c>
      <c r="O592">
        <v>6</v>
      </c>
      <c r="P592">
        <v>3430.35</v>
      </c>
      <c r="Q592" s="11">
        <v>0</v>
      </c>
      <c r="R592">
        <v>20582.099999999999</v>
      </c>
      <c r="S592">
        <v>15897.65</v>
      </c>
      <c r="T592">
        <v>4684.45</v>
      </c>
      <c r="U592" t="s">
        <v>111</v>
      </c>
      <c r="V592" t="s">
        <v>68</v>
      </c>
      <c r="X592" s="8" t="str">
        <f>IF(C592&gt;=B592,"Valid", "Invalid-Date")</f>
        <v>Valid</v>
      </c>
      <c r="Y592" s="8" t="str">
        <f t="shared" si="154"/>
        <v>Valid</v>
      </c>
      <c r="Z592" s="8" t="str">
        <f t="shared" si="155"/>
        <v>Pass</v>
      </c>
      <c r="AA592" s="8" t="str">
        <f t="shared" si="156"/>
        <v>Pass</v>
      </c>
      <c r="AB592" s="8" t="str">
        <f>TEXT(B592,"mmmm")</f>
        <v>May</v>
      </c>
      <c r="AC592" s="8" t="str">
        <f>TEXT(B592,"yyyy")</f>
        <v>2024</v>
      </c>
      <c r="AE592">
        <f t="shared" si="157"/>
        <v>20582.099999999999</v>
      </c>
      <c r="AF592" s="11">
        <f t="shared" si="158"/>
        <v>20582.099999999999</v>
      </c>
      <c r="AG592">
        <f t="shared" si="159"/>
        <v>4684.4499999999989</v>
      </c>
      <c r="AH592" s="11">
        <f t="shared" si="160"/>
        <v>0.22759825285077806</v>
      </c>
      <c r="AI592" s="9">
        <f t="shared" si="161"/>
        <v>0.22759825285077806</v>
      </c>
      <c r="AJ592">
        <f t="shared" si="162"/>
        <v>0</v>
      </c>
      <c r="AK592">
        <f t="shared" si="163"/>
        <v>0</v>
      </c>
      <c r="AL592">
        <f t="shared" si="164"/>
        <v>20582.099999999999</v>
      </c>
      <c r="AM592">
        <f t="shared" si="165"/>
        <v>1</v>
      </c>
      <c r="AN592">
        <f t="shared" si="166"/>
        <v>0</v>
      </c>
      <c r="AO592">
        <f t="shared" si="167"/>
        <v>0</v>
      </c>
      <c r="AP592">
        <f t="shared" si="168"/>
        <v>0</v>
      </c>
      <c r="AQ592">
        <f t="shared" si="169"/>
        <v>0</v>
      </c>
    </row>
    <row r="593" spans="1:43">
      <c r="A593" t="s">
        <v>1867</v>
      </c>
      <c r="B593" s="5">
        <v>45344</v>
      </c>
      <c r="C593" s="5">
        <v>45346</v>
      </c>
      <c r="D593" s="13">
        <f t="shared" si="153"/>
        <v>2</v>
      </c>
      <c r="E593" t="s">
        <v>1868</v>
      </c>
      <c r="F593" t="s">
        <v>132</v>
      </c>
      <c r="G593" t="s">
        <v>24</v>
      </c>
      <c r="H593" t="s">
        <v>54</v>
      </c>
      <c r="I593" t="s">
        <v>175</v>
      </c>
      <c r="J593" t="s">
        <v>176</v>
      </c>
      <c r="K593" t="s">
        <v>74</v>
      </c>
      <c r="L593" t="s">
        <v>80</v>
      </c>
      <c r="M593" t="s">
        <v>1869</v>
      </c>
      <c r="N593" t="s">
        <v>50</v>
      </c>
      <c r="O593">
        <v>3</v>
      </c>
      <c r="P593">
        <v>3545.08</v>
      </c>
      <c r="Q593" s="11">
        <v>0</v>
      </c>
      <c r="R593">
        <v>10635.24</v>
      </c>
      <c r="S593">
        <v>6031.88</v>
      </c>
      <c r="T593">
        <v>4603.3599999999997</v>
      </c>
      <c r="U593" t="s">
        <v>155</v>
      </c>
      <c r="V593" t="s">
        <v>103</v>
      </c>
      <c r="X593" s="8" t="str">
        <f>IF(C593&gt;=B593,"Valid", "Invalid-Date")</f>
        <v>Valid</v>
      </c>
      <c r="Y593" s="8" t="str">
        <f t="shared" si="154"/>
        <v>Valid</v>
      </c>
      <c r="Z593" s="8" t="str">
        <f t="shared" si="155"/>
        <v>Pass</v>
      </c>
      <c r="AA593" s="8" t="str">
        <f t="shared" si="156"/>
        <v>Pass</v>
      </c>
      <c r="AB593" s="8" t="str">
        <f>TEXT(B593,"mmmm")</f>
        <v>February</v>
      </c>
      <c r="AC593" s="8" t="str">
        <f>TEXT(B593,"yyyy")</f>
        <v>2024</v>
      </c>
      <c r="AE593">
        <f t="shared" si="157"/>
        <v>10635.24</v>
      </c>
      <c r="AF593" s="11">
        <f t="shared" si="158"/>
        <v>10635.24</v>
      </c>
      <c r="AG593">
        <f t="shared" si="159"/>
        <v>4603.3599999999997</v>
      </c>
      <c r="AH593" s="11">
        <f t="shared" si="160"/>
        <v>0.43284025560307055</v>
      </c>
      <c r="AI593" s="9">
        <f t="shared" si="161"/>
        <v>0.43284025560307055</v>
      </c>
      <c r="AJ593">
        <f t="shared" si="162"/>
        <v>0</v>
      </c>
      <c r="AK593">
        <f t="shared" si="163"/>
        <v>0</v>
      </c>
      <c r="AL593">
        <f t="shared" si="164"/>
        <v>0</v>
      </c>
      <c r="AM593">
        <f t="shared" si="165"/>
        <v>0</v>
      </c>
      <c r="AN593">
        <f t="shared" si="166"/>
        <v>10635.24</v>
      </c>
      <c r="AO593">
        <f t="shared" si="167"/>
        <v>1</v>
      </c>
      <c r="AP593">
        <f t="shared" si="168"/>
        <v>10635.24</v>
      </c>
      <c r="AQ593">
        <f t="shared" si="169"/>
        <v>1</v>
      </c>
    </row>
    <row r="594" spans="1:43">
      <c r="A594" t="s">
        <v>1870</v>
      </c>
      <c r="B594" s="5">
        <v>45355</v>
      </c>
      <c r="C594" s="5">
        <v>45538</v>
      </c>
      <c r="D594" s="13">
        <f t="shared" si="153"/>
        <v>183</v>
      </c>
      <c r="E594" t="s">
        <v>1871</v>
      </c>
      <c r="F594" t="s">
        <v>36</v>
      </c>
      <c r="G594" t="s">
        <v>24</v>
      </c>
      <c r="H594" t="s">
        <v>38</v>
      </c>
      <c r="I594" t="s">
        <v>99</v>
      </c>
      <c r="J594" t="s">
        <v>100</v>
      </c>
      <c r="K594" t="s">
        <v>74</v>
      </c>
      <c r="L594" t="s">
        <v>75</v>
      </c>
      <c r="M594" t="s">
        <v>1872</v>
      </c>
      <c r="N594" t="s">
        <v>44</v>
      </c>
      <c r="O594">
        <v>8</v>
      </c>
      <c r="P594">
        <v>4401.41</v>
      </c>
      <c r="Q594" s="11">
        <v>0.15</v>
      </c>
      <c r="R594">
        <v>29929.59</v>
      </c>
      <c r="S594">
        <v>22436.03</v>
      </c>
      <c r="T594">
        <v>7493.56</v>
      </c>
      <c r="U594" t="s">
        <v>32</v>
      </c>
      <c r="V594" t="s">
        <v>33</v>
      </c>
      <c r="X594" s="8" t="str">
        <f>IF(C594&gt;=B594,"Valid", "Invalid-Date")</f>
        <v>Valid</v>
      </c>
      <c r="Y594" s="8" t="str">
        <f t="shared" si="154"/>
        <v>Valid</v>
      </c>
      <c r="Z594" s="8" t="str">
        <f t="shared" si="155"/>
        <v>Pass</v>
      </c>
      <c r="AA594" s="8" t="str">
        <f t="shared" si="156"/>
        <v>Pass</v>
      </c>
      <c r="AB594" s="8" t="str">
        <f>TEXT(B594,"mmmm")</f>
        <v>March</v>
      </c>
      <c r="AC594" s="8" t="str">
        <f>TEXT(B594,"yyyy")</f>
        <v>2024</v>
      </c>
      <c r="AE594">
        <f t="shared" si="157"/>
        <v>35211.279999999999</v>
      </c>
      <c r="AF594" s="11">
        <f t="shared" si="158"/>
        <v>29929.588</v>
      </c>
      <c r="AG594">
        <f t="shared" si="159"/>
        <v>12775.25</v>
      </c>
      <c r="AH594" s="11">
        <f t="shared" si="160"/>
        <v>0.36281697228842574</v>
      </c>
      <c r="AI594" s="9">
        <f t="shared" si="161"/>
        <v>0.36281697228842574</v>
      </c>
      <c r="AJ594">
        <f t="shared" si="162"/>
        <v>29929.59</v>
      </c>
      <c r="AK594">
        <f t="shared" si="163"/>
        <v>1</v>
      </c>
      <c r="AL594">
        <f t="shared" si="164"/>
        <v>0</v>
      </c>
      <c r="AM594">
        <f t="shared" si="165"/>
        <v>0</v>
      </c>
      <c r="AN594">
        <f t="shared" si="166"/>
        <v>0</v>
      </c>
      <c r="AO594">
        <f t="shared" si="167"/>
        <v>0</v>
      </c>
      <c r="AP594">
        <f t="shared" si="168"/>
        <v>0</v>
      </c>
      <c r="AQ594">
        <f t="shared" si="169"/>
        <v>0</v>
      </c>
    </row>
    <row r="595" spans="1:43">
      <c r="A595" t="s">
        <v>1873</v>
      </c>
      <c r="B595" s="5">
        <v>45927</v>
      </c>
      <c r="C595" s="5">
        <v>45929</v>
      </c>
      <c r="D595" s="13">
        <f t="shared" si="153"/>
        <v>2</v>
      </c>
      <c r="E595" t="s">
        <v>1664</v>
      </c>
      <c r="F595" t="s">
        <v>53</v>
      </c>
      <c r="G595" t="s">
        <v>95</v>
      </c>
      <c r="H595" t="s">
        <v>25</v>
      </c>
      <c r="I595" t="s">
        <v>136</v>
      </c>
      <c r="J595" t="s">
        <v>137</v>
      </c>
      <c r="K595" t="s">
        <v>41</v>
      </c>
      <c r="L595" t="s">
        <v>42</v>
      </c>
      <c r="M595" t="s">
        <v>1874</v>
      </c>
      <c r="N595" t="s">
        <v>31</v>
      </c>
      <c r="O595">
        <v>9</v>
      </c>
      <c r="P595">
        <v>4100.1099999999997</v>
      </c>
      <c r="Q595" s="11">
        <v>0.25</v>
      </c>
      <c r="R595">
        <v>27675.74</v>
      </c>
      <c r="S595">
        <v>15571.08</v>
      </c>
      <c r="T595">
        <v>12104.66</v>
      </c>
      <c r="U595" t="s">
        <v>32</v>
      </c>
      <c r="V595" t="s">
        <v>33</v>
      </c>
      <c r="X595" s="8" t="str">
        <f>IF(C595&gt;=B595,"Valid", "Invalid-Date")</f>
        <v>Valid</v>
      </c>
      <c r="Y595" s="8" t="str">
        <f t="shared" si="154"/>
        <v>Valid</v>
      </c>
      <c r="Z595" s="8" t="str">
        <f t="shared" si="155"/>
        <v>Pass</v>
      </c>
      <c r="AA595" s="8" t="str">
        <f t="shared" si="156"/>
        <v>Pass</v>
      </c>
      <c r="AB595" s="8" t="str">
        <f>TEXT(B595,"mmmm")</f>
        <v>September</v>
      </c>
      <c r="AC595" s="8" t="str">
        <f>TEXT(B595,"yyyy")</f>
        <v>2025</v>
      </c>
      <c r="AE595">
        <f t="shared" si="157"/>
        <v>36900.99</v>
      </c>
      <c r="AF595" s="11">
        <f t="shared" si="158"/>
        <v>27675.7425</v>
      </c>
      <c r="AG595">
        <f t="shared" si="159"/>
        <v>21329.909999999996</v>
      </c>
      <c r="AH595" s="11">
        <f t="shared" si="160"/>
        <v>0.57803083331910599</v>
      </c>
      <c r="AI595" s="9">
        <f t="shared" si="161"/>
        <v>0.57803083331910599</v>
      </c>
      <c r="AJ595">
        <f t="shared" si="162"/>
        <v>27675.74</v>
      </c>
      <c r="AK595">
        <f t="shared" si="163"/>
        <v>1</v>
      </c>
      <c r="AL595">
        <f t="shared" si="164"/>
        <v>0</v>
      </c>
      <c r="AM595">
        <f t="shared" si="165"/>
        <v>0</v>
      </c>
      <c r="AN595">
        <f t="shared" si="166"/>
        <v>0</v>
      </c>
      <c r="AO595">
        <f t="shared" si="167"/>
        <v>0</v>
      </c>
      <c r="AP595">
        <f t="shared" si="168"/>
        <v>0</v>
      </c>
      <c r="AQ595">
        <f t="shared" si="169"/>
        <v>0</v>
      </c>
    </row>
    <row r="596" spans="1:43">
      <c r="A596" t="s">
        <v>1875</v>
      </c>
      <c r="B596" s="5">
        <v>45554</v>
      </c>
      <c r="C596" s="5">
        <v>45556</v>
      </c>
      <c r="D596" s="13">
        <f t="shared" si="153"/>
        <v>2</v>
      </c>
      <c r="E596" t="s">
        <v>1876</v>
      </c>
      <c r="F596" t="s">
        <v>23</v>
      </c>
      <c r="G596" t="s">
        <v>37</v>
      </c>
      <c r="H596" t="s">
        <v>38</v>
      </c>
      <c r="I596" t="s">
        <v>99</v>
      </c>
      <c r="J596" t="s">
        <v>100</v>
      </c>
      <c r="K596" t="s">
        <v>41</v>
      </c>
      <c r="L596" t="s">
        <v>66</v>
      </c>
      <c r="M596" t="s">
        <v>1877</v>
      </c>
      <c r="N596" t="s">
        <v>50</v>
      </c>
      <c r="O596">
        <v>3</v>
      </c>
      <c r="P596">
        <v>3981.76</v>
      </c>
      <c r="Q596" s="11">
        <v>0</v>
      </c>
      <c r="R596">
        <v>11945.28</v>
      </c>
      <c r="S596">
        <v>9700.31</v>
      </c>
      <c r="T596">
        <v>2244.9699999999998</v>
      </c>
      <c r="U596" t="s">
        <v>32</v>
      </c>
      <c r="V596" t="s">
        <v>33</v>
      </c>
      <c r="X596" s="8" t="str">
        <f>IF(C596&gt;=B596,"Valid", "Invalid-Date")</f>
        <v>Valid</v>
      </c>
      <c r="Y596" s="8" t="str">
        <f t="shared" si="154"/>
        <v>Valid</v>
      </c>
      <c r="Z596" s="8" t="str">
        <f t="shared" si="155"/>
        <v>Pass</v>
      </c>
      <c r="AA596" s="8" t="str">
        <f t="shared" si="156"/>
        <v>Pass</v>
      </c>
      <c r="AB596" s="8" t="str">
        <f>TEXT(B596,"mmmm")</f>
        <v>September</v>
      </c>
      <c r="AC596" s="8" t="str">
        <f>TEXT(B596,"yyyy")</f>
        <v>2024</v>
      </c>
      <c r="AE596">
        <f t="shared" si="157"/>
        <v>11945.28</v>
      </c>
      <c r="AF596" s="11">
        <f t="shared" si="158"/>
        <v>11945.28</v>
      </c>
      <c r="AG596">
        <f t="shared" si="159"/>
        <v>2244.9700000000012</v>
      </c>
      <c r="AH596" s="11">
        <f t="shared" si="160"/>
        <v>0.18793782983739193</v>
      </c>
      <c r="AI596" s="9">
        <f t="shared" si="161"/>
        <v>0.18793782983739193</v>
      </c>
      <c r="AJ596">
        <f t="shared" si="162"/>
        <v>11945.28</v>
      </c>
      <c r="AK596">
        <f t="shared" si="163"/>
        <v>1</v>
      </c>
      <c r="AL596">
        <f t="shared" si="164"/>
        <v>0</v>
      </c>
      <c r="AM596">
        <f t="shared" si="165"/>
        <v>0</v>
      </c>
      <c r="AN596">
        <f t="shared" si="166"/>
        <v>0</v>
      </c>
      <c r="AO596">
        <f t="shared" si="167"/>
        <v>0</v>
      </c>
      <c r="AP596">
        <f t="shared" si="168"/>
        <v>0</v>
      </c>
      <c r="AQ596">
        <f t="shared" si="169"/>
        <v>0</v>
      </c>
    </row>
    <row r="597" spans="1:43">
      <c r="A597" t="s">
        <v>1878</v>
      </c>
      <c r="B597" s="5">
        <v>45963</v>
      </c>
      <c r="C597" s="5">
        <v>45704</v>
      </c>
      <c r="D597" s="13">
        <f t="shared" si="153"/>
        <v>-259</v>
      </c>
      <c r="E597" t="s">
        <v>1879</v>
      </c>
      <c r="F597" t="s">
        <v>36</v>
      </c>
      <c r="G597" t="s">
        <v>90</v>
      </c>
      <c r="H597" t="s">
        <v>25</v>
      </c>
      <c r="I597" t="s">
        <v>136</v>
      </c>
      <c r="J597" t="s">
        <v>137</v>
      </c>
      <c r="K597" t="s">
        <v>74</v>
      </c>
      <c r="L597" t="s">
        <v>171</v>
      </c>
      <c r="M597" t="s">
        <v>1880</v>
      </c>
      <c r="N597" t="s">
        <v>50</v>
      </c>
      <c r="O597">
        <v>8</v>
      </c>
      <c r="P597">
        <v>1825.56</v>
      </c>
      <c r="Q597" s="11">
        <v>0.1</v>
      </c>
      <c r="R597">
        <v>13144.03</v>
      </c>
      <c r="S597">
        <v>9764</v>
      </c>
      <c r="T597">
        <v>3380.03</v>
      </c>
      <c r="U597" t="s">
        <v>32</v>
      </c>
      <c r="V597" t="s">
        <v>33</v>
      </c>
      <c r="X597" s="8" t="str">
        <f>IF(C597&gt;=B597,"Valid", "Invalid-Date")</f>
        <v>Invalid-Date</v>
      </c>
      <c r="Y597" s="8" t="str">
        <f t="shared" si="154"/>
        <v>Valid</v>
      </c>
      <c r="Z597" s="8" t="str">
        <f t="shared" si="155"/>
        <v>Pass</v>
      </c>
      <c r="AA597" s="8" t="str">
        <f t="shared" si="156"/>
        <v>Pass</v>
      </c>
      <c r="AB597" s="8" t="str">
        <f>TEXT(B597,"mmmm")</f>
        <v>November</v>
      </c>
      <c r="AC597" s="8" t="str">
        <f>TEXT(B597,"yyyy")</f>
        <v>2025</v>
      </c>
      <c r="AE597">
        <f t="shared" si="157"/>
        <v>14604.48</v>
      </c>
      <c r="AF597" s="11">
        <f t="shared" si="158"/>
        <v>13144.031999999999</v>
      </c>
      <c r="AG597">
        <f t="shared" si="159"/>
        <v>4840.4799999999996</v>
      </c>
      <c r="AH597" s="11">
        <f t="shared" si="160"/>
        <v>0.33143802449659282</v>
      </c>
      <c r="AI597" s="9">
        <f t="shared" si="161"/>
        <v>0.33143802449659282</v>
      </c>
      <c r="AJ597">
        <f t="shared" si="162"/>
        <v>13144.03</v>
      </c>
      <c r="AK597">
        <f t="shared" si="163"/>
        <v>1</v>
      </c>
      <c r="AL597">
        <f t="shared" si="164"/>
        <v>0</v>
      </c>
      <c r="AM597">
        <f t="shared" si="165"/>
        <v>0</v>
      </c>
      <c r="AN597">
        <f t="shared" si="166"/>
        <v>0</v>
      </c>
      <c r="AO597">
        <f t="shared" si="167"/>
        <v>0</v>
      </c>
      <c r="AP597">
        <f t="shared" si="168"/>
        <v>0</v>
      </c>
      <c r="AQ597">
        <f t="shared" si="169"/>
        <v>0</v>
      </c>
    </row>
    <row r="598" spans="1:43">
      <c r="A598" t="s">
        <v>1881</v>
      </c>
      <c r="B598" s="5">
        <v>45392</v>
      </c>
      <c r="C598" s="5">
        <v>45398</v>
      </c>
      <c r="D598" s="13">
        <f t="shared" si="153"/>
        <v>6</v>
      </c>
      <c r="E598" t="s">
        <v>1882</v>
      </c>
      <c r="F598" t="s">
        <v>89</v>
      </c>
      <c r="G598" t="s">
        <v>24</v>
      </c>
      <c r="H598" t="s">
        <v>54</v>
      </c>
      <c r="I598" t="s">
        <v>185</v>
      </c>
      <c r="J598" t="s">
        <v>186</v>
      </c>
      <c r="K598" t="s">
        <v>41</v>
      </c>
      <c r="L598" t="s">
        <v>66</v>
      </c>
      <c r="M598" t="s">
        <v>1883</v>
      </c>
      <c r="N598" t="s">
        <v>31</v>
      </c>
      <c r="O598">
        <v>9</v>
      </c>
      <c r="P598">
        <v>2723.26</v>
      </c>
      <c r="Q598" s="11">
        <v>0.25</v>
      </c>
      <c r="R598">
        <v>18382.009999999998</v>
      </c>
      <c r="S598">
        <v>13108.2</v>
      </c>
      <c r="T598">
        <v>5273.81</v>
      </c>
      <c r="U598" t="s">
        <v>32</v>
      </c>
      <c r="V598" t="s">
        <v>33</v>
      </c>
      <c r="X598" s="8" t="str">
        <f>IF(C598&gt;=B598,"Valid", "Invalid-Date")</f>
        <v>Valid</v>
      </c>
      <c r="Y598" s="8" t="str">
        <f t="shared" si="154"/>
        <v>Valid</v>
      </c>
      <c r="Z598" s="8" t="str">
        <f t="shared" si="155"/>
        <v>Pass</v>
      </c>
      <c r="AA598" s="8" t="str">
        <f t="shared" si="156"/>
        <v>Pass</v>
      </c>
      <c r="AB598" s="8" t="str">
        <f>TEXT(B598,"mmmm")</f>
        <v>April</v>
      </c>
      <c r="AC598" s="8" t="str">
        <f>TEXT(B598,"yyyy")</f>
        <v>2024</v>
      </c>
      <c r="AE598">
        <f t="shared" si="157"/>
        <v>24509.340000000004</v>
      </c>
      <c r="AF598" s="11">
        <f t="shared" si="158"/>
        <v>18382.005000000005</v>
      </c>
      <c r="AG598">
        <f t="shared" si="159"/>
        <v>11401.140000000003</v>
      </c>
      <c r="AH598" s="11">
        <f t="shared" si="160"/>
        <v>0.46517531683839719</v>
      </c>
      <c r="AI598" s="9">
        <f t="shared" si="161"/>
        <v>0.46517531683839719</v>
      </c>
      <c r="AJ598">
        <f t="shared" si="162"/>
        <v>18382.009999999998</v>
      </c>
      <c r="AK598">
        <f t="shared" si="163"/>
        <v>1</v>
      </c>
      <c r="AL598">
        <f t="shared" si="164"/>
        <v>0</v>
      </c>
      <c r="AM598">
        <f t="shared" si="165"/>
        <v>0</v>
      </c>
      <c r="AN598">
        <f t="shared" si="166"/>
        <v>0</v>
      </c>
      <c r="AO598">
        <f t="shared" si="167"/>
        <v>0</v>
      </c>
      <c r="AP598">
        <f t="shared" si="168"/>
        <v>0</v>
      </c>
      <c r="AQ598">
        <f t="shared" si="169"/>
        <v>0</v>
      </c>
    </row>
    <row r="599" spans="1:43">
      <c r="A599" t="s">
        <v>1884</v>
      </c>
      <c r="B599" s="5">
        <v>45846</v>
      </c>
      <c r="C599" s="5">
        <v>45876</v>
      </c>
      <c r="D599" s="13">
        <f t="shared" si="153"/>
        <v>30</v>
      </c>
      <c r="E599" t="s">
        <v>1885</v>
      </c>
      <c r="F599" t="s">
        <v>89</v>
      </c>
      <c r="G599" t="s">
        <v>24</v>
      </c>
      <c r="H599" t="s">
        <v>54</v>
      </c>
      <c r="I599" t="s">
        <v>55</v>
      </c>
      <c r="J599" t="s">
        <v>56</v>
      </c>
      <c r="K599" t="s">
        <v>74</v>
      </c>
      <c r="L599" t="s">
        <v>80</v>
      </c>
      <c r="M599" t="s">
        <v>1886</v>
      </c>
      <c r="N599" t="s">
        <v>44</v>
      </c>
      <c r="O599">
        <v>9</v>
      </c>
      <c r="P599">
        <v>274.88</v>
      </c>
      <c r="Q599" s="11">
        <v>0.25</v>
      </c>
      <c r="R599">
        <v>1855.44</v>
      </c>
      <c r="S599">
        <v>1262.74</v>
      </c>
      <c r="T599">
        <v>592.70000000000005</v>
      </c>
      <c r="U599" t="s">
        <v>32</v>
      </c>
      <c r="V599" t="s">
        <v>33</v>
      </c>
      <c r="X599" s="8" t="str">
        <f>IF(C599&gt;=B599,"Valid", "Invalid-Date")</f>
        <v>Valid</v>
      </c>
      <c r="Y599" s="8" t="str">
        <f t="shared" si="154"/>
        <v>Valid</v>
      </c>
      <c r="Z599" s="8" t="str">
        <f t="shared" si="155"/>
        <v>Pass</v>
      </c>
      <c r="AA599" s="8" t="str">
        <f t="shared" si="156"/>
        <v>Pass</v>
      </c>
      <c r="AB599" s="8" t="str">
        <f>TEXT(B599,"mmmm")</f>
        <v>July</v>
      </c>
      <c r="AC599" s="8" t="str">
        <f>TEXT(B599,"yyyy")</f>
        <v>2025</v>
      </c>
      <c r="AE599">
        <f t="shared" si="157"/>
        <v>2473.92</v>
      </c>
      <c r="AF599" s="11">
        <f t="shared" si="158"/>
        <v>1855.44</v>
      </c>
      <c r="AG599">
        <f t="shared" si="159"/>
        <v>1211.18</v>
      </c>
      <c r="AH599" s="11">
        <f t="shared" si="160"/>
        <v>0.48957929116543786</v>
      </c>
      <c r="AI599" s="9">
        <f t="shared" si="161"/>
        <v>0.48957929116543786</v>
      </c>
      <c r="AJ599">
        <f t="shared" si="162"/>
        <v>1855.44</v>
      </c>
      <c r="AK599">
        <f t="shared" si="163"/>
        <v>1</v>
      </c>
      <c r="AL599">
        <f t="shared" si="164"/>
        <v>0</v>
      </c>
      <c r="AM599">
        <f t="shared" si="165"/>
        <v>0</v>
      </c>
      <c r="AN599">
        <f t="shared" si="166"/>
        <v>0</v>
      </c>
      <c r="AO599">
        <f t="shared" si="167"/>
        <v>0</v>
      </c>
      <c r="AP599">
        <f t="shared" si="168"/>
        <v>0</v>
      </c>
      <c r="AQ599">
        <f t="shared" si="169"/>
        <v>0</v>
      </c>
    </row>
    <row r="600" spans="1:43" s="15" customFormat="1">
      <c r="A600" s="15" t="s">
        <v>1887</v>
      </c>
      <c r="B600" s="16">
        <v>45521</v>
      </c>
      <c r="C600" s="16">
        <v>45528</v>
      </c>
      <c r="D600" s="17">
        <f t="shared" si="153"/>
        <v>7</v>
      </c>
      <c r="E600" s="15" t="s">
        <v>1888</v>
      </c>
      <c r="F600" s="15" t="s">
        <v>62</v>
      </c>
      <c r="G600" s="15" t="s">
        <v>90</v>
      </c>
      <c r="H600" s="15" t="s">
        <v>38</v>
      </c>
      <c r="I600" s="15" t="s">
        <v>99</v>
      </c>
      <c r="J600" s="15" t="s">
        <v>100</v>
      </c>
      <c r="K600" s="15" t="s">
        <v>74</v>
      </c>
      <c r="L600" s="15" t="s">
        <v>80</v>
      </c>
      <c r="M600" s="15" t="s">
        <v>1889</v>
      </c>
      <c r="N600" s="15" t="s">
        <v>44</v>
      </c>
      <c r="O600" s="15">
        <v>3</v>
      </c>
      <c r="P600" s="15">
        <v>1490.69</v>
      </c>
      <c r="Q600" s="18">
        <v>0.25</v>
      </c>
      <c r="R600" s="15">
        <v>3354.05</v>
      </c>
      <c r="S600" s="15">
        <v>2672.67</v>
      </c>
      <c r="T600" s="15">
        <v>681.38</v>
      </c>
      <c r="U600" s="15" t="s">
        <v>32</v>
      </c>
      <c r="V600" s="15" t="s">
        <v>33</v>
      </c>
      <c r="W600" s="25"/>
      <c r="X600" s="8" t="str">
        <f>IF(C600&gt;=B600,"Valid", "Invalid-Date")</f>
        <v>Valid</v>
      </c>
      <c r="Y600" s="8" t="str">
        <f t="shared" si="154"/>
        <v>Valid</v>
      </c>
      <c r="Z600" s="19" t="str">
        <f t="shared" si="155"/>
        <v>Pass</v>
      </c>
      <c r="AA600" s="19" t="str">
        <f t="shared" si="156"/>
        <v>Pass</v>
      </c>
      <c r="AB600" s="19" t="str">
        <f>TEXT(B600,"mmmm")</f>
        <v>August</v>
      </c>
      <c r="AC600" s="19" t="str">
        <f>TEXT(B600,"yyyy")</f>
        <v>2024</v>
      </c>
      <c r="AD600" s="20"/>
      <c r="AE600" s="15">
        <f t="shared" si="157"/>
        <v>4472.07</v>
      </c>
      <c r="AF600" s="11">
        <f t="shared" si="158"/>
        <v>3354.0524999999998</v>
      </c>
      <c r="AG600" s="15">
        <f t="shared" si="159"/>
        <v>1799.3999999999996</v>
      </c>
      <c r="AH600" s="18">
        <f t="shared" si="160"/>
        <v>0.40236400593013966</v>
      </c>
      <c r="AI600" s="21">
        <f t="shared" si="161"/>
        <v>0.40236400593013966</v>
      </c>
      <c r="AJ600">
        <f t="shared" si="162"/>
        <v>3354.05</v>
      </c>
      <c r="AK600">
        <f t="shared" si="163"/>
        <v>1</v>
      </c>
      <c r="AL600">
        <f t="shared" si="164"/>
        <v>0</v>
      </c>
      <c r="AM600">
        <f t="shared" si="165"/>
        <v>0</v>
      </c>
      <c r="AN600">
        <f t="shared" si="166"/>
        <v>0</v>
      </c>
      <c r="AO600">
        <f t="shared" si="167"/>
        <v>0</v>
      </c>
      <c r="AP600">
        <f t="shared" si="168"/>
        <v>0</v>
      </c>
      <c r="AQ600">
        <f t="shared" si="169"/>
        <v>0</v>
      </c>
    </row>
    <row r="601" spans="1:43">
      <c r="A601" t="s">
        <v>1890</v>
      </c>
      <c r="B601" s="5">
        <v>45523</v>
      </c>
      <c r="C601" s="5">
        <v>45525</v>
      </c>
      <c r="D601" s="13">
        <f t="shared" si="153"/>
        <v>2</v>
      </c>
      <c r="E601" t="s">
        <v>1891</v>
      </c>
      <c r="F601" t="s">
        <v>53</v>
      </c>
      <c r="G601" t="s">
        <v>24</v>
      </c>
      <c r="H601" t="s">
        <v>25</v>
      </c>
      <c r="I601" t="s">
        <v>122</v>
      </c>
      <c r="J601" t="s">
        <v>123</v>
      </c>
      <c r="K601" t="s">
        <v>74</v>
      </c>
      <c r="L601" t="s">
        <v>171</v>
      </c>
      <c r="M601" t="s">
        <v>1892</v>
      </c>
      <c r="N601" t="s">
        <v>50</v>
      </c>
      <c r="O601">
        <v>3</v>
      </c>
      <c r="P601">
        <v>1103.54</v>
      </c>
      <c r="Q601" s="11">
        <v>0.25</v>
      </c>
      <c r="R601">
        <v>2482.9699999999998</v>
      </c>
      <c r="S601">
        <v>1621.72</v>
      </c>
      <c r="T601">
        <v>861.25</v>
      </c>
      <c r="U601" t="s">
        <v>32</v>
      </c>
      <c r="V601" t="s">
        <v>33</v>
      </c>
      <c r="X601" s="8" t="str">
        <f>IF(C601&gt;=B601,"Valid", "Invalid-Date")</f>
        <v>Valid</v>
      </c>
      <c r="Y601" s="8" t="str">
        <f t="shared" si="154"/>
        <v>Valid</v>
      </c>
      <c r="Z601" s="8" t="str">
        <f t="shared" si="155"/>
        <v>Pass</v>
      </c>
      <c r="AA601" s="8" t="str">
        <f t="shared" si="156"/>
        <v>Pass</v>
      </c>
      <c r="AB601" s="8" t="str">
        <f>TEXT(B601,"mmmm")</f>
        <v>August</v>
      </c>
      <c r="AC601" s="8" t="str">
        <f>TEXT(B601,"yyyy")</f>
        <v>2024</v>
      </c>
      <c r="AE601">
        <f t="shared" si="157"/>
        <v>3310.62</v>
      </c>
      <c r="AF601" s="11">
        <f t="shared" si="158"/>
        <v>2482.9650000000001</v>
      </c>
      <c r="AG601">
        <f t="shared" si="159"/>
        <v>1688.8999999999999</v>
      </c>
      <c r="AH601" s="11">
        <f t="shared" si="160"/>
        <v>0.51014613576913082</v>
      </c>
      <c r="AI601" s="9">
        <f t="shared" si="161"/>
        <v>0.51014613576913082</v>
      </c>
      <c r="AJ601">
        <f t="shared" si="162"/>
        <v>2482.9699999999998</v>
      </c>
      <c r="AK601">
        <f t="shared" si="163"/>
        <v>1</v>
      </c>
      <c r="AL601">
        <f t="shared" si="164"/>
        <v>0</v>
      </c>
      <c r="AM601">
        <f t="shared" si="165"/>
        <v>0</v>
      </c>
      <c r="AN601">
        <f t="shared" si="166"/>
        <v>0</v>
      </c>
      <c r="AO601">
        <f t="shared" si="167"/>
        <v>0</v>
      </c>
      <c r="AP601">
        <f t="shared" si="168"/>
        <v>0</v>
      </c>
      <c r="AQ601">
        <f t="shared" si="169"/>
        <v>0</v>
      </c>
    </row>
    <row r="602" spans="1:43">
      <c r="A602" t="s">
        <v>1893</v>
      </c>
      <c r="B602" s="5">
        <v>45721</v>
      </c>
      <c r="C602" s="5">
        <v>45994</v>
      </c>
      <c r="D602" s="13">
        <f t="shared" si="153"/>
        <v>273</v>
      </c>
      <c r="E602" t="s">
        <v>1894</v>
      </c>
      <c r="F602" t="s">
        <v>62</v>
      </c>
      <c r="G602" t="s">
        <v>90</v>
      </c>
      <c r="H602" t="s">
        <v>63</v>
      </c>
      <c r="I602" t="s">
        <v>72</v>
      </c>
      <c r="J602" t="s">
        <v>73</v>
      </c>
      <c r="K602" t="s">
        <v>28</v>
      </c>
      <c r="L602" t="s">
        <v>124</v>
      </c>
      <c r="M602" t="s">
        <v>1895</v>
      </c>
      <c r="N602" t="s">
        <v>44</v>
      </c>
      <c r="O602">
        <v>3</v>
      </c>
      <c r="P602">
        <v>3682.75</v>
      </c>
      <c r="Q602" s="11">
        <v>0</v>
      </c>
      <c r="R602">
        <v>11048.25</v>
      </c>
      <c r="S602">
        <v>9062.7199999999993</v>
      </c>
      <c r="T602">
        <v>1985.53</v>
      </c>
      <c r="U602" t="s">
        <v>32</v>
      </c>
      <c r="V602" t="s">
        <v>33</v>
      </c>
      <c r="X602" s="8" t="str">
        <f>IF(C602&gt;=B602,"Valid", "Invalid-Date")</f>
        <v>Valid</v>
      </c>
      <c r="Y602" s="8" t="str">
        <f t="shared" si="154"/>
        <v>Valid</v>
      </c>
      <c r="Z602" s="8" t="str">
        <f t="shared" si="155"/>
        <v>Pass</v>
      </c>
      <c r="AA602" s="8" t="str">
        <f t="shared" si="156"/>
        <v>Pass</v>
      </c>
      <c r="AB602" s="8" t="str">
        <f>TEXT(B602,"mmmm")</f>
        <v>March</v>
      </c>
      <c r="AC602" s="8" t="str">
        <f>TEXT(B602,"yyyy")</f>
        <v>2025</v>
      </c>
      <c r="AE602">
        <f t="shared" si="157"/>
        <v>11048.25</v>
      </c>
      <c r="AF602" s="11">
        <f t="shared" si="158"/>
        <v>11048.25</v>
      </c>
      <c r="AG602">
        <f t="shared" si="159"/>
        <v>1985.5300000000007</v>
      </c>
      <c r="AH602" s="11">
        <f t="shared" si="160"/>
        <v>0.17971443441268986</v>
      </c>
      <c r="AI602" s="9">
        <f t="shared" si="161"/>
        <v>0.17971443441268986</v>
      </c>
      <c r="AJ602">
        <f t="shared" si="162"/>
        <v>11048.25</v>
      </c>
      <c r="AK602">
        <f t="shared" si="163"/>
        <v>1</v>
      </c>
      <c r="AL602">
        <f t="shared" si="164"/>
        <v>0</v>
      </c>
      <c r="AM602">
        <f t="shared" si="165"/>
        <v>0</v>
      </c>
      <c r="AN602">
        <f t="shared" si="166"/>
        <v>0</v>
      </c>
      <c r="AO602">
        <f t="shared" si="167"/>
        <v>0</v>
      </c>
      <c r="AP602">
        <f t="shared" si="168"/>
        <v>0</v>
      </c>
      <c r="AQ602">
        <f t="shared" si="169"/>
        <v>0</v>
      </c>
    </row>
    <row r="603" spans="1:43">
      <c r="A603" t="s">
        <v>1896</v>
      </c>
      <c r="B603" s="5">
        <v>45317</v>
      </c>
      <c r="C603" s="5">
        <v>45322</v>
      </c>
      <c r="D603" s="13">
        <f t="shared" si="153"/>
        <v>5</v>
      </c>
      <c r="E603" t="s">
        <v>1897</v>
      </c>
      <c r="F603" t="s">
        <v>62</v>
      </c>
      <c r="G603" t="s">
        <v>95</v>
      </c>
      <c r="H603" t="s">
        <v>38</v>
      </c>
      <c r="I603" t="s">
        <v>99</v>
      </c>
      <c r="J603" t="s">
        <v>100</v>
      </c>
      <c r="K603" t="s">
        <v>28</v>
      </c>
      <c r="L603" t="s">
        <v>29</v>
      </c>
      <c r="M603" t="s">
        <v>1898</v>
      </c>
      <c r="N603" t="s">
        <v>31</v>
      </c>
      <c r="O603">
        <v>5</v>
      </c>
      <c r="P603">
        <v>1615.03</v>
      </c>
      <c r="Q603" s="11">
        <v>0.2</v>
      </c>
      <c r="R603">
        <v>6460.12</v>
      </c>
      <c r="S603">
        <v>3604.03</v>
      </c>
      <c r="T603">
        <v>2856.09</v>
      </c>
      <c r="U603" t="s">
        <v>32</v>
      </c>
      <c r="V603" t="s">
        <v>33</v>
      </c>
      <c r="X603" s="8" t="str">
        <f>IF(C603&gt;=B603,"Valid", "Invalid-Date")</f>
        <v>Valid</v>
      </c>
      <c r="Y603" s="8" t="str">
        <f t="shared" si="154"/>
        <v>Valid</v>
      </c>
      <c r="Z603" s="8" t="str">
        <f t="shared" si="155"/>
        <v>Pass</v>
      </c>
      <c r="AA603" s="8" t="str">
        <f t="shared" si="156"/>
        <v>Pass</v>
      </c>
      <c r="AB603" s="8" t="str">
        <f>TEXT(B603,"mmmm")</f>
        <v>January</v>
      </c>
      <c r="AC603" s="8" t="str">
        <f>TEXT(B603,"yyyy")</f>
        <v>2024</v>
      </c>
      <c r="AE603">
        <f t="shared" si="157"/>
        <v>8075.15</v>
      </c>
      <c r="AF603" s="11">
        <f t="shared" si="158"/>
        <v>6460.12</v>
      </c>
      <c r="AG603">
        <f t="shared" si="159"/>
        <v>4471.119999999999</v>
      </c>
      <c r="AH603" s="11">
        <f t="shared" si="160"/>
        <v>0.55368878596682403</v>
      </c>
      <c r="AI603" s="9">
        <f t="shared" si="161"/>
        <v>0.55368878596682403</v>
      </c>
      <c r="AJ603">
        <f t="shared" si="162"/>
        <v>6460.12</v>
      </c>
      <c r="AK603">
        <f t="shared" si="163"/>
        <v>1</v>
      </c>
      <c r="AL603">
        <f t="shared" si="164"/>
        <v>0</v>
      </c>
      <c r="AM603">
        <f t="shared" si="165"/>
        <v>0</v>
      </c>
      <c r="AN603">
        <f t="shared" si="166"/>
        <v>0</v>
      </c>
      <c r="AO603">
        <f t="shared" si="167"/>
        <v>0</v>
      </c>
      <c r="AP603">
        <f t="shared" si="168"/>
        <v>0</v>
      </c>
      <c r="AQ603">
        <f t="shared" si="169"/>
        <v>0</v>
      </c>
    </row>
    <row r="604" spans="1:43">
      <c r="A604" t="s">
        <v>1899</v>
      </c>
      <c r="B604" s="5">
        <v>45588</v>
      </c>
      <c r="C604" s="5">
        <v>45595</v>
      </c>
      <c r="D604" s="13">
        <f t="shared" si="153"/>
        <v>7</v>
      </c>
      <c r="E604" t="s">
        <v>1900</v>
      </c>
      <c r="F604" t="s">
        <v>128</v>
      </c>
      <c r="G604" t="s">
        <v>24</v>
      </c>
      <c r="H604" t="s">
        <v>38</v>
      </c>
      <c r="I604" t="s">
        <v>228</v>
      </c>
      <c r="J604" t="s">
        <v>229</v>
      </c>
      <c r="K604" t="s">
        <v>74</v>
      </c>
      <c r="L604" t="s">
        <v>80</v>
      </c>
      <c r="M604" t="s">
        <v>1901</v>
      </c>
      <c r="N604" t="s">
        <v>31</v>
      </c>
      <c r="O604">
        <v>9</v>
      </c>
      <c r="P604">
        <v>3423.82</v>
      </c>
      <c r="Q604" s="11">
        <v>0.15</v>
      </c>
      <c r="R604">
        <v>26192.22</v>
      </c>
      <c r="S604">
        <v>20795.55</v>
      </c>
      <c r="T604">
        <v>5396.67</v>
      </c>
      <c r="U604" t="s">
        <v>32</v>
      </c>
      <c r="V604" t="s">
        <v>33</v>
      </c>
      <c r="X604" s="8" t="str">
        <f>IF(C604&gt;=B604,"Valid", "Invalid-Date")</f>
        <v>Valid</v>
      </c>
      <c r="Y604" s="8" t="str">
        <f t="shared" si="154"/>
        <v>Valid</v>
      </c>
      <c r="Z604" s="8" t="str">
        <f t="shared" si="155"/>
        <v>Pass</v>
      </c>
      <c r="AA604" s="8" t="str">
        <f t="shared" si="156"/>
        <v>Pass</v>
      </c>
      <c r="AB604" s="8" t="str">
        <f>TEXT(B604,"mmmm")</f>
        <v>October</v>
      </c>
      <c r="AC604" s="8" t="str">
        <f>TEXT(B604,"yyyy")</f>
        <v>2024</v>
      </c>
      <c r="AE604">
        <f t="shared" si="157"/>
        <v>30814.38</v>
      </c>
      <c r="AF604" s="11">
        <f t="shared" si="158"/>
        <v>26192.223000000002</v>
      </c>
      <c r="AG604">
        <f t="shared" si="159"/>
        <v>10018.830000000002</v>
      </c>
      <c r="AH604" s="11">
        <f t="shared" si="160"/>
        <v>0.3251348883216213</v>
      </c>
      <c r="AI604" s="9">
        <f t="shared" si="161"/>
        <v>0.3251348883216213</v>
      </c>
      <c r="AJ604">
        <f t="shared" si="162"/>
        <v>26192.22</v>
      </c>
      <c r="AK604">
        <f t="shared" si="163"/>
        <v>1</v>
      </c>
      <c r="AL604">
        <f t="shared" si="164"/>
        <v>0</v>
      </c>
      <c r="AM604">
        <f t="shared" si="165"/>
        <v>0</v>
      </c>
      <c r="AN604">
        <f t="shared" si="166"/>
        <v>0</v>
      </c>
      <c r="AO604">
        <f t="shared" si="167"/>
        <v>0</v>
      </c>
      <c r="AP604">
        <f t="shared" si="168"/>
        <v>0</v>
      </c>
      <c r="AQ604">
        <f t="shared" si="169"/>
        <v>0</v>
      </c>
    </row>
    <row r="605" spans="1:43">
      <c r="A605" t="s">
        <v>1902</v>
      </c>
      <c r="B605" s="5">
        <v>45717</v>
      </c>
      <c r="C605" s="5">
        <v>45668</v>
      </c>
      <c r="D605" s="13">
        <f t="shared" si="153"/>
        <v>-49</v>
      </c>
      <c r="E605" t="s">
        <v>334</v>
      </c>
      <c r="F605" t="s">
        <v>71</v>
      </c>
      <c r="G605" t="s">
        <v>90</v>
      </c>
      <c r="H605" t="s">
        <v>38</v>
      </c>
      <c r="I605" t="s">
        <v>145</v>
      </c>
      <c r="J605" t="s">
        <v>146</v>
      </c>
      <c r="K605" t="s">
        <v>74</v>
      </c>
      <c r="L605" t="s">
        <v>75</v>
      </c>
      <c r="M605" t="s">
        <v>1903</v>
      </c>
      <c r="N605" t="s">
        <v>50</v>
      </c>
      <c r="O605">
        <v>8</v>
      </c>
      <c r="P605">
        <v>2574.29</v>
      </c>
      <c r="Q605" s="11">
        <v>0.05</v>
      </c>
      <c r="R605">
        <v>19564.599999999999</v>
      </c>
      <c r="S605">
        <v>11154.59</v>
      </c>
      <c r="T605">
        <v>8410.01</v>
      </c>
      <c r="U605" t="s">
        <v>111</v>
      </c>
      <c r="V605" t="s">
        <v>68</v>
      </c>
      <c r="X605" s="8" t="str">
        <f>IF(C605&gt;=B605,"Valid", "Invalid-Date")</f>
        <v>Invalid-Date</v>
      </c>
      <c r="Y605" s="8" t="str">
        <f t="shared" si="154"/>
        <v>Valid</v>
      </c>
      <c r="Z605" s="8" t="str">
        <f t="shared" si="155"/>
        <v>Pass</v>
      </c>
      <c r="AA605" s="8" t="str">
        <f t="shared" si="156"/>
        <v>Pass</v>
      </c>
      <c r="AB605" s="8" t="str">
        <f>TEXT(B605,"mmmm")</f>
        <v>March</v>
      </c>
      <c r="AC605" s="8" t="str">
        <f>TEXT(B605,"yyyy")</f>
        <v>2025</v>
      </c>
      <c r="AE605">
        <f t="shared" si="157"/>
        <v>20594.32</v>
      </c>
      <c r="AF605" s="11">
        <f t="shared" si="158"/>
        <v>19564.603999999999</v>
      </c>
      <c r="AG605">
        <f t="shared" si="159"/>
        <v>9439.73</v>
      </c>
      <c r="AH605" s="11">
        <f t="shared" si="160"/>
        <v>0.45836570471858257</v>
      </c>
      <c r="AI605" s="9">
        <f t="shared" si="161"/>
        <v>0.45836570471858257</v>
      </c>
      <c r="AJ605">
        <f t="shared" si="162"/>
        <v>0</v>
      </c>
      <c r="AK605">
        <f t="shared" si="163"/>
        <v>0</v>
      </c>
      <c r="AL605">
        <f t="shared" si="164"/>
        <v>19564.599999999999</v>
      </c>
      <c r="AM605">
        <f t="shared" si="165"/>
        <v>1</v>
      </c>
      <c r="AN605">
        <f t="shared" si="166"/>
        <v>0</v>
      </c>
      <c r="AO605">
        <f t="shared" si="167"/>
        <v>0</v>
      </c>
      <c r="AP605">
        <f t="shared" si="168"/>
        <v>0</v>
      </c>
      <c r="AQ605">
        <f t="shared" si="169"/>
        <v>0</v>
      </c>
    </row>
    <row r="606" spans="1:43">
      <c r="A606" t="s">
        <v>1904</v>
      </c>
      <c r="B606" s="5">
        <v>45693</v>
      </c>
      <c r="C606" s="5">
        <v>45810</v>
      </c>
      <c r="D606" s="13">
        <f t="shared" si="153"/>
        <v>117</v>
      </c>
      <c r="E606" t="s">
        <v>1905</v>
      </c>
      <c r="F606" t="s">
        <v>62</v>
      </c>
      <c r="G606" t="s">
        <v>24</v>
      </c>
      <c r="H606" t="s">
        <v>63</v>
      </c>
      <c r="I606" t="s">
        <v>72</v>
      </c>
      <c r="J606" t="s">
        <v>73</v>
      </c>
      <c r="K606" t="s">
        <v>28</v>
      </c>
      <c r="L606" t="s">
        <v>153</v>
      </c>
      <c r="M606" t="s">
        <v>1906</v>
      </c>
      <c r="N606" t="s">
        <v>44</v>
      </c>
      <c r="O606">
        <v>3</v>
      </c>
      <c r="P606">
        <v>1076.3</v>
      </c>
      <c r="Q606" s="11">
        <v>0</v>
      </c>
      <c r="R606">
        <v>3228.9</v>
      </c>
      <c r="S606">
        <v>1853.23</v>
      </c>
      <c r="T606">
        <v>1375.67</v>
      </c>
      <c r="U606" t="s">
        <v>32</v>
      </c>
      <c r="V606" t="s">
        <v>33</v>
      </c>
      <c r="X606" s="8" t="str">
        <f>IF(C606&gt;=B606,"Valid", "Invalid-Date")</f>
        <v>Valid</v>
      </c>
      <c r="Y606" s="8" t="str">
        <f t="shared" si="154"/>
        <v>Valid</v>
      </c>
      <c r="Z606" s="8" t="str">
        <f t="shared" si="155"/>
        <v>Pass</v>
      </c>
      <c r="AA606" s="8" t="str">
        <f t="shared" si="156"/>
        <v>Pass</v>
      </c>
      <c r="AB606" s="8" t="str">
        <f>TEXT(B606,"mmmm")</f>
        <v>February</v>
      </c>
      <c r="AC606" s="8" t="str">
        <f>TEXT(B606,"yyyy")</f>
        <v>2025</v>
      </c>
      <c r="AE606">
        <f t="shared" si="157"/>
        <v>3228.8999999999996</v>
      </c>
      <c r="AF606" s="11">
        <f t="shared" si="158"/>
        <v>3228.8999999999996</v>
      </c>
      <c r="AG606">
        <f t="shared" si="159"/>
        <v>1375.6699999999996</v>
      </c>
      <c r="AH606" s="11">
        <f t="shared" si="160"/>
        <v>0.42604911889497965</v>
      </c>
      <c r="AI606" s="9">
        <f t="shared" si="161"/>
        <v>0.42604911889497965</v>
      </c>
      <c r="AJ606">
        <f t="shared" si="162"/>
        <v>3228.9</v>
      </c>
      <c r="AK606">
        <f t="shared" si="163"/>
        <v>1</v>
      </c>
      <c r="AL606">
        <f t="shared" si="164"/>
        <v>0</v>
      </c>
      <c r="AM606">
        <f t="shared" si="165"/>
        <v>0</v>
      </c>
      <c r="AN606">
        <f t="shared" si="166"/>
        <v>0</v>
      </c>
      <c r="AO606">
        <f t="shared" si="167"/>
        <v>0</v>
      </c>
      <c r="AP606">
        <f t="shared" si="168"/>
        <v>0</v>
      </c>
      <c r="AQ606">
        <f t="shared" si="169"/>
        <v>0</v>
      </c>
    </row>
    <row r="607" spans="1:43">
      <c r="A607" t="s">
        <v>1907</v>
      </c>
      <c r="B607" s="5">
        <v>45847</v>
      </c>
      <c r="C607" s="5">
        <v>45851</v>
      </c>
      <c r="D607" s="13">
        <f t="shared" si="153"/>
        <v>4</v>
      </c>
      <c r="E607" t="s">
        <v>1908</v>
      </c>
      <c r="F607" t="s">
        <v>264</v>
      </c>
      <c r="G607" t="s">
        <v>90</v>
      </c>
      <c r="H607" t="s">
        <v>63</v>
      </c>
      <c r="I607" t="s">
        <v>190</v>
      </c>
      <c r="J607" t="s">
        <v>191</v>
      </c>
      <c r="K607" t="s">
        <v>41</v>
      </c>
      <c r="L607" t="s">
        <v>57</v>
      </c>
      <c r="M607" t="s">
        <v>1909</v>
      </c>
      <c r="N607" t="s">
        <v>31</v>
      </c>
      <c r="O607">
        <v>5</v>
      </c>
      <c r="P607">
        <v>1680.01</v>
      </c>
      <c r="Q607" s="11">
        <v>0.85</v>
      </c>
      <c r="R607">
        <v>7560.04</v>
      </c>
      <c r="S607">
        <v>6448.05</v>
      </c>
      <c r="T607">
        <v>1111.99</v>
      </c>
      <c r="U607" t="s">
        <v>32</v>
      </c>
      <c r="V607" t="s">
        <v>68</v>
      </c>
      <c r="X607" s="8" t="str">
        <f>IF(C607&gt;=B607,"Valid", "Invalid-Date")</f>
        <v>Valid</v>
      </c>
      <c r="Y607" s="8" t="str">
        <f t="shared" si="154"/>
        <v>Invalid-Discount</v>
      </c>
      <c r="Z607" s="8" t="str">
        <f t="shared" si="155"/>
        <v>Pass</v>
      </c>
      <c r="AA607" s="8" t="str">
        <f t="shared" si="156"/>
        <v>Pass</v>
      </c>
      <c r="AB607" s="8" t="str">
        <f>TEXT(B607,"mmmm")</f>
        <v>July</v>
      </c>
      <c r="AC607" s="8" t="str">
        <f>TEXT(B607,"yyyy")</f>
        <v>2025</v>
      </c>
      <c r="AE607">
        <f t="shared" si="157"/>
        <v>8400.0499999999993</v>
      </c>
      <c r="AF607" s="11">
        <f t="shared" si="158"/>
        <v>1260.0075000000002</v>
      </c>
      <c r="AG607">
        <f t="shared" si="159"/>
        <v>1951.9999999999991</v>
      </c>
      <c r="AH607" s="11">
        <f t="shared" si="160"/>
        <v>0.23237956916923105</v>
      </c>
      <c r="AI607" s="9">
        <f t="shared" si="161"/>
        <v>0.23237956916923105</v>
      </c>
      <c r="AJ607">
        <f t="shared" si="162"/>
        <v>0</v>
      </c>
      <c r="AK607">
        <f t="shared" si="163"/>
        <v>0</v>
      </c>
      <c r="AL607">
        <f t="shared" si="164"/>
        <v>7560.04</v>
      </c>
      <c r="AM607">
        <f t="shared" si="165"/>
        <v>1</v>
      </c>
      <c r="AN607">
        <f t="shared" si="166"/>
        <v>0</v>
      </c>
      <c r="AO607">
        <f t="shared" si="167"/>
        <v>0</v>
      </c>
      <c r="AP607">
        <f t="shared" si="168"/>
        <v>0</v>
      </c>
      <c r="AQ607">
        <f t="shared" si="169"/>
        <v>0</v>
      </c>
    </row>
    <row r="608" spans="1:43">
      <c r="A608" t="s">
        <v>1910</v>
      </c>
      <c r="B608" s="5">
        <v>45710</v>
      </c>
      <c r="C608" s="5">
        <v>45716</v>
      </c>
      <c r="D608" s="13">
        <f t="shared" si="153"/>
        <v>6</v>
      </c>
      <c r="E608" t="s">
        <v>1911</v>
      </c>
      <c r="F608" t="s">
        <v>118</v>
      </c>
      <c r="G608" t="s">
        <v>95</v>
      </c>
      <c r="H608" t="s">
        <v>63</v>
      </c>
      <c r="I608" t="s">
        <v>72</v>
      </c>
      <c r="J608" t="s">
        <v>73</v>
      </c>
      <c r="K608" t="s">
        <v>74</v>
      </c>
      <c r="L608" t="s">
        <v>80</v>
      </c>
      <c r="M608" t="s">
        <v>1912</v>
      </c>
      <c r="N608" t="s">
        <v>44</v>
      </c>
      <c r="O608">
        <v>3</v>
      </c>
      <c r="P608">
        <v>3890.81</v>
      </c>
      <c r="Q608" s="11">
        <v>0.25</v>
      </c>
      <c r="R608">
        <v>8754.32</v>
      </c>
      <c r="S608">
        <v>6238.9</v>
      </c>
      <c r="T608">
        <v>2515.42</v>
      </c>
      <c r="U608" t="s">
        <v>32</v>
      </c>
      <c r="V608" t="s">
        <v>33</v>
      </c>
      <c r="X608" s="8" t="str">
        <f>IF(C608&gt;=B608,"Valid", "Invalid-Date")</f>
        <v>Valid</v>
      </c>
      <c r="Y608" s="8" t="str">
        <f t="shared" si="154"/>
        <v>Valid</v>
      </c>
      <c r="Z608" s="8" t="str">
        <f t="shared" si="155"/>
        <v>Pass</v>
      </c>
      <c r="AA608" s="8" t="str">
        <f t="shared" si="156"/>
        <v>Pass</v>
      </c>
      <c r="AB608" s="8" t="str">
        <f>TEXT(B608,"mmmm")</f>
        <v>February</v>
      </c>
      <c r="AC608" s="8" t="str">
        <f>TEXT(B608,"yyyy")</f>
        <v>2025</v>
      </c>
      <c r="AE608">
        <f t="shared" si="157"/>
        <v>11672.43</v>
      </c>
      <c r="AF608" s="11">
        <f t="shared" si="158"/>
        <v>8754.3225000000002</v>
      </c>
      <c r="AG608">
        <f t="shared" si="159"/>
        <v>5433.5300000000007</v>
      </c>
      <c r="AH608" s="11">
        <f t="shared" si="160"/>
        <v>0.46550118527161871</v>
      </c>
      <c r="AI608" s="9">
        <f t="shared" si="161"/>
        <v>0.46550118527161871</v>
      </c>
      <c r="AJ608">
        <f t="shared" si="162"/>
        <v>8754.32</v>
      </c>
      <c r="AK608">
        <f t="shared" si="163"/>
        <v>1</v>
      </c>
      <c r="AL608">
        <f t="shared" si="164"/>
        <v>0</v>
      </c>
      <c r="AM608">
        <f t="shared" si="165"/>
        <v>0</v>
      </c>
      <c r="AN608">
        <f t="shared" si="166"/>
        <v>0</v>
      </c>
      <c r="AO608">
        <f t="shared" si="167"/>
        <v>0</v>
      </c>
      <c r="AP608">
        <f t="shared" si="168"/>
        <v>0</v>
      </c>
      <c r="AQ608">
        <f t="shared" si="169"/>
        <v>0</v>
      </c>
    </row>
    <row r="609" spans="1:43">
      <c r="A609" t="s">
        <v>1913</v>
      </c>
      <c r="B609" s="5">
        <v>45704</v>
      </c>
      <c r="C609" s="5">
        <v>45710</v>
      </c>
      <c r="D609" s="13">
        <f t="shared" si="153"/>
        <v>6</v>
      </c>
      <c r="E609" t="s">
        <v>1914</v>
      </c>
      <c r="F609" t="s">
        <v>132</v>
      </c>
      <c r="G609" t="s">
        <v>95</v>
      </c>
      <c r="H609" t="s">
        <v>38</v>
      </c>
      <c r="I609" t="s">
        <v>145</v>
      </c>
      <c r="J609" t="s">
        <v>146</v>
      </c>
      <c r="K609" t="s">
        <v>28</v>
      </c>
      <c r="L609" t="s">
        <v>124</v>
      </c>
      <c r="M609" t="s">
        <v>1915</v>
      </c>
      <c r="N609" t="s">
        <v>44</v>
      </c>
      <c r="O609">
        <v>5</v>
      </c>
      <c r="P609">
        <v>954.67</v>
      </c>
      <c r="Q609" s="11">
        <v>0.15</v>
      </c>
      <c r="R609">
        <v>4057.35</v>
      </c>
      <c r="S609">
        <v>2862.03</v>
      </c>
      <c r="T609">
        <v>1195.32</v>
      </c>
      <c r="U609" t="s">
        <v>32</v>
      </c>
      <c r="V609" t="s">
        <v>33</v>
      </c>
      <c r="X609" s="8" t="str">
        <f>IF(C609&gt;=B609,"Valid", "Invalid-Date")</f>
        <v>Valid</v>
      </c>
      <c r="Y609" s="8" t="str">
        <f t="shared" si="154"/>
        <v>Valid</v>
      </c>
      <c r="Z609" s="8" t="str">
        <f t="shared" si="155"/>
        <v>Pass</v>
      </c>
      <c r="AA609" s="8" t="str">
        <f t="shared" si="156"/>
        <v>Pass</v>
      </c>
      <c r="AB609" s="8" t="str">
        <f>TEXT(B609,"mmmm")</f>
        <v>February</v>
      </c>
      <c r="AC609" s="8" t="str">
        <f>TEXT(B609,"yyyy")</f>
        <v>2025</v>
      </c>
      <c r="AE609">
        <f t="shared" si="157"/>
        <v>4773.3499999999995</v>
      </c>
      <c r="AF609" s="11">
        <f t="shared" si="158"/>
        <v>4057.3474999999994</v>
      </c>
      <c r="AG609">
        <f t="shared" si="159"/>
        <v>1911.3199999999993</v>
      </c>
      <c r="AH609" s="11">
        <f t="shared" si="160"/>
        <v>0.40041480302093907</v>
      </c>
      <c r="AI609" s="9">
        <f t="shared" si="161"/>
        <v>0.40041480302093907</v>
      </c>
      <c r="AJ609">
        <f t="shared" si="162"/>
        <v>4057.35</v>
      </c>
      <c r="AK609">
        <f t="shared" si="163"/>
        <v>1</v>
      </c>
      <c r="AL609">
        <f t="shared" si="164"/>
        <v>0</v>
      </c>
      <c r="AM609">
        <f t="shared" si="165"/>
        <v>0</v>
      </c>
      <c r="AN609">
        <f t="shared" si="166"/>
        <v>0</v>
      </c>
      <c r="AO609">
        <f t="shared" si="167"/>
        <v>0</v>
      </c>
      <c r="AP609">
        <f t="shared" si="168"/>
        <v>0</v>
      </c>
      <c r="AQ609">
        <f t="shared" si="169"/>
        <v>0</v>
      </c>
    </row>
    <row r="610" spans="1:43">
      <c r="A610" t="s">
        <v>1916</v>
      </c>
      <c r="B610" s="5">
        <v>45464</v>
      </c>
      <c r="C610" s="5">
        <v>45466</v>
      </c>
      <c r="D610" s="13">
        <f t="shared" si="153"/>
        <v>2</v>
      </c>
      <c r="E610" t="s">
        <v>1693</v>
      </c>
      <c r="F610" t="s">
        <v>23</v>
      </c>
      <c r="G610" t="s">
        <v>95</v>
      </c>
      <c r="H610" t="s">
        <v>63</v>
      </c>
      <c r="I610" t="s">
        <v>190</v>
      </c>
      <c r="J610" t="s">
        <v>191</v>
      </c>
      <c r="K610" t="s">
        <v>41</v>
      </c>
      <c r="L610" t="s">
        <v>57</v>
      </c>
      <c r="M610" t="s">
        <v>1917</v>
      </c>
      <c r="N610" t="s">
        <v>31</v>
      </c>
      <c r="O610">
        <v>9</v>
      </c>
      <c r="P610">
        <v>2153.75</v>
      </c>
      <c r="Q610" s="11">
        <v>0</v>
      </c>
      <c r="R610">
        <v>19383.75</v>
      </c>
      <c r="S610">
        <v>11667.43</v>
      </c>
      <c r="T610">
        <v>7716.32</v>
      </c>
      <c r="U610" t="s">
        <v>32</v>
      </c>
      <c r="V610" t="s">
        <v>33</v>
      </c>
      <c r="X610" s="8" t="str">
        <f>IF(C610&gt;=B610,"Valid", "Invalid-Date")</f>
        <v>Valid</v>
      </c>
      <c r="Y610" s="8" t="str">
        <f t="shared" si="154"/>
        <v>Valid</v>
      </c>
      <c r="Z610" s="8" t="str">
        <f t="shared" si="155"/>
        <v>Pass</v>
      </c>
      <c r="AA610" s="8" t="str">
        <f t="shared" si="156"/>
        <v>Pass</v>
      </c>
      <c r="AB610" s="8" t="str">
        <f>TEXT(B610,"mmmm")</f>
        <v>June</v>
      </c>
      <c r="AC610" s="8" t="str">
        <f>TEXT(B610,"yyyy")</f>
        <v>2024</v>
      </c>
      <c r="AE610">
        <f t="shared" si="157"/>
        <v>19383.75</v>
      </c>
      <c r="AF610" s="11">
        <f t="shared" si="158"/>
        <v>19383.75</v>
      </c>
      <c r="AG610">
        <f t="shared" si="159"/>
        <v>7716.32</v>
      </c>
      <c r="AH610" s="11">
        <f t="shared" si="160"/>
        <v>0.39808189849745274</v>
      </c>
      <c r="AI610" s="9">
        <f t="shared" si="161"/>
        <v>0.39808189849745274</v>
      </c>
      <c r="AJ610">
        <f t="shared" si="162"/>
        <v>19383.75</v>
      </c>
      <c r="AK610">
        <f t="shared" si="163"/>
        <v>1</v>
      </c>
      <c r="AL610">
        <f t="shared" si="164"/>
        <v>0</v>
      </c>
      <c r="AM610">
        <f t="shared" si="165"/>
        <v>0</v>
      </c>
      <c r="AN610">
        <f t="shared" si="166"/>
        <v>0</v>
      </c>
      <c r="AO610">
        <f t="shared" si="167"/>
        <v>0</v>
      </c>
      <c r="AP610">
        <f t="shared" si="168"/>
        <v>0</v>
      </c>
      <c r="AQ610">
        <f t="shared" si="169"/>
        <v>0</v>
      </c>
    </row>
    <row r="611" spans="1:43">
      <c r="A611" t="s">
        <v>1918</v>
      </c>
      <c r="B611" s="5">
        <v>45665</v>
      </c>
      <c r="C611" s="5">
        <v>45669</v>
      </c>
      <c r="D611" s="13">
        <f t="shared" si="153"/>
        <v>4</v>
      </c>
      <c r="E611" t="s">
        <v>1919</v>
      </c>
      <c r="F611" t="s">
        <v>132</v>
      </c>
      <c r="G611" t="s">
        <v>95</v>
      </c>
      <c r="H611" t="s">
        <v>54</v>
      </c>
      <c r="I611" t="s">
        <v>175</v>
      </c>
      <c r="J611" t="s">
        <v>176</v>
      </c>
      <c r="K611" t="s">
        <v>41</v>
      </c>
      <c r="L611" t="s">
        <v>66</v>
      </c>
      <c r="M611" t="s">
        <v>1920</v>
      </c>
      <c r="N611" t="s">
        <v>59</v>
      </c>
      <c r="O611">
        <v>7</v>
      </c>
      <c r="P611">
        <v>4337.4799999999996</v>
      </c>
      <c r="Q611" s="11">
        <v>0</v>
      </c>
      <c r="R611">
        <v>30362.36</v>
      </c>
      <c r="S611">
        <v>25065.4</v>
      </c>
      <c r="T611">
        <v>5296.96</v>
      </c>
      <c r="U611" t="s">
        <v>32</v>
      </c>
      <c r="V611" t="s">
        <v>33</v>
      </c>
      <c r="X611" s="8" t="str">
        <f>IF(C611&gt;=B611,"Valid", "Invalid-Date")</f>
        <v>Valid</v>
      </c>
      <c r="Y611" s="8" t="str">
        <f t="shared" si="154"/>
        <v>Valid</v>
      </c>
      <c r="Z611" s="8" t="str">
        <f t="shared" si="155"/>
        <v>Pass</v>
      </c>
      <c r="AA611" s="8" t="str">
        <f t="shared" si="156"/>
        <v>Pass</v>
      </c>
      <c r="AB611" s="8" t="str">
        <f>TEXT(B611,"mmmm")</f>
        <v>January</v>
      </c>
      <c r="AC611" s="8" t="str">
        <f>TEXT(B611,"yyyy")</f>
        <v>2025</v>
      </c>
      <c r="AE611">
        <f t="shared" si="157"/>
        <v>30362.359999999997</v>
      </c>
      <c r="AF611" s="11">
        <f t="shared" si="158"/>
        <v>30362.359999999997</v>
      </c>
      <c r="AG611">
        <f t="shared" si="159"/>
        <v>5296.9599999999955</v>
      </c>
      <c r="AH611" s="11">
        <f t="shared" si="160"/>
        <v>0.17445811195177174</v>
      </c>
      <c r="AI611" s="9">
        <f t="shared" si="161"/>
        <v>0.17445811195177174</v>
      </c>
      <c r="AJ611">
        <f t="shared" si="162"/>
        <v>30362.36</v>
      </c>
      <c r="AK611">
        <f t="shared" si="163"/>
        <v>1</v>
      </c>
      <c r="AL611">
        <f t="shared" si="164"/>
        <v>0</v>
      </c>
      <c r="AM611">
        <f t="shared" si="165"/>
        <v>0</v>
      </c>
      <c r="AN611">
        <f t="shared" si="166"/>
        <v>0</v>
      </c>
      <c r="AO611">
        <f t="shared" si="167"/>
        <v>0</v>
      </c>
      <c r="AP611">
        <f t="shared" si="168"/>
        <v>0</v>
      </c>
      <c r="AQ611">
        <f t="shared" si="169"/>
        <v>0</v>
      </c>
    </row>
    <row r="612" spans="1:43">
      <c r="A612" t="s">
        <v>1921</v>
      </c>
      <c r="B612" s="5">
        <v>45432</v>
      </c>
      <c r="C612" s="5">
        <v>45432</v>
      </c>
      <c r="D612" s="13">
        <f t="shared" si="153"/>
        <v>0</v>
      </c>
      <c r="E612" t="s">
        <v>1365</v>
      </c>
      <c r="F612" t="s">
        <v>23</v>
      </c>
      <c r="G612" t="s">
        <v>95</v>
      </c>
      <c r="H612" t="s">
        <v>63</v>
      </c>
      <c r="I612" t="s">
        <v>72</v>
      </c>
      <c r="J612" t="s">
        <v>73</v>
      </c>
      <c r="K612" t="s">
        <v>41</v>
      </c>
      <c r="L612" t="s">
        <v>66</v>
      </c>
      <c r="M612" t="s">
        <v>1922</v>
      </c>
      <c r="N612" t="s">
        <v>59</v>
      </c>
      <c r="O612">
        <v>1</v>
      </c>
      <c r="P612">
        <v>3032.95</v>
      </c>
      <c r="Q612" s="11">
        <v>0.1</v>
      </c>
      <c r="R612">
        <v>2729.65</v>
      </c>
      <c r="S612">
        <v>1715.36</v>
      </c>
      <c r="T612">
        <v>1014.29</v>
      </c>
      <c r="U612" t="s">
        <v>32</v>
      </c>
      <c r="V612" t="s">
        <v>33</v>
      </c>
      <c r="X612" s="8" t="str">
        <f>IF(C612&gt;=B612,"Valid", "Invalid-Date")</f>
        <v>Valid</v>
      </c>
      <c r="Y612" s="8" t="str">
        <f t="shared" si="154"/>
        <v>Valid</v>
      </c>
      <c r="Z612" s="8" t="str">
        <f t="shared" si="155"/>
        <v>Pass</v>
      </c>
      <c r="AA612" s="8" t="str">
        <f t="shared" si="156"/>
        <v>Pass</v>
      </c>
      <c r="AB612" s="8" t="str">
        <f>TEXT(B612,"mmmm")</f>
        <v>May</v>
      </c>
      <c r="AC612" s="8" t="str">
        <f>TEXT(B612,"yyyy")</f>
        <v>2024</v>
      </c>
      <c r="AE612">
        <f t="shared" si="157"/>
        <v>3032.95</v>
      </c>
      <c r="AF612" s="11">
        <f t="shared" si="158"/>
        <v>2729.6549999999997</v>
      </c>
      <c r="AG612">
        <f t="shared" si="159"/>
        <v>1317.59</v>
      </c>
      <c r="AH612" s="11">
        <f t="shared" si="160"/>
        <v>0.4344252295619776</v>
      </c>
      <c r="AI612" s="9">
        <f t="shared" si="161"/>
        <v>0.4344252295619776</v>
      </c>
      <c r="AJ612">
        <f t="shared" si="162"/>
        <v>2729.65</v>
      </c>
      <c r="AK612">
        <f t="shared" si="163"/>
        <v>1</v>
      </c>
      <c r="AL612">
        <f t="shared" si="164"/>
        <v>0</v>
      </c>
      <c r="AM612">
        <f t="shared" si="165"/>
        <v>0</v>
      </c>
      <c r="AN612">
        <f t="shared" si="166"/>
        <v>0</v>
      </c>
      <c r="AO612">
        <f t="shared" si="167"/>
        <v>0</v>
      </c>
      <c r="AP612">
        <f t="shared" si="168"/>
        <v>0</v>
      </c>
      <c r="AQ612">
        <f t="shared" si="169"/>
        <v>0</v>
      </c>
    </row>
    <row r="613" spans="1:43">
      <c r="A613" t="s">
        <v>1923</v>
      </c>
      <c r="B613" s="5">
        <v>45846</v>
      </c>
      <c r="C613" s="5">
        <v>45853</v>
      </c>
      <c r="D613" s="13">
        <f t="shared" si="153"/>
        <v>7</v>
      </c>
      <c r="E613" t="s">
        <v>1924</v>
      </c>
      <c r="F613" t="s">
        <v>62</v>
      </c>
      <c r="G613" t="s">
        <v>37</v>
      </c>
      <c r="H613" t="s">
        <v>25</v>
      </c>
      <c r="I613" t="s">
        <v>26</v>
      </c>
      <c r="J613" t="s">
        <v>27</v>
      </c>
      <c r="K613" t="s">
        <v>28</v>
      </c>
      <c r="L613" t="s">
        <v>153</v>
      </c>
      <c r="M613" t="s">
        <v>1925</v>
      </c>
      <c r="N613" t="s">
        <v>44</v>
      </c>
      <c r="O613">
        <v>8</v>
      </c>
      <c r="P613">
        <v>655.28</v>
      </c>
      <c r="Q613" s="11">
        <v>0.1</v>
      </c>
      <c r="R613">
        <v>4718.0200000000004</v>
      </c>
      <c r="S613">
        <v>3908.23</v>
      </c>
      <c r="T613">
        <v>809.79</v>
      </c>
      <c r="U613" t="s">
        <v>32</v>
      </c>
      <c r="V613" t="s">
        <v>33</v>
      </c>
      <c r="X613" s="8" t="str">
        <f>IF(C613&gt;=B613,"Valid", "Invalid-Date")</f>
        <v>Valid</v>
      </c>
      <c r="Y613" s="8" t="str">
        <f t="shared" si="154"/>
        <v>Valid</v>
      </c>
      <c r="Z613" s="8" t="str">
        <f t="shared" si="155"/>
        <v>Pass</v>
      </c>
      <c r="AA613" s="8" t="str">
        <f t="shared" si="156"/>
        <v>Pass</v>
      </c>
      <c r="AB613" s="8" t="str">
        <f>TEXT(B613,"mmmm")</f>
        <v>July</v>
      </c>
      <c r="AC613" s="8" t="str">
        <f>TEXT(B613,"yyyy")</f>
        <v>2025</v>
      </c>
      <c r="AE613">
        <f t="shared" si="157"/>
        <v>5242.24</v>
      </c>
      <c r="AF613" s="11">
        <f t="shared" si="158"/>
        <v>4718.0159999999996</v>
      </c>
      <c r="AG613">
        <f t="shared" si="159"/>
        <v>1334.0099999999998</v>
      </c>
      <c r="AH613" s="11">
        <f t="shared" si="160"/>
        <v>0.25447327859846169</v>
      </c>
      <c r="AI613" s="9">
        <f t="shared" si="161"/>
        <v>0.25447327859846169</v>
      </c>
      <c r="AJ613">
        <f t="shared" si="162"/>
        <v>4718.0200000000004</v>
      </c>
      <c r="AK613">
        <f t="shared" si="163"/>
        <v>1</v>
      </c>
      <c r="AL613">
        <f t="shared" si="164"/>
        <v>0</v>
      </c>
      <c r="AM613">
        <f t="shared" si="165"/>
        <v>0</v>
      </c>
      <c r="AN613">
        <f t="shared" si="166"/>
        <v>0</v>
      </c>
      <c r="AO613">
        <f t="shared" si="167"/>
        <v>0</v>
      </c>
      <c r="AP613">
        <f t="shared" si="168"/>
        <v>0</v>
      </c>
      <c r="AQ613">
        <f t="shared" si="169"/>
        <v>0</v>
      </c>
    </row>
    <row r="614" spans="1:43">
      <c r="A614" t="s">
        <v>1926</v>
      </c>
      <c r="B614" s="5">
        <v>45753</v>
      </c>
      <c r="C614" s="5">
        <v>45760</v>
      </c>
      <c r="D614" s="13">
        <f t="shared" si="153"/>
        <v>7</v>
      </c>
      <c r="E614" t="s">
        <v>1927</v>
      </c>
      <c r="F614" t="s">
        <v>89</v>
      </c>
      <c r="G614" t="s">
        <v>24</v>
      </c>
      <c r="H614" t="s">
        <v>2785</v>
      </c>
      <c r="I614" t="s">
        <v>39</v>
      </c>
      <c r="J614" t="s">
        <v>40</v>
      </c>
      <c r="K614" t="s">
        <v>74</v>
      </c>
      <c r="L614" t="s">
        <v>171</v>
      </c>
      <c r="M614" t="s">
        <v>1928</v>
      </c>
      <c r="N614" t="s">
        <v>59</v>
      </c>
      <c r="O614">
        <v>1</v>
      </c>
      <c r="P614">
        <v>3844.01</v>
      </c>
      <c r="Q614" s="11">
        <v>0</v>
      </c>
      <c r="R614">
        <v>3844.01</v>
      </c>
      <c r="S614">
        <v>2195.79</v>
      </c>
      <c r="T614">
        <v>1648.22</v>
      </c>
      <c r="U614" t="s">
        <v>32</v>
      </c>
      <c r="V614" t="s">
        <v>33</v>
      </c>
      <c r="X614" s="8" t="str">
        <f>IF(C614&gt;=B614,"Valid", "Invalid-Date")</f>
        <v>Valid</v>
      </c>
      <c r="Y614" s="8" t="str">
        <f t="shared" si="154"/>
        <v>Valid</v>
      </c>
      <c r="Z614" s="8" t="str">
        <f t="shared" si="155"/>
        <v>Pass</v>
      </c>
      <c r="AA614" s="8" t="str">
        <f t="shared" si="156"/>
        <v>Flagged</v>
      </c>
      <c r="AB614" s="8" t="str">
        <f>TEXT(B614,"mmmm")</f>
        <v>April</v>
      </c>
      <c r="AC614" s="8" t="str">
        <f>TEXT(B614,"yyyy")</f>
        <v>2025</v>
      </c>
      <c r="AE614">
        <f t="shared" si="157"/>
        <v>3844.01</v>
      </c>
      <c r="AF614" s="11">
        <f t="shared" si="158"/>
        <v>3844.01</v>
      </c>
      <c r="AG614">
        <f t="shared" si="159"/>
        <v>1648.2200000000003</v>
      </c>
      <c r="AH614" s="11">
        <f t="shared" si="160"/>
        <v>0.42877619985379856</v>
      </c>
      <c r="AI614" s="9">
        <f t="shared" si="161"/>
        <v>0.42877619985379856</v>
      </c>
      <c r="AJ614">
        <f t="shared" si="162"/>
        <v>3844.01</v>
      </c>
      <c r="AK614">
        <f t="shared" si="163"/>
        <v>1</v>
      </c>
      <c r="AL614">
        <f t="shared" si="164"/>
        <v>0</v>
      </c>
      <c r="AM614">
        <f t="shared" si="165"/>
        <v>0</v>
      </c>
      <c r="AN614">
        <f t="shared" si="166"/>
        <v>0</v>
      </c>
      <c r="AO614">
        <f t="shared" si="167"/>
        <v>0</v>
      </c>
      <c r="AP614">
        <f t="shared" si="168"/>
        <v>0</v>
      </c>
      <c r="AQ614">
        <f t="shared" si="169"/>
        <v>0</v>
      </c>
    </row>
    <row r="615" spans="1:43">
      <c r="A615" t="s">
        <v>1929</v>
      </c>
      <c r="B615" s="5">
        <v>45570</v>
      </c>
      <c r="C615" s="5">
        <v>45575</v>
      </c>
      <c r="D615" s="13">
        <f t="shared" si="153"/>
        <v>5</v>
      </c>
      <c r="E615" t="s">
        <v>1930</v>
      </c>
      <c r="F615" t="s">
        <v>162</v>
      </c>
      <c r="G615" t="s">
        <v>95</v>
      </c>
      <c r="H615" t="s">
        <v>63</v>
      </c>
      <c r="I615" t="s">
        <v>180</v>
      </c>
      <c r="J615" t="s">
        <v>181</v>
      </c>
      <c r="K615" t="s">
        <v>74</v>
      </c>
      <c r="L615" t="s">
        <v>274</v>
      </c>
      <c r="M615" t="s">
        <v>1931</v>
      </c>
      <c r="N615" t="s">
        <v>44</v>
      </c>
      <c r="O615">
        <v>9</v>
      </c>
      <c r="P615">
        <v>3361.3</v>
      </c>
      <c r="Q615" s="11">
        <v>0.25</v>
      </c>
      <c r="R615">
        <v>22688.78</v>
      </c>
      <c r="S615">
        <v>14672.41</v>
      </c>
      <c r="T615">
        <v>8016.37</v>
      </c>
      <c r="U615" t="s">
        <v>32</v>
      </c>
      <c r="V615" t="s">
        <v>33</v>
      </c>
      <c r="X615" s="8" t="str">
        <f>IF(C615&gt;=B615,"Valid", "Invalid-Date")</f>
        <v>Valid</v>
      </c>
      <c r="Y615" s="8" t="str">
        <f t="shared" si="154"/>
        <v>Valid</v>
      </c>
      <c r="Z615" s="8" t="str">
        <f t="shared" si="155"/>
        <v>Pass</v>
      </c>
      <c r="AA615" s="8" t="str">
        <f t="shared" si="156"/>
        <v>Pass</v>
      </c>
      <c r="AB615" s="8" t="str">
        <f>TEXT(B615,"mmmm")</f>
        <v>October</v>
      </c>
      <c r="AC615" s="8" t="str">
        <f>TEXT(B615,"yyyy")</f>
        <v>2024</v>
      </c>
      <c r="AE615">
        <f t="shared" si="157"/>
        <v>30251.7</v>
      </c>
      <c r="AF615" s="11">
        <f t="shared" si="158"/>
        <v>22688.775000000001</v>
      </c>
      <c r="AG615">
        <f t="shared" si="159"/>
        <v>15579.29</v>
      </c>
      <c r="AH615" s="11">
        <f t="shared" si="160"/>
        <v>0.51498890971416489</v>
      </c>
      <c r="AI615" s="9">
        <f t="shared" si="161"/>
        <v>0.51498890971416489</v>
      </c>
      <c r="AJ615">
        <f t="shared" si="162"/>
        <v>22688.78</v>
      </c>
      <c r="AK615">
        <f t="shared" si="163"/>
        <v>1</v>
      </c>
      <c r="AL615">
        <f t="shared" si="164"/>
        <v>0</v>
      </c>
      <c r="AM615">
        <f t="shared" si="165"/>
        <v>0</v>
      </c>
      <c r="AN615">
        <f t="shared" si="166"/>
        <v>0</v>
      </c>
      <c r="AO615">
        <f t="shared" si="167"/>
        <v>0</v>
      </c>
      <c r="AP615">
        <f t="shared" si="168"/>
        <v>0</v>
      </c>
      <c r="AQ615">
        <f t="shared" si="169"/>
        <v>0</v>
      </c>
    </row>
    <row r="616" spans="1:43">
      <c r="A616" t="s">
        <v>1932</v>
      </c>
      <c r="B616" s="5">
        <v>45333</v>
      </c>
      <c r="C616" s="5">
        <v>45341</v>
      </c>
      <c r="D616" s="13">
        <f t="shared" si="153"/>
        <v>8</v>
      </c>
      <c r="E616" t="s">
        <v>1933</v>
      </c>
      <c r="F616" t="s">
        <v>62</v>
      </c>
      <c r="G616" t="s">
        <v>95</v>
      </c>
      <c r="H616" t="s">
        <v>54</v>
      </c>
      <c r="I616" t="s">
        <v>55</v>
      </c>
      <c r="J616" t="s">
        <v>56</v>
      </c>
      <c r="K616" t="s">
        <v>41</v>
      </c>
      <c r="L616" t="s">
        <v>66</v>
      </c>
      <c r="M616" t="s">
        <v>1934</v>
      </c>
      <c r="N616" t="s">
        <v>59</v>
      </c>
      <c r="O616">
        <v>8</v>
      </c>
      <c r="P616">
        <v>3398.32</v>
      </c>
      <c r="Q616" s="11">
        <v>0.25</v>
      </c>
      <c r="R616">
        <v>20389.919999999998</v>
      </c>
      <c r="S616">
        <v>16661.080000000002</v>
      </c>
      <c r="T616">
        <v>3728.84</v>
      </c>
      <c r="U616" t="s">
        <v>102</v>
      </c>
      <c r="V616" t="s">
        <v>68</v>
      </c>
      <c r="X616" s="8" t="str">
        <f>IF(C616&gt;=B616,"Valid", "Invalid-Date")</f>
        <v>Valid</v>
      </c>
      <c r="Y616" s="8" t="str">
        <f t="shared" si="154"/>
        <v>Valid</v>
      </c>
      <c r="Z616" s="8" t="str">
        <f t="shared" si="155"/>
        <v>Pass</v>
      </c>
      <c r="AA616" s="8" t="str">
        <f t="shared" si="156"/>
        <v>Pass</v>
      </c>
      <c r="AB616" s="8" t="str">
        <f>TEXT(B616,"mmmm")</f>
        <v>February</v>
      </c>
      <c r="AC616" s="8" t="str">
        <f>TEXT(B616,"yyyy")</f>
        <v>2024</v>
      </c>
      <c r="AE616">
        <f t="shared" si="157"/>
        <v>27186.560000000001</v>
      </c>
      <c r="AF616" s="11">
        <f t="shared" si="158"/>
        <v>20389.920000000002</v>
      </c>
      <c r="AG616">
        <f t="shared" si="159"/>
        <v>10525.48</v>
      </c>
      <c r="AH616" s="11">
        <f t="shared" si="160"/>
        <v>0.38715747781256615</v>
      </c>
      <c r="AI616" s="9">
        <f t="shared" si="161"/>
        <v>0.38715747781256615</v>
      </c>
      <c r="AJ616">
        <f t="shared" si="162"/>
        <v>0</v>
      </c>
      <c r="AK616">
        <f t="shared" si="163"/>
        <v>0</v>
      </c>
      <c r="AL616">
        <f t="shared" si="164"/>
        <v>20389.919999999998</v>
      </c>
      <c r="AM616">
        <f t="shared" si="165"/>
        <v>1</v>
      </c>
      <c r="AN616">
        <f t="shared" si="166"/>
        <v>0</v>
      </c>
      <c r="AO616">
        <f t="shared" si="167"/>
        <v>0</v>
      </c>
      <c r="AP616">
        <f t="shared" si="168"/>
        <v>0</v>
      </c>
      <c r="AQ616">
        <f t="shared" si="169"/>
        <v>0</v>
      </c>
    </row>
    <row r="617" spans="1:43">
      <c r="A617" t="s">
        <v>1935</v>
      </c>
      <c r="B617" s="5">
        <v>45569</v>
      </c>
      <c r="C617" s="5">
        <v>45483</v>
      </c>
      <c r="D617" s="13">
        <f t="shared" si="153"/>
        <v>-86</v>
      </c>
      <c r="E617" t="s">
        <v>1936</v>
      </c>
      <c r="F617" t="s">
        <v>118</v>
      </c>
      <c r="G617" t="s">
        <v>90</v>
      </c>
      <c r="H617" t="s">
        <v>54</v>
      </c>
      <c r="I617" t="s">
        <v>185</v>
      </c>
      <c r="J617" t="s">
        <v>186</v>
      </c>
      <c r="K617" t="s">
        <v>28</v>
      </c>
      <c r="L617" t="s">
        <v>48</v>
      </c>
      <c r="M617" t="s">
        <v>1937</v>
      </c>
      <c r="N617" t="s">
        <v>31</v>
      </c>
      <c r="O617">
        <v>2</v>
      </c>
      <c r="P617">
        <v>3144.38</v>
      </c>
      <c r="Q617" s="11">
        <v>0.1</v>
      </c>
      <c r="R617">
        <v>5904.57</v>
      </c>
      <c r="S617">
        <v>4337.79</v>
      </c>
      <c r="T617">
        <v>1322.09</v>
      </c>
      <c r="U617" t="s">
        <v>32</v>
      </c>
      <c r="V617" t="s">
        <v>33</v>
      </c>
      <c r="X617" s="8" t="str">
        <f>IF(C617&gt;=B617,"Valid", "Invalid-Date")</f>
        <v>Invalid-Date</v>
      </c>
      <c r="Y617" s="8" t="str">
        <f t="shared" si="154"/>
        <v>Valid</v>
      </c>
      <c r="Z617" s="8" t="str">
        <f t="shared" si="155"/>
        <v>Pass</v>
      </c>
      <c r="AA617" s="8" t="str">
        <f t="shared" si="156"/>
        <v>Pass</v>
      </c>
      <c r="AB617" s="8" t="str">
        <f>TEXT(B617,"mmmm")</f>
        <v>October</v>
      </c>
      <c r="AC617" s="8" t="str">
        <f>TEXT(B617,"yyyy")</f>
        <v>2024</v>
      </c>
      <c r="AE617">
        <f t="shared" si="157"/>
        <v>6288.76</v>
      </c>
      <c r="AF617" s="11">
        <f t="shared" si="158"/>
        <v>5659.884</v>
      </c>
      <c r="AG617">
        <f t="shared" si="159"/>
        <v>1950.9700000000003</v>
      </c>
      <c r="AH617" s="11">
        <f t="shared" si="160"/>
        <v>0.31023126975747212</v>
      </c>
      <c r="AI617" s="9">
        <f t="shared" si="161"/>
        <v>0.31023126975747212</v>
      </c>
      <c r="AJ617">
        <f t="shared" si="162"/>
        <v>5904.57</v>
      </c>
      <c r="AK617">
        <f t="shared" si="163"/>
        <v>1</v>
      </c>
      <c r="AL617">
        <f t="shared" si="164"/>
        <v>0</v>
      </c>
      <c r="AM617">
        <f t="shared" si="165"/>
        <v>0</v>
      </c>
      <c r="AN617">
        <f t="shared" si="166"/>
        <v>0</v>
      </c>
      <c r="AO617">
        <f t="shared" si="167"/>
        <v>0</v>
      </c>
      <c r="AP617">
        <f t="shared" si="168"/>
        <v>0</v>
      </c>
      <c r="AQ617">
        <f t="shared" si="169"/>
        <v>0</v>
      </c>
    </row>
    <row r="618" spans="1:43">
      <c r="A618" t="s">
        <v>1938</v>
      </c>
      <c r="B618" s="5">
        <v>45520</v>
      </c>
      <c r="C618" s="5">
        <v>45523</v>
      </c>
      <c r="D618" s="13">
        <f t="shared" si="153"/>
        <v>3</v>
      </c>
      <c r="E618" t="s">
        <v>1939</v>
      </c>
      <c r="F618" t="s">
        <v>264</v>
      </c>
      <c r="G618" t="s">
        <v>24</v>
      </c>
      <c r="H618" t="s">
        <v>54</v>
      </c>
      <c r="I618" t="s">
        <v>55</v>
      </c>
      <c r="J618" t="s">
        <v>56</v>
      </c>
      <c r="K618" t="s">
        <v>28</v>
      </c>
      <c r="L618" t="s">
        <v>29</v>
      </c>
      <c r="M618" t="s">
        <v>1940</v>
      </c>
      <c r="N618" t="s">
        <v>59</v>
      </c>
      <c r="O618">
        <v>6</v>
      </c>
      <c r="P618">
        <v>3925.55</v>
      </c>
      <c r="Q618" s="11">
        <v>0.2</v>
      </c>
      <c r="R618">
        <v>18842.64</v>
      </c>
      <c r="S618">
        <v>11840.58</v>
      </c>
      <c r="T618">
        <v>7002.06</v>
      </c>
      <c r="U618" t="s">
        <v>32</v>
      </c>
      <c r="V618" t="s">
        <v>33</v>
      </c>
      <c r="X618" s="8" t="str">
        <f>IF(C618&gt;=B618,"Valid", "Invalid-Date")</f>
        <v>Valid</v>
      </c>
      <c r="Y618" s="8" t="str">
        <f t="shared" si="154"/>
        <v>Valid</v>
      </c>
      <c r="Z618" s="8" t="str">
        <f t="shared" si="155"/>
        <v>Pass</v>
      </c>
      <c r="AA618" s="8" t="str">
        <f t="shared" si="156"/>
        <v>Pass</v>
      </c>
      <c r="AB618" s="8" t="str">
        <f>TEXT(B618,"mmmm")</f>
        <v>August</v>
      </c>
      <c r="AC618" s="8" t="str">
        <f>TEXT(B618,"yyyy")</f>
        <v>2024</v>
      </c>
      <c r="AE618">
        <f t="shared" si="157"/>
        <v>23553.300000000003</v>
      </c>
      <c r="AF618" s="11">
        <f t="shared" si="158"/>
        <v>18842.640000000003</v>
      </c>
      <c r="AG618">
        <f t="shared" si="159"/>
        <v>11712.720000000003</v>
      </c>
      <c r="AH618" s="11">
        <f t="shared" si="160"/>
        <v>0.49728573066194554</v>
      </c>
      <c r="AI618" s="9">
        <f t="shared" si="161"/>
        <v>0.49728573066194554</v>
      </c>
      <c r="AJ618">
        <f t="shared" si="162"/>
        <v>18842.64</v>
      </c>
      <c r="AK618">
        <f t="shared" si="163"/>
        <v>1</v>
      </c>
      <c r="AL618">
        <f t="shared" si="164"/>
        <v>0</v>
      </c>
      <c r="AM618">
        <f t="shared" si="165"/>
        <v>0</v>
      </c>
      <c r="AN618">
        <f t="shared" si="166"/>
        <v>0</v>
      </c>
      <c r="AO618">
        <f t="shared" si="167"/>
        <v>0</v>
      </c>
      <c r="AP618">
        <f t="shared" si="168"/>
        <v>0</v>
      </c>
      <c r="AQ618">
        <f t="shared" si="169"/>
        <v>0</v>
      </c>
    </row>
    <row r="619" spans="1:43">
      <c r="A619" t="s">
        <v>1941</v>
      </c>
      <c r="B619" s="5">
        <v>45564</v>
      </c>
      <c r="C619" s="5">
        <v>45565</v>
      </c>
      <c r="D619" s="13">
        <f t="shared" si="153"/>
        <v>1</v>
      </c>
      <c r="E619" t="s">
        <v>1942</v>
      </c>
      <c r="F619" t="s">
        <v>36</v>
      </c>
      <c r="G619" t="s">
        <v>95</v>
      </c>
      <c r="H619" t="s">
        <v>54</v>
      </c>
      <c r="I619" t="s">
        <v>55</v>
      </c>
      <c r="J619" t="s">
        <v>56</v>
      </c>
      <c r="K619" t="s">
        <v>74</v>
      </c>
      <c r="L619" t="s">
        <v>171</v>
      </c>
      <c r="M619" t="s">
        <v>1943</v>
      </c>
      <c r="N619" t="s">
        <v>59</v>
      </c>
      <c r="O619">
        <v>9</v>
      </c>
      <c r="P619">
        <v>2741.91</v>
      </c>
      <c r="Q619" s="11">
        <v>0</v>
      </c>
      <c r="R619">
        <v>24677.19</v>
      </c>
      <c r="S619">
        <v>20350.849999999999</v>
      </c>
      <c r="T619">
        <v>4326.34</v>
      </c>
      <c r="U619" t="s">
        <v>32</v>
      </c>
      <c r="V619" t="s">
        <v>33</v>
      </c>
      <c r="X619" s="8" t="str">
        <f>IF(C619&gt;=B619,"Valid", "Invalid-Date")</f>
        <v>Valid</v>
      </c>
      <c r="Y619" s="8" t="str">
        <f t="shared" si="154"/>
        <v>Valid</v>
      </c>
      <c r="Z619" s="8" t="str">
        <f t="shared" si="155"/>
        <v>Pass</v>
      </c>
      <c r="AA619" s="8" t="str">
        <f t="shared" si="156"/>
        <v>Pass</v>
      </c>
      <c r="AB619" s="8" t="str">
        <f>TEXT(B619,"mmmm")</f>
        <v>September</v>
      </c>
      <c r="AC619" s="8" t="str">
        <f>TEXT(B619,"yyyy")</f>
        <v>2024</v>
      </c>
      <c r="AE619">
        <f t="shared" si="157"/>
        <v>24677.19</v>
      </c>
      <c r="AF619" s="11">
        <f t="shared" si="158"/>
        <v>24677.19</v>
      </c>
      <c r="AG619">
        <f t="shared" si="159"/>
        <v>4326.34</v>
      </c>
      <c r="AH619" s="11">
        <f t="shared" si="160"/>
        <v>0.17531736798233513</v>
      </c>
      <c r="AI619" s="9">
        <f t="shared" si="161"/>
        <v>0.17531736798233513</v>
      </c>
      <c r="AJ619">
        <f t="shared" si="162"/>
        <v>24677.19</v>
      </c>
      <c r="AK619">
        <f t="shared" si="163"/>
        <v>1</v>
      </c>
      <c r="AL619">
        <f t="shared" si="164"/>
        <v>0</v>
      </c>
      <c r="AM619">
        <f t="shared" si="165"/>
        <v>0</v>
      </c>
      <c r="AN619">
        <f t="shared" si="166"/>
        <v>0</v>
      </c>
      <c r="AO619">
        <f t="shared" si="167"/>
        <v>0</v>
      </c>
      <c r="AP619">
        <f t="shared" si="168"/>
        <v>0</v>
      </c>
      <c r="AQ619">
        <f t="shared" si="169"/>
        <v>0</v>
      </c>
    </row>
    <row r="620" spans="1:43">
      <c r="A620" t="s">
        <v>1944</v>
      </c>
      <c r="B620" s="5">
        <v>45496</v>
      </c>
      <c r="C620" s="5">
        <v>45503</v>
      </c>
      <c r="D620" s="13">
        <f t="shared" si="153"/>
        <v>7</v>
      </c>
      <c r="E620" t="s">
        <v>1945</v>
      </c>
      <c r="F620" t="s">
        <v>264</v>
      </c>
      <c r="G620" t="s">
        <v>90</v>
      </c>
      <c r="H620" t="s">
        <v>25</v>
      </c>
      <c r="I620" t="s">
        <v>26</v>
      </c>
      <c r="J620" t="s">
        <v>27</v>
      </c>
      <c r="K620" t="s">
        <v>41</v>
      </c>
      <c r="L620" t="s">
        <v>42</v>
      </c>
      <c r="M620" t="s">
        <v>1946</v>
      </c>
      <c r="N620" t="s">
        <v>44</v>
      </c>
      <c r="O620">
        <v>9</v>
      </c>
      <c r="P620">
        <v>1870.11</v>
      </c>
      <c r="Q620" s="11">
        <v>0.25</v>
      </c>
      <c r="R620">
        <v>12623.24</v>
      </c>
      <c r="S620">
        <v>10540.8</v>
      </c>
      <c r="T620">
        <v>2082.44</v>
      </c>
      <c r="U620" t="s">
        <v>155</v>
      </c>
      <c r="V620" t="s">
        <v>68</v>
      </c>
      <c r="X620" s="8" t="str">
        <f>IF(C620&gt;=B620,"Valid", "Invalid-Date")</f>
        <v>Valid</v>
      </c>
      <c r="Y620" s="8" t="str">
        <f t="shared" si="154"/>
        <v>Valid</v>
      </c>
      <c r="Z620" s="8" t="str">
        <f t="shared" si="155"/>
        <v>Pass</v>
      </c>
      <c r="AA620" s="8" t="str">
        <f t="shared" si="156"/>
        <v>Pass</v>
      </c>
      <c r="AB620" s="8" t="str">
        <f>TEXT(B620,"mmmm")</f>
        <v>July</v>
      </c>
      <c r="AC620" s="8" t="str">
        <f>TEXT(B620,"yyyy")</f>
        <v>2024</v>
      </c>
      <c r="AE620">
        <f t="shared" si="157"/>
        <v>16830.989999999998</v>
      </c>
      <c r="AF620" s="11">
        <f t="shared" si="158"/>
        <v>12623.242499999998</v>
      </c>
      <c r="AG620">
        <f t="shared" si="159"/>
        <v>6290.1899999999987</v>
      </c>
      <c r="AH620" s="11">
        <f t="shared" si="160"/>
        <v>0.37372667917929958</v>
      </c>
      <c r="AI620" s="9">
        <f t="shared" si="161"/>
        <v>0.37372667917929958</v>
      </c>
      <c r="AJ620">
        <f t="shared" si="162"/>
        <v>0</v>
      </c>
      <c r="AK620">
        <f t="shared" si="163"/>
        <v>0</v>
      </c>
      <c r="AL620">
        <f t="shared" si="164"/>
        <v>12623.24</v>
      </c>
      <c r="AM620">
        <f t="shared" si="165"/>
        <v>1</v>
      </c>
      <c r="AN620">
        <f t="shared" si="166"/>
        <v>12623.24</v>
      </c>
      <c r="AO620">
        <f t="shared" si="167"/>
        <v>1</v>
      </c>
      <c r="AP620">
        <f t="shared" si="168"/>
        <v>0</v>
      </c>
      <c r="AQ620">
        <f t="shared" si="169"/>
        <v>0</v>
      </c>
    </row>
    <row r="621" spans="1:43">
      <c r="A621" t="s">
        <v>1947</v>
      </c>
      <c r="B621" s="5">
        <v>45618</v>
      </c>
      <c r="C621" s="5">
        <v>45623</v>
      </c>
      <c r="D621" s="13">
        <f t="shared" si="153"/>
        <v>5</v>
      </c>
      <c r="E621" t="s">
        <v>1948</v>
      </c>
      <c r="F621" t="s">
        <v>114</v>
      </c>
      <c r="G621" t="s">
        <v>90</v>
      </c>
      <c r="H621" t="s">
        <v>54</v>
      </c>
      <c r="I621" t="s">
        <v>247</v>
      </c>
      <c r="J621" t="s">
        <v>248</v>
      </c>
      <c r="K621" t="s">
        <v>28</v>
      </c>
      <c r="L621" t="s">
        <v>153</v>
      </c>
      <c r="M621" t="s">
        <v>1949</v>
      </c>
      <c r="N621" t="s">
        <v>50</v>
      </c>
      <c r="O621">
        <v>1</v>
      </c>
      <c r="P621">
        <v>4251.26</v>
      </c>
      <c r="Q621" s="11">
        <v>0.2</v>
      </c>
      <c r="R621">
        <v>3401.01</v>
      </c>
      <c r="S621">
        <v>2917.54</v>
      </c>
      <c r="T621">
        <v>483.47</v>
      </c>
      <c r="U621" t="s">
        <v>102</v>
      </c>
      <c r="V621" t="s">
        <v>103</v>
      </c>
      <c r="X621" s="8" t="str">
        <f>IF(C621&gt;=B621,"Valid", "Invalid-Date")</f>
        <v>Valid</v>
      </c>
      <c r="Y621" s="8" t="str">
        <f t="shared" si="154"/>
        <v>Valid</v>
      </c>
      <c r="Z621" s="8" t="str">
        <f t="shared" si="155"/>
        <v>Pass</v>
      </c>
      <c r="AA621" s="8" t="str">
        <f t="shared" si="156"/>
        <v>Pass</v>
      </c>
      <c r="AB621" s="8" t="str">
        <f>TEXT(B621,"mmmm")</f>
        <v>November</v>
      </c>
      <c r="AC621" s="8" t="str">
        <f>TEXT(B621,"yyyy")</f>
        <v>2024</v>
      </c>
      <c r="AE621">
        <f t="shared" si="157"/>
        <v>4251.26</v>
      </c>
      <c r="AF621" s="11">
        <f t="shared" si="158"/>
        <v>3401.0080000000003</v>
      </c>
      <c r="AG621">
        <f t="shared" si="159"/>
        <v>1333.7200000000003</v>
      </c>
      <c r="AH621" s="11">
        <f t="shared" si="160"/>
        <v>0.313723460809266</v>
      </c>
      <c r="AI621" s="9">
        <f t="shared" si="161"/>
        <v>0.313723460809266</v>
      </c>
      <c r="AJ621">
        <f t="shared" si="162"/>
        <v>0</v>
      </c>
      <c r="AK621">
        <f t="shared" si="163"/>
        <v>0</v>
      </c>
      <c r="AL621">
        <f t="shared" si="164"/>
        <v>0</v>
      </c>
      <c r="AM621">
        <f t="shared" si="165"/>
        <v>0</v>
      </c>
      <c r="AN621">
        <f t="shared" si="166"/>
        <v>0</v>
      </c>
      <c r="AO621">
        <f t="shared" si="167"/>
        <v>0</v>
      </c>
      <c r="AP621">
        <f t="shared" si="168"/>
        <v>3401.01</v>
      </c>
      <c r="AQ621">
        <f t="shared" si="169"/>
        <v>1</v>
      </c>
    </row>
    <row r="622" spans="1:43">
      <c r="A622" t="s">
        <v>1950</v>
      </c>
      <c r="B622" s="5">
        <v>45522</v>
      </c>
      <c r="C622" s="5">
        <v>45525</v>
      </c>
      <c r="D622" s="13">
        <f t="shared" si="153"/>
        <v>3</v>
      </c>
      <c r="E622" t="s">
        <v>1951</v>
      </c>
      <c r="F622" t="s">
        <v>71</v>
      </c>
      <c r="G622" t="s">
        <v>24</v>
      </c>
      <c r="H622" t="s">
        <v>25</v>
      </c>
      <c r="I622" t="s">
        <v>136</v>
      </c>
      <c r="J622" t="s">
        <v>137</v>
      </c>
      <c r="K622" t="s">
        <v>74</v>
      </c>
      <c r="L622" t="s">
        <v>274</v>
      </c>
      <c r="M622" t="s">
        <v>1952</v>
      </c>
      <c r="N622" t="s">
        <v>59</v>
      </c>
      <c r="O622">
        <v>9</v>
      </c>
      <c r="P622">
        <v>734.34</v>
      </c>
      <c r="Q622" s="11">
        <v>0</v>
      </c>
      <c r="R622">
        <v>6609.06</v>
      </c>
      <c r="S622">
        <v>4946.78</v>
      </c>
      <c r="T622">
        <v>1662.28</v>
      </c>
      <c r="U622" t="s">
        <v>32</v>
      </c>
      <c r="V622" t="s">
        <v>33</v>
      </c>
      <c r="X622" s="8" t="str">
        <f>IF(C622&gt;=B622,"Valid", "Invalid-Date")</f>
        <v>Valid</v>
      </c>
      <c r="Y622" s="8" t="str">
        <f t="shared" si="154"/>
        <v>Valid</v>
      </c>
      <c r="Z622" s="8" t="str">
        <f t="shared" si="155"/>
        <v>Pass</v>
      </c>
      <c r="AA622" s="8" t="str">
        <f t="shared" si="156"/>
        <v>Pass</v>
      </c>
      <c r="AB622" s="8" t="str">
        <f>TEXT(B622,"mmmm")</f>
        <v>August</v>
      </c>
      <c r="AC622" s="8" t="str">
        <f>TEXT(B622,"yyyy")</f>
        <v>2024</v>
      </c>
      <c r="AE622">
        <f t="shared" si="157"/>
        <v>6609.06</v>
      </c>
      <c r="AF622" s="11">
        <f t="shared" si="158"/>
        <v>6609.06</v>
      </c>
      <c r="AG622">
        <f t="shared" si="159"/>
        <v>1662.2800000000007</v>
      </c>
      <c r="AH622" s="11">
        <f t="shared" si="160"/>
        <v>0.25151534408826681</v>
      </c>
      <c r="AI622" s="9">
        <f t="shared" si="161"/>
        <v>0.25151534408826681</v>
      </c>
      <c r="AJ622">
        <f t="shared" si="162"/>
        <v>6609.06</v>
      </c>
      <c r="AK622">
        <f t="shared" si="163"/>
        <v>1</v>
      </c>
      <c r="AL622">
        <f t="shared" si="164"/>
        <v>0</v>
      </c>
      <c r="AM622">
        <f t="shared" si="165"/>
        <v>0</v>
      </c>
      <c r="AN622">
        <f t="shared" si="166"/>
        <v>0</v>
      </c>
      <c r="AO622">
        <f t="shared" si="167"/>
        <v>0</v>
      </c>
      <c r="AP622">
        <f t="shared" si="168"/>
        <v>0</v>
      </c>
      <c r="AQ622">
        <f t="shared" si="169"/>
        <v>0</v>
      </c>
    </row>
    <row r="623" spans="1:43">
      <c r="A623" t="s">
        <v>1953</v>
      </c>
      <c r="B623" s="5">
        <v>45624</v>
      </c>
      <c r="C623" s="5">
        <v>45632</v>
      </c>
      <c r="D623" s="13">
        <f t="shared" si="153"/>
        <v>8</v>
      </c>
      <c r="E623" t="s">
        <v>1954</v>
      </c>
      <c r="F623" t="s">
        <v>89</v>
      </c>
      <c r="G623" t="s">
        <v>24</v>
      </c>
      <c r="H623" t="s">
        <v>63</v>
      </c>
      <c r="I623" t="s">
        <v>64</v>
      </c>
      <c r="J623" t="s">
        <v>65</v>
      </c>
      <c r="K623" t="s">
        <v>41</v>
      </c>
      <c r="L623" t="s">
        <v>66</v>
      </c>
      <c r="M623" t="s">
        <v>1955</v>
      </c>
      <c r="N623" t="s">
        <v>44</v>
      </c>
      <c r="O623">
        <v>5</v>
      </c>
      <c r="P623">
        <v>1092.8399999999999</v>
      </c>
      <c r="Q623" s="11">
        <v>0</v>
      </c>
      <c r="R623">
        <v>5464.2</v>
      </c>
      <c r="S623">
        <v>3318.09</v>
      </c>
      <c r="T623">
        <v>2146.11</v>
      </c>
      <c r="U623" t="s">
        <v>32</v>
      </c>
      <c r="V623" t="s">
        <v>33</v>
      </c>
      <c r="X623" s="8" t="str">
        <f>IF(C623&gt;=B623,"Valid", "Invalid-Date")</f>
        <v>Valid</v>
      </c>
      <c r="Y623" s="8" t="str">
        <f t="shared" si="154"/>
        <v>Valid</v>
      </c>
      <c r="Z623" s="8" t="str">
        <f t="shared" si="155"/>
        <v>Pass</v>
      </c>
      <c r="AA623" s="8" t="str">
        <f t="shared" si="156"/>
        <v>Pass</v>
      </c>
      <c r="AB623" s="8" t="str">
        <f>TEXT(B623,"mmmm")</f>
        <v>November</v>
      </c>
      <c r="AC623" s="8" t="str">
        <f>TEXT(B623,"yyyy")</f>
        <v>2024</v>
      </c>
      <c r="AE623">
        <f t="shared" si="157"/>
        <v>5464.2</v>
      </c>
      <c r="AF623" s="11">
        <f t="shared" si="158"/>
        <v>5464.2</v>
      </c>
      <c r="AG623">
        <f t="shared" si="159"/>
        <v>2146.1099999999997</v>
      </c>
      <c r="AH623" s="11">
        <f t="shared" si="160"/>
        <v>0.39275831777753373</v>
      </c>
      <c r="AI623" s="9">
        <f t="shared" si="161"/>
        <v>0.39275831777753373</v>
      </c>
      <c r="AJ623">
        <f t="shared" si="162"/>
        <v>5464.2</v>
      </c>
      <c r="AK623">
        <f t="shared" si="163"/>
        <v>1</v>
      </c>
      <c r="AL623">
        <f t="shared" si="164"/>
        <v>0</v>
      </c>
      <c r="AM623">
        <f t="shared" si="165"/>
        <v>0</v>
      </c>
      <c r="AN623">
        <f t="shared" si="166"/>
        <v>0</v>
      </c>
      <c r="AO623">
        <f t="shared" si="167"/>
        <v>0</v>
      </c>
      <c r="AP623">
        <f t="shared" si="168"/>
        <v>0</v>
      </c>
      <c r="AQ623">
        <f t="shared" si="169"/>
        <v>0</v>
      </c>
    </row>
    <row r="624" spans="1:43">
      <c r="A624" t="s">
        <v>1956</v>
      </c>
      <c r="B624" s="5">
        <v>45686</v>
      </c>
      <c r="C624" s="5">
        <v>45810</v>
      </c>
      <c r="D624" s="13">
        <f t="shared" si="153"/>
        <v>124</v>
      </c>
      <c r="E624" t="s">
        <v>1957</v>
      </c>
      <c r="F624" t="s">
        <v>71</v>
      </c>
      <c r="G624" t="s">
        <v>24</v>
      </c>
      <c r="H624" t="s">
        <v>38</v>
      </c>
      <c r="I624" t="s">
        <v>145</v>
      </c>
      <c r="J624" t="s">
        <v>146</v>
      </c>
      <c r="K624" t="s">
        <v>28</v>
      </c>
      <c r="L624" t="s">
        <v>124</v>
      </c>
      <c r="M624" t="s">
        <v>1958</v>
      </c>
      <c r="N624" t="s">
        <v>59</v>
      </c>
      <c r="O624">
        <v>4</v>
      </c>
      <c r="P624">
        <v>2759.01</v>
      </c>
      <c r="Q624" s="11">
        <v>0.05</v>
      </c>
      <c r="R624">
        <v>10484.24</v>
      </c>
      <c r="S624">
        <v>6680.15</v>
      </c>
      <c r="T624">
        <v>3804.09</v>
      </c>
      <c r="U624" t="s">
        <v>32</v>
      </c>
      <c r="V624" t="s">
        <v>33</v>
      </c>
      <c r="X624" s="8" t="str">
        <f>IF(C624&gt;=B624,"Valid", "Invalid-Date")</f>
        <v>Valid</v>
      </c>
      <c r="Y624" s="8" t="str">
        <f t="shared" si="154"/>
        <v>Valid</v>
      </c>
      <c r="Z624" s="8" t="str">
        <f t="shared" si="155"/>
        <v>Pass</v>
      </c>
      <c r="AA624" s="8" t="str">
        <f t="shared" si="156"/>
        <v>Pass</v>
      </c>
      <c r="AB624" s="8" t="str">
        <f>TEXT(B624,"mmmm")</f>
        <v>January</v>
      </c>
      <c r="AC624" s="8" t="str">
        <f>TEXT(B624,"yyyy")</f>
        <v>2025</v>
      </c>
      <c r="AE624">
        <f t="shared" si="157"/>
        <v>11036.04</v>
      </c>
      <c r="AF624" s="11">
        <f t="shared" si="158"/>
        <v>10484.238000000001</v>
      </c>
      <c r="AG624">
        <f t="shared" si="159"/>
        <v>4355.8900000000012</v>
      </c>
      <c r="AH624" s="11">
        <f t="shared" si="160"/>
        <v>0.39469682965991432</v>
      </c>
      <c r="AI624" s="9">
        <f t="shared" si="161"/>
        <v>0.39469682965991432</v>
      </c>
      <c r="AJ624">
        <f t="shared" si="162"/>
        <v>10484.24</v>
      </c>
      <c r="AK624">
        <f t="shared" si="163"/>
        <v>1</v>
      </c>
      <c r="AL624">
        <f t="shared" si="164"/>
        <v>0</v>
      </c>
      <c r="AM624">
        <f t="shared" si="165"/>
        <v>0</v>
      </c>
      <c r="AN624">
        <f t="shared" si="166"/>
        <v>0</v>
      </c>
      <c r="AO624">
        <f t="shared" si="167"/>
        <v>0</v>
      </c>
      <c r="AP624">
        <f t="shared" si="168"/>
        <v>0</v>
      </c>
      <c r="AQ624">
        <f t="shared" si="169"/>
        <v>0</v>
      </c>
    </row>
    <row r="625" spans="1:43">
      <c r="A625" t="s">
        <v>1959</v>
      </c>
      <c r="B625" s="5">
        <v>45512</v>
      </c>
      <c r="C625" s="5">
        <v>45518</v>
      </c>
      <c r="D625" s="13">
        <f t="shared" si="153"/>
        <v>6</v>
      </c>
      <c r="E625" t="s">
        <v>1960</v>
      </c>
      <c r="F625" t="s">
        <v>71</v>
      </c>
      <c r="G625" t="s">
        <v>95</v>
      </c>
      <c r="H625" t="s">
        <v>25</v>
      </c>
      <c r="I625" t="s">
        <v>122</v>
      </c>
      <c r="J625" t="s">
        <v>123</v>
      </c>
      <c r="K625" t="s">
        <v>28</v>
      </c>
      <c r="L625" t="s">
        <v>124</v>
      </c>
      <c r="M625" t="s">
        <v>1961</v>
      </c>
      <c r="N625" t="s">
        <v>31</v>
      </c>
      <c r="O625">
        <v>8</v>
      </c>
      <c r="P625">
        <v>1359.19</v>
      </c>
      <c r="Q625" s="11">
        <v>0.05</v>
      </c>
      <c r="R625">
        <v>10329.84</v>
      </c>
      <c r="S625">
        <v>7512.22</v>
      </c>
      <c r="T625">
        <v>2817.62</v>
      </c>
      <c r="U625" t="s">
        <v>32</v>
      </c>
      <c r="V625" t="s">
        <v>33</v>
      </c>
      <c r="X625" s="8" t="str">
        <f>IF(C625&gt;=B625,"Valid", "Invalid-Date")</f>
        <v>Valid</v>
      </c>
      <c r="Y625" s="8" t="str">
        <f t="shared" si="154"/>
        <v>Valid</v>
      </c>
      <c r="Z625" s="8" t="str">
        <f t="shared" si="155"/>
        <v>Pass</v>
      </c>
      <c r="AA625" s="8" t="str">
        <f t="shared" si="156"/>
        <v>Pass</v>
      </c>
      <c r="AB625" s="8" t="str">
        <f>TEXT(B625,"mmmm")</f>
        <v>August</v>
      </c>
      <c r="AC625" s="8" t="str">
        <f>TEXT(B625,"yyyy")</f>
        <v>2024</v>
      </c>
      <c r="AE625">
        <f t="shared" si="157"/>
        <v>10873.52</v>
      </c>
      <c r="AF625" s="11">
        <f t="shared" si="158"/>
        <v>10329.843999999999</v>
      </c>
      <c r="AG625">
        <f t="shared" si="159"/>
        <v>3361.3</v>
      </c>
      <c r="AH625" s="11">
        <f t="shared" si="160"/>
        <v>0.30912712718604463</v>
      </c>
      <c r="AI625" s="9">
        <f t="shared" si="161"/>
        <v>0.30912712718604463</v>
      </c>
      <c r="AJ625">
        <f t="shared" si="162"/>
        <v>10329.84</v>
      </c>
      <c r="AK625">
        <f t="shared" si="163"/>
        <v>1</v>
      </c>
      <c r="AL625">
        <f t="shared" si="164"/>
        <v>0</v>
      </c>
      <c r="AM625">
        <f t="shared" si="165"/>
        <v>0</v>
      </c>
      <c r="AN625">
        <f t="shared" si="166"/>
        <v>0</v>
      </c>
      <c r="AO625">
        <f t="shared" si="167"/>
        <v>0</v>
      </c>
      <c r="AP625">
        <f t="shared" si="168"/>
        <v>0</v>
      </c>
      <c r="AQ625">
        <f t="shared" si="169"/>
        <v>0</v>
      </c>
    </row>
    <row r="626" spans="1:43">
      <c r="A626" t="s">
        <v>1962</v>
      </c>
      <c r="B626" s="5">
        <v>45321</v>
      </c>
      <c r="C626" s="5">
        <v>45293</v>
      </c>
      <c r="D626" s="13">
        <f t="shared" si="153"/>
        <v>-28</v>
      </c>
      <c r="E626" t="s">
        <v>1963</v>
      </c>
      <c r="F626" t="s">
        <v>79</v>
      </c>
      <c r="G626" t="s">
        <v>95</v>
      </c>
      <c r="H626" t="s">
        <v>38</v>
      </c>
      <c r="I626" t="s">
        <v>166</v>
      </c>
      <c r="J626" t="s">
        <v>167</v>
      </c>
      <c r="K626" t="s">
        <v>41</v>
      </c>
      <c r="L626" t="s">
        <v>66</v>
      </c>
      <c r="M626" t="s">
        <v>1964</v>
      </c>
      <c r="N626" t="s">
        <v>50</v>
      </c>
      <c r="O626">
        <v>2</v>
      </c>
      <c r="P626">
        <v>4451.03</v>
      </c>
      <c r="Q626" s="11">
        <v>0.05</v>
      </c>
      <c r="R626">
        <v>8456.9599999999991</v>
      </c>
      <c r="S626">
        <v>5462.85</v>
      </c>
      <c r="T626">
        <v>2994.11</v>
      </c>
      <c r="U626" t="s">
        <v>32</v>
      </c>
      <c r="V626" t="s">
        <v>33</v>
      </c>
      <c r="X626" s="8" t="str">
        <f>IF(C626&gt;=B626,"Valid", "Invalid-Date")</f>
        <v>Invalid-Date</v>
      </c>
      <c r="Y626" s="8" t="str">
        <f t="shared" si="154"/>
        <v>Valid</v>
      </c>
      <c r="Z626" s="8" t="str">
        <f t="shared" si="155"/>
        <v>Pass</v>
      </c>
      <c r="AA626" s="8" t="str">
        <f t="shared" si="156"/>
        <v>Pass</v>
      </c>
      <c r="AB626" s="8" t="str">
        <f>TEXT(B626,"mmmm")</f>
        <v>January</v>
      </c>
      <c r="AC626" s="8" t="str">
        <f>TEXT(B626,"yyyy")</f>
        <v>2024</v>
      </c>
      <c r="AE626">
        <f t="shared" si="157"/>
        <v>8902.06</v>
      </c>
      <c r="AF626" s="11">
        <f t="shared" si="158"/>
        <v>8456.9569999999985</v>
      </c>
      <c r="AG626">
        <f t="shared" si="159"/>
        <v>3439.2099999999991</v>
      </c>
      <c r="AH626" s="11">
        <f t="shared" si="160"/>
        <v>0.3863386676791663</v>
      </c>
      <c r="AI626" s="9">
        <f t="shared" si="161"/>
        <v>0.3863386676791663</v>
      </c>
      <c r="AJ626">
        <f t="shared" si="162"/>
        <v>8456.9599999999991</v>
      </c>
      <c r="AK626">
        <f t="shared" si="163"/>
        <v>1</v>
      </c>
      <c r="AL626">
        <f t="shared" si="164"/>
        <v>0</v>
      </c>
      <c r="AM626">
        <f t="shared" si="165"/>
        <v>0</v>
      </c>
      <c r="AN626">
        <f t="shared" si="166"/>
        <v>0</v>
      </c>
      <c r="AO626">
        <f t="shared" si="167"/>
        <v>0</v>
      </c>
      <c r="AP626">
        <f t="shared" si="168"/>
        <v>0</v>
      </c>
      <c r="AQ626">
        <f t="shared" si="169"/>
        <v>0</v>
      </c>
    </row>
    <row r="627" spans="1:43">
      <c r="A627" t="s">
        <v>1965</v>
      </c>
      <c r="B627" s="5">
        <v>45641</v>
      </c>
      <c r="C627" s="5">
        <v>45647</v>
      </c>
      <c r="D627" s="13">
        <f t="shared" si="153"/>
        <v>6</v>
      </c>
      <c r="E627" t="s">
        <v>1966</v>
      </c>
      <c r="F627" t="s">
        <v>162</v>
      </c>
      <c r="G627" t="s">
        <v>90</v>
      </c>
      <c r="H627" t="s">
        <v>63</v>
      </c>
      <c r="I627" t="s">
        <v>26</v>
      </c>
      <c r="J627" t="s">
        <v>109</v>
      </c>
      <c r="K627" t="s">
        <v>41</v>
      </c>
      <c r="L627" t="s">
        <v>66</v>
      </c>
      <c r="M627" t="s">
        <v>1967</v>
      </c>
      <c r="N627" t="s">
        <v>44</v>
      </c>
      <c r="O627">
        <v>3</v>
      </c>
      <c r="P627">
        <v>527.66999999999996</v>
      </c>
      <c r="Q627" s="11">
        <v>0.2</v>
      </c>
      <c r="R627">
        <v>1266.4100000000001</v>
      </c>
      <c r="S627">
        <v>983.92</v>
      </c>
      <c r="T627">
        <v>282.49</v>
      </c>
      <c r="U627" t="s">
        <v>32</v>
      </c>
      <c r="V627" t="s">
        <v>33</v>
      </c>
      <c r="X627" s="8" t="str">
        <f>IF(C627&gt;=B627,"Valid", "Invalid-Date")</f>
        <v>Valid</v>
      </c>
      <c r="Y627" s="8" t="str">
        <f t="shared" si="154"/>
        <v>Valid</v>
      </c>
      <c r="Z627" s="8" t="str">
        <f t="shared" si="155"/>
        <v>Pass</v>
      </c>
      <c r="AA627" s="8" t="str">
        <f t="shared" si="156"/>
        <v>Pass</v>
      </c>
      <c r="AB627" s="8" t="str">
        <f>TEXT(B627,"mmmm")</f>
        <v>December</v>
      </c>
      <c r="AC627" s="8" t="str">
        <f>TEXT(B627,"yyyy")</f>
        <v>2024</v>
      </c>
      <c r="AE627">
        <f t="shared" si="157"/>
        <v>1583.0099999999998</v>
      </c>
      <c r="AF627" s="11">
        <f t="shared" si="158"/>
        <v>1266.4079999999999</v>
      </c>
      <c r="AG627">
        <f t="shared" si="159"/>
        <v>599.0899999999998</v>
      </c>
      <c r="AH627" s="11">
        <f t="shared" si="160"/>
        <v>0.3784499150352808</v>
      </c>
      <c r="AI627" s="9">
        <f t="shared" si="161"/>
        <v>0.3784499150352808</v>
      </c>
      <c r="AJ627">
        <f t="shared" si="162"/>
        <v>1266.4100000000001</v>
      </c>
      <c r="AK627">
        <f t="shared" si="163"/>
        <v>1</v>
      </c>
      <c r="AL627">
        <f t="shared" si="164"/>
        <v>0</v>
      </c>
      <c r="AM627">
        <f t="shared" si="165"/>
        <v>0</v>
      </c>
      <c r="AN627">
        <f t="shared" si="166"/>
        <v>0</v>
      </c>
      <c r="AO627">
        <f t="shared" si="167"/>
        <v>0</v>
      </c>
      <c r="AP627">
        <f t="shared" si="168"/>
        <v>0</v>
      </c>
      <c r="AQ627">
        <f t="shared" si="169"/>
        <v>0</v>
      </c>
    </row>
    <row r="628" spans="1:43">
      <c r="A628" t="s">
        <v>1968</v>
      </c>
      <c r="B628" s="5">
        <v>45812</v>
      </c>
      <c r="C628" s="5">
        <v>45844</v>
      </c>
      <c r="D628" s="13">
        <f t="shared" si="153"/>
        <v>32</v>
      </c>
      <c r="E628" t="s">
        <v>1969</v>
      </c>
      <c r="F628" t="s">
        <v>132</v>
      </c>
      <c r="G628" t="s">
        <v>95</v>
      </c>
      <c r="H628" t="s">
        <v>38</v>
      </c>
      <c r="I628" t="s">
        <v>166</v>
      </c>
      <c r="J628" t="s">
        <v>167</v>
      </c>
      <c r="K628" t="s">
        <v>74</v>
      </c>
      <c r="L628" t="s">
        <v>274</v>
      </c>
      <c r="M628" t="s">
        <v>1970</v>
      </c>
      <c r="N628" t="s">
        <v>59</v>
      </c>
      <c r="O628">
        <v>8</v>
      </c>
      <c r="P628">
        <v>1434.13</v>
      </c>
      <c r="Q628" s="11">
        <v>0</v>
      </c>
      <c r="R628">
        <v>11473.04</v>
      </c>
      <c r="S628">
        <v>8931.33</v>
      </c>
      <c r="T628">
        <v>2541.71</v>
      </c>
      <c r="U628" t="s">
        <v>111</v>
      </c>
      <c r="V628" t="s">
        <v>103</v>
      </c>
      <c r="X628" s="8" t="str">
        <f>IF(C628&gt;=B628,"Valid", "Invalid-Date")</f>
        <v>Valid</v>
      </c>
      <c r="Y628" s="8" t="str">
        <f t="shared" si="154"/>
        <v>Valid</v>
      </c>
      <c r="Z628" s="8" t="str">
        <f t="shared" si="155"/>
        <v>Pass</v>
      </c>
      <c r="AA628" s="8" t="str">
        <f t="shared" si="156"/>
        <v>Pass</v>
      </c>
      <c r="AB628" s="8" t="str">
        <f>TEXT(B628,"mmmm")</f>
        <v>June</v>
      </c>
      <c r="AC628" s="8" t="str">
        <f>TEXT(B628,"yyyy")</f>
        <v>2025</v>
      </c>
      <c r="AE628">
        <f t="shared" si="157"/>
        <v>11473.04</v>
      </c>
      <c r="AF628" s="11">
        <f t="shared" si="158"/>
        <v>11473.04</v>
      </c>
      <c r="AG628">
        <f t="shared" si="159"/>
        <v>2541.7100000000009</v>
      </c>
      <c r="AH628" s="11">
        <f t="shared" si="160"/>
        <v>0.22153762211236086</v>
      </c>
      <c r="AI628" s="9">
        <f t="shared" si="161"/>
        <v>0.22153762211236086</v>
      </c>
      <c r="AJ628">
        <f t="shared" si="162"/>
        <v>0</v>
      </c>
      <c r="AK628">
        <f t="shared" si="163"/>
        <v>0</v>
      </c>
      <c r="AL628">
        <f t="shared" si="164"/>
        <v>0</v>
      </c>
      <c r="AM628">
        <f t="shared" si="165"/>
        <v>0</v>
      </c>
      <c r="AN628">
        <f t="shared" si="166"/>
        <v>0</v>
      </c>
      <c r="AO628">
        <f t="shared" si="167"/>
        <v>0</v>
      </c>
      <c r="AP628">
        <f t="shared" si="168"/>
        <v>11473.04</v>
      </c>
      <c r="AQ628">
        <f t="shared" si="169"/>
        <v>1</v>
      </c>
    </row>
    <row r="629" spans="1:43">
      <c r="A629" t="s">
        <v>1971</v>
      </c>
      <c r="B629" s="5">
        <v>45701</v>
      </c>
      <c r="C629" s="5">
        <v>45709</v>
      </c>
      <c r="D629" s="13">
        <f t="shared" si="153"/>
        <v>8</v>
      </c>
      <c r="E629" t="s">
        <v>1972</v>
      </c>
      <c r="F629" t="s">
        <v>23</v>
      </c>
      <c r="G629" t="s">
        <v>37</v>
      </c>
      <c r="H629" t="s">
        <v>54</v>
      </c>
      <c r="I629" t="s">
        <v>185</v>
      </c>
      <c r="J629" t="s">
        <v>186</v>
      </c>
      <c r="K629" t="s">
        <v>74</v>
      </c>
      <c r="L629" t="s">
        <v>171</v>
      </c>
      <c r="M629" t="s">
        <v>1973</v>
      </c>
      <c r="N629" t="s">
        <v>31</v>
      </c>
      <c r="O629">
        <v>2</v>
      </c>
      <c r="P629">
        <v>2360.02</v>
      </c>
      <c r="Q629" s="11">
        <v>0.15</v>
      </c>
      <c r="R629">
        <v>4012.03</v>
      </c>
      <c r="S629">
        <v>3142.92</v>
      </c>
      <c r="T629">
        <v>869.11</v>
      </c>
      <c r="U629" t="s">
        <v>111</v>
      </c>
      <c r="V629" t="s">
        <v>68</v>
      </c>
      <c r="X629" s="8" t="str">
        <f>IF(C629&gt;=B629,"Valid", "Invalid-Date")</f>
        <v>Valid</v>
      </c>
      <c r="Y629" s="8" t="str">
        <f t="shared" si="154"/>
        <v>Valid</v>
      </c>
      <c r="Z629" s="8" t="str">
        <f t="shared" si="155"/>
        <v>Pass</v>
      </c>
      <c r="AA629" s="8" t="str">
        <f t="shared" si="156"/>
        <v>Pass</v>
      </c>
      <c r="AB629" s="8" t="str">
        <f>TEXT(B629,"mmmm")</f>
        <v>February</v>
      </c>
      <c r="AC629" s="8" t="str">
        <f>TEXT(B629,"yyyy")</f>
        <v>2025</v>
      </c>
      <c r="AE629">
        <f t="shared" si="157"/>
        <v>4720.04</v>
      </c>
      <c r="AF629" s="11">
        <f t="shared" si="158"/>
        <v>4012.0339999999997</v>
      </c>
      <c r="AG629">
        <f t="shared" si="159"/>
        <v>1577.12</v>
      </c>
      <c r="AH629" s="11">
        <f t="shared" si="160"/>
        <v>0.33413276158676619</v>
      </c>
      <c r="AI629" s="9">
        <f t="shared" si="161"/>
        <v>0.33413276158676619</v>
      </c>
      <c r="AJ629">
        <f t="shared" si="162"/>
        <v>0</v>
      </c>
      <c r="AK629">
        <f t="shared" si="163"/>
        <v>0</v>
      </c>
      <c r="AL629">
        <f t="shared" si="164"/>
        <v>4012.03</v>
      </c>
      <c r="AM629">
        <f t="shared" si="165"/>
        <v>1</v>
      </c>
      <c r="AN629">
        <f t="shared" si="166"/>
        <v>0</v>
      </c>
      <c r="AO629">
        <f t="shared" si="167"/>
        <v>0</v>
      </c>
      <c r="AP629">
        <f t="shared" si="168"/>
        <v>0</v>
      </c>
      <c r="AQ629">
        <f t="shared" si="169"/>
        <v>0</v>
      </c>
    </row>
    <row r="630" spans="1:43">
      <c r="A630" t="s">
        <v>1974</v>
      </c>
      <c r="B630" s="5">
        <v>45935</v>
      </c>
      <c r="C630" s="5">
        <v>46001</v>
      </c>
      <c r="D630" s="13">
        <f t="shared" si="153"/>
        <v>66</v>
      </c>
      <c r="E630" t="s">
        <v>1975</v>
      </c>
      <c r="F630" t="s">
        <v>62</v>
      </c>
      <c r="G630" t="s">
        <v>95</v>
      </c>
      <c r="H630" t="s">
        <v>38</v>
      </c>
      <c r="I630" t="s">
        <v>228</v>
      </c>
      <c r="J630" t="s">
        <v>229</v>
      </c>
      <c r="K630" t="s">
        <v>74</v>
      </c>
      <c r="L630" t="s">
        <v>75</v>
      </c>
      <c r="M630" t="s">
        <v>1976</v>
      </c>
      <c r="N630" t="s">
        <v>44</v>
      </c>
      <c r="O630">
        <v>7</v>
      </c>
      <c r="P630">
        <v>806.67</v>
      </c>
      <c r="Q630" s="11">
        <v>0.05</v>
      </c>
      <c r="R630">
        <v>5364.36</v>
      </c>
      <c r="S630">
        <v>4391.29</v>
      </c>
      <c r="T630">
        <v>973.07</v>
      </c>
      <c r="U630" t="s">
        <v>32</v>
      </c>
      <c r="V630" t="s">
        <v>33</v>
      </c>
      <c r="X630" s="8" t="str">
        <f>IF(C630&gt;=B630,"Valid", "Invalid-Date")</f>
        <v>Valid</v>
      </c>
      <c r="Y630" s="8" t="str">
        <f t="shared" si="154"/>
        <v>Valid</v>
      </c>
      <c r="Z630" s="8" t="str">
        <f t="shared" si="155"/>
        <v>Pass</v>
      </c>
      <c r="AA630" s="8" t="str">
        <f t="shared" si="156"/>
        <v>Pass</v>
      </c>
      <c r="AB630" s="8" t="str">
        <f>TEXT(B630,"mmmm")</f>
        <v>October</v>
      </c>
      <c r="AC630" s="8" t="str">
        <f>TEXT(B630,"yyyy")</f>
        <v>2025</v>
      </c>
      <c r="AE630">
        <f t="shared" si="157"/>
        <v>5646.69</v>
      </c>
      <c r="AF630" s="11">
        <f t="shared" si="158"/>
        <v>5364.3554999999997</v>
      </c>
      <c r="AG630">
        <f t="shared" si="159"/>
        <v>1255.3999999999996</v>
      </c>
      <c r="AH630" s="11">
        <f t="shared" si="160"/>
        <v>0.22232493726413169</v>
      </c>
      <c r="AI630" s="9">
        <f t="shared" si="161"/>
        <v>0.22232493726413169</v>
      </c>
      <c r="AJ630">
        <f t="shared" si="162"/>
        <v>5364.36</v>
      </c>
      <c r="AK630">
        <f t="shared" si="163"/>
        <v>1</v>
      </c>
      <c r="AL630">
        <f t="shared" si="164"/>
        <v>0</v>
      </c>
      <c r="AM630">
        <f t="shared" si="165"/>
        <v>0</v>
      </c>
      <c r="AN630">
        <f t="shared" si="166"/>
        <v>0</v>
      </c>
      <c r="AO630">
        <f t="shared" si="167"/>
        <v>0</v>
      </c>
      <c r="AP630">
        <f t="shared" si="168"/>
        <v>0</v>
      </c>
      <c r="AQ630">
        <f t="shared" si="169"/>
        <v>0</v>
      </c>
    </row>
    <row r="631" spans="1:43">
      <c r="A631" t="s">
        <v>1977</v>
      </c>
      <c r="B631" s="5">
        <v>45939</v>
      </c>
      <c r="C631" s="5">
        <v>45914</v>
      </c>
      <c r="D631" s="13">
        <f t="shared" si="153"/>
        <v>-25</v>
      </c>
      <c r="E631" t="s">
        <v>1978</v>
      </c>
      <c r="F631" t="s">
        <v>53</v>
      </c>
      <c r="G631" t="s">
        <v>95</v>
      </c>
      <c r="H631" t="s">
        <v>63</v>
      </c>
      <c r="I631" t="s">
        <v>180</v>
      </c>
      <c r="J631" t="s">
        <v>181</v>
      </c>
      <c r="K631" t="s">
        <v>41</v>
      </c>
      <c r="L631" t="s">
        <v>42</v>
      </c>
      <c r="M631" t="s">
        <v>1979</v>
      </c>
      <c r="N631" t="s">
        <v>44</v>
      </c>
      <c r="O631">
        <v>3</v>
      </c>
      <c r="P631">
        <v>4198.46</v>
      </c>
      <c r="Q631" s="11">
        <v>0.15</v>
      </c>
      <c r="R631">
        <v>10706.07</v>
      </c>
      <c r="S631">
        <v>5927.1</v>
      </c>
      <c r="T631">
        <v>4778.97</v>
      </c>
      <c r="U631" t="s">
        <v>32</v>
      </c>
      <c r="V631" t="s">
        <v>33</v>
      </c>
      <c r="X631" s="8" t="str">
        <f>IF(C631&gt;=B631,"Valid", "Invalid-Date")</f>
        <v>Invalid-Date</v>
      </c>
      <c r="Y631" s="8" t="str">
        <f t="shared" si="154"/>
        <v>Valid</v>
      </c>
      <c r="Z631" s="8" t="str">
        <f t="shared" si="155"/>
        <v>Pass</v>
      </c>
      <c r="AA631" s="8" t="str">
        <f t="shared" si="156"/>
        <v>Pass</v>
      </c>
      <c r="AB631" s="8" t="str">
        <f>TEXT(B631,"mmmm")</f>
        <v>October</v>
      </c>
      <c r="AC631" s="8" t="str">
        <f>TEXT(B631,"yyyy")</f>
        <v>2025</v>
      </c>
      <c r="AE631">
        <f t="shared" si="157"/>
        <v>12595.380000000001</v>
      </c>
      <c r="AF631" s="11">
        <f t="shared" si="158"/>
        <v>10706.073</v>
      </c>
      <c r="AG631">
        <f t="shared" si="159"/>
        <v>6668.2800000000007</v>
      </c>
      <c r="AH631" s="11">
        <f t="shared" si="160"/>
        <v>0.52942269308270173</v>
      </c>
      <c r="AI631" s="9">
        <f t="shared" si="161"/>
        <v>0.52942269308270173</v>
      </c>
      <c r="AJ631">
        <f t="shared" si="162"/>
        <v>10706.07</v>
      </c>
      <c r="AK631">
        <f t="shared" si="163"/>
        <v>1</v>
      </c>
      <c r="AL631">
        <f t="shared" si="164"/>
        <v>0</v>
      </c>
      <c r="AM631">
        <f t="shared" si="165"/>
        <v>0</v>
      </c>
      <c r="AN631">
        <f t="shared" si="166"/>
        <v>0</v>
      </c>
      <c r="AO631">
        <f t="shared" si="167"/>
        <v>0</v>
      </c>
      <c r="AP631">
        <f t="shared" si="168"/>
        <v>0</v>
      </c>
      <c r="AQ631">
        <f t="shared" si="169"/>
        <v>0</v>
      </c>
    </row>
    <row r="632" spans="1:43">
      <c r="A632" t="s">
        <v>1980</v>
      </c>
      <c r="B632" s="5">
        <v>45391</v>
      </c>
      <c r="C632" s="5">
        <v>45569</v>
      </c>
      <c r="D632" s="13">
        <f t="shared" si="153"/>
        <v>178</v>
      </c>
      <c r="E632" t="s">
        <v>1981</v>
      </c>
      <c r="F632" t="s">
        <v>114</v>
      </c>
      <c r="G632" t="s">
        <v>90</v>
      </c>
      <c r="H632" t="s">
        <v>38</v>
      </c>
      <c r="I632" t="s">
        <v>166</v>
      </c>
      <c r="J632" t="s">
        <v>167</v>
      </c>
      <c r="K632" t="s">
        <v>28</v>
      </c>
      <c r="L632" t="s">
        <v>29</v>
      </c>
      <c r="M632" t="s">
        <v>1982</v>
      </c>
      <c r="N632" t="s">
        <v>59</v>
      </c>
      <c r="O632">
        <v>4</v>
      </c>
      <c r="P632">
        <v>3047.05</v>
      </c>
      <c r="Q632" s="11">
        <v>0.1</v>
      </c>
      <c r="R632">
        <v>10969.38</v>
      </c>
      <c r="S632">
        <v>9254.4599999999991</v>
      </c>
      <c r="T632">
        <v>1714.92</v>
      </c>
      <c r="U632" t="s">
        <v>32</v>
      </c>
      <c r="V632" t="s">
        <v>33</v>
      </c>
      <c r="X632" s="8" t="str">
        <f>IF(C632&gt;=B632,"Valid", "Invalid-Date")</f>
        <v>Valid</v>
      </c>
      <c r="Y632" s="8" t="str">
        <f t="shared" si="154"/>
        <v>Valid</v>
      </c>
      <c r="Z632" s="8" t="str">
        <f t="shared" si="155"/>
        <v>Pass</v>
      </c>
      <c r="AA632" s="8" t="str">
        <f t="shared" si="156"/>
        <v>Pass</v>
      </c>
      <c r="AB632" s="8" t="str">
        <f>TEXT(B632,"mmmm")</f>
        <v>April</v>
      </c>
      <c r="AC632" s="8" t="str">
        <f>TEXT(B632,"yyyy")</f>
        <v>2024</v>
      </c>
      <c r="AE632">
        <f t="shared" si="157"/>
        <v>12188.2</v>
      </c>
      <c r="AF632" s="11">
        <f t="shared" si="158"/>
        <v>10969.380000000001</v>
      </c>
      <c r="AG632">
        <f t="shared" si="159"/>
        <v>2933.7400000000016</v>
      </c>
      <c r="AH632" s="11">
        <f t="shared" si="160"/>
        <v>0.24070330319489353</v>
      </c>
      <c r="AI632" s="9">
        <f t="shared" si="161"/>
        <v>0.24070330319489353</v>
      </c>
      <c r="AJ632">
        <f t="shared" si="162"/>
        <v>10969.38</v>
      </c>
      <c r="AK632">
        <f t="shared" si="163"/>
        <v>1</v>
      </c>
      <c r="AL632">
        <f t="shared" si="164"/>
        <v>0</v>
      </c>
      <c r="AM632">
        <f t="shared" si="165"/>
        <v>0</v>
      </c>
      <c r="AN632">
        <f t="shared" si="166"/>
        <v>0</v>
      </c>
      <c r="AO632">
        <f t="shared" si="167"/>
        <v>0</v>
      </c>
      <c r="AP632">
        <f t="shared" si="168"/>
        <v>0</v>
      </c>
      <c r="AQ632">
        <f t="shared" si="169"/>
        <v>0</v>
      </c>
    </row>
    <row r="633" spans="1:43">
      <c r="A633" t="s">
        <v>1983</v>
      </c>
      <c r="B633" s="5">
        <v>45392</v>
      </c>
      <c r="C633" s="5">
        <v>45397</v>
      </c>
      <c r="D633" s="13">
        <f t="shared" si="153"/>
        <v>5</v>
      </c>
      <c r="E633" t="s">
        <v>1984</v>
      </c>
      <c r="F633" t="s">
        <v>128</v>
      </c>
      <c r="G633" t="s">
        <v>95</v>
      </c>
      <c r="H633" t="s">
        <v>63</v>
      </c>
      <c r="I633" t="s">
        <v>26</v>
      </c>
      <c r="J633" t="s">
        <v>109</v>
      </c>
      <c r="K633" t="s">
        <v>41</v>
      </c>
      <c r="L633" t="s">
        <v>66</v>
      </c>
      <c r="M633" t="s">
        <v>1985</v>
      </c>
      <c r="N633" t="s">
        <v>59</v>
      </c>
      <c r="O633">
        <v>8</v>
      </c>
      <c r="P633">
        <v>4362.4799999999996</v>
      </c>
      <c r="Q633" s="11">
        <v>0.1</v>
      </c>
      <c r="R633">
        <v>31409.86</v>
      </c>
      <c r="S633">
        <v>22523.54</v>
      </c>
      <c r="T633">
        <v>8886.32</v>
      </c>
      <c r="U633" t="s">
        <v>32</v>
      </c>
      <c r="V633" t="s">
        <v>33</v>
      </c>
      <c r="X633" s="8" t="str">
        <f>IF(C633&gt;=B633,"Valid", "Invalid-Date")</f>
        <v>Valid</v>
      </c>
      <c r="Y633" s="8" t="str">
        <f t="shared" si="154"/>
        <v>Valid</v>
      </c>
      <c r="Z633" s="8" t="str">
        <f t="shared" si="155"/>
        <v>Pass</v>
      </c>
      <c r="AA633" s="8" t="str">
        <f t="shared" si="156"/>
        <v>Pass</v>
      </c>
      <c r="AB633" s="8" t="str">
        <f>TEXT(B633,"mmmm")</f>
        <v>April</v>
      </c>
      <c r="AC633" s="8" t="str">
        <f>TEXT(B633,"yyyy")</f>
        <v>2024</v>
      </c>
      <c r="AE633">
        <f t="shared" si="157"/>
        <v>34899.839999999997</v>
      </c>
      <c r="AF633" s="11">
        <f t="shared" si="158"/>
        <v>31409.855999999996</v>
      </c>
      <c r="AG633">
        <f t="shared" si="159"/>
        <v>12376.299999999996</v>
      </c>
      <c r="AH633" s="11">
        <f t="shared" si="160"/>
        <v>0.35462340228493877</v>
      </c>
      <c r="AI633" s="9">
        <f t="shared" si="161"/>
        <v>0.35462340228493877</v>
      </c>
      <c r="AJ633">
        <f t="shared" si="162"/>
        <v>31409.86</v>
      </c>
      <c r="AK633">
        <f t="shared" si="163"/>
        <v>1</v>
      </c>
      <c r="AL633">
        <f t="shared" si="164"/>
        <v>0</v>
      </c>
      <c r="AM633">
        <f t="shared" si="165"/>
        <v>0</v>
      </c>
      <c r="AN633">
        <f t="shared" si="166"/>
        <v>0</v>
      </c>
      <c r="AO633">
        <f t="shared" si="167"/>
        <v>0</v>
      </c>
      <c r="AP633">
        <f t="shared" si="168"/>
        <v>0</v>
      </c>
      <c r="AQ633">
        <f t="shared" si="169"/>
        <v>0</v>
      </c>
    </row>
    <row r="634" spans="1:43" s="15" customFormat="1">
      <c r="A634" s="15" t="s">
        <v>1986</v>
      </c>
      <c r="B634" s="16">
        <v>45762</v>
      </c>
      <c r="C634" s="16">
        <v>45763</v>
      </c>
      <c r="D634" s="17">
        <f t="shared" si="153"/>
        <v>1</v>
      </c>
      <c r="E634" s="15" t="s">
        <v>1987</v>
      </c>
      <c r="F634" s="15" t="s">
        <v>132</v>
      </c>
      <c r="G634" s="15" t="s">
        <v>37</v>
      </c>
      <c r="H634" s="15" t="s">
        <v>54</v>
      </c>
      <c r="I634" s="15" t="s">
        <v>175</v>
      </c>
      <c r="J634" s="15" t="s">
        <v>176</v>
      </c>
      <c r="K634" s="15" t="s">
        <v>41</v>
      </c>
      <c r="L634" s="15" t="s">
        <v>57</v>
      </c>
      <c r="M634" s="15" t="s">
        <v>1988</v>
      </c>
      <c r="N634" s="15" t="s">
        <v>50</v>
      </c>
      <c r="O634" s="15">
        <v>5</v>
      </c>
      <c r="P634" s="15">
        <v>2850.53</v>
      </c>
      <c r="Q634" s="18">
        <v>0</v>
      </c>
      <c r="R634" s="15">
        <v>14252.65</v>
      </c>
      <c r="S634" s="15">
        <v>11558.31</v>
      </c>
      <c r="T634" s="15">
        <v>2694.34</v>
      </c>
      <c r="U634" s="15" t="s">
        <v>32</v>
      </c>
      <c r="V634" s="15" t="s">
        <v>33</v>
      </c>
      <c r="W634" s="25"/>
      <c r="X634" s="8" t="str">
        <f>IF(C634&gt;=B634,"Valid", "Invalid-Date")</f>
        <v>Valid</v>
      </c>
      <c r="Y634" s="8" t="str">
        <f t="shared" si="154"/>
        <v>Valid</v>
      </c>
      <c r="Z634" s="19" t="str">
        <f t="shared" si="155"/>
        <v>Pass</v>
      </c>
      <c r="AA634" s="19" t="str">
        <f t="shared" si="156"/>
        <v>Pass</v>
      </c>
      <c r="AB634" s="19" t="str">
        <f>TEXT(B634,"mmmm")</f>
        <v>April</v>
      </c>
      <c r="AC634" s="19" t="str">
        <f>TEXT(B634,"yyyy")</f>
        <v>2025</v>
      </c>
      <c r="AD634" s="20"/>
      <c r="AE634" s="15">
        <f t="shared" si="157"/>
        <v>14252.650000000001</v>
      </c>
      <c r="AF634" s="11">
        <f t="shared" si="158"/>
        <v>14252.650000000001</v>
      </c>
      <c r="AG634" s="15">
        <f t="shared" si="159"/>
        <v>2694.340000000002</v>
      </c>
      <c r="AH634" s="18">
        <f t="shared" si="160"/>
        <v>0.18904133617257154</v>
      </c>
      <c r="AI634" s="21">
        <f t="shared" si="161"/>
        <v>0.18904133617257154</v>
      </c>
      <c r="AJ634">
        <f t="shared" si="162"/>
        <v>14252.65</v>
      </c>
      <c r="AK634">
        <f t="shared" si="163"/>
        <v>1</v>
      </c>
      <c r="AL634">
        <f t="shared" si="164"/>
        <v>0</v>
      </c>
      <c r="AM634">
        <f t="shared" si="165"/>
        <v>0</v>
      </c>
      <c r="AN634">
        <f t="shared" si="166"/>
        <v>0</v>
      </c>
      <c r="AO634">
        <f t="shared" si="167"/>
        <v>0</v>
      </c>
      <c r="AP634">
        <f t="shared" si="168"/>
        <v>0</v>
      </c>
      <c r="AQ634">
        <f t="shared" si="169"/>
        <v>0</v>
      </c>
    </row>
    <row r="635" spans="1:43">
      <c r="A635" t="s">
        <v>1989</v>
      </c>
      <c r="B635" s="5">
        <v>45765</v>
      </c>
      <c r="C635" s="5">
        <v>45767</v>
      </c>
      <c r="D635" s="13">
        <f t="shared" si="153"/>
        <v>2</v>
      </c>
      <c r="E635" t="s">
        <v>1990</v>
      </c>
      <c r="F635" t="s">
        <v>128</v>
      </c>
      <c r="G635" t="s">
        <v>37</v>
      </c>
      <c r="H635" t="s">
        <v>54</v>
      </c>
      <c r="I635" t="s">
        <v>247</v>
      </c>
      <c r="J635" t="s">
        <v>248</v>
      </c>
      <c r="K635" t="s">
        <v>74</v>
      </c>
      <c r="L635" t="s">
        <v>75</v>
      </c>
      <c r="M635" t="s">
        <v>1991</v>
      </c>
      <c r="N635" t="s">
        <v>31</v>
      </c>
      <c r="O635">
        <v>1</v>
      </c>
      <c r="P635">
        <v>1626.08</v>
      </c>
      <c r="Q635" s="11">
        <v>0.15</v>
      </c>
      <c r="R635">
        <v>1382.17</v>
      </c>
      <c r="S635">
        <v>810.03</v>
      </c>
      <c r="T635">
        <v>572.14</v>
      </c>
      <c r="U635" t="s">
        <v>32</v>
      </c>
      <c r="V635" t="s">
        <v>33</v>
      </c>
      <c r="X635" s="8" t="str">
        <f>IF(C635&gt;=B635,"Valid", "Invalid-Date")</f>
        <v>Valid</v>
      </c>
      <c r="Y635" s="8" t="str">
        <f t="shared" si="154"/>
        <v>Valid</v>
      </c>
      <c r="Z635" s="8" t="str">
        <f t="shared" si="155"/>
        <v>Pass</v>
      </c>
      <c r="AA635" s="8" t="str">
        <f t="shared" si="156"/>
        <v>Pass</v>
      </c>
      <c r="AB635" s="8" t="str">
        <f>TEXT(B635,"mmmm")</f>
        <v>April</v>
      </c>
      <c r="AC635" s="8" t="str">
        <f>TEXT(B635,"yyyy")</f>
        <v>2025</v>
      </c>
      <c r="AE635">
        <f t="shared" si="157"/>
        <v>1626.08</v>
      </c>
      <c r="AF635" s="11">
        <f t="shared" si="158"/>
        <v>1382.1679999999999</v>
      </c>
      <c r="AG635">
        <f t="shared" si="159"/>
        <v>816.05</v>
      </c>
      <c r="AH635" s="11">
        <f t="shared" si="160"/>
        <v>0.50185107743776447</v>
      </c>
      <c r="AI635" s="9">
        <f t="shared" si="161"/>
        <v>0.50185107743776447</v>
      </c>
      <c r="AJ635">
        <f t="shared" si="162"/>
        <v>1382.17</v>
      </c>
      <c r="AK635">
        <f t="shared" si="163"/>
        <v>1</v>
      </c>
      <c r="AL635">
        <f t="shared" si="164"/>
        <v>0</v>
      </c>
      <c r="AM635">
        <f t="shared" si="165"/>
        <v>0</v>
      </c>
      <c r="AN635">
        <f t="shared" si="166"/>
        <v>0</v>
      </c>
      <c r="AO635">
        <f t="shared" si="167"/>
        <v>0</v>
      </c>
      <c r="AP635">
        <f t="shared" si="168"/>
        <v>0</v>
      </c>
      <c r="AQ635">
        <f t="shared" si="169"/>
        <v>0</v>
      </c>
    </row>
    <row r="636" spans="1:43">
      <c r="A636" t="s">
        <v>1992</v>
      </c>
      <c r="B636" s="5">
        <v>45962</v>
      </c>
      <c r="C636" s="5">
        <v>45992</v>
      </c>
      <c r="D636" s="13">
        <f t="shared" si="153"/>
        <v>30</v>
      </c>
      <c r="E636" t="s">
        <v>1993</v>
      </c>
      <c r="F636" t="s">
        <v>89</v>
      </c>
      <c r="G636" t="s">
        <v>24</v>
      </c>
      <c r="H636" t="s">
        <v>54</v>
      </c>
      <c r="I636" t="s">
        <v>55</v>
      </c>
      <c r="J636" t="s">
        <v>56</v>
      </c>
      <c r="K636" t="s">
        <v>41</v>
      </c>
      <c r="L636" t="s">
        <v>66</v>
      </c>
      <c r="M636" t="s">
        <v>1994</v>
      </c>
      <c r="N636" t="s">
        <v>31</v>
      </c>
      <c r="O636">
        <v>4</v>
      </c>
      <c r="P636">
        <v>2427.15</v>
      </c>
      <c r="Q636" s="11">
        <v>0.05</v>
      </c>
      <c r="R636">
        <v>9223.17</v>
      </c>
      <c r="S636">
        <v>5103.7</v>
      </c>
      <c r="T636">
        <v>4119.47</v>
      </c>
      <c r="U636" t="s">
        <v>32</v>
      </c>
      <c r="V636" t="s">
        <v>33</v>
      </c>
      <c r="X636" s="8" t="str">
        <f>IF(C636&gt;=B636,"Valid", "Invalid-Date")</f>
        <v>Valid</v>
      </c>
      <c r="Y636" s="8" t="str">
        <f t="shared" si="154"/>
        <v>Valid</v>
      </c>
      <c r="Z636" s="8" t="str">
        <f t="shared" si="155"/>
        <v>Pass</v>
      </c>
      <c r="AA636" s="8" t="str">
        <f t="shared" si="156"/>
        <v>Pass</v>
      </c>
      <c r="AB636" s="8" t="str">
        <f>TEXT(B636,"mmmm")</f>
        <v>November</v>
      </c>
      <c r="AC636" s="8" t="str">
        <f>TEXT(B636,"yyyy")</f>
        <v>2025</v>
      </c>
      <c r="AE636">
        <f t="shared" si="157"/>
        <v>9708.6</v>
      </c>
      <c r="AF636" s="11">
        <f t="shared" si="158"/>
        <v>9223.17</v>
      </c>
      <c r="AG636">
        <f t="shared" si="159"/>
        <v>4604.9000000000005</v>
      </c>
      <c r="AH636" s="11">
        <f t="shared" si="160"/>
        <v>0.47431143522238017</v>
      </c>
      <c r="AI636" s="9">
        <f t="shared" si="161"/>
        <v>0.47431143522238017</v>
      </c>
      <c r="AJ636">
        <f t="shared" si="162"/>
        <v>9223.17</v>
      </c>
      <c r="AK636">
        <f t="shared" si="163"/>
        <v>1</v>
      </c>
      <c r="AL636">
        <f t="shared" si="164"/>
        <v>0</v>
      </c>
      <c r="AM636">
        <f t="shared" si="165"/>
        <v>0</v>
      </c>
      <c r="AN636">
        <f t="shared" si="166"/>
        <v>0</v>
      </c>
      <c r="AO636">
        <f t="shared" si="167"/>
        <v>0</v>
      </c>
      <c r="AP636">
        <f t="shared" si="168"/>
        <v>0</v>
      </c>
      <c r="AQ636">
        <f t="shared" si="169"/>
        <v>0</v>
      </c>
    </row>
    <row r="637" spans="1:43">
      <c r="A637" t="s">
        <v>1995</v>
      </c>
      <c r="B637" s="5">
        <v>45432</v>
      </c>
      <c r="C637" s="5">
        <v>45437</v>
      </c>
      <c r="D637" s="13">
        <f t="shared" si="153"/>
        <v>5</v>
      </c>
      <c r="E637" t="s">
        <v>1996</v>
      </c>
      <c r="F637" t="s">
        <v>36</v>
      </c>
      <c r="G637" t="s">
        <v>90</v>
      </c>
      <c r="H637" t="s">
        <v>54</v>
      </c>
      <c r="I637" t="s">
        <v>84</v>
      </c>
      <c r="J637" t="s">
        <v>85</v>
      </c>
      <c r="K637" t="s">
        <v>41</v>
      </c>
      <c r="L637" t="s">
        <v>66</v>
      </c>
      <c r="M637" t="s">
        <v>1997</v>
      </c>
      <c r="N637" t="s">
        <v>44</v>
      </c>
      <c r="O637">
        <v>7</v>
      </c>
      <c r="P637">
        <v>3122.85</v>
      </c>
      <c r="Q637" s="11">
        <v>0.25</v>
      </c>
      <c r="R637">
        <v>16394.96</v>
      </c>
      <c r="S637">
        <v>10404.17</v>
      </c>
      <c r="T637">
        <v>5990.79</v>
      </c>
      <c r="U637" t="s">
        <v>32</v>
      </c>
      <c r="V637" t="s">
        <v>33</v>
      </c>
      <c r="X637" s="8" t="str">
        <f>IF(C637&gt;=B637,"Valid", "Invalid-Date")</f>
        <v>Valid</v>
      </c>
      <c r="Y637" s="8" t="str">
        <f t="shared" si="154"/>
        <v>Valid</v>
      </c>
      <c r="Z637" s="8" t="str">
        <f t="shared" si="155"/>
        <v>Pass</v>
      </c>
      <c r="AA637" s="8" t="str">
        <f t="shared" si="156"/>
        <v>Pass</v>
      </c>
      <c r="AB637" s="8" t="str">
        <f>TEXT(B637,"mmmm")</f>
        <v>May</v>
      </c>
      <c r="AC637" s="8" t="str">
        <f>TEXT(B637,"yyyy")</f>
        <v>2024</v>
      </c>
      <c r="AE637">
        <f t="shared" si="157"/>
        <v>21859.95</v>
      </c>
      <c r="AF637" s="11">
        <f t="shared" si="158"/>
        <v>16394.962500000001</v>
      </c>
      <c r="AG637">
        <f t="shared" si="159"/>
        <v>11455.78</v>
      </c>
      <c r="AH637" s="11">
        <f t="shared" si="160"/>
        <v>0.52405334870390829</v>
      </c>
      <c r="AI637" s="9">
        <f t="shared" si="161"/>
        <v>0.52405334870390829</v>
      </c>
      <c r="AJ637">
        <f t="shared" si="162"/>
        <v>16394.96</v>
      </c>
      <c r="AK637">
        <f t="shared" si="163"/>
        <v>1</v>
      </c>
      <c r="AL637">
        <f t="shared" si="164"/>
        <v>0</v>
      </c>
      <c r="AM637">
        <f t="shared" si="165"/>
        <v>0</v>
      </c>
      <c r="AN637">
        <f t="shared" si="166"/>
        <v>0</v>
      </c>
      <c r="AO637">
        <f t="shared" si="167"/>
        <v>0</v>
      </c>
      <c r="AP637">
        <f t="shared" si="168"/>
        <v>0</v>
      </c>
      <c r="AQ637">
        <f t="shared" si="169"/>
        <v>0</v>
      </c>
    </row>
    <row r="638" spans="1:43">
      <c r="A638" t="s">
        <v>1998</v>
      </c>
      <c r="B638" s="5">
        <v>45567</v>
      </c>
      <c r="C638" s="5">
        <v>45545</v>
      </c>
      <c r="D638" s="13">
        <f t="shared" si="153"/>
        <v>-22</v>
      </c>
      <c r="E638" t="s">
        <v>1999</v>
      </c>
      <c r="F638" t="s">
        <v>62</v>
      </c>
      <c r="G638" t="s">
        <v>24</v>
      </c>
      <c r="H638" t="s">
        <v>54</v>
      </c>
      <c r="I638" t="s">
        <v>247</v>
      </c>
      <c r="J638" t="s">
        <v>248</v>
      </c>
      <c r="K638" t="s">
        <v>28</v>
      </c>
      <c r="L638" t="s">
        <v>29</v>
      </c>
      <c r="M638" t="s">
        <v>2000</v>
      </c>
      <c r="N638" t="s">
        <v>59</v>
      </c>
      <c r="O638">
        <v>8</v>
      </c>
      <c r="P638">
        <v>1910.31</v>
      </c>
      <c r="Q638" s="11">
        <v>0.15</v>
      </c>
      <c r="R638">
        <v>12990.11</v>
      </c>
      <c r="S638">
        <v>10200.799999999999</v>
      </c>
      <c r="T638">
        <v>2789.31</v>
      </c>
      <c r="U638" t="s">
        <v>32</v>
      </c>
      <c r="V638" t="s">
        <v>33</v>
      </c>
      <c r="X638" s="8" t="str">
        <f>IF(C638&gt;=B638,"Valid", "Invalid-Date")</f>
        <v>Invalid-Date</v>
      </c>
      <c r="Y638" s="8" t="str">
        <f t="shared" si="154"/>
        <v>Valid</v>
      </c>
      <c r="Z638" s="8" t="str">
        <f t="shared" si="155"/>
        <v>Pass</v>
      </c>
      <c r="AA638" s="8" t="str">
        <f t="shared" si="156"/>
        <v>Pass</v>
      </c>
      <c r="AB638" s="8" t="str">
        <f>TEXT(B638,"mmmm")</f>
        <v>October</v>
      </c>
      <c r="AC638" s="8" t="str">
        <f>TEXT(B638,"yyyy")</f>
        <v>2024</v>
      </c>
      <c r="AE638">
        <f t="shared" si="157"/>
        <v>15282.48</v>
      </c>
      <c r="AF638" s="11">
        <f t="shared" si="158"/>
        <v>12990.108</v>
      </c>
      <c r="AG638">
        <f t="shared" si="159"/>
        <v>5081.68</v>
      </c>
      <c r="AH638" s="11">
        <f t="shared" si="160"/>
        <v>0.33251671194727561</v>
      </c>
      <c r="AI638" s="9">
        <f t="shared" si="161"/>
        <v>0.33251671194727561</v>
      </c>
      <c r="AJ638">
        <f t="shared" si="162"/>
        <v>12990.11</v>
      </c>
      <c r="AK638">
        <f t="shared" si="163"/>
        <v>1</v>
      </c>
      <c r="AL638">
        <f t="shared" si="164"/>
        <v>0</v>
      </c>
      <c r="AM638">
        <f t="shared" si="165"/>
        <v>0</v>
      </c>
      <c r="AN638">
        <f t="shared" si="166"/>
        <v>0</v>
      </c>
      <c r="AO638">
        <f t="shared" si="167"/>
        <v>0</v>
      </c>
      <c r="AP638">
        <f t="shared" si="168"/>
        <v>0</v>
      </c>
      <c r="AQ638">
        <f t="shared" si="169"/>
        <v>0</v>
      </c>
    </row>
    <row r="639" spans="1:43">
      <c r="A639" t="s">
        <v>2001</v>
      </c>
      <c r="B639" s="5">
        <v>45438</v>
      </c>
      <c r="C639" s="5">
        <v>45438</v>
      </c>
      <c r="D639" s="13">
        <f t="shared" si="153"/>
        <v>0</v>
      </c>
      <c r="E639" t="s">
        <v>2002</v>
      </c>
      <c r="F639" t="s">
        <v>118</v>
      </c>
      <c r="G639" t="s">
        <v>37</v>
      </c>
      <c r="H639" t="s">
        <v>63</v>
      </c>
      <c r="I639" t="s">
        <v>190</v>
      </c>
      <c r="J639" t="s">
        <v>191</v>
      </c>
      <c r="K639" t="s">
        <v>74</v>
      </c>
      <c r="L639" t="s">
        <v>80</v>
      </c>
      <c r="M639" t="s">
        <v>2003</v>
      </c>
      <c r="N639" t="s">
        <v>50</v>
      </c>
      <c r="O639">
        <v>2</v>
      </c>
      <c r="P639">
        <v>3192.47</v>
      </c>
      <c r="Q639" s="11">
        <v>0.2</v>
      </c>
      <c r="R639">
        <v>5107.95</v>
      </c>
      <c r="S639">
        <v>3133.08</v>
      </c>
      <c r="T639">
        <v>1974.87</v>
      </c>
      <c r="U639" t="s">
        <v>32</v>
      </c>
      <c r="V639" t="s">
        <v>33</v>
      </c>
      <c r="X639" s="8" t="str">
        <f>IF(C639&gt;=B639,"Valid", "Invalid-Date")</f>
        <v>Valid</v>
      </c>
      <c r="Y639" s="8" t="str">
        <f t="shared" si="154"/>
        <v>Valid</v>
      </c>
      <c r="Z639" s="8" t="str">
        <f t="shared" si="155"/>
        <v>Pass</v>
      </c>
      <c r="AA639" s="8" t="str">
        <f t="shared" si="156"/>
        <v>Pass</v>
      </c>
      <c r="AB639" s="8" t="str">
        <f>TEXT(B639,"mmmm")</f>
        <v>May</v>
      </c>
      <c r="AC639" s="8" t="str">
        <f>TEXT(B639,"yyyy")</f>
        <v>2024</v>
      </c>
      <c r="AE639">
        <f t="shared" si="157"/>
        <v>6384.94</v>
      </c>
      <c r="AF639" s="11">
        <f t="shared" si="158"/>
        <v>5107.9520000000002</v>
      </c>
      <c r="AG639">
        <f t="shared" si="159"/>
        <v>3251.8599999999997</v>
      </c>
      <c r="AH639" s="11">
        <f t="shared" si="160"/>
        <v>0.50930157526930553</v>
      </c>
      <c r="AI639" s="9">
        <f t="shared" si="161"/>
        <v>0.50930157526930553</v>
      </c>
      <c r="AJ639">
        <f t="shared" si="162"/>
        <v>5107.95</v>
      </c>
      <c r="AK639">
        <f t="shared" si="163"/>
        <v>1</v>
      </c>
      <c r="AL639">
        <f t="shared" si="164"/>
        <v>0</v>
      </c>
      <c r="AM639">
        <f t="shared" si="165"/>
        <v>0</v>
      </c>
      <c r="AN639">
        <f t="shared" si="166"/>
        <v>0</v>
      </c>
      <c r="AO639">
        <f t="shared" si="167"/>
        <v>0</v>
      </c>
      <c r="AP639">
        <f t="shared" si="168"/>
        <v>0</v>
      </c>
      <c r="AQ639">
        <f t="shared" si="169"/>
        <v>0</v>
      </c>
    </row>
    <row r="640" spans="1:43">
      <c r="A640" t="s">
        <v>2004</v>
      </c>
      <c r="B640" s="5">
        <v>45317</v>
      </c>
      <c r="C640" s="5">
        <v>45322</v>
      </c>
      <c r="D640" s="13">
        <f t="shared" si="153"/>
        <v>5</v>
      </c>
      <c r="E640" t="s">
        <v>2005</v>
      </c>
      <c r="F640" t="s">
        <v>23</v>
      </c>
      <c r="G640" t="s">
        <v>90</v>
      </c>
      <c r="H640" t="s">
        <v>54</v>
      </c>
      <c r="I640" t="s">
        <v>185</v>
      </c>
      <c r="J640" t="s">
        <v>186</v>
      </c>
      <c r="K640" t="s">
        <v>28</v>
      </c>
      <c r="L640" t="s">
        <v>124</v>
      </c>
      <c r="M640" t="s">
        <v>2006</v>
      </c>
      <c r="N640" t="s">
        <v>31</v>
      </c>
      <c r="O640">
        <v>3</v>
      </c>
      <c r="P640">
        <v>3224.32</v>
      </c>
      <c r="Q640" s="11">
        <v>0.2</v>
      </c>
      <c r="R640">
        <v>7738.37</v>
      </c>
      <c r="S640">
        <v>4626.8500000000004</v>
      </c>
      <c r="T640">
        <v>3111.52</v>
      </c>
      <c r="U640" t="s">
        <v>155</v>
      </c>
      <c r="V640" t="s">
        <v>103</v>
      </c>
      <c r="X640" s="8" t="str">
        <f>IF(C640&gt;=B640,"Valid", "Invalid-Date")</f>
        <v>Valid</v>
      </c>
      <c r="Y640" s="8" t="str">
        <f t="shared" si="154"/>
        <v>Valid</v>
      </c>
      <c r="Z640" s="8" t="str">
        <f t="shared" si="155"/>
        <v>Pass</v>
      </c>
      <c r="AA640" s="8" t="str">
        <f t="shared" si="156"/>
        <v>Pass</v>
      </c>
      <c r="AB640" s="8" t="str">
        <f>TEXT(B640,"mmmm")</f>
        <v>January</v>
      </c>
      <c r="AC640" s="8" t="str">
        <f>TEXT(B640,"yyyy")</f>
        <v>2024</v>
      </c>
      <c r="AE640">
        <f t="shared" si="157"/>
        <v>9672.9600000000009</v>
      </c>
      <c r="AF640" s="11">
        <f t="shared" si="158"/>
        <v>7738.3680000000013</v>
      </c>
      <c r="AG640">
        <f t="shared" si="159"/>
        <v>5046.1100000000006</v>
      </c>
      <c r="AH640" s="11">
        <f t="shared" si="160"/>
        <v>0.52167175301045388</v>
      </c>
      <c r="AI640" s="9">
        <f t="shared" si="161"/>
        <v>0.52167175301045388</v>
      </c>
      <c r="AJ640">
        <f t="shared" si="162"/>
        <v>0</v>
      </c>
      <c r="AK640">
        <f t="shared" si="163"/>
        <v>0</v>
      </c>
      <c r="AL640">
        <f t="shared" si="164"/>
        <v>0</v>
      </c>
      <c r="AM640">
        <f t="shared" si="165"/>
        <v>0</v>
      </c>
      <c r="AN640">
        <f t="shared" si="166"/>
        <v>7738.37</v>
      </c>
      <c r="AO640">
        <f t="shared" si="167"/>
        <v>1</v>
      </c>
      <c r="AP640">
        <f t="shared" si="168"/>
        <v>7738.37</v>
      </c>
      <c r="AQ640">
        <f t="shared" si="169"/>
        <v>1</v>
      </c>
    </row>
    <row r="641" spans="1:43">
      <c r="A641" t="s">
        <v>2007</v>
      </c>
      <c r="B641" s="5">
        <v>45653</v>
      </c>
      <c r="C641" s="5">
        <v>45657</v>
      </c>
      <c r="D641" s="13">
        <f t="shared" si="153"/>
        <v>4</v>
      </c>
      <c r="E641" t="s">
        <v>2008</v>
      </c>
      <c r="F641" t="s">
        <v>47</v>
      </c>
      <c r="G641" t="s">
        <v>37</v>
      </c>
      <c r="H641" t="s">
        <v>38</v>
      </c>
      <c r="I641" t="s">
        <v>39</v>
      </c>
      <c r="J641" t="s">
        <v>40</v>
      </c>
      <c r="K641" t="s">
        <v>41</v>
      </c>
      <c r="L641" t="s">
        <v>66</v>
      </c>
      <c r="M641" t="s">
        <v>2009</v>
      </c>
      <c r="N641" t="s">
        <v>31</v>
      </c>
      <c r="O641">
        <v>1</v>
      </c>
      <c r="P641">
        <v>1594.7</v>
      </c>
      <c r="Q641" s="11">
        <v>0.05</v>
      </c>
      <c r="R641">
        <v>1514.96</v>
      </c>
      <c r="S641">
        <v>1046.17</v>
      </c>
      <c r="T641">
        <v>468.79</v>
      </c>
      <c r="U641" t="s">
        <v>32</v>
      </c>
      <c r="V641" t="s">
        <v>33</v>
      </c>
      <c r="X641" s="8" t="str">
        <f>IF(C641&gt;=B641,"Valid", "Invalid-Date")</f>
        <v>Valid</v>
      </c>
      <c r="Y641" s="8" t="str">
        <f t="shared" si="154"/>
        <v>Valid</v>
      </c>
      <c r="Z641" s="8" t="str">
        <f t="shared" si="155"/>
        <v>Pass</v>
      </c>
      <c r="AA641" s="8" t="str">
        <f t="shared" si="156"/>
        <v>Pass</v>
      </c>
      <c r="AB641" s="8" t="str">
        <f>TEXT(B641,"mmmm")</f>
        <v>December</v>
      </c>
      <c r="AC641" s="8" t="str">
        <f>TEXT(B641,"yyyy")</f>
        <v>2024</v>
      </c>
      <c r="AE641">
        <f t="shared" si="157"/>
        <v>1594.7</v>
      </c>
      <c r="AF641" s="11">
        <f t="shared" si="158"/>
        <v>1514.9649999999999</v>
      </c>
      <c r="AG641">
        <f t="shared" si="159"/>
        <v>548.53</v>
      </c>
      <c r="AH641" s="11">
        <f t="shared" si="160"/>
        <v>0.34397065278735811</v>
      </c>
      <c r="AI641" s="9">
        <f t="shared" si="161"/>
        <v>0.34397065278735811</v>
      </c>
      <c r="AJ641">
        <f t="shared" si="162"/>
        <v>1514.96</v>
      </c>
      <c r="AK641">
        <f t="shared" si="163"/>
        <v>1</v>
      </c>
      <c r="AL641">
        <f t="shared" si="164"/>
        <v>0</v>
      </c>
      <c r="AM641">
        <f t="shared" si="165"/>
        <v>0</v>
      </c>
      <c r="AN641">
        <f t="shared" si="166"/>
        <v>0</v>
      </c>
      <c r="AO641">
        <f t="shared" si="167"/>
        <v>0</v>
      </c>
      <c r="AP641">
        <f t="shared" si="168"/>
        <v>0</v>
      </c>
      <c r="AQ641">
        <f t="shared" si="169"/>
        <v>0</v>
      </c>
    </row>
    <row r="642" spans="1:43">
      <c r="A642" t="s">
        <v>2010</v>
      </c>
      <c r="B642" s="5">
        <v>45671</v>
      </c>
      <c r="C642" s="5">
        <v>45674</v>
      </c>
      <c r="D642" s="13">
        <f t="shared" si="153"/>
        <v>3</v>
      </c>
      <c r="E642" t="s">
        <v>2011</v>
      </c>
      <c r="F642" t="s">
        <v>71</v>
      </c>
      <c r="G642" t="s">
        <v>24</v>
      </c>
      <c r="H642" t="s">
        <v>63</v>
      </c>
      <c r="I642" t="s">
        <v>190</v>
      </c>
      <c r="J642" t="s">
        <v>191</v>
      </c>
      <c r="K642" t="s">
        <v>28</v>
      </c>
      <c r="L642" t="s">
        <v>124</v>
      </c>
      <c r="M642" t="s">
        <v>2012</v>
      </c>
      <c r="N642" t="s">
        <v>50</v>
      </c>
      <c r="O642">
        <v>1</v>
      </c>
      <c r="P642">
        <v>1584.12</v>
      </c>
      <c r="Q642" s="11">
        <v>0.2</v>
      </c>
      <c r="R642">
        <v>1267.3</v>
      </c>
      <c r="S642">
        <v>923.53</v>
      </c>
      <c r="T642">
        <v>343.77</v>
      </c>
      <c r="U642" t="s">
        <v>32</v>
      </c>
      <c r="V642" t="s">
        <v>33</v>
      </c>
      <c r="X642" s="8" t="str">
        <f>IF(C642&gt;=B642,"Valid", "Invalid-Date")</f>
        <v>Valid</v>
      </c>
      <c r="Y642" s="8" t="str">
        <f t="shared" si="154"/>
        <v>Valid</v>
      </c>
      <c r="Z642" s="8" t="str">
        <f t="shared" si="155"/>
        <v>Pass</v>
      </c>
      <c r="AA642" s="8" t="str">
        <f t="shared" si="156"/>
        <v>Pass</v>
      </c>
      <c r="AB642" s="8" t="str">
        <f>TEXT(B642,"mmmm")</f>
        <v>January</v>
      </c>
      <c r="AC642" s="8" t="str">
        <f>TEXT(B642,"yyyy")</f>
        <v>2025</v>
      </c>
      <c r="AE642">
        <f t="shared" si="157"/>
        <v>1584.12</v>
      </c>
      <c r="AF642" s="11">
        <f t="shared" si="158"/>
        <v>1267.296</v>
      </c>
      <c r="AG642">
        <f t="shared" si="159"/>
        <v>660.58999999999992</v>
      </c>
      <c r="AH642" s="11">
        <f t="shared" si="160"/>
        <v>0.41700754993308586</v>
      </c>
      <c r="AI642" s="9">
        <f t="shared" si="161"/>
        <v>0.41700754993308586</v>
      </c>
      <c r="AJ642">
        <f t="shared" si="162"/>
        <v>1267.3</v>
      </c>
      <c r="AK642">
        <f t="shared" si="163"/>
        <v>1</v>
      </c>
      <c r="AL642">
        <f t="shared" si="164"/>
        <v>0</v>
      </c>
      <c r="AM642">
        <f t="shared" si="165"/>
        <v>0</v>
      </c>
      <c r="AN642">
        <f t="shared" si="166"/>
        <v>0</v>
      </c>
      <c r="AO642">
        <f t="shared" si="167"/>
        <v>0</v>
      </c>
      <c r="AP642">
        <f t="shared" si="168"/>
        <v>0</v>
      </c>
      <c r="AQ642">
        <f t="shared" si="169"/>
        <v>0</v>
      </c>
    </row>
    <row r="643" spans="1:43">
      <c r="A643" t="s">
        <v>2013</v>
      </c>
      <c r="B643" s="5">
        <v>45756</v>
      </c>
      <c r="C643" s="5">
        <v>45761</v>
      </c>
      <c r="D643" s="13">
        <f t="shared" ref="D643:D706" si="170">C643-B643</f>
        <v>5</v>
      </c>
      <c r="E643" t="s">
        <v>2014</v>
      </c>
      <c r="F643" t="s">
        <v>23</v>
      </c>
      <c r="G643" t="s">
        <v>24</v>
      </c>
      <c r="H643" t="s">
        <v>25</v>
      </c>
      <c r="I643" t="s">
        <v>350</v>
      </c>
      <c r="J643" t="s">
        <v>351</v>
      </c>
      <c r="K643" t="s">
        <v>41</v>
      </c>
      <c r="L643" t="s">
        <v>57</v>
      </c>
      <c r="M643" t="s">
        <v>2015</v>
      </c>
      <c r="N643" t="s">
        <v>44</v>
      </c>
      <c r="O643">
        <v>2</v>
      </c>
      <c r="P643">
        <v>3202.87</v>
      </c>
      <c r="Q643" s="11">
        <v>0</v>
      </c>
      <c r="R643">
        <v>6405.74</v>
      </c>
      <c r="S643">
        <v>3561.87</v>
      </c>
      <c r="T643">
        <v>2843.87</v>
      </c>
      <c r="U643" t="s">
        <v>32</v>
      </c>
      <c r="V643" t="s">
        <v>33</v>
      </c>
      <c r="X643" s="8" t="str">
        <f>IF(C643&gt;=B643,"Valid", "Invalid-Date")</f>
        <v>Valid</v>
      </c>
      <c r="Y643" s="8" t="str">
        <f t="shared" ref="Y643:Y706" si="171">IF(OR(Q643&lt;0, Q643&gt;0.5), "Invalid-Discount", "Valid")</f>
        <v>Valid</v>
      </c>
      <c r="Z643" s="8" t="str">
        <f t="shared" ref="Z643:Z706" si="172">IF(N643="Unknown","Flagged","Pass")</f>
        <v>Pass</v>
      </c>
      <c r="AA643" s="8" t="str">
        <f t="shared" ref="AA643:AA706" si="173">IF(H643="Unknown","Flagged","Pass")</f>
        <v>Pass</v>
      </c>
      <c r="AB643" s="8" t="str">
        <f>TEXT(B643,"mmmm")</f>
        <v>April</v>
      </c>
      <c r="AC643" s="8" t="str">
        <f>TEXT(B643,"yyyy")</f>
        <v>2025</v>
      </c>
      <c r="AE643">
        <f t="shared" ref="AE643:AE706" si="174">O643*P643</f>
        <v>6405.74</v>
      </c>
      <c r="AF643" s="11">
        <f t="shared" ref="AF643:AF706" si="175">AE643*(1-Q643)</f>
        <v>6405.74</v>
      </c>
      <c r="AG643">
        <f t="shared" ref="AG643:AG706" si="176">AE643-S643</f>
        <v>2843.87</v>
      </c>
      <c r="AH643" s="11">
        <f t="shared" ref="AH643:AH706" si="177">AG643/AE643</f>
        <v>0.44395651400150488</v>
      </c>
      <c r="AI643" s="9">
        <f t="shared" ref="AI643:AI706" si="178">AG643/AE643</f>
        <v>0.44395651400150488</v>
      </c>
      <c r="AJ643">
        <f t="shared" ref="AJ643:AJ706" si="179">SUMIFS(R643, V643, "Completed", U643, "Paid")</f>
        <v>6405.74</v>
      </c>
      <c r="AK643">
        <f t="shared" ref="AK643:AK706" si="180">COUNTIFS(V643, "Completed", U643, "Paid")</f>
        <v>1</v>
      </c>
      <c r="AL643">
        <f t="shared" ref="AL643:AL706" si="181">SUMIFS(R643, V643, "Cancelled")</f>
        <v>0</v>
      </c>
      <c r="AM643">
        <f t="shared" ref="AM643:AM706" si="182">COUNTIFS(V643, "Cancelled")</f>
        <v>0</v>
      </c>
      <c r="AN643">
        <f t="shared" ref="AN643:AN706" si="183">SUMIFS(R643, U643, "Failed")</f>
        <v>0</v>
      </c>
      <c r="AO643">
        <f t="shared" ref="AO643:AO706" si="184">COUNTIFS(U643, "Failed")</f>
        <v>0</v>
      </c>
      <c r="AP643">
        <f t="shared" ref="AP643:AP706" si="185">SUMIFS(R643, V643, "Returned")</f>
        <v>0</v>
      </c>
      <c r="AQ643">
        <f t="shared" ref="AQ643:AQ706" si="186">COUNTIFS(V643, "Returned")</f>
        <v>0</v>
      </c>
    </row>
    <row r="644" spans="1:43">
      <c r="A644" t="s">
        <v>2016</v>
      </c>
      <c r="B644" s="5">
        <v>45533</v>
      </c>
      <c r="C644" s="5">
        <v>45535</v>
      </c>
      <c r="D644" s="13">
        <f t="shared" si="170"/>
        <v>2</v>
      </c>
      <c r="E644" t="s">
        <v>2017</v>
      </c>
      <c r="F644" t="s">
        <v>47</v>
      </c>
      <c r="G644" t="s">
        <v>95</v>
      </c>
      <c r="H644" t="s">
        <v>38</v>
      </c>
      <c r="I644" t="s">
        <v>166</v>
      </c>
      <c r="J644" t="s">
        <v>167</v>
      </c>
      <c r="K644" t="s">
        <v>28</v>
      </c>
      <c r="L644" t="s">
        <v>153</v>
      </c>
      <c r="M644" t="s">
        <v>2018</v>
      </c>
      <c r="N644" t="s">
        <v>31</v>
      </c>
      <c r="O644">
        <v>9</v>
      </c>
      <c r="P644">
        <v>1275.21</v>
      </c>
      <c r="Q644" s="11">
        <v>0.25</v>
      </c>
      <c r="R644">
        <v>8607.67</v>
      </c>
      <c r="S644">
        <v>5337.64</v>
      </c>
      <c r="T644">
        <v>3270.03</v>
      </c>
      <c r="U644" t="s">
        <v>155</v>
      </c>
      <c r="V644" t="s">
        <v>103</v>
      </c>
      <c r="X644" s="8" t="str">
        <f>IF(C644&gt;=B644,"Valid", "Invalid-Date")</f>
        <v>Valid</v>
      </c>
      <c r="Y644" s="8" t="str">
        <f t="shared" si="171"/>
        <v>Valid</v>
      </c>
      <c r="Z644" s="8" t="str">
        <f t="shared" si="172"/>
        <v>Pass</v>
      </c>
      <c r="AA644" s="8" t="str">
        <f t="shared" si="173"/>
        <v>Pass</v>
      </c>
      <c r="AB644" s="8" t="str">
        <f>TEXT(B644,"mmmm")</f>
        <v>August</v>
      </c>
      <c r="AC644" s="8" t="str">
        <f>TEXT(B644,"yyyy")</f>
        <v>2024</v>
      </c>
      <c r="AE644">
        <f t="shared" si="174"/>
        <v>11476.89</v>
      </c>
      <c r="AF644" s="11">
        <f t="shared" si="175"/>
        <v>8607.6674999999996</v>
      </c>
      <c r="AG644">
        <f t="shared" si="176"/>
        <v>6139.2499999999991</v>
      </c>
      <c r="AH644" s="11">
        <f t="shared" si="177"/>
        <v>0.53492278831634699</v>
      </c>
      <c r="AI644" s="9">
        <f t="shared" si="178"/>
        <v>0.53492278831634699</v>
      </c>
      <c r="AJ644">
        <f t="shared" si="179"/>
        <v>0</v>
      </c>
      <c r="AK644">
        <f t="shared" si="180"/>
        <v>0</v>
      </c>
      <c r="AL644">
        <f t="shared" si="181"/>
        <v>0</v>
      </c>
      <c r="AM644">
        <f t="shared" si="182"/>
        <v>0</v>
      </c>
      <c r="AN644">
        <f t="shared" si="183"/>
        <v>8607.67</v>
      </c>
      <c r="AO644">
        <f t="shared" si="184"/>
        <v>1</v>
      </c>
      <c r="AP644">
        <f t="shared" si="185"/>
        <v>8607.67</v>
      </c>
      <c r="AQ644">
        <f t="shared" si="186"/>
        <v>1</v>
      </c>
    </row>
    <row r="645" spans="1:43">
      <c r="A645" t="s">
        <v>2019</v>
      </c>
      <c r="B645" s="5">
        <v>45327</v>
      </c>
      <c r="C645" s="5">
        <v>45335</v>
      </c>
      <c r="D645" s="13">
        <f t="shared" si="170"/>
        <v>8</v>
      </c>
      <c r="E645" t="s">
        <v>720</v>
      </c>
      <c r="F645" t="s">
        <v>128</v>
      </c>
      <c r="G645" t="s">
        <v>95</v>
      </c>
      <c r="H645" t="s">
        <v>25</v>
      </c>
      <c r="I645" t="s">
        <v>136</v>
      </c>
      <c r="J645" t="s">
        <v>137</v>
      </c>
      <c r="K645" t="s">
        <v>28</v>
      </c>
      <c r="L645" t="s">
        <v>91</v>
      </c>
      <c r="M645" t="s">
        <v>2020</v>
      </c>
      <c r="N645" t="s">
        <v>59</v>
      </c>
      <c r="O645">
        <v>8</v>
      </c>
      <c r="P645">
        <v>3871.18</v>
      </c>
      <c r="Q645" s="11">
        <v>0.15</v>
      </c>
      <c r="R645">
        <v>26324.02</v>
      </c>
      <c r="S645">
        <v>16277.96</v>
      </c>
      <c r="T645">
        <v>10046.06</v>
      </c>
      <c r="U645" t="s">
        <v>155</v>
      </c>
      <c r="V645" t="s">
        <v>103</v>
      </c>
      <c r="X645" s="8" t="str">
        <f>IF(C645&gt;=B645,"Valid", "Invalid-Date")</f>
        <v>Valid</v>
      </c>
      <c r="Y645" s="8" t="str">
        <f t="shared" si="171"/>
        <v>Valid</v>
      </c>
      <c r="Z645" s="8" t="str">
        <f t="shared" si="172"/>
        <v>Pass</v>
      </c>
      <c r="AA645" s="8" t="str">
        <f t="shared" si="173"/>
        <v>Pass</v>
      </c>
      <c r="AB645" s="8" t="str">
        <f>TEXT(B645,"mmmm")</f>
        <v>February</v>
      </c>
      <c r="AC645" s="8" t="str">
        <f>TEXT(B645,"yyyy")</f>
        <v>2024</v>
      </c>
      <c r="AE645">
        <f t="shared" si="174"/>
        <v>30969.439999999999</v>
      </c>
      <c r="AF645" s="11">
        <f t="shared" si="175"/>
        <v>26324.023999999998</v>
      </c>
      <c r="AG645">
        <f t="shared" si="176"/>
        <v>14691.48</v>
      </c>
      <c r="AH645" s="11">
        <f t="shared" si="177"/>
        <v>0.47438636281443902</v>
      </c>
      <c r="AI645" s="9">
        <f t="shared" si="178"/>
        <v>0.47438636281443902</v>
      </c>
      <c r="AJ645">
        <f t="shared" si="179"/>
        <v>0</v>
      </c>
      <c r="AK645">
        <f t="shared" si="180"/>
        <v>0</v>
      </c>
      <c r="AL645">
        <f t="shared" si="181"/>
        <v>0</v>
      </c>
      <c r="AM645">
        <f t="shared" si="182"/>
        <v>0</v>
      </c>
      <c r="AN645">
        <f t="shared" si="183"/>
        <v>26324.02</v>
      </c>
      <c r="AO645">
        <f t="shared" si="184"/>
        <v>1</v>
      </c>
      <c r="AP645">
        <f t="shared" si="185"/>
        <v>26324.02</v>
      </c>
      <c r="AQ645">
        <f t="shared" si="186"/>
        <v>1</v>
      </c>
    </row>
    <row r="646" spans="1:43">
      <c r="A646" t="s">
        <v>2021</v>
      </c>
      <c r="B646" s="5">
        <v>45757</v>
      </c>
      <c r="C646" s="5">
        <v>45764</v>
      </c>
      <c r="D646" s="13">
        <f t="shared" si="170"/>
        <v>7</v>
      </c>
      <c r="E646" t="s">
        <v>2022</v>
      </c>
      <c r="F646" t="s">
        <v>71</v>
      </c>
      <c r="G646" t="s">
        <v>24</v>
      </c>
      <c r="H646" t="s">
        <v>38</v>
      </c>
      <c r="I646" t="s">
        <v>99</v>
      </c>
      <c r="J646" t="s">
        <v>100</v>
      </c>
      <c r="K646" t="s">
        <v>41</v>
      </c>
      <c r="L646" t="s">
        <v>66</v>
      </c>
      <c r="M646" t="s">
        <v>2023</v>
      </c>
      <c r="N646" t="s">
        <v>59</v>
      </c>
      <c r="O646">
        <v>4</v>
      </c>
      <c r="P646">
        <v>3750.02</v>
      </c>
      <c r="Q646" s="11">
        <v>0.05</v>
      </c>
      <c r="R646">
        <v>14250.08</v>
      </c>
      <c r="S646">
        <v>10914.92</v>
      </c>
      <c r="T646">
        <v>3335.16</v>
      </c>
      <c r="U646" t="s">
        <v>32</v>
      </c>
      <c r="V646" t="s">
        <v>33</v>
      </c>
      <c r="X646" s="8" t="str">
        <f>IF(C646&gt;=B646,"Valid", "Invalid-Date")</f>
        <v>Valid</v>
      </c>
      <c r="Y646" s="8" t="str">
        <f t="shared" si="171"/>
        <v>Valid</v>
      </c>
      <c r="Z646" s="8" t="str">
        <f t="shared" si="172"/>
        <v>Pass</v>
      </c>
      <c r="AA646" s="8" t="str">
        <f t="shared" si="173"/>
        <v>Pass</v>
      </c>
      <c r="AB646" s="8" t="str">
        <f>TEXT(B646,"mmmm")</f>
        <v>April</v>
      </c>
      <c r="AC646" s="8" t="str">
        <f>TEXT(B646,"yyyy")</f>
        <v>2025</v>
      </c>
      <c r="AE646">
        <f t="shared" si="174"/>
        <v>15000.08</v>
      </c>
      <c r="AF646" s="11">
        <f t="shared" si="175"/>
        <v>14250.075999999999</v>
      </c>
      <c r="AG646">
        <f t="shared" si="176"/>
        <v>4085.16</v>
      </c>
      <c r="AH646" s="11">
        <f t="shared" si="177"/>
        <v>0.27234254750641329</v>
      </c>
      <c r="AI646" s="9">
        <f t="shared" si="178"/>
        <v>0.27234254750641329</v>
      </c>
      <c r="AJ646">
        <f t="shared" si="179"/>
        <v>14250.08</v>
      </c>
      <c r="AK646">
        <f t="shared" si="180"/>
        <v>1</v>
      </c>
      <c r="AL646">
        <f t="shared" si="181"/>
        <v>0</v>
      </c>
      <c r="AM646">
        <f t="shared" si="182"/>
        <v>0</v>
      </c>
      <c r="AN646">
        <f t="shared" si="183"/>
        <v>0</v>
      </c>
      <c r="AO646">
        <f t="shared" si="184"/>
        <v>0</v>
      </c>
      <c r="AP646">
        <f t="shared" si="185"/>
        <v>0</v>
      </c>
      <c r="AQ646">
        <f t="shared" si="186"/>
        <v>0</v>
      </c>
    </row>
    <row r="647" spans="1:43">
      <c r="A647" t="s">
        <v>2024</v>
      </c>
      <c r="B647" s="5">
        <v>45295</v>
      </c>
      <c r="C647" s="5">
        <v>45300</v>
      </c>
      <c r="D647" s="13">
        <f t="shared" si="170"/>
        <v>5</v>
      </c>
      <c r="E647" t="s">
        <v>2025</v>
      </c>
      <c r="F647" t="s">
        <v>264</v>
      </c>
      <c r="G647" t="s">
        <v>24</v>
      </c>
      <c r="H647" t="s">
        <v>38</v>
      </c>
      <c r="I647" t="s">
        <v>145</v>
      </c>
      <c r="J647" t="s">
        <v>146</v>
      </c>
      <c r="K647" t="s">
        <v>41</v>
      </c>
      <c r="L647" t="s">
        <v>66</v>
      </c>
      <c r="M647" t="s">
        <v>2026</v>
      </c>
      <c r="N647" t="s">
        <v>31</v>
      </c>
      <c r="O647">
        <v>6</v>
      </c>
      <c r="P647">
        <v>2423.61</v>
      </c>
      <c r="Q647" s="11">
        <v>0.1</v>
      </c>
      <c r="R647">
        <v>13087.49</v>
      </c>
      <c r="S647">
        <v>7608.89</v>
      </c>
      <c r="T647">
        <v>5133.22</v>
      </c>
      <c r="U647" t="s">
        <v>32</v>
      </c>
      <c r="V647" t="s">
        <v>33</v>
      </c>
      <c r="X647" s="8" t="str">
        <f>IF(C647&gt;=B647,"Valid", "Invalid-Date")</f>
        <v>Valid</v>
      </c>
      <c r="Y647" s="8" t="str">
        <f t="shared" si="171"/>
        <v>Valid</v>
      </c>
      <c r="Z647" s="8" t="str">
        <f t="shared" si="172"/>
        <v>Pass</v>
      </c>
      <c r="AA647" s="8" t="str">
        <f t="shared" si="173"/>
        <v>Pass</v>
      </c>
      <c r="AB647" s="8" t="str">
        <f>TEXT(B647,"mmmm")</f>
        <v>January</v>
      </c>
      <c r="AC647" s="8" t="str">
        <f>TEXT(B647,"yyyy")</f>
        <v>2024</v>
      </c>
      <c r="AE647">
        <f t="shared" si="174"/>
        <v>14541.66</v>
      </c>
      <c r="AF647" s="11">
        <f t="shared" si="175"/>
        <v>13087.494000000001</v>
      </c>
      <c r="AG647">
        <f t="shared" si="176"/>
        <v>6932.7699999999995</v>
      </c>
      <c r="AH647" s="11">
        <f t="shared" si="177"/>
        <v>0.47675231025893877</v>
      </c>
      <c r="AI647" s="9">
        <f t="shared" si="178"/>
        <v>0.47675231025893877</v>
      </c>
      <c r="AJ647">
        <f t="shared" si="179"/>
        <v>13087.49</v>
      </c>
      <c r="AK647">
        <f t="shared" si="180"/>
        <v>1</v>
      </c>
      <c r="AL647">
        <f t="shared" si="181"/>
        <v>0</v>
      </c>
      <c r="AM647">
        <f t="shared" si="182"/>
        <v>0</v>
      </c>
      <c r="AN647">
        <f t="shared" si="183"/>
        <v>0</v>
      </c>
      <c r="AO647">
        <f t="shared" si="184"/>
        <v>0</v>
      </c>
      <c r="AP647">
        <f t="shared" si="185"/>
        <v>0</v>
      </c>
      <c r="AQ647">
        <f t="shared" si="186"/>
        <v>0</v>
      </c>
    </row>
    <row r="648" spans="1:43">
      <c r="A648" t="s">
        <v>2027</v>
      </c>
      <c r="B648" s="5">
        <v>45553</v>
      </c>
      <c r="C648" s="5">
        <v>45559</v>
      </c>
      <c r="D648" s="13">
        <f t="shared" si="170"/>
        <v>6</v>
      </c>
      <c r="E648" t="s">
        <v>2028</v>
      </c>
      <c r="F648" t="s">
        <v>71</v>
      </c>
      <c r="G648" t="s">
        <v>37</v>
      </c>
      <c r="H648" t="s">
        <v>38</v>
      </c>
      <c r="I648" t="s">
        <v>228</v>
      </c>
      <c r="J648" t="s">
        <v>229</v>
      </c>
      <c r="K648" t="s">
        <v>74</v>
      </c>
      <c r="L648" t="s">
        <v>274</v>
      </c>
      <c r="M648" t="s">
        <v>2029</v>
      </c>
      <c r="N648" t="s">
        <v>50</v>
      </c>
      <c r="O648">
        <v>3</v>
      </c>
      <c r="P648">
        <v>729.14</v>
      </c>
      <c r="Q648" s="11">
        <v>0.25</v>
      </c>
      <c r="R648">
        <v>1640.57</v>
      </c>
      <c r="S648">
        <v>1136.98</v>
      </c>
      <c r="T648">
        <v>503.59</v>
      </c>
      <c r="U648" t="s">
        <v>32</v>
      </c>
      <c r="V648" t="s">
        <v>33</v>
      </c>
      <c r="X648" s="8" t="str">
        <f>IF(C648&gt;=B648,"Valid", "Invalid-Date")</f>
        <v>Valid</v>
      </c>
      <c r="Y648" s="8" t="str">
        <f t="shared" si="171"/>
        <v>Valid</v>
      </c>
      <c r="Z648" s="8" t="str">
        <f t="shared" si="172"/>
        <v>Pass</v>
      </c>
      <c r="AA648" s="8" t="str">
        <f t="shared" si="173"/>
        <v>Pass</v>
      </c>
      <c r="AB648" s="8" t="str">
        <f>TEXT(B648,"mmmm")</f>
        <v>September</v>
      </c>
      <c r="AC648" s="8" t="str">
        <f>TEXT(B648,"yyyy")</f>
        <v>2024</v>
      </c>
      <c r="AE648">
        <f t="shared" si="174"/>
        <v>2187.42</v>
      </c>
      <c r="AF648" s="11">
        <f t="shared" si="175"/>
        <v>1640.5650000000001</v>
      </c>
      <c r="AG648">
        <f t="shared" si="176"/>
        <v>1050.44</v>
      </c>
      <c r="AH648" s="11">
        <f t="shared" si="177"/>
        <v>0.48021870514121662</v>
      </c>
      <c r="AI648" s="9">
        <f t="shared" si="178"/>
        <v>0.48021870514121662</v>
      </c>
      <c r="AJ648">
        <f t="shared" si="179"/>
        <v>1640.57</v>
      </c>
      <c r="AK648">
        <f t="shared" si="180"/>
        <v>1</v>
      </c>
      <c r="AL648">
        <f t="shared" si="181"/>
        <v>0</v>
      </c>
      <c r="AM648">
        <f t="shared" si="182"/>
        <v>0</v>
      </c>
      <c r="AN648">
        <f t="shared" si="183"/>
        <v>0</v>
      </c>
      <c r="AO648">
        <f t="shared" si="184"/>
        <v>0</v>
      </c>
      <c r="AP648">
        <f t="shared" si="185"/>
        <v>0</v>
      </c>
      <c r="AQ648">
        <f t="shared" si="186"/>
        <v>0</v>
      </c>
    </row>
    <row r="649" spans="1:43">
      <c r="A649" t="s">
        <v>2030</v>
      </c>
      <c r="B649" s="5">
        <v>45658</v>
      </c>
      <c r="C649" s="5">
        <v>45666</v>
      </c>
      <c r="D649" s="13">
        <f t="shared" si="170"/>
        <v>8</v>
      </c>
      <c r="E649" t="s">
        <v>2031</v>
      </c>
      <c r="F649" t="s">
        <v>141</v>
      </c>
      <c r="G649" t="s">
        <v>37</v>
      </c>
      <c r="H649" t="s">
        <v>25</v>
      </c>
      <c r="I649" t="s">
        <v>122</v>
      </c>
      <c r="J649" t="s">
        <v>123</v>
      </c>
      <c r="K649" t="s">
        <v>28</v>
      </c>
      <c r="L649" t="s">
        <v>48</v>
      </c>
      <c r="M649" t="s">
        <v>2032</v>
      </c>
      <c r="N649" t="s">
        <v>50</v>
      </c>
      <c r="O649">
        <v>8</v>
      </c>
      <c r="P649">
        <v>2123.81</v>
      </c>
      <c r="Q649" s="11">
        <v>0.15</v>
      </c>
      <c r="R649">
        <v>14441.91</v>
      </c>
      <c r="S649">
        <v>10872.89</v>
      </c>
      <c r="T649">
        <v>3569.02</v>
      </c>
      <c r="U649" t="s">
        <v>32</v>
      </c>
      <c r="V649" t="s">
        <v>33</v>
      </c>
      <c r="X649" s="8" t="str">
        <f>IF(C649&gt;=B649,"Valid", "Invalid-Date")</f>
        <v>Valid</v>
      </c>
      <c r="Y649" s="8" t="str">
        <f t="shared" si="171"/>
        <v>Valid</v>
      </c>
      <c r="Z649" s="8" t="str">
        <f t="shared" si="172"/>
        <v>Pass</v>
      </c>
      <c r="AA649" s="8" t="str">
        <f t="shared" si="173"/>
        <v>Pass</v>
      </c>
      <c r="AB649" s="8" t="str">
        <f>TEXT(B649,"mmmm")</f>
        <v>January</v>
      </c>
      <c r="AC649" s="8" t="str">
        <f>TEXT(B649,"yyyy")</f>
        <v>2025</v>
      </c>
      <c r="AE649">
        <f t="shared" si="174"/>
        <v>16990.48</v>
      </c>
      <c r="AF649" s="11">
        <f t="shared" si="175"/>
        <v>14441.907999999999</v>
      </c>
      <c r="AG649">
        <f t="shared" si="176"/>
        <v>6117.59</v>
      </c>
      <c r="AH649" s="11">
        <f t="shared" si="177"/>
        <v>0.36005986882065721</v>
      </c>
      <c r="AI649" s="9">
        <f t="shared" si="178"/>
        <v>0.36005986882065721</v>
      </c>
      <c r="AJ649">
        <f t="shared" si="179"/>
        <v>14441.91</v>
      </c>
      <c r="AK649">
        <f t="shared" si="180"/>
        <v>1</v>
      </c>
      <c r="AL649">
        <f t="shared" si="181"/>
        <v>0</v>
      </c>
      <c r="AM649">
        <f t="shared" si="182"/>
        <v>0</v>
      </c>
      <c r="AN649">
        <f t="shared" si="183"/>
        <v>0</v>
      </c>
      <c r="AO649">
        <f t="shared" si="184"/>
        <v>0</v>
      </c>
      <c r="AP649">
        <f t="shared" si="185"/>
        <v>0</v>
      </c>
      <c r="AQ649">
        <f t="shared" si="186"/>
        <v>0</v>
      </c>
    </row>
    <row r="650" spans="1:43">
      <c r="A650" t="s">
        <v>2033</v>
      </c>
      <c r="B650" s="5">
        <v>45403</v>
      </c>
      <c r="C650" s="5">
        <v>45406</v>
      </c>
      <c r="D650" s="13">
        <f t="shared" si="170"/>
        <v>3</v>
      </c>
      <c r="E650" t="s">
        <v>2034</v>
      </c>
      <c r="F650" t="s">
        <v>79</v>
      </c>
      <c r="G650" t="s">
        <v>37</v>
      </c>
      <c r="H650" t="s">
        <v>54</v>
      </c>
      <c r="I650" t="s">
        <v>84</v>
      </c>
      <c r="J650" t="s">
        <v>85</v>
      </c>
      <c r="K650" t="s">
        <v>28</v>
      </c>
      <c r="L650" t="s">
        <v>48</v>
      </c>
      <c r="M650" t="s">
        <v>2035</v>
      </c>
      <c r="N650" t="s">
        <v>44</v>
      </c>
      <c r="O650">
        <v>9</v>
      </c>
      <c r="P650">
        <v>703.59</v>
      </c>
      <c r="Q650" s="11">
        <v>0.2</v>
      </c>
      <c r="R650">
        <v>5065.8500000000004</v>
      </c>
      <c r="S650">
        <v>3517.23</v>
      </c>
      <c r="T650">
        <v>1548.62</v>
      </c>
      <c r="U650" t="s">
        <v>155</v>
      </c>
      <c r="V650" t="s">
        <v>103</v>
      </c>
      <c r="X650" s="8" t="str">
        <f>IF(C650&gt;=B650,"Valid", "Invalid-Date")</f>
        <v>Valid</v>
      </c>
      <c r="Y650" s="8" t="str">
        <f t="shared" si="171"/>
        <v>Valid</v>
      </c>
      <c r="Z650" s="8" t="str">
        <f t="shared" si="172"/>
        <v>Pass</v>
      </c>
      <c r="AA650" s="8" t="str">
        <f t="shared" si="173"/>
        <v>Pass</v>
      </c>
      <c r="AB650" s="8" t="str">
        <f>TEXT(B650,"mmmm")</f>
        <v>April</v>
      </c>
      <c r="AC650" s="8" t="str">
        <f>TEXT(B650,"yyyy")</f>
        <v>2024</v>
      </c>
      <c r="AE650">
        <f t="shared" si="174"/>
        <v>6332.31</v>
      </c>
      <c r="AF650" s="11">
        <f t="shared" si="175"/>
        <v>5065.8480000000009</v>
      </c>
      <c r="AG650">
        <f t="shared" si="176"/>
        <v>2815.0800000000004</v>
      </c>
      <c r="AH650" s="11">
        <f t="shared" si="177"/>
        <v>0.44455814702691437</v>
      </c>
      <c r="AI650" s="9">
        <f t="shared" si="178"/>
        <v>0.44455814702691437</v>
      </c>
      <c r="AJ650">
        <f t="shared" si="179"/>
        <v>0</v>
      </c>
      <c r="AK650">
        <f t="shared" si="180"/>
        <v>0</v>
      </c>
      <c r="AL650">
        <f t="shared" si="181"/>
        <v>0</v>
      </c>
      <c r="AM650">
        <f t="shared" si="182"/>
        <v>0</v>
      </c>
      <c r="AN650">
        <f t="shared" si="183"/>
        <v>5065.8500000000004</v>
      </c>
      <c r="AO650">
        <f t="shared" si="184"/>
        <v>1</v>
      </c>
      <c r="AP650">
        <f t="shared" si="185"/>
        <v>5065.8500000000004</v>
      </c>
      <c r="AQ650">
        <f t="shared" si="186"/>
        <v>1</v>
      </c>
    </row>
    <row r="651" spans="1:43">
      <c r="A651" t="s">
        <v>2036</v>
      </c>
      <c r="B651" s="5">
        <v>45880</v>
      </c>
      <c r="C651" s="5">
        <v>45888</v>
      </c>
      <c r="D651" s="13">
        <f t="shared" si="170"/>
        <v>8</v>
      </c>
      <c r="E651" t="s">
        <v>2037</v>
      </c>
      <c r="F651" t="s">
        <v>264</v>
      </c>
      <c r="G651" t="s">
        <v>37</v>
      </c>
      <c r="H651" t="s">
        <v>54</v>
      </c>
      <c r="I651" t="s">
        <v>185</v>
      </c>
      <c r="J651" t="s">
        <v>186</v>
      </c>
      <c r="K651" t="s">
        <v>74</v>
      </c>
      <c r="L651" t="s">
        <v>75</v>
      </c>
      <c r="M651" t="s">
        <v>2038</v>
      </c>
      <c r="N651" t="s">
        <v>59</v>
      </c>
      <c r="O651">
        <v>4</v>
      </c>
      <c r="P651">
        <v>2258.96</v>
      </c>
      <c r="Q651" s="11">
        <v>0.25</v>
      </c>
      <c r="R651">
        <v>6776.88</v>
      </c>
      <c r="S651">
        <v>3836.24</v>
      </c>
      <c r="T651">
        <v>2940.64</v>
      </c>
      <c r="U651" t="s">
        <v>32</v>
      </c>
      <c r="V651" t="s">
        <v>33</v>
      </c>
      <c r="X651" s="8" t="str">
        <f>IF(C651&gt;=B651,"Valid", "Invalid-Date")</f>
        <v>Valid</v>
      </c>
      <c r="Y651" s="8" t="str">
        <f t="shared" si="171"/>
        <v>Valid</v>
      </c>
      <c r="Z651" s="8" t="str">
        <f t="shared" si="172"/>
        <v>Pass</v>
      </c>
      <c r="AA651" s="8" t="str">
        <f t="shared" si="173"/>
        <v>Pass</v>
      </c>
      <c r="AB651" s="8" t="str">
        <f>TEXT(B651,"mmmm")</f>
        <v>August</v>
      </c>
      <c r="AC651" s="8" t="str">
        <f>TEXT(B651,"yyyy")</f>
        <v>2025</v>
      </c>
      <c r="AE651">
        <f t="shared" si="174"/>
        <v>9035.84</v>
      </c>
      <c r="AF651" s="11">
        <f t="shared" si="175"/>
        <v>6776.88</v>
      </c>
      <c r="AG651">
        <f t="shared" si="176"/>
        <v>5199.6000000000004</v>
      </c>
      <c r="AH651" s="11">
        <f t="shared" si="177"/>
        <v>0.5754417962248114</v>
      </c>
      <c r="AI651" s="9">
        <f t="shared" si="178"/>
        <v>0.5754417962248114</v>
      </c>
      <c r="AJ651">
        <f t="shared" si="179"/>
        <v>6776.88</v>
      </c>
      <c r="AK651">
        <f t="shared" si="180"/>
        <v>1</v>
      </c>
      <c r="AL651">
        <f t="shared" si="181"/>
        <v>0</v>
      </c>
      <c r="AM651">
        <f t="shared" si="182"/>
        <v>0</v>
      </c>
      <c r="AN651">
        <f t="shared" si="183"/>
        <v>0</v>
      </c>
      <c r="AO651">
        <f t="shared" si="184"/>
        <v>0</v>
      </c>
      <c r="AP651">
        <f t="shared" si="185"/>
        <v>0</v>
      </c>
      <c r="AQ651">
        <f t="shared" si="186"/>
        <v>0</v>
      </c>
    </row>
    <row r="652" spans="1:43">
      <c r="A652" t="s">
        <v>2039</v>
      </c>
      <c r="B652" s="5">
        <v>45395</v>
      </c>
      <c r="C652" s="5">
        <v>45403</v>
      </c>
      <c r="D652" s="13">
        <f t="shared" si="170"/>
        <v>8</v>
      </c>
      <c r="E652" t="s">
        <v>378</v>
      </c>
      <c r="F652" t="s">
        <v>128</v>
      </c>
      <c r="G652" t="s">
        <v>95</v>
      </c>
      <c r="H652" t="s">
        <v>38</v>
      </c>
      <c r="I652" t="s">
        <v>145</v>
      </c>
      <c r="J652" t="s">
        <v>146</v>
      </c>
      <c r="K652" t="s">
        <v>74</v>
      </c>
      <c r="L652" t="s">
        <v>75</v>
      </c>
      <c r="M652" t="s">
        <v>2040</v>
      </c>
      <c r="N652" t="s">
        <v>44</v>
      </c>
      <c r="O652">
        <v>7</v>
      </c>
      <c r="P652">
        <v>2648.76</v>
      </c>
      <c r="Q652" s="11">
        <v>0.15</v>
      </c>
      <c r="R652">
        <v>15760.12</v>
      </c>
      <c r="S652">
        <v>9931.5300000000007</v>
      </c>
      <c r="T652">
        <v>5828.59</v>
      </c>
      <c r="U652" t="s">
        <v>155</v>
      </c>
      <c r="V652" t="s">
        <v>103</v>
      </c>
      <c r="X652" s="8" t="str">
        <f>IF(C652&gt;=B652,"Valid", "Invalid-Date")</f>
        <v>Valid</v>
      </c>
      <c r="Y652" s="8" t="str">
        <f t="shared" si="171"/>
        <v>Valid</v>
      </c>
      <c r="Z652" s="8" t="str">
        <f t="shared" si="172"/>
        <v>Pass</v>
      </c>
      <c r="AA652" s="8" t="str">
        <f t="shared" si="173"/>
        <v>Pass</v>
      </c>
      <c r="AB652" s="8" t="str">
        <f>TEXT(B652,"mmmm")</f>
        <v>April</v>
      </c>
      <c r="AC652" s="8" t="str">
        <f>TEXT(B652,"yyyy")</f>
        <v>2024</v>
      </c>
      <c r="AE652">
        <f t="shared" si="174"/>
        <v>18541.32</v>
      </c>
      <c r="AF652" s="11">
        <f t="shared" si="175"/>
        <v>15760.121999999999</v>
      </c>
      <c r="AG652">
        <f t="shared" si="176"/>
        <v>8609.7899999999991</v>
      </c>
      <c r="AH652" s="11">
        <f t="shared" si="177"/>
        <v>0.46435690662800705</v>
      </c>
      <c r="AI652" s="9">
        <f t="shared" si="178"/>
        <v>0.46435690662800705</v>
      </c>
      <c r="AJ652">
        <f t="shared" si="179"/>
        <v>0</v>
      </c>
      <c r="AK652">
        <f t="shared" si="180"/>
        <v>0</v>
      </c>
      <c r="AL652">
        <f t="shared" si="181"/>
        <v>0</v>
      </c>
      <c r="AM652">
        <f t="shared" si="182"/>
        <v>0</v>
      </c>
      <c r="AN652">
        <f t="shared" si="183"/>
        <v>15760.12</v>
      </c>
      <c r="AO652">
        <f t="shared" si="184"/>
        <v>1</v>
      </c>
      <c r="AP652">
        <f t="shared" si="185"/>
        <v>15760.12</v>
      </c>
      <c r="AQ652">
        <f t="shared" si="186"/>
        <v>1</v>
      </c>
    </row>
    <row r="653" spans="1:43">
      <c r="A653" t="s">
        <v>2041</v>
      </c>
      <c r="B653" s="5">
        <v>45875</v>
      </c>
      <c r="C653" s="5">
        <v>45878</v>
      </c>
      <c r="D653" s="13">
        <f t="shared" si="170"/>
        <v>3</v>
      </c>
      <c r="E653" t="s">
        <v>2042</v>
      </c>
      <c r="F653" t="s">
        <v>36</v>
      </c>
      <c r="G653" t="s">
        <v>37</v>
      </c>
      <c r="H653" t="s">
        <v>54</v>
      </c>
      <c r="I653" t="s">
        <v>84</v>
      </c>
      <c r="J653" t="s">
        <v>85</v>
      </c>
      <c r="K653" t="s">
        <v>28</v>
      </c>
      <c r="L653" t="s">
        <v>29</v>
      </c>
      <c r="M653" t="s">
        <v>2043</v>
      </c>
      <c r="N653" t="s">
        <v>31</v>
      </c>
      <c r="O653">
        <v>3</v>
      </c>
      <c r="P653">
        <v>598.54999999999995</v>
      </c>
      <c r="Q653" s="11">
        <v>0</v>
      </c>
      <c r="R653">
        <v>1795.65</v>
      </c>
      <c r="S653">
        <v>996.72</v>
      </c>
      <c r="T653">
        <v>798.93</v>
      </c>
      <c r="U653" t="s">
        <v>32</v>
      </c>
      <c r="V653" t="s">
        <v>33</v>
      </c>
      <c r="X653" s="8" t="str">
        <f>IF(C653&gt;=B653,"Valid", "Invalid-Date")</f>
        <v>Valid</v>
      </c>
      <c r="Y653" s="8" t="str">
        <f t="shared" si="171"/>
        <v>Valid</v>
      </c>
      <c r="Z653" s="8" t="str">
        <f t="shared" si="172"/>
        <v>Pass</v>
      </c>
      <c r="AA653" s="8" t="str">
        <f t="shared" si="173"/>
        <v>Pass</v>
      </c>
      <c r="AB653" s="8" t="str">
        <f>TEXT(B653,"mmmm")</f>
        <v>August</v>
      </c>
      <c r="AC653" s="8" t="str">
        <f>TEXT(B653,"yyyy")</f>
        <v>2025</v>
      </c>
      <c r="AE653">
        <f t="shared" si="174"/>
        <v>1795.6499999999999</v>
      </c>
      <c r="AF653" s="11">
        <f t="shared" si="175"/>
        <v>1795.6499999999999</v>
      </c>
      <c r="AG653">
        <f t="shared" si="176"/>
        <v>798.92999999999984</v>
      </c>
      <c r="AH653" s="11">
        <f t="shared" si="177"/>
        <v>0.44492523598696843</v>
      </c>
      <c r="AI653" s="9">
        <f t="shared" si="178"/>
        <v>0.44492523598696843</v>
      </c>
      <c r="AJ653">
        <f t="shared" si="179"/>
        <v>1795.65</v>
      </c>
      <c r="AK653">
        <f t="shared" si="180"/>
        <v>1</v>
      </c>
      <c r="AL653">
        <f t="shared" si="181"/>
        <v>0</v>
      </c>
      <c r="AM653">
        <f t="shared" si="182"/>
        <v>0</v>
      </c>
      <c r="AN653">
        <f t="shared" si="183"/>
        <v>0</v>
      </c>
      <c r="AO653">
        <f t="shared" si="184"/>
        <v>0</v>
      </c>
      <c r="AP653">
        <f t="shared" si="185"/>
        <v>0</v>
      </c>
      <c r="AQ653">
        <f t="shared" si="186"/>
        <v>0</v>
      </c>
    </row>
    <row r="654" spans="1:43">
      <c r="A654" t="s">
        <v>2044</v>
      </c>
      <c r="B654" s="5">
        <v>45733</v>
      </c>
      <c r="C654" s="5">
        <v>45737</v>
      </c>
      <c r="D654" s="13">
        <f t="shared" si="170"/>
        <v>4</v>
      </c>
      <c r="E654" t="s">
        <v>1687</v>
      </c>
      <c r="F654" t="s">
        <v>132</v>
      </c>
      <c r="G654" t="s">
        <v>24</v>
      </c>
      <c r="H654" t="s">
        <v>25</v>
      </c>
      <c r="I654" t="s">
        <v>136</v>
      </c>
      <c r="J654" t="s">
        <v>137</v>
      </c>
      <c r="K654" t="s">
        <v>28</v>
      </c>
      <c r="L654" t="s">
        <v>153</v>
      </c>
      <c r="M654" t="s">
        <v>2045</v>
      </c>
      <c r="N654" t="s">
        <v>59</v>
      </c>
      <c r="O654">
        <v>5</v>
      </c>
      <c r="P654">
        <v>4320.59</v>
      </c>
      <c r="Q654" s="11">
        <v>0.15</v>
      </c>
      <c r="R654">
        <v>18362.509999999998</v>
      </c>
      <c r="S654">
        <v>11133.97</v>
      </c>
      <c r="T654">
        <v>7228.54</v>
      </c>
      <c r="U654" t="s">
        <v>32</v>
      </c>
      <c r="V654" t="s">
        <v>33</v>
      </c>
      <c r="X654" s="8" t="str">
        <f>IF(C654&gt;=B654,"Valid", "Invalid-Date")</f>
        <v>Valid</v>
      </c>
      <c r="Y654" s="8" t="str">
        <f t="shared" si="171"/>
        <v>Valid</v>
      </c>
      <c r="Z654" s="8" t="str">
        <f t="shared" si="172"/>
        <v>Pass</v>
      </c>
      <c r="AA654" s="8" t="str">
        <f t="shared" si="173"/>
        <v>Pass</v>
      </c>
      <c r="AB654" s="8" t="str">
        <f>TEXT(B654,"mmmm")</f>
        <v>March</v>
      </c>
      <c r="AC654" s="8" t="str">
        <f>TEXT(B654,"yyyy")</f>
        <v>2025</v>
      </c>
      <c r="AE654">
        <f t="shared" si="174"/>
        <v>21602.95</v>
      </c>
      <c r="AF654" s="11">
        <f t="shared" si="175"/>
        <v>18362.5075</v>
      </c>
      <c r="AG654">
        <f t="shared" si="176"/>
        <v>10468.980000000001</v>
      </c>
      <c r="AH654" s="11">
        <f t="shared" si="177"/>
        <v>0.48460881499980329</v>
      </c>
      <c r="AI654" s="9">
        <f t="shared" si="178"/>
        <v>0.48460881499980329</v>
      </c>
      <c r="AJ654">
        <f t="shared" si="179"/>
        <v>18362.509999999998</v>
      </c>
      <c r="AK654">
        <f t="shared" si="180"/>
        <v>1</v>
      </c>
      <c r="AL654">
        <f t="shared" si="181"/>
        <v>0</v>
      </c>
      <c r="AM654">
        <f t="shared" si="182"/>
        <v>0</v>
      </c>
      <c r="AN654">
        <f t="shared" si="183"/>
        <v>0</v>
      </c>
      <c r="AO654">
        <f t="shared" si="184"/>
        <v>0</v>
      </c>
      <c r="AP654">
        <f t="shared" si="185"/>
        <v>0</v>
      </c>
      <c r="AQ654">
        <f t="shared" si="186"/>
        <v>0</v>
      </c>
    </row>
    <row r="655" spans="1:43">
      <c r="A655" t="s">
        <v>2046</v>
      </c>
      <c r="B655" s="5">
        <v>45751</v>
      </c>
      <c r="C655" s="5">
        <v>45842</v>
      </c>
      <c r="D655" s="13">
        <f t="shared" si="170"/>
        <v>91</v>
      </c>
      <c r="E655" t="s">
        <v>2047</v>
      </c>
      <c r="F655" t="s">
        <v>114</v>
      </c>
      <c r="G655" t="s">
        <v>37</v>
      </c>
      <c r="H655" t="s">
        <v>54</v>
      </c>
      <c r="I655" t="s">
        <v>247</v>
      </c>
      <c r="J655" t="s">
        <v>248</v>
      </c>
      <c r="K655" t="s">
        <v>74</v>
      </c>
      <c r="L655" t="s">
        <v>80</v>
      </c>
      <c r="M655" t="s">
        <v>2048</v>
      </c>
      <c r="N655" t="s">
        <v>31</v>
      </c>
      <c r="O655">
        <v>7</v>
      </c>
      <c r="P655">
        <v>4457.93</v>
      </c>
      <c r="Q655" s="11">
        <v>0.15</v>
      </c>
      <c r="R655">
        <v>26524.68</v>
      </c>
      <c r="S655">
        <v>20574.3</v>
      </c>
      <c r="T655">
        <v>5950.38</v>
      </c>
      <c r="U655" t="s">
        <v>32</v>
      </c>
      <c r="V655" t="s">
        <v>33</v>
      </c>
      <c r="X655" s="8" t="str">
        <f>IF(C655&gt;=B655,"Valid", "Invalid-Date")</f>
        <v>Valid</v>
      </c>
      <c r="Y655" s="8" t="str">
        <f t="shared" si="171"/>
        <v>Valid</v>
      </c>
      <c r="Z655" s="8" t="str">
        <f t="shared" si="172"/>
        <v>Pass</v>
      </c>
      <c r="AA655" s="8" t="str">
        <f t="shared" si="173"/>
        <v>Pass</v>
      </c>
      <c r="AB655" s="8" t="str">
        <f>TEXT(B655,"mmmm")</f>
        <v>April</v>
      </c>
      <c r="AC655" s="8" t="str">
        <f>TEXT(B655,"yyyy")</f>
        <v>2025</v>
      </c>
      <c r="AE655">
        <f t="shared" si="174"/>
        <v>31205.510000000002</v>
      </c>
      <c r="AF655" s="11">
        <f t="shared" si="175"/>
        <v>26524.683500000003</v>
      </c>
      <c r="AG655">
        <f t="shared" si="176"/>
        <v>10631.210000000003</v>
      </c>
      <c r="AH655" s="11">
        <f t="shared" si="177"/>
        <v>0.34068374463355999</v>
      </c>
      <c r="AI655" s="9">
        <f t="shared" si="178"/>
        <v>0.34068374463355999</v>
      </c>
      <c r="AJ655">
        <f t="shared" si="179"/>
        <v>26524.68</v>
      </c>
      <c r="AK655">
        <f t="shared" si="180"/>
        <v>1</v>
      </c>
      <c r="AL655">
        <f t="shared" si="181"/>
        <v>0</v>
      </c>
      <c r="AM655">
        <f t="shared" si="182"/>
        <v>0</v>
      </c>
      <c r="AN655">
        <f t="shared" si="183"/>
        <v>0</v>
      </c>
      <c r="AO655">
        <f t="shared" si="184"/>
        <v>0</v>
      </c>
      <c r="AP655">
        <f t="shared" si="185"/>
        <v>0</v>
      </c>
      <c r="AQ655">
        <f t="shared" si="186"/>
        <v>0</v>
      </c>
    </row>
    <row r="656" spans="1:43">
      <c r="A656" t="s">
        <v>2049</v>
      </c>
      <c r="B656" s="5">
        <v>46001</v>
      </c>
      <c r="C656" s="5">
        <v>45946</v>
      </c>
      <c r="D656" s="13">
        <f t="shared" si="170"/>
        <v>-55</v>
      </c>
      <c r="E656" t="s">
        <v>926</v>
      </c>
      <c r="F656" t="s">
        <v>162</v>
      </c>
      <c r="G656" t="s">
        <v>90</v>
      </c>
      <c r="H656" t="s">
        <v>38</v>
      </c>
      <c r="I656" t="s">
        <v>145</v>
      </c>
      <c r="J656" t="s">
        <v>146</v>
      </c>
      <c r="K656" t="s">
        <v>74</v>
      </c>
      <c r="L656" t="s">
        <v>274</v>
      </c>
      <c r="M656" t="s">
        <v>2050</v>
      </c>
      <c r="N656" t="s">
        <v>44</v>
      </c>
      <c r="O656">
        <v>1</v>
      </c>
      <c r="P656">
        <v>2570.06</v>
      </c>
      <c r="Q656" s="11">
        <v>0.2</v>
      </c>
      <c r="R656">
        <v>2056.0500000000002</v>
      </c>
      <c r="S656">
        <v>1662.39</v>
      </c>
      <c r="T656">
        <v>393.66</v>
      </c>
      <c r="U656" t="s">
        <v>32</v>
      </c>
      <c r="V656" t="s">
        <v>33</v>
      </c>
      <c r="X656" s="8" t="str">
        <f>IF(C656&gt;=B656,"Valid", "Invalid-Date")</f>
        <v>Invalid-Date</v>
      </c>
      <c r="Y656" s="8" t="str">
        <f t="shared" si="171"/>
        <v>Valid</v>
      </c>
      <c r="Z656" s="8" t="str">
        <f t="shared" si="172"/>
        <v>Pass</v>
      </c>
      <c r="AA656" s="8" t="str">
        <f t="shared" si="173"/>
        <v>Pass</v>
      </c>
      <c r="AB656" s="8" t="str">
        <f>TEXT(B656,"mmmm")</f>
        <v>December</v>
      </c>
      <c r="AC656" s="8" t="str">
        <f>TEXT(B656,"yyyy")</f>
        <v>2025</v>
      </c>
      <c r="AE656">
        <f t="shared" si="174"/>
        <v>2570.06</v>
      </c>
      <c r="AF656" s="11">
        <f t="shared" si="175"/>
        <v>2056.0480000000002</v>
      </c>
      <c r="AG656">
        <f t="shared" si="176"/>
        <v>907.66999999999985</v>
      </c>
      <c r="AH656" s="11">
        <f t="shared" si="177"/>
        <v>0.3531707430954919</v>
      </c>
      <c r="AI656" s="9">
        <f t="shared" si="178"/>
        <v>0.3531707430954919</v>
      </c>
      <c r="AJ656">
        <f t="shared" si="179"/>
        <v>2056.0500000000002</v>
      </c>
      <c r="AK656">
        <f t="shared" si="180"/>
        <v>1</v>
      </c>
      <c r="AL656">
        <f t="shared" si="181"/>
        <v>0</v>
      </c>
      <c r="AM656">
        <f t="shared" si="182"/>
        <v>0</v>
      </c>
      <c r="AN656">
        <f t="shared" si="183"/>
        <v>0</v>
      </c>
      <c r="AO656">
        <f t="shared" si="184"/>
        <v>0</v>
      </c>
      <c r="AP656">
        <f t="shared" si="185"/>
        <v>0</v>
      </c>
      <c r="AQ656">
        <f t="shared" si="186"/>
        <v>0</v>
      </c>
    </row>
    <row r="657" spans="1:43">
      <c r="A657" t="s">
        <v>2051</v>
      </c>
      <c r="B657" s="5">
        <v>45895</v>
      </c>
      <c r="C657" s="5">
        <v>45895</v>
      </c>
      <c r="D657" s="13">
        <f t="shared" si="170"/>
        <v>0</v>
      </c>
      <c r="E657" t="s">
        <v>2052</v>
      </c>
      <c r="F657" t="s">
        <v>79</v>
      </c>
      <c r="G657" t="s">
        <v>95</v>
      </c>
      <c r="H657" t="s">
        <v>38</v>
      </c>
      <c r="I657" t="s">
        <v>99</v>
      </c>
      <c r="J657" t="s">
        <v>100</v>
      </c>
      <c r="K657" t="s">
        <v>41</v>
      </c>
      <c r="L657" t="s">
        <v>57</v>
      </c>
      <c r="M657" t="s">
        <v>2053</v>
      </c>
      <c r="N657" t="s">
        <v>59</v>
      </c>
      <c r="O657">
        <v>4</v>
      </c>
      <c r="P657">
        <v>2151.8200000000002</v>
      </c>
      <c r="Q657" s="11">
        <v>0</v>
      </c>
      <c r="R657">
        <v>8607.2800000000007</v>
      </c>
      <c r="S657">
        <v>5124.01</v>
      </c>
      <c r="T657">
        <v>3483.27</v>
      </c>
      <c r="U657" t="s">
        <v>32</v>
      </c>
      <c r="V657" t="s">
        <v>33</v>
      </c>
      <c r="X657" s="8" t="str">
        <f>IF(C657&gt;=B657,"Valid", "Invalid-Date")</f>
        <v>Valid</v>
      </c>
      <c r="Y657" s="8" t="str">
        <f t="shared" si="171"/>
        <v>Valid</v>
      </c>
      <c r="Z657" s="8" t="str">
        <f t="shared" si="172"/>
        <v>Pass</v>
      </c>
      <c r="AA657" s="8" t="str">
        <f t="shared" si="173"/>
        <v>Pass</v>
      </c>
      <c r="AB657" s="8" t="str">
        <f>TEXT(B657,"mmmm")</f>
        <v>August</v>
      </c>
      <c r="AC657" s="8" t="str">
        <f>TEXT(B657,"yyyy")</f>
        <v>2025</v>
      </c>
      <c r="AE657">
        <f t="shared" si="174"/>
        <v>8607.2800000000007</v>
      </c>
      <c r="AF657" s="11">
        <f t="shared" si="175"/>
        <v>8607.2800000000007</v>
      </c>
      <c r="AG657">
        <f t="shared" si="176"/>
        <v>3483.2700000000004</v>
      </c>
      <c r="AH657" s="11">
        <f t="shared" si="177"/>
        <v>0.40468882155570635</v>
      </c>
      <c r="AI657" s="9">
        <f t="shared" si="178"/>
        <v>0.40468882155570635</v>
      </c>
      <c r="AJ657">
        <f t="shared" si="179"/>
        <v>8607.2800000000007</v>
      </c>
      <c r="AK657">
        <f t="shared" si="180"/>
        <v>1</v>
      </c>
      <c r="AL657">
        <f t="shared" si="181"/>
        <v>0</v>
      </c>
      <c r="AM657">
        <f t="shared" si="182"/>
        <v>0</v>
      </c>
      <c r="AN657">
        <f t="shared" si="183"/>
        <v>0</v>
      </c>
      <c r="AO657">
        <f t="shared" si="184"/>
        <v>0</v>
      </c>
      <c r="AP657">
        <f t="shared" si="185"/>
        <v>0</v>
      </c>
      <c r="AQ657">
        <f t="shared" si="186"/>
        <v>0</v>
      </c>
    </row>
    <row r="658" spans="1:43">
      <c r="A658" t="s">
        <v>2054</v>
      </c>
      <c r="B658" s="5">
        <v>45419</v>
      </c>
      <c r="C658" s="5">
        <v>45426</v>
      </c>
      <c r="D658" s="13">
        <f t="shared" si="170"/>
        <v>7</v>
      </c>
      <c r="E658" t="s">
        <v>2055</v>
      </c>
      <c r="F658" t="s">
        <v>79</v>
      </c>
      <c r="G658" t="s">
        <v>37</v>
      </c>
      <c r="H658" t="s">
        <v>25</v>
      </c>
      <c r="I658" t="s">
        <v>236</v>
      </c>
      <c r="J658" t="s">
        <v>237</v>
      </c>
      <c r="K658" t="s">
        <v>74</v>
      </c>
      <c r="L658" t="s">
        <v>274</v>
      </c>
      <c r="M658" t="s">
        <v>2056</v>
      </c>
      <c r="N658" t="s">
        <v>44</v>
      </c>
      <c r="O658">
        <v>4</v>
      </c>
      <c r="P658">
        <v>2751.1</v>
      </c>
      <c r="Q658" s="11">
        <v>-0.05</v>
      </c>
      <c r="R658">
        <v>9903.9599999999991</v>
      </c>
      <c r="S658">
        <v>7696.28</v>
      </c>
      <c r="T658">
        <v>2207.6799999999998</v>
      </c>
      <c r="U658" t="s">
        <v>32</v>
      </c>
      <c r="V658" t="s">
        <v>33</v>
      </c>
      <c r="X658" s="8" t="str">
        <f>IF(C658&gt;=B658,"Valid", "Invalid-Date")</f>
        <v>Valid</v>
      </c>
      <c r="Y658" s="8" t="str">
        <f t="shared" si="171"/>
        <v>Invalid-Discount</v>
      </c>
      <c r="Z658" s="8" t="str">
        <f t="shared" si="172"/>
        <v>Pass</v>
      </c>
      <c r="AA658" s="8" t="str">
        <f t="shared" si="173"/>
        <v>Pass</v>
      </c>
      <c r="AB658" s="8" t="str">
        <f>TEXT(B658,"mmmm")</f>
        <v>May</v>
      </c>
      <c r="AC658" s="8" t="str">
        <f>TEXT(B658,"yyyy")</f>
        <v>2024</v>
      </c>
      <c r="AE658">
        <f t="shared" si="174"/>
        <v>11004.4</v>
      </c>
      <c r="AF658" s="11">
        <f t="shared" si="175"/>
        <v>11554.62</v>
      </c>
      <c r="AG658">
        <f t="shared" si="176"/>
        <v>3308.12</v>
      </c>
      <c r="AH658" s="11">
        <f t="shared" si="177"/>
        <v>0.30061793464432407</v>
      </c>
      <c r="AI658" s="9">
        <f t="shared" si="178"/>
        <v>0.30061793464432407</v>
      </c>
      <c r="AJ658">
        <f t="shared" si="179"/>
        <v>9903.9599999999991</v>
      </c>
      <c r="AK658">
        <f t="shared" si="180"/>
        <v>1</v>
      </c>
      <c r="AL658">
        <f t="shared" si="181"/>
        <v>0</v>
      </c>
      <c r="AM658">
        <f t="shared" si="182"/>
        <v>0</v>
      </c>
      <c r="AN658">
        <f t="shared" si="183"/>
        <v>0</v>
      </c>
      <c r="AO658">
        <f t="shared" si="184"/>
        <v>0</v>
      </c>
      <c r="AP658">
        <f t="shared" si="185"/>
        <v>0</v>
      </c>
      <c r="AQ658">
        <f t="shared" si="186"/>
        <v>0</v>
      </c>
    </row>
    <row r="659" spans="1:43">
      <c r="A659" t="s">
        <v>2057</v>
      </c>
      <c r="B659" s="5">
        <v>45846</v>
      </c>
      <c r="C659" s="5">
        <v>45938</v>
      </c>
      <c r="D659" s="13">
        <f t="shared" si="170"/>
        <v>92</v>
      </c>
      <c r="E659" t="s">
        <v>2058</v>
      </c>
      <c r="F659" t="s">
        <v>89</v>
      </c>
      <c r="G659" t="s">
        <v>95</v>
      </c>
      <c r="H659" t="s">
        <v>38</v>
      </c>
      <c r="I659" t="s">
        <v>145</v>
      </c>
      <c r="J659" t="s">
        <v>146</v>
      </c>
      <c r="K659" t="s">
        <v>28</v>
      </c>
      <c r="L659" t="s">
        <v>124</v>
      </c>
      <c r="M659" t="s">
        <v>2059</v>
      </c>
      <c r="N659" t="s">
        <v>31</v>
      </c>
      <c r="O659">
        <v>1</v>
      </c>
      <c r="P659">
        <v>2541.25</v>
      </c>
      <c r="Q659" s="11">
        <v>0.2</v>
      </c>
      <c r="R659">
        <v>2033</v>
      </c>
      <c r="S659">
        <v>1291.4100000000001</v>
      </c>
      <c r="T659">
        <v>741.59</v>
      </c>
      <c r="U659" t="s">
        <v>32</v>
      </c>
      <c r="V659" t="s">
        <v>33</v>
      </c>
      <c r="X659" s="8" t="str">
        <f>IF(C659&gt;=B659,"Valid", "Invalid-Date")</f>
        <v>Valid</v>
      </c>
      <c r="Y659" s="8" t="str">
        <f t="shared" si="171"/>
        <v>Valid</v>
      </c>
      <c r="Z659" s="8" t="str">
        <f t="shared" si="172"/>
        <v>Pass</v>
      </c>
      <c r="AA659" s="8" t="str">
        <f t="shared" si="173"/>
        <v>Pass</v>
      </c>
      <c r="AB659" s="8" t="str">
        <f>TEXT(B659,"mmmm")</f>
        <v>July</v>
      </c>
      <c r="AC659" s="8" t="str">
        <f>TEXT(B659,"yyyy")</f>
        <v>2025</v>
      </c>
      <c r="AE659">
        <f t="shared" si="174"/>
        <v>2541.25</v>
      </c>
      <c r="AF659" s="11">
        <f t="shared" si="175"/>
        <v>2033</v>
      </c>
      <c r="AG659">
        <f t="shared" si="176"/>
        <v>1249.8399999999999</v>
      </c>
      <c r="AH659" s="11">
        <f t="shared" si="177"/>
        <v>0.49182095425479583</v>
      </c>
      <c r="AI659" s="9">
        <f t="shared" si="178"/>
        <v>0.49182095425479583</v>
      </c>
      <c r="AJ659">
        <f t="shared" si="179"/>
        <v>2033</v>
      </c>
      <c r="AK659">
        <f t="shared" si="180"/>
        <v>1</v>
      </c>
      <c r="AL659">
        <f t="shared" si="181"/>
        <v>0</v>
      </c>
      <c r="AM659">
        <f t="shared" si="182"/>
        <v>0</v>
      </c>
      <c r="AN659">
        <f t="shared" si="183"/>
        <v>0</v>
      </c>
      <c r="AO659">
        <f t="shared" si="184"/>
        <v>0</v>
      </c>
      <c r="AP659">
        <f t="shared" si="185"/>
        <v>0</v>
      </c>
      <c r="AQ659">
        <f t="shared" si="186"/>
        <v>0</v>
      </c>
    </row>
    <row r="660" spans="1:43">
      <c r="A660" t="s">
        <v>2060</v>
      </c>
      <c r="B660" s="5">
        <v>45817</v>
      </c>
      <c r="C660" s="5">
        <v>45997</v>
      </c>
      <c r="D660" s="13">
        <f t="shared" si="170"/>
        <v>180</v>
      </c>
      <c r="E660" t="s">
        <v>2061</v>
      </c>
      <c r="F660" t="s">
        <v>132</v>
      </c>
      <c r="G660" t="s">
        <v>24</v>
      </c>
      <c r="H660" t="s">
        <v>2785</v>
      </c>
      <c r="I660" t="s">
        <v>145</v>
      </c>
      <c r="J660" t="s">
        <v>146</v>
      </c>
      <c r="K660" t="s">
        <v>28</v>
      </c>
      <c r="L660" t="s">
        <v>48</v>
      </c>
      <c r="M660" t="s">
        <v>2062</v>
      </c>
      <c r="N660" t="s">
        <v>50</v>
      </c>
      <c r="O660">
        <v>7</v>
      </c>
      <c r="P660">
        <v>2852.42</v>
      </c>
      <c r="Q660" s="11">
        <v>0</v>
      </c>
      <c r="R660">
        <v>19966.939999999999</v>
      </c>
      <c r="S660">
        <v>12690.83</v>
      </c>
      <c r="T660">
        <v>7276.11</v>
      </c>
      <c r="U660" t="s">
        <v>102</v>
      </c>
      <c r="V660" t="s">
        <v>68</v>
      </c>
      <c r="X660" s="8" t="str">
        <f>IF(C660&gt;=B660,"Valid", "Invalid-Date")</f>
        <v>Valid</v>
      </c>
      <c r="Y660" s="8" t="str">
        <f t="shared" si="171"/>
        <v>Valid</v>
      </c>
      <c r="Z660" s="8" t="str">
        <f t="shared" si="172"/>
        <v>Pass</v>
      </c>
      <c r="AA660" s="8" t="str">
        <f t="shared" si="173"/>
        <v>Flagged</v>
      </c>
      <c r="AB660" s="8" t="str">
        <f>TEXT(B660,"mmmm")</f>
        <v>June</v>
      </c>
      <c r="AC660" s="8" t="str">
        <f>TEXT(B660,"yyyy")</f>
        <v>2025</v>
      </c>
      <c r="AE660">
        <f t="shared" si="174"/>
        <v>19966.940000000002</v>
      </c>
      <c r="AF660" s="11">
        <f t="shared" si="175"/>
        <v>19966.940000000002</v>
      </c>
      <c r="AG660">
        <f t="shared" si="176"/>
        <v>7276.1100000000024</v>
      </c>
      <c r="AH660" s="11">
        <f t="shared" si="177"/>
        <v>0.36440786620283339</v>
      </c>
      <c r="AI660" s="9">
        <f t="shared" si="178"/>
        <v>0.36440786620283339</v>
      </c>
      <c r="AJ660">
        <f t="shared" si="179"/>
        <v>0</v>
      </c>
      <c r="AK660">
        <f t="shared" si="180"/>
        <v>0</v>
      </c>
      <c r="AL660">
        <f t="shared" si="181"/>
        <v>19966.939999999999</v>
      </c>
      <c r="AM660">
        <f t="shared" si="182"/>
        <v>1</v>
      </c>
      <c r="AN660">
        <f t="shared" si="183"/>
        <v>0</v>
      </c>
      <c r="AO660">
        <f t="shared" si="184"/>
        <v>0</v>
      </c>
      <c r="AP660">
        <f t="shared" si="185"/>
        <v>0</v>
      </c>
      <c r="AQ660">
        <f t="shared" si="186"/>
        <v>0</v>
      </c>
    </row>
    <row r="661" spans="1:43">
      <c r="A661" t="s">
        <v>2063</v>
      </c>
      <c r="B661" s="5">
        <v>45678</v>
      </c>
      <c r="C661" s="5">
        <v>45679</v>
      </c>
      <c r="D661" s="13">
        <f t="shared" si="170"/>
        <v>1</v>
      </c>
      <c r="E661" t="s">
        <v>2064</v>
      </c>
      <c r="F661" t="s">
        <v>162</v>
      </c>
      <c r="G661" t="s">
        <v>90</v>
      </c>
      <c r="H661" t="s">
        <v>54</v>
      </c>
      <c r="I661" t="s">
        <v>175</v>
      </c>
      <c r="J661" t="s">
        <v>176</v>
      </c>
      <c r="K661" t="s">
        <v>74</v>
      </c>
      <c r="L661" t="s">
        <v>171</v>
      </c>
      <c r="M661" t="s">
        <v>2065</v>
      </c>
      <c r="N661" t="s">
        <v>31</v>
      </c>
      <c r="O661">
        <v>2</v>
      </c>
      <c r="P661">
        <v>444.31</v>
      </c>
      <c r="Q661" s="11">
        <v>0.2</v>
      </c>
      <c r="R661">
        <v>710.9</v>
      </c>
      <c r="S661">
        <v>513.88</v>
      </c>
      <c r="T661">
        <v>197.02</v>
      </c>
      <c r="U661" t="s">
        <v>102</v>
      </c>
      <c r="V661" t="s">
        <v>68</v>
      </c>
      <c r="X661" s="8" t="str">
        <f>IF(C661&gt;=B661,"Valid", "Invalid-Date")</f>
        <v>Valid</v>
      </c>
      <c r="Y661" s="8" t="str">
        <f t="shared" si="171"/>
        <v>Valid</v>
      </c>
      <c r="Z661" s="8" t="str">
        <f t="shared" si="172"/>
        <v>Pass</v>
      </c>
      <c r="AA661" s="8" t="str">
        <f t="shared" si="173"/>
        <v>Pass</v>
      </c>
      <c r="AB661" s="8" t="str">
        <f>TEXT(B661,"mmmm")</f>
        <v>January</v>
      </c>
      <c r="AC661" s="8" t="str">
        <f>TEXT(B661,"yyyy")</f>
        <v>2025</v>
      </c>
      <c r="AE661">
        <f t="shared" si="174"/>
        <v>888.62</v>
      </c>
      <c r="AF661" s="11">
        <f t="shared" si="175"/>
        <v>710.89600000000007</v>
      </c>
      <c r="AG661">
        <f t="shared" si="176"/>
        <v>374.74</v>
      </c>
      <c r="AH661" s="11">
        <f t="shared" si="177"/>
        <v>0.42171006729535687</v>
      </c>
      <c r="AI661" s="9">
        <f t="shared" si="178"/>
        <v>0.42171006729535687</v>
      </c>
      <c r="AJ661">
        <f t="shared" si="179"/>
        <v>0</v>
      </c>
      <c r="AK661">
        <f t="shared" si="180"/>
        <v>0</v>
      </c>
      <c r="AL661">
        <f t="shared" si="181"/>
        <v>710.9</v>
      </c>
      <c r="AM661">
        <f t="shared" si="182"/>
        <v>1</v>
      </c>
      <c r="AN661">
        <f t="shared" si="183"/>
        <v>0</v>
      </c>
      <c r="AO661">
        <f t="shared" si="184"/>
        <v>0</v>
      </c>
      <c r="AP661">
        <f t="shared" si="185"/>
        <v>0</v>
      </c>
      <c r="AQ661">
        <f t="shared" si="186"/>
        <v>0</v>
      </c>
    </row>
    <row r="662" spans="1:43">
      <c r="A662" t="s">
        <v>2066</v>
      </c>
      <c r="B662" s="5">
        <v>45853</v>
      </c>
      <c r="C662" s="5">
        <v>45853</v>
      </c>
      <c r="D662" s="13">
        <f t="shared" si="170"/>
        <v>0</v>
      </c>
      <c r="E662" t="s">
        <v>2067</v>
      </c>
      <c r="F662" t="s">
        <v>53</v>
      </c>
      <c r="G662" t="s">
        <v>37</v>
      </c>
      <c r="H662" t="s">
        <v>38</v>
      </c>
      <c r="I662" t="s">
        <v>228</v>
      </c>
      <c r="J662" t="s">
        <v>229</v>
      </c>
      <c r="K662" t="s">
        <v>74</v>
      </c>
      <c r="L662" t="s">
        <v>171</v>
      </c>
      <c r="M662" t="s">
        <v>2068</v>
      </c>
      <c r="N662" t="s">
        <v>44</v>
      </c>
      <c r="O662">
        <v>4</v>
      </c>
      <c r="P662">
        <v>4442.91</v>
      </c>
      <c r="Q662" s="11">
        <v>0.1</v>
      </c>
      <c r="R662">
        <v>15994.48</v>
      </c>
      <c r="S662">
        <v>9224.2800000000007</v>
      </c>
      <c r="T662">
        <v>6770.2</v>
      </c>
      <c r="U662" t="s">
        <v>32</v>
      </c>
      <c r="V662" t="s">
        <v>33</v>
      </c>
      <c r="X662" s="8" t="str">
        <f>IF(C662&gt;=B662,"Valid", "Invalid-Date")</f>
        <v>Valid</v>
      </c>
      <c r="Y662" s="8" t="str">
        <f t="shared" si="171"/>
        <v>Valid</v>
      </c>
      <c r="Z662" s="8" t="str">
        <f t="shared" si="172"/>
        <v>Pass</v>
      </c>
      <c r="AA662" s="8" t="str">
        <f t="shared" si="173"/>
        <v>Pass</v>
      </c>
      <c r="AB662" s="8" t="str">
        <f>TEXT(B662,"mmmm")</f>
        <v>July</v>
      </c>
      <c r="AC662" s="8" t="str">
        <f>TEXT(B662,"yyyy")</f>
        <v>2025</v>
      </c>
      <c r="AE662">
        <f t="shared" si="174"/>
        <v>17771.64</v>
      </c>
      <c r="AF662" s="11">
        <f t="shared" si="175"/>
        <v>15994.476000000001</v>
      </c>
      <c r="AG662">
        <f t="shared" si="176"/>
        <v>8547.3599999999988</v>
      </c>
      <c r="AH662" s="11">
        <f t="shared" si="177"/>
        <v>0.48095504973091957</v>
      </c>
      <c r="AI662" s="9">
        <f t="shared" si="178"/>
        <v>0.48095504973091957</v>
      </c>
      <c r="AJ662">
        <f t="shared" si="179"/>
        <v>15994.48</v>
      </c>
      <c r="AK662">
        <f t="shared" si="180"/>
        <v>1</v>
      </c>
      <c r="AL662">
        <f t="shared" si="181"/>
        <v>0</v>
      </c>
      <c r="AM662">
        <f t="shared" si="182"/>
        <v>0</v>
      </c>
      <c r="AN662">
        <f t="shared" si="183"/>
        <v>0</v>
      </c>
      <c r="AO662">
        <f t="shared" si="184"/>
        <v>0</v>
      </c>
      <c r="AP662">
        <f t="shared" si="185"/>
        <v>0</v>
      </c>
      <c r="AQ662">
        <f t="shared" si="186"/>
        <v>0</v>
      </c>
    </row>
    <row r="663" spans="1:43">
      <c r="A663" t="s">
        <v>2069</v>
      </c>
      <c r="B663" s="5">
        <v>45429</v>
      </c>
      <c r="C663" s="5">
        <v>45434</v>
      </c>
      <c r="D663" s="13">
        <f t="shared" si="170"/>
        <v>5</v>
      </c>
      <c r="E663" t="s">
        <v>2070</v>
      </c>
      <c r="F663" t="s">
        <v>132</v>
      </c>
      <c r="G663" t="s">
        <v>24</v>
      </c>
      <c r="H663" t="s">
        <v>54</v>
      </c>
      <c r="I663" t="s">
        <v>84</v>
      </c>
      <c r="J663" t="s">
        <v>85</v>
      </c>
      <c r="K663" t="s">
        <v>74</v>
      </c>
      <c r="L663" t="s">
        <v>274</v>
      </c>
      <c r="M663" t="s">
        <v>2071</v>
      </c>
      <c r="N663" t="s">
        <v>31</v>
      </c>
      <c r="O663">
        <v>7</v>
      </c>
      <c r="P663">
        <v>232.5</v>
      </c>
      <c r="Q663" s="11">
        <v>0</v>
      </c>
      <c r="R663">
        <v>1627.5</v>
      </c>
      <c r="S663">
        <v>939.9</v>
      </c>
      <c r="T663">
        <v>687.6</v>
      </c>
      <c r="U663" t="s">
        <v>32</v>
      </c>
      <c r="V663" t="s">
        <v>33</v>
      </c>
      <c r="X663" s="8" t="str">
        <f>IF(C663&gt;=B663,"Valid", "Invalid-Date")</f>
        <v>Valid</v>
      </c>
      <c r="Y663" s="8" t="str">
        <f t="shared" si="171"/>
        <v>Valid</v>
      </c>
      <c r="Z663" s="8" t="str">
        <f t="shared" si="172"/>
        <v>Pass</v>
      </c>
      <c r="AA663" s="8" t="str">
        <f t="shared" si="173"/>
        <v>Pass</v>
      </c>
      <c r="AB663" s="8" t="str">
        <f>TEXT(B663,"mmmm")</f>
        <v>May</v>
      </c>
      <c r="AC663" s="8" t="str">
        <f>TEXT(B663,"yyyy")</f>
        <v>2024</v>
      </c>
      <c r="AE663">
        <f t="shared" si="174"/>
        <v>1627.5</v>
      </c>
      <c r="AF663" s="11">
        <f t="shared" si="175"/>
        <v>1627.5</v>
      </c>
      <c r="AG663">
        <f t="shared" si="176"/>
        <v>687.6</v>
      </c>
      <c r="AH663" s="11">
        <f t="shared" si="177"/>
        <v>0.4224884792626728</v>
      </c>
      <c r="AI663" s="9">
        <f t="shared" si="178"/>
        <v>0.4224884792626728</v>
      </c>
      <c r="AJ663">
        <f t="shared" si="179"/>
        <v>1627.5</v>
      </c>
      <c r="AK663">
        <f t="shared" si="180"/>
        <v>1</v>
      </c>
      <c r="AL663">
        <f t="shared" si="181"/>
        <v>0</v>
      </c>
      <c r="AM663">
        <f t="shared" si="182"/>
        <v>0</v>
      </c>
      <c r="AN663">
        <f t="shared" si="183"/>
        <v>0</v>
      </c>
      <c r="AO663">
        <f t="shared" si="184"/>
        <v>0</v>
      </c>
      <c r="AP663">
        <f t="shared" si="185"/>
        <v>0</v>
      </c>
      <c r="AQ663">
        <f t="shared" si="186"/>
        <v>0</v>
      </c>
    </row>
    <row r="664" spans="1:43">
      <c r="A664" t="s">
        <v>2072</v>
      </c>
      <c r="B664" s="5">
        <v>45305</v>
      </c>
      <c r="C664" s="5">
        <v>45309</v>
      </c>
      <c r="D664" s="13">
        <f t="shared" si="170"/>
        <v>4</v>
      </c>
      <c r="E664" t="s">
        <v>2073</v>
      </c>
      <c r="F664" t="s">
        <v>36</v>
      </c>
      <c r="G664" t="s">
        <v>95</v>
      </c>
      <c r="H664" t="s">
        <v>63</v>
      </c>
      <c r="I664" t="s">
        <v>26</v>
      </c>
      <c r="J664" t="s">
        <v>109</v>
      </c>
      <c r="K664" t="s">
        <v>74</v>
      </c>
      <c r="L664" t="s">
        <v>274</v>
      </c>
      <c r="M664" t="s">
        <v>2074</v>
      </c>
      <c r="N664" t="s">
        <v>44</v>
      </c>
      <c r="O664">
        <v>6</v>
      </c>
      <c r="P664">
        <v>1784.8</v>
      </c>
      <c r="Q664" s="11">
        <v>0.1</v>
      </c>
      <c r="R664">
        <v>9637.92</v>
      </c>
      <c r="S664">
        <v>7329.29</v>
      </c>
      <c r="T664">
        <v>2308.63</v>
      </c>
      <c r="U664" t="s">
        <v>32</v>
      </c>
      <c r="V664" t="s">
        <v>33</v>
      </c>
      <c r="X664" s="8" t="str">
        <f>IF(C664&gt;=B664,"Valid", "Invalid-Date")</f>
        <v>Valid</v>
      </c>
      <c r="Y664" s="8" t="str">
        <f t="shared" si="171"/>
        <v>Valid</v>
      </c>
      <c r="Z664" s="8" t="str">
        <f t="shared" si="172"/>
        <v>Pass</v>
      </c>
      <c r="AA664" s="8" t="str">
        <f t="shared" si="173"/>
        <v>Pass</v>
      </c>
      <c r="AB664" s="8" t="str">
        <f>TEXT(B664,"mmmm")</f>
        <v>January</v>
      </c>
      <c r="AC664" s="8" t="str">
        <f>TEXT(B664,"yyyy")</f>
        <v>2024</v>
      </c>
      <c r="AE664">
        <f t="shared" si="174"/>
        <v>10708.8</v>
      </c>
      <c r="AF664" s="11">
        <f t="shared" si="175"/>
        <v>9637.92</v>
      </c>
      <c r="AG664">
        <f t="shared" si="176"/>
        <v>3379.5099999999993</v>
      </c>
      <c r="AH664" s="11">
        <f t="shared" si="177"/>
        <v>0.31558251157926187</v>
      </c>
      <c r="AI664" s="9">
        <f t="shared" si="178"/>
        <v>0.31558251157926187</v>
      </c>
      <c r="AJ664">
        <f t="shared" si="179"/>
        <v>9637.92</v>
      </c>
      <c r="AK664">
        <f t="shared" si="180"/>
        <v>1</v>
      </c>
      <c r="AL664">
        <f t="shared" si="181"/>
        <v>0</v>
      </c>
      <c r="AM664">
        <f t="shared" si="182"/>
        <v>0</v>
      </c>
      <c r="AN664">
        <f t="shared" si="183"/>
        <v>0</v>
      </c>
      <c r="AO664">
        <f t="shared" si="184"/>
        <v>0</v>
      </c>
      <c r="AP664">
        <f t="shared" si="185"/>
        <v>0</v>
      </c>
      <c r="AQ664">
        <f t="shared" si="186"/>
        <v>0</v>
      </c>
    </row>
    <row r="665" spans="1:43">
      <c r="A665" t="s">
        <v>2075</v>
      </c>
      <c r="B665" s="5">
        <v>45327</v>
      </c>
      <c r="C665" s="5">
        <v>45509</v>
      </c>
      <c r="D665" s="13">
        <f t="shared" si="170"/>
        <v>182</v>
      </c>
      <c r="E665" t="s">
        <v>2076</v>
      </c>
      <c r="F665" t="s">
        <v>118</v>
      </c>
      <c r="G665" t="s">
        <v>95</v>
      </c>
      <c r="H665" t="s">
        <v>38</v>
      </c>
      <c r="I665" t="s">
        <v>228</v>
      </c>
      <c r="J665" t="s">
        <v>229</v>
      </c>
      <c r="K665" t="s">
        <v>74</v>
      </c>
      <c r="L665" t="s">
        <v>80</v>
      </c>
      <c r="M665" t="s">
        <v>2077</v>
      </c>
      <c r="N665" t="s">
        <v>31</v>
      </c>
      <c r="O665">
        <v>2</v>
      </c>
      <c r="P665">
        <v>3185.01</v>
      </c>
      <c r="Q665" s="11">
        <v>-0.24</v>
      </c>
      <c r="R665">
        <v>4777.5200000000004</v>
      </c>
      <c r="S665">
        <v>3152.98</v>
      </c>
      <c r="T665">
        <v>1624.54</v>
      </c>
      <c r="U665" t="s">
        <v>32</v>
      </c>
      <c r="V665" t="s">
        <v>33</v>
      </c>
      <c r="X665" s="8" t="str">
        <f>IF(C665&gt;=B665,"Valid", "Invalid-Date")</f>
        <v>Valid</v>
      </c>
      <c r="Y665" s="8" t="str">
        <f t="shared" si="171"/>
        <v>Invalid-Discount</v>
      </c>
      <c r="Z665" s="8" t="str">
        <f t="shared" si="172"/>
        <v>Pass</v>
      </c>
      <c r="AA665" s="8" t="str">
        <f t="shared" si="173"/>
        <v>Pass</v>
      </c>
      <c r="AB665" s="8" t="str">
        <f>TEXT(B665,"mmmm")</f>
        <v>February</v>
      </c>
      <c r="AC665" s="8" t="str">
        <f>TEXT(B665,"yyyy")</f>
        <v>2024</v>
      </c>
      <c r="AE665">
        <f t="shared" si="174"/>
        <v>6370.02</v>
      </c>
      <c r="AF665" s="11">
        <f t="shared" si="175"/>
        <v>7898.8248000000003</v>
      </c>
      <c r="AG665">
        <f t="shared" si="176"/>
        <v>3217.0400000000004</v>
      </c>
      <c r="AH665" s="11">
        <f t="shared" si="177"/>
        <v>0.50502824166957094</v>
      </c>
      <c r="AI665" s="9">
        <f t="shared" si="178"/>
        <v>0.50502824166957094</v>
      </c>
      <c r="AJ665">
        <f t="shared" si="179"/>
        <v>4777.5200000000004</v>
      </c>
      <c r="AK665">
        <f t="shared" si="180"/>
        <v>1</v>
      </c>
      <c r="AL665">
        <f t="shared" si="181"/>
        <v>0</v>
      </c>
      <c r="AM665">
        <f t="shared" si="182"/>
        <v>0</v>
      </c>
      <c r="AN665">
        <f t="shared" si="183"/>
        <v>0</v>
      </c>
      <c r="AO665">
        <f t="shared" si="184"/>
        <v>0</v>
      </c>
      <c r="AP665">
        <f t="shared" si="185"/>
        <v>0</v>
      </c>
      <c r="AQ665">
        <f t="shared" si="186"/>
        <v>0</v>
      </c>
    </row>
    <row r="666" spans="1:43">
      <c r="A666" t="s">
        <v>2078</v>
      </c>
      <c r="B666" s="5">
        <v>45633</v>
      </c>
      <c r="C666" s="5">
        <v>45577</v>
      </c>
      <c r="D666" s="13">
        <f t="shared" si="170"/>
        <v>-56</v>
      </c>
      <c r="E666" t="s">
        <v>2079</v>
      </c>
      <c r="F666" t="s">
        <v>36</v>
      </c>
      <c r="G666" t="s">
        <v>95</v>
      </c>
      <c r="H666" t="s">
        <v>54</v>
      </c>
      <c r="I666" t="s">
        <v>55</v>
      </c>
      <c r="J666" t="s">
        <v>56</v>
      </c>
      <c r="K666" t="s">
        <v>74</v>
      </c>
      <c r="L666" t="s">
        <v>75</v>
      </c>
      <c r="M666" t="s">
        <v>2080</v>
      </c>
      <c r="N666" t="s">
        <v>59</v>
      </c>
      <c r="O666">
        <v>1</v>
      </c>
      <c r="P666">
        <v>1908.83</v>
      </c>
      <c r="Q666" s="11">
        <v>0.2</v>
      </c>
      <c r="R666">
        <v>1527.06</v>
      </c>
      <c r="S666">
        <v>1055.8900000000001</v>
      </c>
      <c r="T666">
        <v>471.17</v>
      </c>
      <c r="U666" t="s">
        <v>32</v>
      </c>
      <c r="V666" t="s">
        <v>33</v>
      </c>
      <c r="X666" s="8" t="str">
        <f>IF(C666&gt;=B666,"Valid", "Invalid-Date")</f>
        <v>Invalid-Date</v>
      </c>
      <c r="Y666" s="8" t="str">
        <f t="shared" si="171"/>
        <v>Valid</v>
      </c>
      <c r="Z666" s="8" t="str">
        <f t="shared" si="172"/>
        <v>Pass</v>
      </c>
      <c r="AA666" s="8" t="str">
        <f t="shared" si="173"/>
        <v>Pass</v>
      </c>
      <c r="AB666" s="8" t="str">
        <f>TEXT(B666,"mmmm")</f>
        <v>December</v>
      </c>
      <c r="AC666" s="8" t="str">
        <f>TEXT(B666,"yyyy")</f>
        <v>2024</v>
      </c>
      <c r="AE666">
        <f t="shared" si="174"/>
        <v>1908.83</v>
      </c>
      <c r="AF666" s="11">
        <f t="shared" si="175"/>
        <v>1527.0640000000001</v>
      </c>
      <c r="AG666">
        <f t="shared" si="176"/>
        <v>852.93999999999983</v>
      </c>
      <c r="AH666" s="11">
        <f t="shared" si="177"/>
        <v>0.44683916325707362</v>
      </c>
      <c r="AI666" s="9">
        <f t="shared" si="178"/>
        <v>0.44683916325707362</v>
      </c>
      <c r="AJ666">
        <f t="shared" si="179"/>
        <v>1527.06</v>
      </c>
      <c r="AK666">
        <f t="shared" si="180"/>
        <v>1</v>
      </c>
      <c r="AL666">
        <f t="shared" si="181"/>
        <v>0</v>
      </c>
      <c r="AM666">
        <f t="shared" si="182"/>
        <v>0</v>
      </c>
      <c r="AN666">
        <f t="shared" si="183"/>
        <v>0</v>
      </c>
      <c r="AO666">
        <f t="shared" si="184"/>
        <v>0</v>
      </c>
      <c r="AP666">
        <f t="shared" si="185"/>
        <v>0</v>
      </c>
      <c r="AQ666">
        <f t="shared" si="186"/>
        <v>0</v>
      </c>
    </row>
    <row r="667" spans="1:43">
      <c r="A667" t="s">
        <v>2081</v>
      </c>
      <c r="B667" s="5">
        <v>45670</v>
      </c>
      <c r="C667" s="5">
        <v>45670</v>
      </c>
      <c r="D667" s="13">
        <f t="shared" si="170"/>
        <v>0</v>
      </c>
      <c r="E667" t="s">
        <v>2082</v>
      </c>
      <c r="F667" t="s">
        <v>118</v>
      </c>
      <c r="G667" t="s">
        <v>95</v>
      </c>
      <c r="H667" t="s">
        <v>63</v>
      </c>
      <c r="I667" t="s">
        <v>180</v>
      </c>
      <c r="J667" t="s">
        <v>181</v>
      </c>
      <c r="K667" t="s">
        <v>28</v>
      </c>
      <c r="L667" t="s">
        <v>48</v>
      </c>
      <c r="M667" t="s">
        <v>2083</v>
      </c>
      <c r="N667" t="s">
        <v>59</v>
      </c>
      <c r="O667">
        <v>3</v>
      </c>
      <c r="P667">
        <v>2110.52</v>
      </c>
      <c r="Q667" s="11">
        <v>0.1</v>
      </c>
      <c r="R667">
        <v>5698.4</v>
      </c>
      <c r="S667">
        <v>3640.89</v>
      </c>
      <c r="T667">
        <v>2057.5100000000002</v>
      </c>
      <c r="U667" t="s">
        <v>155</v>
      </c>
      <c r="V667" t="s">
        <v>68</v>
      </c>
      <c r="X667" s="8" t="str">
        <f>IF(C667&gt;=B667,"Valid", "Invalid-Date")</f>
        <v>Valid</v>
      </c>
      <c r="Y667" s="8" t="str">
        <f t="shared" si="171"/>
        <v>Valid</v>
      </c>
      <c r="Z667" s="8" t="str">
        <f t="shared" si="172"/>
        <v>Pass</v>
      </c>
      <c r="AA667" s="8" t="str">
        <f t="shared" si="173"/>
        <v>Pass</v>
      </c>
      <c r="AB667" s="8" t="str">
        <f>TEXT(B667,"mmmm")</f>
        <v>January</v>
      </c>
      <c r="AC667" s="8" t="str">
        <f>TEXT(B667,"yyyy")</f>
        <v>2025</v>
      </c>
      <c r="AE667">
        <f t="shared" si="174"/>
        <v>6331.5599999999995</v>
      </c>
      <c r="AF667" s="11">
        <f t="shared" si="175"/>
        <v>5698.4039999999995</v>
      </c>
      <c r="AG667">
        <f t="shared" si="176"/>
        <v>2690.6699999999996</v>
      </c>
      <c r="AH667" s="11">
        <f t="shared" si="177"/>
        <v>0.4249616208327805</v>
      </c>
      <c r="AI667" s="9">
        <f t="shared" si="178"/>
        <v>0.4249616208327805</v>
      </c>
      <c r="AJ667">
        <f t="shared" si="179"/>
        <v>0</v>
      </c>
      <c r="AK667">
        <f t="shared" si="180"/>
        <v>0</v>
      </c>
      <c r="AL667">
        <f t="shared" si="181"/>
        <v>5698.4</v>
      </c>
      <c r="AM667">
        <f t="shared" si="182"/>
        <v>1</v>
      </c>
      <c r="AN667">
        <f t="shared" si="183"/>
        <v>5698.4</v>
      </c>
      <c r="AO667">
        <f t="shared" si="184"/>
        <v>1</v>
      </c>
      <c r="AP667">
        <f t="shared" si="185"/>
        <v>0</v>
      </c>
      <c r="AQ667">
        <f t="shared" si="186"/>
        <v>0</v>
      </c>
    </row>
    <row r="668" spans="1:43">
      <c r="A668" t="s">
        <v>2084</v>
      </c>
      <c r="B668" s="5">
        <v>45464</v>
      </c>
      <c r="C668" s="5">
        <v>45469</v>
      </c>
      <c r="D668" s="13">
        <f t="shared" si="170"/>
        <v>5</v>
      </c>
      <c r="E668" t="s">
        <v>2085</v>
      </c>
      <c r="F668" t="s">
        <v>141</v>
      </c>
      <c r="G668" t="s">
        <v>37</v>
      </c>
      <c r="H668" t="s">
        <v>25</v>
      </c>
      <c r="I668" t="s">
        <v>122</v>
      </c>
      <c r="J668" t="s">
        <v>123</v>
      </c>
      <c r="K668" t="s">
        <v>74</v>
      </c>
      <c r="L668" t="s">
        <v>80</v>
      </c>
      <c r="M668" t="s">
        <v>2086</v>
      </c>
      <c r="N668" t="s">
        <v>44</v>
      </c>
      <c r="O668">
        <v>1</v>
      </c>
      <c r="P668">
        <v>279.83</v>
      </c>
      <c r="Q668" s="11">
        <v>0.05</v>
      </c>
      <c r="R668">
        <v>265.83999999999997</v>
      </c>
      <c r="S668">
        <v>223.49</v>
      </c>
      <c r="T668">
        <v>42.35</v>
      </c>
      <c r="U668" t="s">
        <v>32</v>
      </c>
      <c r="V668" t="s">
        <v>33</v>
      </c>
      <c r="X668" s="8" t="str">
        <f>IF(C668&gt;=B668,"Valid", "Invalid-Date")</f>
        <v>Valid</v>
      </c>
      <c r="Y668" s="8" t="str">
        <f t="shared" si="171"/>
        <v>Valid</v>
      </c>
      <c r="Z668" s="8" t="str">
        <f t="shared" si="172"/>
        <v>Pass</v>
      </c>
      <c r="AA668" s="8" t="str">
        <f t="shared" si="173"/>
        <v>Pass</v>
      </c>
      <c r="AB668" s="8" t="str">
        <f>TEXT(B668,"mmmm")</f>
        <v>June</v>
      </c>
      <c r="AC668" s="8" t="str">
        <f>TEXT(B668,"yyyy")</f>
        <v>2024</v>
      </c>
      <c r="AE668">
        <f t="shared" si="174"/>
        <v>279.83</v>
      </c>
      <c r="AF668" s="11">
        <f t="shared" si="175"/>
        <v>265.83849999999995</v>
      </c>
      <c r="AG668">
        <f t="shared" si="176"/>
        <v>56.339999999999975</v>
      </c>
      <c r="AH668" s="11">
        <f t="shared" si="177"/>
        <v>0.20133652574777536</v>
      </c>
      <c r="AI668" s="9">
        <f t="shared" si="178"/>
        <v>0.20133652574777536</v>
      </c>
      <c r="AJ668">
        <f t="shared" si="179"/>
        <v>265.83999999999997</v>
      </c>
      <c r="AK668">
        <f t="shared" si="180"/>
        <v>1</v>
      </c>
      <c r="AL668">
        <f t="shared" si="181"/>
        <v>0</v>
      </c>
      <c r="AM668">
        <f t="shared" si="182"/>
        <v>0</v>
      </c>
      <c r="AN668">
        <f t="shared" si="183"/>
        <v>0</v>
      </c>
      <c r="AO668">
        <f t="shared" si="184"/>
        <v>0</v>
      </c>
      <c r="AP668">
        <f t="shared" si="185"/>
        <v>0</v>
      </c>
      <c r="AQ668">
        <f t="shared" si="186"/>
        <v>0</v>
      </c>
    </row>
    <row r="669" spans="1:43">
      <c r="A669" t="s">
        <v>2087</v>
      </c>
      <c r="B669" s="5">
        <v>45797</v>
      </c>
      <c r="C669" s="5">
        <v>45804</v>
      </c>
      <c r="D669" s="13">
        <f t="shared" si="170"/>
        <v>7</v>
      </c>
      <c r="E669" t="s">
        <v>2088</v>
      </c>
      <c r="F669" t="s">
        <v>162</v>
      </c>
      <c r="G669" t="s">
        <v>37</v>
      </c>
      <c r="H669" t="s">
        <v>38</v>
      </c>
      <c r="I669" t="s">
        <v>145</v>
      </c>
      <c r="J669" t="s">
        <v>146</v>
      </c>
      <c r="K669" t="s">
        <v>74</v>
      </c>
      <c r="L669" t="s">
        <v>274</v>
      </c>
      <c r="M669" t="s">
        <v>2089</v>
      </c>
      <c r="N669" t="s">
        <v>59</v>
      </c>
      <c r="O669">
        <v>1</v>
      </c>
      <c r="P669">
        <v>3959.14</v>
      </c>
      <c r="Q669" s="11">
        <v>0</v>
      </c>
      <c r="R669">
        <v>3959.14</v>
      </c>
      <c r="S669">
        <v>3239.53</v>
      </c>
      <c r="T669">
        <v>719.61</v>
      </c>
      <c r="U669" t="s">
        <v>111</v>
      </c>
      <c r="V669" t="s">
        <v>103</v>
      </c>
      <c r="X669" s="8" t="str">
        <f>IF(C669&gt;=B669,"Valid", "Invalid-Date")</f>
        <v>Valid</v>
      </c>
      <c r="Y669" s="8" t="str">
        <f t="shared" si="171"/>
        <v>Valid</v>
      </c>
      <c r="Z669" s="8" t="str">
        <f t="shared" si="172"/>
        <v>Pass</v>
      </c>
      <c r="AA669" s="8" t="str">
        <f t="shared" si="173"/>
        <v>Pass</v>
      </c>
      <c r="AB669" s="8" t="str">
        <f>TEXT(B669,"mmmm")</f>
        <v>May</v>
      </c>
      <c r="AC669" s="8" t="str">
        <f>TEXT(B669,"yyyy")</f>
        <v>2025</v>
      </c>
      <c r="AE669">
        <f t="shared" si="174"/>
        <v>3959.14</v>
      </c>
      <c r="AF669" s="11">
        <f t="shared" si="175"/>
        <v>3959.14</v>
      </c>
      <c r="AG669">
        <f t="shared" si="176"/>
        <v>719.60999999999967</v>
      </c>
      <c r="AH669" s="11">
        <f t="shared" si="177"/>
        <v>0.18175916992074029</v>
      </c>
      <c r="AI669" s="9">
        <f t="shared" si="178"/>
        <v>0.18175916992074029</v>
      </c>
      <c r="AJ669">
        <f t="shared" si="179"/>
        <v>0</v>
      </c>
      <c r="AK669">
        <f t="shared" si="180"/>
        <v>0</v>
      </c>
      <c r="AL669">
        <f t="shared" si="181"/>
        <v>0</v>
      </c>
      <c r="AM669">
        <f t="shared" si="182"/>
        <v>0</v>
      </c>
      <c r="AN669">
        <f t="shared" si="183"/>
        <v>0</v>
      </c>
      <c r="AO669">
        <f t="shared" si="184"/>
        <v>0</v>
      </c>
      <c r="AP669">
        <f t="shared" si="185"/>
        <v>3959.14</v>
      </c>
      <c r="AQ669">
        <f t="shared" si="186"/>
        <v>1</v>
      </c>
    </row>
    <row r="670" spans="1:43">
      <c r="A670" t="s">
        <v>2090</v>
      </c>
      <c r="B670" s="5">
        <v>45617</v>
      </c>
      <c r="C670" s="5">
        <v>45619</v>
      </c>
      <c r="D670" s="13">
        <f t="shared" si="170"/>
        <v>2</v>
      </c>
      <c r="E670" t="s">
        <v>2091</v>
      </c>
      <c r="F670" t="s">
        <v>36</v>
      </c>
      <c r="G670" t="s">
        <v>90</v>
      </c>
      <c r="H670" t="s">
        <v>63</v>
      </c>
      <c r="I670" t="s">
        <v>180</v>
      </c>
      <c r="J670" t="s">
        <v>181</v>
      </c>
      <c r="K670" t="s">
        <v>28</v>
      </c>
      <c r="L670" t="s">
        <v>29</v>
      </c>
      <c r="M670" t="s">
        <v>2092</v>
      </c>
      <c r="N670" t="s">
        <v>31</v>
      </c>
      <c r="O670">
        <v>5</v>
      </c>
      <c r="P670">
        <v>600.46</v>
      </c>
      <c r="Q670" s="11">
        <v>0.2</v>
      </c>
      <c r="R670">
        <v>2401.84</v>
      </c>
      <c r="S670">
        <v>1873.11</v>
      </c>
      <c r="T670">
        <v>528.73</v>
      </c>
      <c r="U670" t="s">
        <v>32</v>
      </c>
      <c r="V670" t="s">
        <v>33</v>
      </c>
      <c r="X670" s="8" t="str">
        <f>IF(C670&gt;=B670,"Valid", "Invalid-Date")</f>
        <v>Valid</v>
      </c>
      <c r="Y670" s="8" t="str">
        <f t="shared" si="171"/>
        <v>Valid</v>
      </c>
      <c r="Z670" s="8" t="str">
        <f t="shared" si="172"/>
        <v>Pass</v>
      </c>
      <c r="AA670" s="8" t="str">
        <f t="shared" si="173"/>
        <v>Pass</v>
      </c>
      <c r="AB670" s="8" t="str">
        <f>TEXT(B670,"mmmm")</f>
        <v>November</v>
      </c>
      <c r="AC670" s="8" t="str">
        <f>TEXT(B670,"yyyy")</f>
        <v>2024</v>
      </c>
      <c r="AE670">
        <f t="shared" si="174"/>
        <v>3002.3</v>
      </c>
      <c r="AF670" s="11">
        <f t="shared" si="175"/>
        <v>2401.84</v>
      </c>
      <c r="AG670">
        <f t="shared" si="176"/>
        <v>1129.1900000000003</v>
      </c>
      <c r="AH670" s="11">
        <f t="shared" si="177"/>
        <v>0.3761083169569997</v>
      </c>
      <c r="AI670" s="9">
        <f t="shared" si="178"/>
        <v>0.3761083169569997</v>
      </c>
      <c r="AJ670">
        <f t="shared" si="179"/>
        <v>2401.84</v>
      </c>
      <c r="AK670">
        <f t="shared" si="180"/>
        <v>1</v>
      </c>
      <c r="AL670">
        <f t="shared" si="181"/>
        <v>0</v>
      </c>
      <c r="AM670">
        <f t="shared" si="182"/>
        <v>0</v>
      </c>
      <c r="AN670">
        <f t="shared" si="183"/>
        <v>0</v>
      </c>
      <c r="AO670">
        <f t="shared" si="184"/>
        <v>0</v>
      </c>
      <c r="AP670">
        <f t="shared" si="185"/>
        <v>0</v>
      </c>
      <c r="AQ670">
        <f t="shared" si="186"/>
        <v>0</v>
      </c>
    </row>
    <row r="671" spans="1:43">
      <c r="A671" t="s">
        <v>2093</v>
      </c>
      <c r="B671" s="5">
        <v>45375</v>
      </c>
      <c r="C671" s="5">
        <v>45295</v>
      </c>
      <c r="D671" s="13">
        <f t="shared" si="170"/>
        <v>-80</v>
      </c>
      <c r="E671" t="s">
        <v>2094</v>
      </c>
      <c r="F671" t="s">
        <v>62</v>
      </c>
      <c r="G671" t="s">
        <v>95</v>
      </c>
      <c r="H671" t="s">
        <v>63</v>
      </c>
      <c r="I671" t="s">
        <v>64</v>
      </c>
      <c r="J671" t="s">
        <v>65</v>
      </c>
      <c r="K671" t="s">
        <v>41</v>
      </c>
      <c r="L671" t="s">
        <v>42</v>
      </c>
      <c r="M671" t="s">
        <v>2095</v>
      </c>
      <c r="N671" t="s">
        <v>31</v>
      </c>
      <c r="O671">
        <v>4</v>
      </c>
      <c r="P671">
        <v>1700.72</v>
      </c>
      <c r="Q671" s="11">
        <v>0.25</v>
      </c>
      <c r="R671">
        <v>5102.16</v>
      </c>
      <c r="S671">
        <v>3226.45</v>
      </c>
      <c r="T671">
        <v>1875.71</v>
      </c>
      <c r="U671" t="s">
        <v>32</v>
      </c>
      <c r="V671" t="s">
        <v>33</v>
      </c>
      <c r="X671" s="8" t="str">
        <f>IF(C671&gt;=B671,"Valid", "Invalid-Date")</f>
        <v>Invalid-Date</v>
      </c>
      <c r="Y671" s="8" t="str">
        <f t="shared" si="171"/>
        <v>Valid</v>
      </c>
      <c r="Z671" s="8" t="str">
        <f t="shared" si="172"/>
        <v>Pass</v>
      </c>
      <c r="AA671" s="8" t="str">
        <f t="shared" si="173"/>
        <v>Pass</v>
      </c>
      <c r="AB671" s="8" t="str">
        <f>TEXT(B671,"mmmm")</f>
        <v>March</v>
      </c>
      <c r="AC671" s="8" t="str">
        <f>TEXT(B671,"yyyy")</f>
        <v>2024</v>
      </c>
      <c r="AE671">
        <f t="shared" si="174"/>
        <v>6802.88</v>
      </c>
      <c r="AF671" s="11">
        <f t="shared" si="175"/>
        <v>5102.16</v>
      </c>
      <c r="AG671">
        <f t="shared" si="176"/>
        <v>3576.4300000000003</v>
      </c>
      <c r="AH671" s="11">
        <f t="shared" si="177"/>
        <v>0.52572292911237595</v>
      </c>
      <c r="AI671" s="9">
        <f t="shared" si="178"/>
        <v>0.52572292911237595</v>
      </c>
      <c r="AJ671">
        <f t="shared" si="179"/>
        <v>5102.16</v>
      </c>
      <c r="AK671">
        <f t="shared" si="180"/>
        <v>1</v>
      </c>
      <c r="AL671">
        <f t="shared" si="181"/>
        <v>0</v>
      </c>
      <c r="AM671">
        <f t="shared" si="182"/>
        <v>0</v>
      </c>
      <c r="AN671">
        <f t="shared" si="183"/>
        <v>0</v>
      </c>
      <c r="AO671">
        <f t="shared" si="184"/>
        <v>0</v>
      </c>
      <c r="AP671">
        <f t="shared" si="185"/>
        <v>0</v>
      </c>
      <c r="AQ671">
        <f t="shared" si="186"/>
        <v>0</v>
      </c>
    </row>
    <row r="672" spans="1:43">
      <c r="A672" t="s">
        <v>2096</v>
      </c>
      <c r="B672" s="5">
        <v>45690</v>
      </c>
      <c r="C672" s="5">
        <v>45810</v>
      </c>
      <c r="D672" s="13">
        <f t="shared" si="170"/>
        <v>120</v>
      </c>
      <c r="E672" t="s">
        <v>1597</v>
      </c>
      <c r="F672" t="s">
        <v>132</v>
      </c>
      <c r="G672" t="s">
        <v>90</v>
      </c>
      <c r="H672" t="s">
        <v>25</v>
      </c>
      <c r="I672" t="s">
        <v>136</v>
      </c>
      <c r="J672" t="s">
        <v>137</v>
      </c>
      <c r="K672" t="s">
        <v>41</v>
      </c>
      <c r="L672" t="s">
        <v>42</v>
      </c>
      <c r="M672" t="s">
        <v>2097</v>
      </c>
      <c r="N672" t="s">
        <v>59</v>
      </c>
      <c r="O672">
        <v>8</v>
      </c>
      <c r="P672">
        <v>857.86</v>
      </c>
      <c r="Q672" s="11">
        <v>0.1</v>
      </c>
      <c r="R672">
        <v>6176.59</v>
      </c>
      <c r="S672">
        <v>3560.96</v>
      </c>
      <c r="T672">
        <v>2615.63</v>
      </c>
      <c r="U672" t="s">
        <v>32</v>
      </c>
      <c r="V672" t="s">
        <v>33</v>
      </c>
      <c r="X672" s="8" t="str">
        <f>IF(C672&gt;=B672,"Valid", "Invalid-Date")</f>
        <v>Valid</v>
      </c>
      <c r="Y672" s="8" t="str">
        <f t="shared" si="171"/>
        <v>Valid</v>
      </c>
      <c r="Z672" s="8" t="str">
        <f t="shared" si="172"/>
        <v>Pass</v>
      </c>
      <c r="AA672" s="8" t="str">
        <f t="shared" si="173"/>
        <v>Pass</v>
      </c>
      <c r="AB672" s="8" t="str">
        <f>TEXT(B672,"mmmm")</f>
        <v>February</v>
      </c>
      <c r="AC672" s="8" t="str">
        <f>TEXT(B672,"yyyy")</f>
        <v>2025</v>
      </c>
      <c r="AE672">
        <f t="shared" si="174"/>
        <v>6862.88</v>
      </c>
      <c r="AF672" s="11">
        <f t="shared" si="175"/>
        <v>6176.5920000000006</v>
      </c>
      <c r="AG672">
        <f t="shared" si="176"/>
        <v>3301.92</v>
      </c>
      <c r="AH672" s="11">
        <f t="shared" si="177"/>
        <v>0.48112745669456553</v>
      </c>
      <c r="AI672" s="9">
        <f t="shared" si="178"/>
        <v>0.48112745669456553</v>
      </c>
      <c r="AJ672">
        <f t="shared" si="179"/>
        <v>6176.59</v>
      </c>
      <c r="AK672">
        <f t="shared" si="180"/>
        <v>1</v>
      </c>
      <c r="AL672">
        <f t="shared" si="181"/>
        <v>0</v>
      </c>
      <c r="AM672">
        <f t="shared" si="182"/>
        <v>0</v>
      </c>
      <c r="AN672">
        <f t="shared" si="183"/>
        <v>0</v>
      </c>
      <c r="AO672">
        <f t="shared" si="184"/>
        <v>0</v>
      </c>
      <c r="AP672">
        <f t="shared" si="185"/>
        <v>0</v>
      </c>
      <c r="AQ672">
        <f t="shared" si="186"/>
        <v>0</v>
      </c>
    </row>
    <row r="673" spans="1:43">
      <c r="A673" t="s">
        <v>2098</v>
      </c>
      <c r="B673" s="5">
        <v>45373</v>
      </c>
      <c r="C673" s="5">
        <v>45378</v>
      </c>
      <c r="D673" s="13">
        <f t="shared" si="170"/>
        <v>5</v>
      </c>
      <c r="E673" t="s">
        <v>2099</v>
      </c>
      <c r="F673" t="s">
        <v>89</v>
      </c>
      <c r="G673" t="s">
        <v>95</v>
      </c>
      <c r="H673" t="s">
        <v>63</v>
      </c>
      <c r="I673" t="s">
        <v>190</v>
      </c>
      <c r="J673" t="s">
        <v>191</v>
      </c>
      <c r="K673" t="s">
        <v>74</v>
      </c>
      <c r="L673" t="s">
        <v>80</v>
      </c>
      <c r="M673" t="s">
        <v>2100</v>
      </c>
      <c r="N673" t="s">
        <v>31</v>
      </c>
      <c r="O673">
        <v>9</v>
      </c>
      <c r="P673">
        <v>3649.51</v>
      </c>
      <c r="Q673" s="11">
        <v>0.05</v>
      </c>
      <c r="R673">
        <v>31203.31</v>
      </c>
      <c r="S673">
        <v>17738.13</v>
      </c>
      <c r="T673">
        <v>13465.18</v>
      </c>
      <c r="U673" t="s">
        <v>32</v>
      </c>
      <c r="V673" t="s">
        <v>33</v>
      </c>
      <c r="X673" s="8" t="str">
        <f>IF(C673&gt;=B673,"Valid", "Invalid-Date")</f>
        <v>Valid</v>
      </c>
      <c r="Y673" s="8" t="str">
        <f t="shared" si="171"/>
        <v>Valid</v>
      </c>
      <c r="Z673" s="8" t="str">
        <f t="shared" si="172"/>
        <v>Pass</v>
      </c>
      <c r="AA673" s="8" t="str">
        <f t="shared" si="173"/>
        <v>Pass</v>
      </c>
      <c r="AB673" s="8" t="str">
        <f>TEXT(B673,"mmmm")</f>
        <v>March</v>
      </c>
      <c r="AC673" s="8" t="str">
        <f>TEXT(B673,"yyyy")</f>
        <v>2024</v>
      </c>
      <c r="AE673">
        <f t="shared" si="174"/>
        <v>32845.590000000004</v>
      </c>
      <c r="AF673" s="11">
        <f t="shared" si="175"/>
        <v>31203.310500000003</v>
      </c>
      <c r="AG673">
        <f t="shared" si="176"/>
        <v>15107.460000000003</v>
      </c>
      <c r="AH673" s="11">
        <f t="shared" si="177"/>
        <v>0.45995398469018217</v>
      </c>
      <c r="AI673" s="9">
        <f t="shared" si="178"/>
        <v>0.45995398469018217</v>
      </c>
      <c r="AJ673">
        <f t="shared" si="179"/>
        <v>31203.31</v>
      </c>
      <c r="AK673">
        <f t="shared" si="180"/>
        <v>1</v>
      </c>
      <c r="AL673">
        <f t="shared" si="181"/>
        <v>0</v>
      </c>
      <c r="AM673">
        <f t="shared" si="182"/>
        <v>0</v>
      </c>
      <c r="AN673">
        <f t="shared" si="183"/>
        <v>0</v>
      </c>
      <c r="AO673">
        <f t="shared" si="184"/>
        <v>0</v>
      </c>
      <c r="AP673">
        <f t="shared" si="185"/>
        <v>0</v>
      </c>
      <c r="AQ673">
        <f t="shared" si="186"/>
        <v>0</v>
      </c>
    </row>
    <row r="674" spans="1:43">
      <c r="A674" t="s">
        <v>2101</v>
      </c>
      <c r="B674" s="5">
        <v>45539</v>
      </c>
      <c r="C674" s="5">
        <v>45421</v>
      </c>
      <c r="D674" s="13">
        <f t="shared" si="170"/>
        <v>-118</v>
      </c>
      <c r="E674" t="s">
        <v>2102</v>
      </c>
      <c r="F674" t="s">
        <v>89</v>
      </c>
      <c r="G674" t="s">
        <v>90</v>
      </c>
      <c r="H674" t="s">
        <v>63</v>
      </c>
      <c r="I674" t="s">
        <v>72</v>
      </c>
      <c r="J674" t="s">
        <v>73</v>
      </c>
      <c r="K674" t="s">
        <v>41</v>
      </c>
      <c r="L674" t="s">
        <v>66</v>
      </c>
      <c r="M674" t="s">
        <v>2103</v>
      </c>
      <c r="N674" t="s">
        <v>59</v>
      </c>
      <c r="O674">
        <v>5</v>
      </c>
      <c r="P674">
        <v>2528.5300000000002</v>
      </c>
      <c r="Q674" s="11">
        <v>0.05</v>
      </c>
      <c r="R674">
        <v>12010.52</v>
      </c>
      <c r="S674">
        <v>7864.61</v>
      </c>
      <c r="T674">
        <v>4145.91</v>
      </c>
      <c r="U674" t="s">
        <v>32</v>
      </c>
      <c r="V674" t="s">
        <v>103</v>
      </c>
      <c r="X674" s="8" t="str">
        <f>IF(C674&gt;=B674,"Valid", "Invalid-Date")</f>
        <v>Invalid-Date</v>
      </c>
      <c r="Y674" s="8" t="str">
        <f t="shared" si="171"/>
        <v>Valid</v>
      </c>
      <c r="Z674" s="8" t="str">
        <f t="shared" si="172"/>
        <v>Pass</v>
      </c>
      <c r="AA674" s="8" t="str">
        <f t="shared" si="173"/>
        <v>Pass</v>
      </c>
      <c r="AB674" s="8" t="str">
        <f>TEXT(B674,"mmmm")</f>
        <v>September</v>
      </c>
      <c r="AC674" s="8" t="str">
        <f>TEXT(B674,"yyyy")</f>
        <v>2024</v>
      </c>
      <c r="AE674">
        <f t="shared" si="174"/>
        <v>12642.650000000001</v>
      </c>
      <c r="AF674" s="11">
        <f t="shared" si="175"/>
        <v>12010.5175</v>
      </c>
      <c r="AG674">
        <f t="shared" si="176"/>
        <v>4778.0400000000018</v>
      </c>
      <c r="AH674" s="11">
        <f t="shared" si="177"/>
        <v>0.37793025987431444</v>
      </c>
      <c r="AI674" s="9">
        <f t="shared" si="178"/>
        <v>0.37793025987431444</v>
      </c>
      <c r="AJ674">
        <f t="shared" si="179"/>
        <v>0</v>
      </c>
      <c r="AK674">
        <f t="shared" si="180"/>
        <v>0</v>
      </c>
      <c r="AL674">
        <f t="shared" si="181"/>
        <v>0</v>
      </c>
      <c r="AM674">
        <f t="shared" si="182"/>
        <v>0</v>
      </c>
      <c r="AN674">
        <f t="shared" si="183"/>
        <v>0</v>
      </c>
      <c r="AO674">
        <f t="shared" si="184"/>
        <v>0</v>
      </c>
      <c r="AP674">
        <f t="shared" si="185"/>
        <v>12010.52</v>
      </c>
      <c r="AQ674">
        <f t="shared" si="186"/>
        <v>1</v>
      </c>
    </row>
    <row r="675" spans="1:43">
      <c r="A675" t="s">
        <v>2104</v>
      </c>
      <c r="B675" s="5">
        <v>45701</v>
      </c>
      <c r="C675" s="5">
        <v>45704</v>
      </c>
      <c r="D675" s="13">
        <f t="shared" si="170"/>
        <v>3</v>
      </c>
      <c r="E675" t="s">
        <v>2105</v>
      </c>
      <c r="F675" t="s">
        <v>53</v>
      </c>
      <c r="G675" t="s">
        <v>37</v>
      </c>
      <c r="H675" t="s">
        <v>63</v>
      </c>
      <c r="I675" t="s">
        <v>26</v>
      </c>
      <c r="J675" t="s">
        <v>109</v>
      </c>
      <c r="K675" t="s">
        <v>41</v>
      </c>
      <c r="L675" t="s">
        <v>158</v>
      </c>
      <c r="M675" t="s">
        <v>2106</v>
      </c>
      <c r="N675" t="s">
        <v>31</v>
      </c>
      <c r="O675">
        <v>4</v>
      </c>
      <c r="P675">
        <v>4072.9</v>
      </c>
      <c r="Q675" s="11">
        <v>0.15</v>
      </c>
      <c r="R675">
        <v>13847.86</v>
      </c>
      <c r="S675">
        <v>8471.7800000000007</v>
      </c>
      <c r="T675">
        <v>5376.08</v>
      </c>
      <c r="U675" t="s">
        <v>32</v>
      </c>
      <c r="V675" t="s">
        <v>33</v>
      </c>
      <c r="X675" s="8" t="str">
        <f>IF(C675&gt;=B675,"Valid", "Invalid-Date")</f>
        <v>Valid</v>
      </c>
      <c r="Y675" s="8" t="str">
        <f t="shared" si="171"/>
        <v>Valid</v>
      </c>
      <c r="Z675" s="8" t="str">
        <f t="shared" si="172"/>
        <v>Pass</v>
      </c>
      <c r="AA675" s="8" t="str">
        <f t="shared" si="173"/>
        <v>Pass</v>
      </c>
      <c r="AB675" s="8" t="str">
        <f>TEXT(B675,"mmmm")</f>
        <v>February</v>
      </c>
      <c r="AC675" s="8" t="str">
        <f>TEXT(B675,"yyyy")</f>
        <v>2025</v>
      </c>
      <c r="AE675">
        <f t="shared" si="174"/>
        <v>16291.6</v>
      </c>
      <c r="AF675" s="11">
        <f t="shared" si="175"/>
        <v>13847.86</v>
      </c>
      <c r="AG675">
        <f t="shared" si="176"/>
        <v>7819.82</v>
      </c>
      <c r="AH675" s="11">
        <f t="shared" si="177"/>
        <v>0.47999091556384882</v>
      </c>
      <c r="AI675" s="9">
        <f t="shared" si="178"/>
        <v>0.47999091556384882</v>
      </c>
      <c r="AJ675">
        <f t="shared" si="179"/>
        <v>13847.86</v>
      </c>
      <c r="AK675">
        <f t="shared" si="180"/>
        <v>1</v>
      </c>
      <c r="AL675">
        <f t="shared" si="181"/>
        <v>0</v>
      </c>
      <c r="AM675">
        <f t="shared" si="182"/>
        <v>0</v>
      </c>
      <c r="AN675">
        <f t="shared" si="183"/>
        <v>0</v>
      </c>
      <c r="AO675">
        <f t="shared" si="184"/>
        <v>0</v>
      </c>
      <c r="AP675">
        <f t="shared" si="185"/>
        <v>0</v>
      </c>
      <c r="AQ675">
        <f t="shared" si="186"/>
        <v>0</v>
      </c>
    </row>
    <row r="676" spans="1:43">
      <c r="A676" t="s">
        <v>2107</v>
      </c>
      <c r="B676" s="5">
        <v>45430</v>
      </c>
      <c r="C676" s="5">
        <v>45433</v>
      </c>
      <c r="D676" s="13">
        <f t="shared" si="170"/>
        <v>3</v>
      </c>
      <c r="E676" t="s">
        <v>2108</v>
      </c>
      <c r="F676" t="s">
        <v>71</v>
      </c>
      <c r="G676" t="s">
        <v>90</v>
      </c>
      <c r="H676" t="s">
        <v>38</v>
      </c>
      <c r="I676" t="s">
        <v>228</v>
      </c>
      <c r="J676" t="s">
        <v>229</v>
      </c>
      <c r="K676" t="s">
        <v>74</v>
      </c>
      <c r="L676" t="s">
        <v>75</v>
      </c>
      <c r="M676" t="s">
        <v>2109</v>
      </c>
      <c r="N676" t="s">
        <v>31</v>
      </c>
      <c r="O676">
        <v>1</v>
      </c>
      <c r="P676">
        <v>1033.71</v>
      </c>
      <c r="Q676" s="11">
        <v>0</v>
      </c>
      <c r="R676">
        <v>1033.71</v>
      </c>
      <c r="S676">
        <v>630.82000000000005</v>
      </c>
      <c r="T676">
        <v>402.89</v>
      </c>
      <c r="U676" t="s">
        <v>111</v>
      </c>
      <c r="V676" t="s">
        <v>103</v>
      </c>
      <c r="X676" s="8" t="str">
        <f>IF(C676&gt;=B676,"Valid", "Invalid-Date")</f>
        <v>Valid</v>
      </c>
      <c r="Y676" s="8" t="str">
        <f t="shared" si="171"/>
        <v>Valid</v>
      </c>
      <c r="Z676" s="8" t="str">
        <f t="shared" si="172"/>
        <v>Pass</v>
      </c>
      <c r="AA676" s="8" t="str">
        <f t="shared" si="173"/>
        <v>Pass</v>
      </c>
      <c r="AB676" s="8" t="str">
        <f>TEXT(B676,"mmmm")</f>
        <v>May</v>
      </c>
      <c r="AC676" s="8" t="str">
        <f>TEXT(B676,"yyyy")</f>
        <v>2024</v>
      </c>
      <c r="AE676">
        <f t="shared" si="174"/>
        <v>1033.71</v>
      </c>
      <c r="AF676" s="11">
        <f t="shared" si="175"/>
        <v>1033.71</v>
      </c>
      <c r="AG676">
        <f t="shared" si="176"/>
        <v>402.89</v>
      </c>
      <c r="AH676" s="11">
        <f t="shared" si="177"/>
        <v>0.38975147768716562</v>
      </c>
      <c r="AI676" s="9">
        <f t="shared" si="178"/>
        <v>0.38975147768716562</v>
      </c>
      <c r="AJ676">
        <f t="shared" si="179"/>
        <v>0</v>
      </c>
      <c r="AK676">
        <f t="shared" si="180"/>
        <v>0</v>
      </c>
      <c r="AL676">
        <f t="shared" si="181"/>
        <v>0</v>
      </c>
      <c r="AM676">
        <f t="shared" si="182"/>
        <v>0</v>
      </c>
      <c r="AN676">
        <f t="shared" si="183"/>
        <v>0</v>
      </c>
      <c r="AO676">
        <f t="shared" si="184"/>
        <v>0</v>
      </c>
      <c r="AP676">
        <f t="shared" si="185"/>
        <v>1033.71</v>
      </c>
      <c r="AQ676">
        <f t="shared" si="186"/>
        <v>1</v>
      </c>
    </row>
    <row r="677" spans="1:43">
      <c r="A677" t="s">
        <v>2110</v>
      </c>
      <c r="B677" s="5">
        <v>45815</v>
      </c>
      <c r="C677" s="5">
        <v>45936</v>
      </c>
      <c r="D677" s="13">
        <f t="shared" si="170"/>
        <v>121</v>
      </c>
      <c r="E677" t="s">
        <v>2011</v>
      </c>
      <c r="F677" t="s">
        <v>128</v>
      </c>
      <c r="G677" t="s">
        <v>24</v>
      </c>
      <c r="H677" t="s">
        <v>25</v>
      </c>
      <c r="I677" t="s">
        <v>26</v>
      </c>
      <c r="J677" t="s">
        <v>27</v>
      </c>
      <c r="K677" t="s">
        <v>41</v>
      </c>
      <c r="L677" t="s">
        <v>57</v>
      </c>
      <c r="M677" t="s">
        <v>2111</v>
      </c>
      <c r="N677" t="s">
        <v>44</v>
      </c>
      <c r="O677">
        <v>3</v>
      </c>
      <c r="P677">
        <v>963.26</v>
      </c>
      <c r="Q677" s="11">
        <v>0</v>
      </c>
      <c r="R677">
        <v>2889.78</v>
      </c>
      <c r="S677">
        <v>1811.23</v>
      </c>
      <c r="T677">
        <v>1078.55</v>
      </c>
      <c r="U677" t="s">
        <v>32</v>
      </c>
      <c r="V677" t="s">
        <v>33</v>
      </c>
      <c r="X677" s="8" t="str">
        <f>IF(C677&gt;=B677,"Valid", "Invalid-Date")</f>
        <v>Valid</v>
      </c>
      <c r="Y677" s="8" t="str">
        <f t="shared" si="171"/>
        <v>Valid</v>
      </c>
      <c r="Z677" s="8" t="str">
        <f t="shared" si="172"/>
        <v>Pass</v>
      </c>
      <c r="AA677" s="8" t="str">
        <f t="shared" si="173"/>
        <v>Pass</v>
      </c>
      <c r="AB677" s="8" t="str">
        <f>TEXT(B677,"mmmm")</f>
        <v>June</v>
      </c>
      <c r="AC677" s="8" t="str">
        <f>TEXT(B677,"yyyy")</f>
        <v>2025</v>
      </c>
      <c r="AE677">
        <f t="shared" si="174"/>
        <v>2889.7799999999997</v>
      </c>
      <c r="AF677" s="11">
        <f t="shared" si="175"/>
        <v>2889.7799999999997</v>
      </c>
      <c r="AG677">
        <f t="shared" si="176"/>
        <v>1078.5499999999997</v>
      </c>
      <c r="AH677" s="11">
        <f t="shared" si="177"/>
        <v>0.37322910394562903</v>
      </c>
      <c r="AI677" s="9">
        <f t="shared" si="178"/>
        <v>0.37322910394562903</v>
      </c>
      <c r="AJ677">
        <f t="shared" si="179"/>
        <v>2889.78</v>
      </c>
      <c r="AK677">
        <f t="shared" si="180"/>
        <v>1</v>
      </c>
      <c r="AL677">
        <f t="shared" si="181"/>
        <v>0</v>
      </c>
      <c r="AM677">
        <f t="shared" si="182"/>
        <v>0</v>
      </c>
      <c r="AN677">
        <f t="shared" si="183"/>
        <v>0</v>
      </c>
      <c r="AO677">
        <f t="shared" si="184"/>
        <v>0</v>
      </c>
      <c r="AP677">
        <f t="shared" si="185"/>
        <v>0</v>
      </c>
      <c r="AQ677">
        <f t="shared" si="186"/>
        <v>0</v>
      </c>
    </row>
    <row r="678" spans="1:43" s="15" customFormat="1">
      <c r="A678" s="15" t="s">
        <v>2112</v>
      </c>
      <c r="B678" s="16">
        <v>45970</v>
      </c>
      <c r="C678" s="16">
        <v>45918</v>
      </c>
      <c r="D678" s="17">
        <f t="shared" si="170"/>
        <v>-52</v>
      </c>
      <c r="E678" s="15" t="s">
        <v>2113</v>
      </c>
      <c r="F678" s="15" t="s">
        <v>118</v>
      </c>
      <c r="G678" s="15" t="s">
        <v>37</v>
      </c>
      <c r="H678" s="15" t="s">
        <v>25</v>
      </c>
      <c r="I678" s="15" t="s">
        <v>350</v>
      </c>
      <c r="J678" s="15" t="s">
        <v>351</v>
      </c>
      <c r="K678" s="15" t="s">
        <v>74</v>
      </c>
      <c r="L678" s="15" t="s">
        <v>171</v>
      </c>
      <c r="M678" s="15" t="s">
        <v>2114</v>
      </c>
      <c r="N678" s="15" t="s">
        <v>44</v>
      </c>
      <c r="O678" s="15">
        <v>7</v>
      </c>
      <c r="P678" s="15">
        <v>3411.21</v>
      </c>
      <c r="Q678" s="18">
        <v>0.15</v>
      </c>
      <c r="R678" s="15">
        <v>20296.7</v>
      </c>
      <c r="S678" s="15">
        <v>14920.87</v>
      </c>
      <c r="T678" s="15">
        <v>5375.83</v>
      </c>
      <c r="U678" s="15" t="s">
        <v>32</v>
      </c>
      <c r="V678" s="15" t="s">
        <v>33</v>
      </c>
      <c r="W678" s="25"/>
      <c r="X678" s="8" t="str">
        <f>IF(C678&gt;=B678,"Valid", "Invalid-Date")</f>
        <v>Invalid-Date</v>
      </c>
      <c r="Y678" s="8" t="str">
        <f t="shared" si="171"/>
        <v>Valid</v>
      </c>
      <c r="Z678" s="19" t="str">
        <f t="shared" si="172"/>
        <v>Pass</v>
      </c>
      <c r="AA678" s="19" t="str">
        <f t="shared" si="173"/>
        <v>Pass</v>
      </c>
      <c r="AB678" s="19" t="str">
        <f>TEXT(B678,"mmmm")</f>
        <v>November</v>
      </c>
      <c r="AC678" s="19" t="str">
        <f>TEXT(B678,"yyyy")</f>
        <v>2025</v>
      </c>
      <c r="AD678" s="20"/>
      <c r="AE678" s="15">
        <f t="shared" si="174"/>
        <v>23878.47</v>
      </c>
      <c r="AF678" s="11">
        <f t="shared" si="175"/>
        <v>20296.699499999999</v>
      </c>
      <c r="AG678" s="15">
        <f t="shared" si="176"/>
        <v>8957.6</v>
      </c>
      <c r="AH678" s="18">
        <f t="shared" si="177"/>
        <v>0.3751329126196109</v>
      </c>
      <c r="AI678" s="21">
        <f t="shared" si="178"/>
        <v>0.3751329126196109</v>
      </c>
      <c r="AJ678">
        <f t="shared" si="179"/>
        <v>20296.7</v>
      </c>
      <c r="AK678">
        <f t="shared" si="180"/>
        <v>1</v>
      </c>
      <c r="AL678">
        <f t="shared" si="181"/>
        <v>0</v>
      </c>
      <c r="AM678">
        <f t="shared" si="182"/>
        <v>0</v>
      </c>
      <c r="AN678">
        <f t="shared" si="183"/>
        <v>0</v>
      </c>
      <c r="AO678">
        <f t="shared" si="184"/>
        <v>0</v>
      </c>
      <c r="AP678">
        <f t="shared" si="185"/>
        <v>0</v>
      </c>
      <c r="AQ678">
        <f t="shared" si="186"/>
        <v>0</v>
      </c>
    </row>
    <row r="679" spans="1:43">
      <c r="A679" t="s">
        <v>2115</v>
      </c>
      <c r="B679" s="5">
        <v>45465</v>
      </c>
      <c r="C679" s="5">
        <v>45470</v>
      </c>
      <c r="D679" s="13">
        <f t="shared" si="170"/>
        <v>5</v>
      </c>
      <c r="E679" t="s">
        <v>22</v>
      </c>
      <c r="F679" t="s">
        <v>47</v>
      </c>
      <c r="G679" t="s">
        <v>95</v>
      </c>
      <c r="H679" t="s">
        <v>54</v>
      </c>
      <c r="I679" t="s">
        <v>175</v>
      </c>
      <c r="J679" t="s">
        <v>176</v>
      </c>
      <c r="K679" t="s">
        <v>41</v>
      </c>
      <c r="L679" t="s">
        <v>66</v>
      </c>
      <c r="M679" t="s">
        <v>2116</v>
      </c>
      <c r="N679" t="s">
        <v>44</v>
      </c>
      <c r="O679">
        <v>7</v>
      </c>
      <c r="P679">
        <v>2623.48</v>
      </c>
      <c r="Q679" s="11">
        <v>0</v>
      </c>
      <c r="R679">
        <v>18364.36</v>
      </c>
      <c r="S679">
        <v>15445.81</v>
      </c>
      <c r="T679">
        <v>2918.55</v>
      </c>
      <c r="U679" t="s">
        <v>32</v>
      </c>
      <c r="V679" t="s">
        <v>33</v>
      </c>
      <c r="X679" s="8" t="str">
        <f>IF(C679&gt;=B679,"Valid", "Invalid-Date")</f>
        <v>Valid</v>
      </c>
      <c r="Y679" s="8" t="str">
        <f t="shared" si="171"/>
        <v>Valid</v>
      </c>
      <c r="Z679" s="8" t="str">
        <f t="shared" si="172"/>
        <v>Pass</v>
      </c>
      <c r="AA679" s="8" t="str">
        <f t="shared" si="173"/>
        <v>Pass</v>
      </c>
      <c r="AB679" s="8" t="str">
        <f>TEXT(B679,"mmmm")</f>
        <v>June</v>
      </c>
      <c r="AC679" s="8" t="str">
        <f>TEXT(B679,"yyyy")</f>
        <v>2024</v>
      </c>
      <c r="AE679">
        <f t="shared" si="174"/>
        <v>18364.36</v>
      </c>
      <c r="AF679" s="11">
        <f t="shared" si="175"/>
        <v>18364.36</v>
      </c>
      <c r="AG679">
        <f t="shared" si="176"/>
        <v>2918.5500000000011</v>
      </c>
      <c r="AH679" s="11">
        <f t="shared" si="177"/>
        <v>0.15892467801763857</v>
      </c>
      <c r="AI679" s="9">
        <f t="shared" si="178"/>
        <v>0.15892467801763857</v>
      </c>
      <c r="AJ679">
        <f t="shared" si="179"/>
        <v>18364.36</v>
      </c>
      <c r="AK679">
        <f t="shared" si="180"/>
        <v>1</v>
      </c>
      <c r="AL679">
        <f t="shared" si="181"/>
        <v>0</v>
      </c>
      <c r="AM679">
        <f t="shared" si="182"/>
        <v>0</v>
      </c>
      <c r="AN679">
        <f t="shared" si="183"/>
        <v>0</v>
      </c>
      <c r="AO679">
        <f t="shared" si="184"/>
        <v>0</v>
      </c>
      <c r="AP679">
        <f t="shared" si="185"/>
        <v>0</v>
      </c>
      <c r="AQ679">
        <f t="shared" si="186"/>
        <v>0</v>
      </c>
    </row>
    <row r="680" spans="1:43">
      <c r="A680" t="s">
        <v>2117</v>
      </c>
      <c r="B680" s="5">
        <v>45620</v>
      </c>
      <c r="C680" s="5">
        <v>45303</v>
      </c>
      <c r="D680" s="13">
        <f t="shared" si="170"/>
        <v>-317</v>
      </c>
      <c r="E680" t="s">
        <v>2118</v>
      </c>
      <c r="F680" t="s">
        <v>264</v>
      </c>
      <c r="G680" t="s">
        <v>90</v>
      </c>
      <c r="H680" t="s">
        <v>54</v>
      </c>
      <c r="I680" t="s">
        <v>175</v>
      </c>
      <c r="J680" t="s">
        <v>176</v>
      </c>
      <c r="K680" t="s">
        <v>41</v>
      </c>
      <c r="L680" t="s">
        <v>42</v>
      </c>
      <c r="M680" t="s">
        <v>2119</v>
      </c>
      <c r="N680" t="s">
        <v>31</v>
      </c>
      <c r="O680">
        <v>9</v>
      </c>
      <c r="P680">
        <v>2763.61</v>
      </c>
      <c r="Q680" s="11">
        <v>0.15</v>
      </c>
      <c r="R680">
        <v>21141.62</v>
      </c>
      <c r="S680">
        <v>11676.33</v>
      </c>
      <c r="T680">
        <v>9465.2900000000009</v>
      </c>
      <c r="U680" t="s">
        <v>32</v>
      </c>
      <c r="V680" t="s">
        <v>33</v>
      </c>
      <c r="X680" s="8" t="str">
        <f>IF(C680&gt;=B680,"Valid", "Invalid-Date")</f>
        <v>Invalid-Date</v>
      </c>
      <c r="Y680" s="8" t="str">
        <f t="shared" si="171"/>
        <v>Valid</v>
      </c>
      <c r="Z680" s="8" t="str">
        <f t="shared" si="172"/>
        <v>Pass</v>
      </c>
      <c r="AA680" s="8" t="str">
        <f t="shared" si="173"/>
        <v>Pass</v>
      </c>
      <c r="AB680" s="8" t="str">
        <f>TEXT(B680,"mmmm")</f>
        <v>November</v>
      </c>
      <c r="AC680" s="8" t="str">
        <f>TEXT(B680,"yyyy")</f>
        <v>2024</v>
      </c>
      <c r="AE680">
        <f t="shared" si="174"/>
        <v>24872.49</v>
      </c>
      <c r="AF680" s="11">
        <f t="shared" si="175"/>
        <v>21141.6165</v>
      </c>
      <c r="AG680">
        <f t="shared" si="176"/>
        <v>13196.160000000002</v>
      </c>
      <c r="AH680" s="11">
        <f t="shared" si="177"/>
        <v>0.530552429611993</v>
      </c>
      <c r="AI680" s="9">
        <f t="shared" si="178"/>
        <v>0.530552429611993</v>
      </c>
      <c r="AJ680">
        <f t="shared" si="179"/>
        <v>21141.62</v>
      </c>
      <c r="AK680">
        <f t="shared" si="180"/>
        <v>1</v>
      </c>
      <c r="AL680">
        <f t="shared" si="181"/>
        <v>0</v>
      </c>
      <c r="AM680">
        <f t="shared" si="182"/>
        <v>0</v>
      </c>
      <c r="AN680">
        <f t="shared" si="183"/>
        <v>0</v>
      </c>
      <c r="AO680">
        <f t="shared" si="184"/>
        <v>0</v>
      </c>
      <c r="AP680">
        <f t="shared" si="185"/>
        <v>0</v>
      </c>
      <c r="AQ680">
        <f t="shared" si="186"/>
        <v>0</v>
      </c>
    </row>
    <row r="681" spans="1:43">
      <c r="A681" t="s">
        <v>2120</v>
      </c>
      <c r="B681" s="5">
        <v>45885</v>
      </c>
      <c r="C681" s="5">
        <v>45892</v>
      </c>
      <c r="D681" s="13">
        <f t="shared" si="170"/>
        <v>7</v>
      </c>
      <c r="E681" t="s">
        <v>2121</v>
      </c>
      <c r="F681" t="s">
        <v>141</v>
      </c>
      <c r="G681" t="s">
        <v>90</v>
      </c>
      <c r="H681" t="s">
        <v>25</v>
      </c>
      <c r="I681" t="s">
        <v>122</v>
      </c>
      <c r="J681" t="s">
        <v>123</v>
      </c>
      <c r="K681" t="s">
        <v>74</v>
      </c>
      <c r="L681" t="s">
        <v>80</v>
      </c>
      <c r="M681" t="s">
        <v>2122</v>
      </c>
      <c r="N681" t="s">
        <v>44</v>
      </c>
      <c r="O681">
        <v>4</v>
      </c>
      <c r="P681">
        <v>1410.57</v>
      </c>
      <c r="Q681" s="11">
        <v>0.7</v>
      </c>
      <c r="R681">
        <v>5360.17</v>
      </c>
      <c r="S681">
        <v>3881.51</v>
      </c>
      <c r="T681">
        <v>1478.66</v>
      </c>
      <c r="U681" t="s">
        <v>102</v>
      </c>
      <c r="V681" t="s">
        <v>68</v>
      </c>
      <c r="X681" s="8" t="str">
        <f>IF(C681&gt;=B681,"Valid", "Invalid-Date")</f>
        <v>Valid</v>
      </c>
      <c r="Y681" s="8" t="str">
        <f t="shared" si="171"/>
        <v>Invalid-Discount</v>
      </c>
      <c r="Z681" s="8" t="str">
        <f t="shared" si="172"/>
        <v>Pass</v>
      </c>
      <c r="AA681" s="8" t="str">
        <f t="shared" si="173"/>
        <v>Pass</v>
      </c>
      <c r="AB681" s="8" t="str">
        <f>TEXT(B681,"mmmm")</f>
        <v>August</v>
      </c>
      <c r="AC681" s="8" t="str">
        <f>TEXT(B681,"yyyy")</f>
        <v>2025</v>
      </c>
      <c r="AE681">
        <f t="shared" si="174"/>
        <v>5642.28</v>
      </c>
      <c r="AF681" s="11">
        <f t="shared" si="175"/>
        <v>1692.6840000000002</v>
      </c>
      <c r="AG681">
        <f t="shared" si="176"/>
        <v>1760.7699999999995</v>
      </c>
      <c r="AH681" s="11">
        <f t="shared" si="177"/>
        <v>0.31206710762315937</v>
      </c>
      <c r="AI681" s="9">
        <f t="shared" si="178"/>
        <v>0.31206710762315937</v>
      </c>
      <c r="AJ681">
        <f t="shared" si="179"/>
        <v>0</v>
      </c>
      <c r="AK681">
        <f t="shared" si="180"/>
        <v>0</v>
      </c>
      <c r="AL681">
        <f t="shared" si="181"/>
        <v>5360.17</v>
      </c>
      <c r="AM681">
        <f t="shared" si="182"/>
        <v>1</v>
      </c>
      <c r="AN681">
        <f t="shared" si="183"/>
        <v>0</v>
      </c>
      <c r="AO681">
        <f t="shared" si="184"/>
        <v>0</v>
      </c>
      <c r="AP681">
        <f t="shared" si="185"/>
        <v>0</v>
      </c>
      <c r="AQ681">
        <f t="shared" si="186"/>
        <v>0</v>
      </c>
    </row>
    <row r="682" spans="1:43">
      <c r="A682" t="s">
        <v>2123</v>
      </c>
      <c r="B682" s="5">
        <v>45441</v>
      </c>
      <c r="C682" s="5">
        <v>45418</v>
      </c>
      <c r="D682" s="13">
        <f t="shared" si="170"/>
        <v>-23</v>
      </c>
      <c r="E682" t="s">
        <v>2124</v>
      </c>
      <c r="F682" t="s">
        <v>264</v>
      </c>
      <c r="G682" t="s">
        <v>90</v>
      </c>
      <c r="H682" t="s">
        <v>54</v>
      </c>
      <c r="I682" t="s">
        <v>247</v>
      </c>
      <c r="J682" t="s">
        <v>248</v>
      </c>
      <c r="K682" t="s">
        <v>74</v>
      </c>
      <c r="L682" t="s">
        <v>75</v>
      </c>
      <c r="M682" t="s">
        <v>2125</v>
      </c>
      <c r="N682" t="s">
        <v>50</v>
      </c>
      <c r="O682">
        <v>4</v>
      </c>
      <c r="P682">
        <v>3700.24</v>
      </c>
      <c r="Q682" s="11">
        <v>0</v>
      </c>
      <c r="R682">
        <v>14800.96</v>
      </c>
      <c r="S682">
        <v>12048.39</v>
      </c>
      <c r="T682">
        <v>2752.57</v>
      </c>
      <c r="U682" t="s">
        <v>32</v>
      </c>
      <c r="V682" t="s">
        <v>33</v>
      </c>
      <c r="X682" s="8" t="str">
        <f>IF(C682&gt;=B682,"Valid", "Invalid-Date")</f>
        <v>Invalid-Date</v>
      </c>
      <c r="Y682" s="8" t="str">
        <f t="shared" si="171"/>
        <v>Valid</v>
      </c>
      <c r="Z682" s="8" t="str">
        <f t="shared" si="172"/>
        <v>Pass</v>
      </c>
      <c r="AA682" s="8" t="str">
        <f t="shared" si="173"/>
        <v>Pass</v>
      </c>
      <c r="AB682" s="8" t="str">
        <f>TEXT(B682,"mmmm")</f>
        <v>May</v>
      </c>
      <c r="AC682" s="8" t="str">
        <f>TEXT(B682,"yyyy")</f>
        <v>2024</v>
      </c>
      <c r="AE682">
        <f t="shared" si="174"/>
        <v>14800.96</v>
      </c>
      <c r="AF682" s="11">
        <f t="shared" si="175"/>
        <v>14800.96</v>
      </c>
      <c r="AG682">
        <f t="shared" si="176"/>
        <v>2752.5699999999997</v>
      </c>
      <c r="AH682" s="11">
        <f t="shared" si="177"/>
        <v>0.18597239638509933</v>
      </c>
      <c r="AI682" s="9">
        <f t="shared" si="178"/>
        <v>0.18597239638509933</v>
      </c>
      <c r="AJ682">
        <f t="shared" si="179"/>
        <v>14800.96</v>
      </c>
      <c r="AK682">
        <f t="shared" si="180"/>
        <v>1</v>
      </c>
      <c r="AL682">
        <f t="shared" si="181"/>
        <v>0</v>
      </c>
      <c r="AM682">
        <f t="shared" si="182"/>
        <v>0</v>
      </c>
      <c r="AN682">
        <f t="shared" si="183"/>
        <v>0</v>
      </c>
      <c r="AO682">
        <f t="shared" si="184"/>
        <v>0</v>
      </c>
      <c r="AP682">
        <f t="shared" si="185"/>
        <v>0</v>
      </c>
      <c r="AQ682">
        <f t="shared" si="186"/>
        <v>0</v>
      </c>
    </row>
    <row r="683" spans="1:43">
      <c r="A683" t="s">
        <v>2126</v>
      </c>
      <c r="B683" s="5">
        <v>45389</v>
      </c>
      <c r="C683" s="5">
        <v>45572</v>
      </c>
      <c r="D683" s="13">
        <f t="shared" si="170"/>
        <v>183</v>
      </c>
      <c r="E683" t="s">
        <v>2127</v>
      </c>
      <c r="F683" t="s">
        <v>71</v>
      </c>
      <c r="G683" t="s">
        <v>90</v>
      </c>
      <c r="H683" t="s">
        <v>25</v>
      </c>
      <c r="I683" t="s">
        <v>350</v>
      </c>
      <c r="J683" t="s">
        <v>351</v>
      </c>
      <c r="K683" t="s">
        <v>41</v>
      </c>
      <c r="L683" t="s">
        <v>42</v>
      </c>
      <c r="M683" t="s">
        <v>2128</v>
      </c>
      <c r="N683" t="s">
        <v>31</v>
      </c>
      <c r="O683">
        <v>5</v>
      </c>
      <c r="P683">
        <v>1200.27</v>
      </c>
      <c r="Q683" s="11">
        <v>0</v>
      </c>
      <c r="R683">
        <v>6001.35</v>
      </c>
      <c r="S683">
        <v>4182.99</v>
      </c>
      <c r="T683">
        <v>1818.36</v>
      </c>
      <c r="U683" t="s">
        <v>32</v>
      </c>
      <c r="V683" t="s">
        <v>68</v>
      </c>
      <c r="X683" s="8" t="str">
        <f>IF(C683&gt;=B683,"Valid", "Invalid-Date")</f>
        <v>Valid</v>
      </c>
      <c r="Y683" s="8" t="str">
        <f t="shared" si="171"/>
        <v>Valid</v>
      </c>
      <c r="Z683" s="8" t="str">
        <f t="shared" si="172"/>
        <v>Pass</v>
      </c>
      <c r="AA683" s="8" t="str">
        <f t="shared" si="173"/>
        <v>Pass</v>
      </c>
      <c r="AB683" s="8" t="str">
        <f>TEXT(B683,"mmmm")</f>
        <v>April</v>
      </c>
      <c r="AC683" s="8" t="str">
        <f>TEXT(B683,"yyyy")</f>
        <v>2024</v>
      </c>
      <c r="AE683">
        <f t="shared" si="174"/>
        <v>6001.35</v>
      </c>
      <c r="AF683" s="11">
        <f t="shared" si="175"/>
        <v>6001.35</v>
      </c>
      <c r="AG683">
        <f t="shared" si="176"/>
        <v>1818.3600000000006</v>
      </c>
      <c r="AH683" s="11">
        <f t="shared" si="177"/>
        <v>0.30299182683896131</v>
      </c>
      <c r="AI683" s="9">
        <f t="shared" si="178"/>
        <v>0.30299182683896131</v>
      </c>
      <c r="AJ683">
        <f t="shared" si="179"/>
        <v>0</v>
      </c>
      <c r="AK683">
        <f t="shared" si="180"/>
        <v>0</v>
      </c>
      <c r="AL683">
        <f t="shared" si="181"/>
        <v>6001.35</v>
      </c>
      <c r="AM683">
        <f t="shared" si="182"/>
        <v>1</v>
      </c>
      <c r="AN683">
        <f t="shared" si="183"/>
        <v>0</v>
      </c>
      <c r="AO683">
        <f t="shared" si="184"/>
        <v>0</v>
      </c>
      <c r="AP683">
        <f t="shared" si="185"/>
        <v>0</v>
      </c>
      <c r="AQ683">
        <f t="shared" si="186"/>
        <v>0</v>
      </c>
    </row>
    <row r="684" spans="1:43">
      <c r="A684" t="s">
        <v>2129</v>
      </c>
      <c r="B684" s="5">
        <v>45693</v>
      </c>
      <c r="C684" s="5">
        <v>45693</v>
      </c>
      <c r="D684" s="13">
        <f t="shared" si="170"/>
        <v>0</v>
      </c>
      <c r="E684" t="s">
        <v>2130</v>
      </c>
      <c r="F684" t="s">
        <v>2131</v>
      </c>
      <c r="G684" t="s">
        <v>90</v>
      </c>
      <c r="H684" t="s">
        <v>25</v>
      </c>
      <c r="I684" t="s">
        <v>236</v>
      </c>
      <c r="J684" t="s">
        <v>237</v>
      </c>
      <c r="K684" t="s">
        <v>28</v>
      </c>
      <c r="L684" t="s">
        <v>124</v>
      </c>
      <c r="M684" t="s">
        <v>2132</v>
      </c>
      <c r="N684" t="s">
        <v>44</v>
      </c>
      <c r="O684">
        <v>3</v>
      </c>
      <c r="P684">
        <v>2590.7800000000002</v>
      </c>
      <c r="Q684" s="11">
        <v>0</v>
      </c>
      <c r="R684">
        <v>7383.72</v>
      </c>
      <c r="S684">
        <v>4113.66</v>
      </c>
      <c r="T684">
        <v>3270.06</v>
      </c>
      <c r="U684" t="s">
        <v>32</v>
      </c>
      <c r="V684" t="s">
        <v>33</v>
      </c>
      <c r="X684" s="8" t="str">
        <f>IF(C684&gt;=B684,"Valid", "Invalid-Date")</f>
        <v>Valid</v>
      </c>
      <c r="Y684" s="8" t="str">
        <f t="shared" si="171"/>
        <v>Valid</v>
      </c>
      <c r="Z684" s="8" t="str">
        <f t="shared" si="172"/>
        <v>Pass</v>
      </c>
      <c r="AA684" s="8" t="str">
        <f t="shared" si="173"/>
        <v>Pass</v>
      </c>
      <c r="AB684" s="8" t="str">
        <f>TEXT(B684,"mmmm")</f>
        <v>February</v>
      </c>
      <c r="AC684" s="8" t="str">
        <f>TEXT(B684,"yyyy")</f>
        <v>2025</v>
      </c>
      <c r="AE684">
        <f t="shared" si="174"/>
        <v>7772.34</v>
      </c>
      <c r="AF684" s="11">
        <f t="shared" si="175"/>
        <v>7772.34</v>
      </c>
      <c r="AG684">
        <f t="shared" si="176"/>
        <v>3658.6800000000003</v>
      </c>
      <c r="AH684" s="11">
        <f t="shared" si="177"/>
        <v>0.47073082237781677</v>
      </c>
      <c r="AI684" s="9">
        <f t="shared" si="178"/>
        <v>0.47073082237781677</v>
      </c>
      <c r="AJ684">
        <f t="shared" si="179"/>
        <v>7383.72</v>
      </c>
      <c r="AK684">
        <f t="shared" si="180"/>
        <v>1</v>
      </c>
      <c r="AL684">
        <f t="shared" si="181"/>
        <v>0</v>
      </c>
      <c r="AM684">
        <f t="shared" si="182"/>
        <v>0</v>
      </c>
      <c r="AN684">
        <f t="shared" si="183"/>
        <v>0</v>
      </c>
      <c r="AO684">
        <f t="shared" si="184"/>
        <v>0</v>
      </c>
      <c r="AP684">
        <f t="shared" si="185"/>
        <v>0</v>
      </c>
      <c r="AQ684">
        <f t="shared" si="186"/>
        <v>0</v>
      </c>
    </row>
    <row r="685" spans="1:43">
      <c r="A685" t="s">
        <v>2133</v>
      </c>
      <c r="B685" s="5">
        <v>45858</v>
      </c>
      <c r="C685" s="5">
        <v>45862</v>
      </c>
      <c r="D685" s="13">
        <f t="shared" si="170"/>
        <v>4</v>
      </c>
      <c r="E685" t="s">
        <v>2134</v>
      </c>
      <c r="F685" t="s">
        <v>53</v>
      </c>
      <c r="G685" t="s">
        <v>37</v>
      </c>
      <c r="H685" t="s">
        <v>54</v>
      </c>
      <c r="I685" t="s">
        <v>55</v>
      </c>
      <c r="J685" t="s">
        <v>56</v>
      </c>
      <c r="K685" t="s">
        <v>41</v>
      </c>
      <c r="L685" t="s">
        <v>57</v>
      </c>
      <c r="M685" t="s">
        <v>2135</v>
      </c>
      <c r="N685" t="s">
        <v>31</v>
      </c>
      <c r="O685">
        <v>6</v>
      </c>
      <c r="P685">
        <v>1646.45</v>
      </c>
      <c r="Q685" s="11">
        <v>0.2</v>
      </c>
      <c r="R685">
        <v>7902.96</v>
      </c>
      <c r="S685">
        <v>5512.03</v>
      </c>
      <c r="T685">
        <v>2390.9299999999998</v>
      </c>
      <c r="U685" t="s">
        <v>102</v>
      </c>
      <c r="V685" t="s">
        <v>68</v>
      </c>
      <c r="X685" s="8" t="str">
        <f>IF(C685&gt;=B685,"Valid", "Invalid-Date")</f>
        <v>Valid</v>
      </c>
      <c r="Y685" s="8" t="str">
        <f t="shared" si="171"/>
        <v>Valid</v>
      </c>
      <c r="Z685" s="8" t="str">
        <f t="shared" si="172"/>
        <v>Pass</v>
      </c>
      <c r="AA685" s="8" t="str">
        <f t="shared" si="173"/>
        <v>Pass</v>
      </c>
      <c r="AB685" s="8" t="str">
        <f>TEXT(B685,"mmmm")</f>
        <v>July</v>
      </c>
      <c r="AC685" s="8" t="str">
        <f>TEXT(B685,"yyyy")</f>
        <v>2025</v>
      </c>
      <c r="AE685">
        <f t="shared" si="174"/>
        <v>9878.7000000000007</v>
      </c>
      <c r="AF685" s="11">
        <f t="shared" si="175"/>
        <v>7902.9600000000009</v>
      </c>
      <c r="AG685">
        <f t="shared" si="176"/>
        <v>4366.670000000001</v>
      </c>
      <c r="AH685" s="11">
        <f t="shared" si="177"/>
        <v>0.44202880945873452</v>
      </c>
      <c r="AI685" s="9">
        <f t="shared" si="178"/>
        <v>0.44202880945873452</v>
      </c>
      <c r="AJ685">
        <f t="shared" si="179"/>
        <v>0</v>
      </c>
      <c r="AK685">
        <f t="shared" si="180"/>
        <v>0</v>
      </c>
      <c r="AL685">
        <f t="shared" si="181"/>
        <v>7902.96</v>
      </c>
      <c r="AM685">
        <f t="shared" si="182"/>
        <v>1</v>
      </c>
      <c r="AN685">
        <f t="shared" si="183"/>
        <v>0</v>
      </c>
      <c r="AO685">
        <f t="shared" si="184"/>
        <v>0</v>
      </c>
      <c r="AP685">
        <f t="shared" si="185"/>
        <v>0</v>
      </c>
      <c r="AQ685">
        <f t="shared" si="186"/>
        <v>0</v>
      </c>
    </row>
    <row r="686" spans="1:43">
      <c r="A686" t="s">
        <v>2136</v>
      </c>
      <c r="B686" s="5">
        <v>45859</v>
      </c>
      <c r="C686" s="5">
        <v>45859</v>
      </c>
      <c r="D686" s="13">
        <f t="shared" si="170"/>
        <v>0</v>
      </c>
      <c r="E686" t="s">
        <v>2137</v>
      </c>
      <c r="F686" t="s">
        <v>47</v>
      </c>
      <c r="G686" t="s">
        <v>95</v>
      </c>
      <c r="H686" t="s">
        <v>54</v>
      </c>
      <c r="I686" t="s">
        <v>247</v>
      </c>
      <c r="J686" t="s">
        <v>248</v>
      </c>
      <c r="K686" t="s">
        <v>41</v>
      </c>
      <c r="L686" t="s">
        <v>158</v>
      </c>
      <c r="M686" t="s">
        <v>2138</v>
      </c>
      <c r="N686" t="s">
        <v>50</v>
      </c>
      <c r="O686">
        <v>7</v>
      </c>
      <c r="P686">
        <v>4396.6499999999996</v>
      </c>
      <c r="Q686" s="11">
        <v>0.2</v>
      </c>
      <c r="R686">
        <v>24621.24</v>
      </c>
      <c r="S686">
        <v>17155.48</v>
      </c>
      <c r="T686">
        <v>7465.76</v>
      </c>
      <c r="U686" t="s">
        <v>102</v>
      </c>
      <c r="V686" t="s">
        <v>68</v>
      </c>
      <c r="X686" s="8" t="str">
        <f>IF(C686&gt;=B686,"Valid", "Invalid-Date")</f>
        <v>Valid</v>
      </c>
      <c r="Y686" s="8" t="str">
        <f t="shared" si="171"/>
        <v>Valid</v>
      </c>
      <c r="Z686" s="8" t="str">
        <f t="shared" si="172"/>
        <v>Pass</v>
      </c>
      <c r="AA686" s="8" t="str">
        <f t="shared" si="173"/>
        <v>Pass</v>
      </c>
      <c r="AB686" s="8" t="str">
        <f>TEXT(B686,"mmmm")</f>
        <v>July</v>
      </c>
      <c r="AC686" s="8" t="str">
        <f>TEXT(B686,"yyyy")</f>
        <v>2025</v>
      </c>
      <c r="AE686">
        <f t="shared" si="174"/>
        <v>30776.549999999996</v>
      </c>
      <c r="AF686" s="11">
        <f t="shared" si="175"/>
        <v>24621.239999999998</v>
      </c>
      <c r="AG686">
        <f t="shared" si="176"/>
        <v>13621.069999999996</v>
      </c>
      <c r="AH686" s="11">
        <f t="shared" si="177"/>
        <v>0.44257949640229322</v>
      </c>
      <c r="AI686" s="9">
        <f t="shared" si="178"/>
        <v>0.44257949640229322</v>
      </c>
      <c r="AJ686">
        <f t="shared" si="179"/>
        <v>0</v>
      </c>
      <c r="AK686">
        <f t="shared" si="180"/>
        <v>0</v>
      </c>
      <c r="AL686">
        <f t="shared" si="181"/>
        <v>24621.24</v>
      </c>
      <c r="AM686">
        <f t="shared" si="182"/>
        <v>1</v>
      </c>
      <c r="AN686">
        <f t="shared" si="183"/>
        <v>0</v>
      </c>
      <c r="AO686">
        <f t="shared" si="184"/>
        <v>0</v>
      </c>
      <c r="AP686">
        <f t="shared" si="185"/>
        <v>0</v>
      </c>
      <c r="AQ686">
        <f t="shared" si="186"/>
        <v>0</v>
      </c>
    </row>
    <row r="687" spans="1:43">
      <c r="A687" t="s">
        <v>2139</v>
      </c>
      <c r="B687" s="5">
        <v>45931</v>
      </c>
      <c r="C687" s="5">
        <v>45726</v>
      </c>
      <c r="D687" s="13">
        <f t="shared" si="170"/>
        <v>-205</v>
      </c>
      <c r="E687" t="s">
        <v>1804</v>
      </c>
      <c r="F687" t="s">
        <v>79</v>
      </c>
      <c r="G687" t="s">
        <v>90</v>
      </c>
      <c r="H687" t="s">
        <v>63</v>
      </c>
      <c r="I687" t="s">
        <v>190</v>
      </c>
      <c r="J687" t="s">
        <v>191</v>
      </c>
      <c r="K687" t="s">
        <v>28</v>
      </c>
      <c r="L687" t="s">
        <v>48</v>
      </c>
      <c r="M687" t="s">
        <v>2140</v>
      </c>
      <c r="N687" t="s">
        <v>59</v>
      </c>
      <c r="O687">
        <v>9</v>
      </c>
      <c r="P687">
        <v>818.15</v>
      </c>
      <c r="Q687" s="11">
        <v>0.55000000000000004</v>
      </c>
      <c r="R687">
        <v>6627.01</v>
      </c>
      <c r="S687">
        <v>5606.79</v>
      </c>
      <c r="T687">
        <v>1020.22</v>
      </c>
      <c r="U687" t="s">
        <v>155</v>
      </c>
      <c r="V687" t="s">
        <v>68</v>
      </c>
      <c r="X687" s="8" t="str">
        <f>IF(C687&gt;=B687,"Valid", "Invalid-Date")</f>
        <v>Invalid-Date</v>
      </c>
      <c r="Y687" s="8" t="str">
        <f t="shared" si="171"/>
        <v>Invalid-Discount</v>
      </c>
      <c r="Z687" s="8" t="str">
        <f t="shared" si="172"/>
        <v>Pass</v>
      </c>
      <c r="AA687" s="8" t="str">
        <f t="shared" si="173"/>
        <v>Pass</v>
      </c>
      <c r="AB687" s="8" t="str">
        <f>TEXT(B687,"mmmm")</f>
        <v>October</v>
      </c>
      <c r="AC687" s="8" t="str">
        <f>TEXT(B687,"yyyy")</f>
        <v>2025</v>
      </c>
      <c r="AE687">
        <f t="shared" si="174"/>
        <v>7363.3499999999995</v>
      </c>
      <c r="AF687" s="11">
        <f t="shared" si="175"/>
        <v>3313.5074999999993</v>
      </c>
      <c r="AG687">
        <f t="shared" si="176"/>
        <v>1756.5599999999995</v>
      </c>
      <c r="AH687" s="11">
        <f t="shared" si="177"/>
        <v>0.2385544623031636</v>
      </c>
      <c r="AI687" s="9">
        <f t="shared" si="178"/>
        <v>0.2385544623031636</v>
      </c>
      <c r="AJ687">
        <f t="shared" si="179"/>
        <v>0</v>
      </c>
      <c r="AK687">
        <f t="shared" si="180"/>
        <v>0</v>
      </c>
      <c r="AL687">
        <f t="shared" si="181"/>
        <v>6627.01</v>
      </c>
      <c r="AM687">
        <f t="shared" si="182"/>
        <v>1</v>
      </c>
      <c r="AN687">
        <f t="shared" si="183"/>
        <v>6627.01</v>
      </c>
      <c r="AO687">
        <f t="shared" si="184"/>
        <v>1</v>
      </c>
      <c r="AP687">
        <f t="shared" si="185"/>
        <v>0</v>
      </c>
      <c r="AQ687">
        <f t="shared" si="186"/>
        <v>0</v>
      </c>
    </row>
    <row r="688" spans="1:43">
      <c r="A688" t="s">
        <v>2141</v>
      </c>
      <c r="B688" s="5">
        <v>45376</v>
      </c>
      <c r="C688" s="5">
        <v>45326</v>
      </c>
      <c r="D688" s="13">
        <f t="shared" si="170"/>
        <v>-50</v>
      </c>
      <c r="E688" t="s">
        <v>2142</v>
      </c>
      <c r="F688" t="s">
        <v>132</v>
      </c>
      <c r="G688" t="s">
        <v>95</v>
      </c>
      <c r="H688" t="s">
        <v>54</v>
      </c>
      <c r="I688" t="s">
        <v>247</v>
      </c>
      <c r="J688" t="s">
        <v>248</v>
      </c>
      <c r="K688" t="s">
        <v>74</v>
      </c>
      <c r="L688" t="s">
        <v>80</v>
      </c>
      <c r="M688" t="s">
        <v>2143</v>
      </c>
      <c r="N688" t="s">
        <v>59</v>
      </c>
      <c r="O688">
        <v>2</v>
      </c>
      <c r="P688">
        <v>2349.13</v>
      </c>
      <c r="Q688" s="11">
        <v>0</v>
      </c>
      <c r="R688">
        <v>4698.26</v>
      </c>
      <c r="S688">
        <v>2654.92</v>
      </c>
      <c r="T688">
        <v>2043.34</v>
      </c>
      <c r="U688" t="s">
        <v>32</v>
      </c>
      <c r="V688" t="s">
        <v>33</v>
      </c>
      <c r="X688" s="8" t="str">
        <f>IF(C688&gt;=B688,"Valid", "Invalid-Date")</f>
        <v>Invalid-Date</v>
      </c>
      <c r="Y688" s="8" t="str">
        <f t="shared" si="171"/>
        <v>Valid</v>
      </c>
      <c r="Z688" s="8" t="str">
        <f t="shared" si="172"/>
        <v>Pass</v>
      </c>
      <c r="AA688" s="8" t="str">
        <f t="shared" si="173"/>
        <v>Pass</v>
      </c>
      <c r="AB688" s="8" t="str">
        <f>TEXT(B688,"mmmm")</f>
        <v>March</v>
      </c>
      <c r="AC688" s="8" t="str">
        <f>TEXT(B688,"yyyy")</f>
        <v>2024</v>
      </c>
      <c r="AE688">
        <f t="shared" si="174"/>
        <v>4698.26</v>
      </c>
      <c r="AF688" s="11">
        <f t="shared" si="175"/>
        <v>4698.26</v>
      </c>
      <c r="AG688">
        <f t="shared" si="176"/>
        <v>2043.3400000000001</v>
      </c>
      <c r="AH688" s="11">
        <f t="shared" si="177"/>
        <v>0.43491420227914163</v>
      </c>
      <c r="AI688" s="9">
        <f t="shared" si="178"/>
        <v>0.43491420227914163</v>
      </c>
      <c r="AJ688">
        <f t="shared" si="179"/>
        <v>4698.26</v>
      </c>
      <c r="AK688">
        <f t="shared" si="180"/>
        <v>1</v>
      </c>
      <c r="AL688">
        <f t="shared" si="181"/>
        <v>0</v>
      </c>
      <c r="AM688">
        <f t="shared" si="182"/>
        <v>0</v>
      </c>
      <c r="AN688">
        <f t="shared" si="183"/>
        <v>0</v>
      </c>
      <c r="AO688">
        <f t="shared" si="184"/>
        <v>0</v>
      </c>
      <c r="AP688">
        <f t="shared" si="185"/>
        <v>0</v>
      </c>
      <c r="AQ688">
        <f t="shared" si="186"/>
        <v>0</v>
      </c>
    </row>
    <row r="689" spans="1:43">
      <c r="A689" t="s">
        <v>2144</v>
      </c>
      <c r="B689" s="5">
        <v>45938</v>
      </c>
      <c r="C689" s="5">
        <v>45943</v>
      </c>
      <c r="D689" s="13">
        <f t="shared" si="170"/>
        <v>5</v>
      </c>
      <c r="E689" t="s">
        <v>2145</v>
      </c>
      <c r="F689" t="s">
        <v>36</v>
      </c>
      <c r="G689" t="s">
        <v>95</v>
      </c>
      <c r="H689" t="s">
        <v>25</v>
      </c>
      <c r="I689" t="s">
        <v>122</v>
      </c>
      <c r="J689" t="s">
        <v>123</v>
      </c>
      <c r="K689" t="s">
        <v>41</v>
      </c>
      <c r="L689" t="s">
        <v>42</v>
      </c>
      <c r="M689" t="s">
        <v>2146</v>
      </c>
      <c r="N689" t="s">
        <v>50</v>
      </c>
      <c r="O689">
        <v>4</v>
      </c>
      <c r="P689">
        <v>172.05</v>
      </c>
      <c r="Q689" s="11">
        <v>0</v>
      </c>
      <c r="R689">
        <v>688.2</v>
      </c>
      <c r="S689">
        <v>497.68</v>
      </c>
      <c r="T689">
        <v>190.52</v>
      </c>
      <c r="U689" t="s">
        <v>155</v>
      </c>
      <c r="V689" t="s">
        <v>68</v>
      </c>
      <c r="X689" s="8" t="str">
        <f>IF(C689&gt;=B689,"Valid", "Invalid-Date")</f>
        <v>Valid</v>
      </c>
      <c r="Y689" s="8" t="str">
        <f t="shared" si="171"/>
        <v>Valid</v>
      </c>
      <c r="Z689" s="8" t="str">
        <f t="shared" si="172"/>
        <v>Pass</v>
      </c>
      <c r="AA689" s="8" t="str">
        <f t="shared" si="173"/>
        <v>Pass</v>
      </c>
      <c r="AB689" s="8" t="str">
        <f>TEXT(B689,"mmmm")</f>
        <v>October</v>
      </c>
      <c r="AC689" s="8" t="str">
        <f>TEXT(B689,"yyyy")</f>
        <v>2025</v>
      </c>
      <c r="AE689">
        <f t="shared" si="174"/>
        <v>688.2</v>
      </c>
      <c r="AF689" s="11">
        <f t="shared" si="175"/>
        <v>688.2</v>
      </c>
      <c r="AG689">
        <f t="shared" si="176"/>
        <v>190.52000000000004</v>
      </c>
      <c r="AH689" s="11">
        <f t="shared" si="177"/>
        <v>0.27683812845103173</v>
      </c>
      <c r="AI689" s="9">
        <f t="shared" si="178"/>
        <v>0.27683812845103173</v>
      </c>
      <c r="AJ689">
        <f t="shared" si="179"/>
        <v>0</v>
      </c>
      <c r="AK689">
        <f t="shared" si="180"/>
        <v>0</v>
      </c>
      <c r="AL689">
        <f t="shared" si="181"/>
        <v>688.2</v>
      </c>
      <c r="AM689">
        <f t="shared" si="182"/>
        <v>1</v>
      </c>
      <c r="AN689">
        <f t="shared" si="183"/>
        <v>688.2</v>
      </c>
      <c r="AO689">
        <f t="shared" si="184"/>
        <v>1</v>
      </c>
      <c r="AP689">
        <f t="shared" si="185"/>
        <v>0</v>
      </c>
      <c r="AQ689">
        <f t="shared" si="186"/>
        <v>0</v>
      </c>
    </row>
    <row r="690" spans="1:43">
      <c r="A690" t="s">
        <v>2147</v>
      </c>
      <c r="B690" s="5">
        <v>45714</v>
      </c>
      <c r="C690" s="5">
        <v>45715</v>
      </c>
      <c r="D690" s="13">
        <f t="shared" si="170"/>
        <v>1</v>
      </c>
      <c r="E690" t="s">
        <v>2148</v>
      </c>
      <c r="F690" t="s">
        <v>79</v>
      </c>
      <c r="G690" t="s">
        <v>95</v>
      </c>
      <c r="H690" t="s">
        <v>25</v>
      </c>
      <c r="I690" t="s">
        <v>236</v>
      </c>
      <c r="J690" t="s">
        <v>237</v>
      </c>
      <c r="K690" t="s">
        <v>28</v>
      </c>
      <c r="L690" t="s">
        <v>48</v>
      </c>
      <c r="M690" t="s">
        <v>2149</v>
      </c>
      <c r="N690" t="s">
        <v>31</v>
      </c>
      <c r="O690">
        <v>6</v>
      </c>
      <c r="P690">
        <v>3037.66</v>
      </c>
      <c r="Q690" s="11">
        <v>0.15</v>
      </c>
      <c r="R690">
        <v>15492.07</v>
      </c>
      <c r="S690">
        <v>12581.23</v>
      </c>
      <c r="T690">
        <v>2910.84</v>
      </c>
      <c r="U690" t="s">
        <v>32</v>
      </c>
      <c r="V690" t="s">
        <v>33</v>
      </c>
      <c r="X690" s="8" t="str">
        <f>IF(C690&gt;=B690,"Valid", "Invalid-Date")</f>
        <v>Valid</v>
      </c>
      <c r="Y690" s="8" t="str">
        <f t="shared" si="171"/>
        <v>Valid</v>
      </c>
      <c r="Z690" s="8" t="str">
        <f t="shared" si="172"/>
        <v>Pass</v>
      </c>
      <c r="AA690" s="8" t="str">
        <f t="shared" si="173"/>
        <v>Pass</v>
      </c>
      <c r="AB690" s="8" t="str">
        <f>TEXT(B690,"mmmm")</f>
        <v>February</v>
      </c>
      <c r="AC690" s="8" t="str">
        <f>TEXT(B690,"yyyy")</f>
        <v>2025</v>
      </c>
      <c r="AE690">
        <f t="shared" si="174"/>
        <v>18225.96</v>
      </c>
      <c r="AF690" s="11">
        <f t="shared" si="175"/>
        <v>15492.065999999999</v>
      </c>
      <c r="AG690">
        <f t="shared" si="176"/>
        <v>5644.73</v>
      </c>
      <c r="AH690" s="11">
        <f t="shared" si="177"/>
        <v>0.30970824033411681</v>
      </c>
      <c r="AI690" s="9">
        <f t="shared" si="178"/>
        <v>0.30970824033411681</v>
      </c>
      <c r="AJ690">
        <f t="shared" si="179"/>
        <v>15492.07</v>
      </c>
      <c r="AK690">
        <f t="shared" si="180"/>
        <v>1</v>
      </c>
      <c r="AL690">
        <f t="shared" si="181"/>
        <v>0</v>
      </c>
      <c r="AM690">
        <f t="shared" si="182"/>
        <v>0</v>
      </c>
      <c r="AN690">
        <f t="shared" si="183"/>
        <v>0</v>
      </c>
      <c r="AO690">
        <f t="shared" si="184"/>
        <v>0</v>
      </c>
      <c r="AP690">
        <f t="shared" si="185"/>
        <v>0</v>
      </c>
      <c r="AQ690">
        <f t="shared" si="186"/>
        <v>0</v>
      </c>
    </row>
    <row r="691" spans="1:43">
      <c r="A691" t="s">
        <v>2150</v>
      </c>
      <c r="B691" s="5">
        <v>45570</v>
      </c>
      <c r="C691" s="5">
        <v>45453</v>
      </c>
      <c r="D691" s="13">
        <f t="shared" si="170"/>
        <v>-117</v>
      </c>
      <c r="E691" t="s">
        <v>2151</v>
      </c>
      <c r="F691" t="s">
        <v>141</v>
      </c>
      <c r="G691" t="s">
        <v>37</v>
      </c>
      <c r="H691" t="s">
        <v>25</v>
      </c>
      <c r="I691" t="s">
        <v>122</v>
      </c>
      <c r="J691" t="s">
        <v>123</v>
      </c>
      <c r="K691" t="s">
        <v>41</v>
      </c>
      <c r="L691" t="s">
        <v>42</v>
      </c>
      <c r="M691" t="s">
        <v>2152</v>
      </c>
      <c r="N691" t="s">
        <v>59</v>
      </c>
      <c r="O691">
        <v>9</v>
      </c>
      <c r="P691">
        <v>489.58</v>
      </c>
      <c r="Q691" s="11">
        <v>0.15</v>
      </c>
      <c r="R691">
        <v>3745.29</v>
      </c>
      <c r="S691">
        <v>2302.65</v>
      </c>
      <c r="T691">
        <v>1442.64</v>
      </c>
      <c r="U691" t="s">
        <v>155</v>
      </c>
      <c r="V691" t="s">
        <v>68</v>
      </c>
      <c r="X691" s="8" t="str">
        <f>IF(C691&gt;=B691,"Valid", "Invalid-Date")</f>
        <v>Invalid-Date</v>
      </c>
      <c r="Y691" s="8" t="str">
        <f t="shared" si="171"/>
        <v>Valid</v>
      </c>
      <c r="Z691" s="8" t="str">
        <f t="shared" si="172"/>
        <v>Pass</v>
      </c>
      <c r="AA691" s="8" t="str">
        <f t="shared" si="173"/>
        <v>Pass</v>
      </c>
      <c r="AB691" s="8" t="str">
        <f>TEXT(B691,"mmmm")</f>
        <v>October</v>
      </c>
      <c r="AC691" s="8" t="str">
        <f>TEXT(B691,"yyyy")</f>
        <v>2024</v>
      </c>
      <c r="AE691">
        <f t="shared" si="174"/>
        <v>4406.22</v>
      </c>
      <c r="AF691" s="11">
        <f t="shared" si="175"/>
        <v>3745.2870000000003</v>
      </c>
      <c r="AG691">
        <f t="shared" si="176"/>
        <v>2103.5700000000002</v>
      </c>
      <c r="AH691" s="11">
        <f t="shared" si="177"/>
        <v>0.47740920789247926</v>
      </c>
      <c r="AI691" s="9">
        <f t="shared" si="178"/>
        <v>0.47740920789247926</v>
      </c>
      <c r="AJ691">
        <f t="shared" si="179"/>
        <v>0</v>
      </c>
      <c r="AK691">
        <f t="shared" si="180"/>
        <v>0</v>
      </c>
      <c r="AL691">
        <f t="shared" si="181"/>
        <v>3745.29</v>
      </c>
      <c r="AM691">
        <f t="shared" si="182"/>
        <v>1</v>
      </c>
      <c r="AN691">
        <f t="shared" si="183"/>
        <v>3745.29</v>
      </c>
      <c r="AO691">
        <f t="shared" si="184"/>
        <v>1</v>
      </c>
      <c r="AP691">
        <f t="shared" si="185"/>
        <v>0</v>
      </c>
      <c r="AQ691">
        <f t="shared" si="186"/>
        <v>0</v>
      </c>
    </row>
    <row r="692" spans="1:43">
      <c r="A692" t="s">
        <v>2153</v>
      </c>
      <c r="B692" s="5">
        <v>45605</v>
      </c>
      <c r="C692" s="5">
        <v>45550</v>
      </c>
      <c r="D692" s="13">
        <f t="shared" si="170"/>
        <v>-55</v>
      </c>
      <c r="E692" t="s">
        <v>2154</v>
      </c>
      <c r="F692" t="s">
        <v>132</v>
      </c>
      <c r="G692" t="s">
        <v>90</v>
      </c>
      <c r="H692" t="s">
        <v>54</v>
      </c>
      <c r="I692" t="s">
        <v>247</v>
      </c>
      <c r="J692" t="s">
        <v>248</v>
      </c>
      <c r="K692" t="s">
        <v>28</v>
      </c>
      <c r="L692" t="s">
        <v>48</v>
      </c>
      <c r="M692" t="s">
        <v>2155</v>
      </c>
      <c r="N692" t="s">
        <v>59</v>
      </c>
      <c r="O692">
        <v>4</v>
      </c>
      <c r="P692">
        <v>865.63</v>
      </c>
      <c r="Q692" s="11">
        <v>0</v>
      </c>
      <c r="R692">
        <v>3462.52</v>
      </c>
      <c r="S692">
        <v>2797.29</v>
      </c>
      <c r="T692">
        <v>665.23</v>
      </c>
      <c r="U692" t="s">
        <v>155</v>
      </c>
      <c r="V692" t="s">
        <v>103</v>
      </c>
      <c r="X692" s="8" t="str">
        <f>IF(C692&gt;=B692,"Valid", "Invalid-Date")</f>
        <v>Invalid-Date</v>
      </c>
      <c r="Y692" s="8" t="str">
        <f t="shared" si="171"/>
        <v>Valid</v>
      </c>
      <c r="Z692" s="8" t="str">
        <f t="shared" si="172"/>
        <v>Pass</v>
      </c>
      <c r="AA692" s="8" t="str">
        <f t="shared" si="173"/>
        <v>Pass</v>
      </c>
      <c r="AB692" s="8" t="str">
        <f>TEXT(B692,"mmmm")</f>
        <v>November</v>
      </c>
      <c r="AC692" s="8" t="str">
        <f>TEXT(B692,"yyyy")</f>
        <v>2024</v>
      </c>
      <c r="AE692">
        <f t="shared" si="174"/>
        <v>3462.52</v>
      </c>
      <c r="AF692" s="11">
        <f t="shared" si="175"/>
        <v>3462.52</v>
      </c>
      <c r="AG692">
        <f t="shared" si="176"/>
        <v>665.23</v>
      </c>
      <c r="AH692" s="11">
        <f t="shared" si="177"/>
        <v>0.19212307798944123</v>
      </c>
      <c r="AI692" s="9">
        <f t="shared" si="178"/>
        <v>0.19212307798944123</v>
      </c>
      <c r="AJ692">
        <f t="shared" si="179"/>
        <v>0</v>
      </c>
      <c r="AK692">
        <f t="shared" si="180"/>
        <v>0</v>
      </c>
      <c r="AL692">
        <f t="shared" si="181"/>
        <v>0</v>
      </c>
      <c r="AM692">
        <f t="shared" si="182"/>
        <v>0</v>
      </c>
      <c r="AN692">
        <f t="shared" si="183"/>
        <v>3462.52</v>
      </c>
      <c r="AO692">
        <f t="shared" si="184"/>
        <v>1</v>
      </c>
      <c r="AP692">
        <f t="shared" si="185"/>
        <v>3462.52</v>
      </c>
      <c r="AQ692">
        <f t="shared" si="186"/>
        <v>1</v>
      </c>
    </row>
    <row r="693" spans="1:43">
      <c r="A693" t="s">
        <v>2156</v>
      </c>
      <c r="B693" s="5">
        <v>45641</v>
      </c>
      <c r="C693" s="5">
        <v>45642</v>
      </c>
      <c r="D693" s="13">
        <f t="shared" si="170"/>
        <v>1</v>
      </c>
      <c r="E693" t="s">
        <v>2157</v>
      </c>
      <c r="F693" t="s">
        <v>141</v>
      </c>
      <c r="G693" t="s">
        <v>24</v>
      </c>
      <c r="H693" t="s">
        <v>38</v>
      </c>
      <c r="I693" t="s">
        <v>39</v>
      </c>
      <c r="J693" t="s">
        <v>40</v>
      </c>
      <c r="K693" t="s">
        <v>74</v>
      </c>
      <c r="L693" t="s">
        <v>80</v>
      </c>
      <c r="M693" t="s">
        <v>2158</v>
      </c>
      <c r="N693" t="s">
        <v>31</v>
      </c>
      <c r="O693">
        <v>6</v>
      </c>
      <c r="P693">
        <v>1538.1</v>
      </c>
      <c r="Q693" s="11">
        <v>0.05</v>
      </c>
      <c r="R693">
        <v>8767.17</v>
      </c>
      <c r="S693">
        <v>5098.2</v>
      </c>
      <c r="T693">
        <v>3668.97</v>
      </c>
      <c r="U693" t="s">
        <v>32</v>
      </c>
      <c r="V693" t="s">
        <v>33</v>
      </c>
      <c r="X693" s="8" t="str">
        <f>IF(C693&gt;=B693,"Valid", "Invalid-Date")</f>
        <v>Valid</v>
      </c>
      <c r="Y693" s="8" t="str">
        <f t="shared" si="171"/>
        <v>Valid</v>
      </c>
      <c r="Z693" s="8" t="str">
        <f t="shared" si="172"/>
        <v>Pass</v>
      </c>
      <c r="AA693" s="8" t="str">
        <f t="shared" si="173"/>
        <v>Pass</v>
      </c>
      <c r="AB693" s="8" t="str">
        <f>TEXT(B693,"mmmm")</f>
        <v>December</v>
      </c>
      <c r="AC693" s="8" t="str">
        <f>TEXT(B693,"yyyy")</f>
        <v>2024</v>
      </c>
      <c r="AE693">
        <f t="shared" si="174"/>
        <v>9228.5999999999985</v>
      </c>
      <c r="AF693" s="11">
        <f t="shared" si="175"/>
        <v>8767.1699999999983</v>
      </c>
      <c r="AG693">
        <f t="shared" si="176"/>
        <v>4130.3999999999987</v>
      </c>
      <c r="AH693" s="11">
        <f t="shared" si="177"/>
        <v>0.4475651778167869</v>
      </c>
      <c r="AI693" s="9">
        <f t="shared" si="178"/>
        <v>0.4475651778167869</v>
      </c>
      <c r="AJ693">
        <f t="shared" si="179"/>
        <v>8767.17</v>
      </c>
      <c r="AK693">
        <f t="shared" si="180"/>
        <v>1</v>
      </c>
      <c r="AL693">
        <f t="shared" si="181"/>
        <v>0</v>
      </c>
      <c r="AM693">
        <f t="shared" si="182"/>
        <v>0</v>
      </c>
      <c r="AN693">
        <f t="shared" si="183"/>
        <v>0</v>
      </c>
      <c r="AO693">
        <f t="shared" si="184"/>
        <v>0</v>
      </c>
      <c r="AP693">
        <f t="shared" si="185"/>
        <v>0</v>
      </c>
      <c r="AQ693">
        <f t="shared" si="186"/>
        <v>0</v>
      </c>
    </row>
    <row r="694" spans="1:43">
      <c r="A694" t="s">
        <v>2159</v>
      </c>
      <c r="B694" s="5">
        <v>45935</v>
      </c>
      <c r="C694" s="5">
        <v>45940</v>
      </c>
      <c r="D694" s="13">
        <f t="shared" si="170"/>
        <v>5</v>
      </c>
      <c r="E694" t="s">
        <v>2160</v>
      </c>
      <c r="F694" t="s">
        <v>47</v>
      </c>
      <c r="G694" t="s">
        <v>90</v>
      </c>
      <c r="H694" t="s">
        <v>54</v>
      </c>
      <c r="I694" t="s">
        <v>175</v>
      </c>
      <c r="J694" t="s">
        <v>176</v>
      </c>
      <c r="K694" t="s">
        <v>41</v>
      </c>
      <c r="L694" t="s">
        <v>57</v>
      </c>
      <c r="M694" t="s">
        <v>2161</v>
      </c>
      <c r="N694" t="s">
        <v>31</v>
      </c>
      <c r="O694">
        <v>4</v>
      </c>
      <c r="P694">
        <v>2365.6799999999998</v>
      </c>
      <c r="Q694" s="11">
        <v>0.1</v>
      </c>
      <c r="R694">
        <v>8516.4500000000007</v>
      </c>
      <c r="S694">
        <v>5903.81</v>
      </c>
      <c r="T694">
        <v>2612.64</v>
      </c>
      <c r="U694" t="s">
        <v>32</v>
      </c>
      <c r="V694" t="s">
        <v>33</v>
      </c>
      <c r="X694" s="8" t="str">
        <f>IF(C694&gt;=B694,"Valid", "Invalid-Date")</f>
        <v>Valid</v>
      </c>
      <c r="Y694" s="8" t="str">
        <f t="shared" si="171"/>
        <v>Valid</v>
      </c>
      <c r="Z694" s="8" t="str">
        <f t="shared" si="172"/>
        <v>Pass</v>
      </c>
      <c r="AA694" s="8" t="str">
        <f t="shared" si="173"/>
        <v>Pass</v>
      </c>
      <c r="AB694" s="8" t="str">
        <f>TEXT(B694,"mmmm")</f>
        <v>October</v>
      </c>
      <c r="AC694" s="8" t="str">
        <f>TEXT(B694,"yyyy")</f>
        <v>2025</v>
      </c>
      <c r="AE694">
        <f t="shared" si="174"/>
        <v>9462.7199999999993</v>
      </c>
      <c r="AF694" s="11">
        <f t="shared" si="175"/>
        <v>8516.4480000000003</v>
      </c>
      <c r="AG694">
        <f t="shared" si="176"/>
        <v>3558.9099999999989</v>
      </c>
      <c r="AH694" s="11">
        <f t="shared" si="177"/>
        <v>0.37609799296608154</v>
      </c>
      <c r="AI694" s="9">
        <f t="shared" si="178"/>
        <v>0.37609799296608154</v>
      </c>
      <c r="AJ694">
        <f t="shared" si="179"/>
        <v>8516.4500000000007</v>
      </c>
      <c r="AK694">
        <f t="shared" si="180"/>
        <v>1</v>
      </c>
      <c r="AL694">
        <f t="shared" si="181"/>
        <v>0</v>
      </c>
      <c r="AM694">
        <f t="shared" si="182"/>
        <v>0</v>
      </c>
      <c r="AN694">
        <f t="shared" si="183"/>
        <v>0</v>
      </c>
      <c r="AO694">
        <f t="shared" si="184"/>
        <v>0</v>
      </c>
      <c r="AP694">
        <f t="shared" si="185"/>
        <v>0</v>
      </c>
      <c r="AQ694">
        <f t="shared" si="186"/>
        <v>0</v>
      </c>
    </row>
    <row r="695" spans="1:43">
      <c r="A695" t="s">
        <v>2162</v>
      </c>
      <c r="B695" s="5">
        <v>45750</v>
      </c>
      <c r="C695" s="5">
        <v>45965</v>
      </c>
      <c r="D695" s="13">
        <f t="shared" si="170"/>
        <v>215</v>
      </c>
      <c r="E695" t="s">
        <v>2163</v>
      </c>
      <c r="F695" t="s">
        <v>53</v>
      </c>
      <c r="G695" t="s">
        <v>24</v>
      </c>
      <c r="H695" t="s">
        <v>54</v>
      </c>
      <c r="I695" t="s">
        <v>247</v>
      </c>
      <c r="J695" t="s">
        <v>248</v>
      </c>
      <c r="K695" t="s">
        <v>41</v>
      </c>
      <c r="L695" t="s">
        <v>158</v>
      </c>
      <c r="M695" t="s">
        <v>2164</v>
      </c>
      <c r="N695" t="s">
        <v>31</v>
      </c>
      <c r="O695">
        <v>3</v>
      </c>
      <c r="P695">
        <v>4149.7700000000004</v>
      </c>
      <c r="Q695" s="11">
        <v>0.05</v>
      </c>
      <c r="R695">
        <v>11826.84</v>
      </c>
      <c r="S695">
        <v>8035.96</v>
      </c>
      <c r="T695">
        <v>3790.88</v>
      </c>
      <c r="U695" t="s">
        <v>32</v>
      </c>
      <c r="V695" t="s">
        <v>33</v>
      </c>
      <c r="X695" s="8" t="str">
        <f>IF(C695&gt;=B695,"Valid", "Invalid-Date")</f>
        <v>Valid</v>
      </c>
      <c r="Y695" s="8" t="str">
        <f t="shared" si="171"/>
        <v>Valid</v>
      </c>
      <c r="Z695" s="8" t="str">
        <f t="shared" si="172"/>
        <v>Pass</v>
      </c>
      <c r="AA695" s="8" t="str">
        <f t="shared" si="173"/>
        <v>Pass</v>
      </c>
      <c r="AB695" s="8" t="str">
        <f>TEXT(B695,"mmmm")</f>
        <v>April</v>
      </c>
      <c r="AC695" s="8" t="str">
        <f>TEXT(B695,"yyyy")</f>
        <v>2025</v>
      </c>
      <c r="AE695">
        <f t="shared" si="174"/>
        <v>12449.310000000001</v>
      </c>
      <c r="AF695" s="11">
        <f t="shared" si="175"/>
        <v>11826.844500000001</v>
      </c>
      <c r="AG695">
        <f t="shared" si="176"/>
        <v>4413.3500000000013</v>
      </c>
      <c r="AH695" s="11">
        <f t="shared" si="177"/>
        <v>0.35450559107291896</v>
      </c>
      <c r="AI695" s="9">
        <f t="shared" si="178"/>
        <v>0.35450559107291896</v>
      </c>
      <c r="AJ695">
        <f t="shared" si="179"/>
        <v>11826.84</v>
      </c>
      <c r="AK695">
        <f t="shared" si="180"/>
        <v>1</v>
      </c>
      <c r="AL695">
        <f t="shared" si="181"/>
        <v>0</v>
      </c>
      <c r="AM695">
        <f t="shared" si="182"/>
        <v>0</v>
      </c>
      <c r="AN695">
        <f t="shared" si="183"/>
        <v>0</v>
      </c>
      <c r="AO695">
        <f t="shared" si="184"/>
        <v>0</v>
      </c>
      <c r="AP695">
        <f t="shared" si="185"/>
        <v>0</v>
      </c>
      <c r="AQ695">
        <f t="shared" si="186"/>
        <v>0</v>
      </c>
    </row>
    <row r="696" spans="1:43" s="15" customFormat="1">
      <c r="A696" s="15" t="s">
        <v>2165</v>
      </c>
      <c r="B696" s="16">
        <v>45870</v>
      </c>
      <c r="C696" s="16">
        <v>45878</v>
      </c>
      <c r="D696" s="17">
        <f t="shared" si="170"/>
        <v>8</v>
      </c>
      <c r="E696" s="15" t="s">
        <v>1136</v>
      </c>
      <c r="F696" s="15" t="s">
        <v>47</v>
      </c>
      <c r="G696" s="15" t="s">
        <v>24</v>
      </c>
      <c r="H696" s="15" t="s">
        <v>54</v>
      </c>
      <c r="I696" s="15" t="s">
        <v>84</v>
      </c>
      <c r="J696" s="15" t="s">
        <v>85</v>
      </c>
      <c r="K696" s="15" t="s">
        <v>28</v>
      </c>
      <c r="L696" s="15" t="s">
        <v>124</v>
      </c>
      <c r="M696" s="15" t="s">
        <v>2166</v>
      </c>
      <c r="N696" s="15" t="s">
        <v>50</v>
      </c>
      <c r="O696" s="15">
        <v>5</v>
      </c>
      <c r="P696" s="15">
        <v>2736.24</v>
      </c>
      <c r="Q696" s="18">
        <v>0.15</v>
      </c>
      <c r="R696" s="15">
        <v>11629.02</v>
      </c>
      <c r="S696" s="15">
        <v>9627.2099999999991</v>
      </c>
      <c r="T696" s="15">
        <v>2001.81</v>
      </c>
      <c r="U696" s="15" t="s">
        <v>32</v>
      </c>
      <c r="V696" s="15" t="s">
        <v>33</v>
      </c>
      <c r="W696" s="25"/>
      <c r="X696" s="8" t="str">
        <f>IF(C696&gt;=B696,"Valid", "Invalid-Date")</f>
        <v>Valid</v>
      </c>
      <c r="Y696" s="8" t="str">
        <f t="shared" si="171"/>
        <v>Valid</v>
      </c>
      <c r="Z696" s="19" t="str">
        <f t="shared" si="172"/>
        <v>Pass</v>
      </c>
      <c r="AA696" s="19" t="str">
        <f t="shared" si="173"/>
        <v>Pass</v>
      </c>
      <c r="AB696" s="19" t="str">
        <f>TEXT(B696,"mmmm")</f>
        <v>August</v>
      </c>
      <c r="AC696" s="19" t="str">
        <f>TEXT(B696,"yyyy")</f>
        <v>2025</v>
      </c>
      <c r="AD696" s="20"/>
      <c r="AE696" s="15">
        <f t="shared" si="174"/>
        <v>13681.199999999999</v>
      </c>
      <c r="AF696" s="11">
        <f t="shared" si="175"/>
        <v>11629.019999999999</v>
      </c>
      <c r="AG696" s="15">
        <f t="shared" si="176"/>
        <v>4053.99</v>
      </c>
      <c r="AH696" s="18">
        <f t="shared" si="177"/>
        <v>0.29631830541180598</v>
      </c>
      <c r="AI696" s="21">
        <f t="shared" si="178"/>
        <v>0.29631830541180598</v>
      </c>
      <c r="AJ696">
        <f t="shared" si="179"/>
        <v>11629.02</v>
      </c>
      <c r="AK696">
        <f t="shared" si="180"/>
        <v>1</v>
      </c>
      <c r="AL696">
        <f t="shared" si="181"/>
        <v>0</v>
      </c>
      <c r="AM696">
        <f t="shared" si="182"/>
        <v>0</v>
      </c>
      <c r="AN696">
        <f t="shared" si="183"/>
        <v>0</v>
      </c>
      <c r="AO696">
        <f t="shared" si="184"/>
        <v>0</v>
      </c>
      <c r="AP696">
        <f t="shared" si="185"/>
        <v>0</v>
      </c>
      <c r="AQ696">
        <f t="shared" si="186"/>
        <v>0</v>
      </c>
    </row>
    <row r="697" spans="1:43">
      <c r="A697" t="s">
        <v>2167</v>
      </c>
      <c r="B697" s="5">
        <v>45474</v>
      </c>
      <c r="C697" s="5">
        <v>45474</v>
      </c>
      <c r="D697" s="13">
        <f t="shared" si="170"/>
        <v>0</v>
      </c>
      <c r="E697" t="s">
        <v>2168</v>
      </c>
      <c r="F697" t="s">
        <v>128</v>
      </c>
      <c r="G697" t="s">
        <v>24</v>
      </c>
      <c r="H697" t="s">
        <v>63</v>
      </c>
      <c r="I697" t="s">
        <v>72</v>
      </c>
      <c r="J697" t="s">
        <v>73</v>
      </c>
      <c r="K697" t="s">
        <v>74</v>
      </c>
      <c r="L697" t="s">
        <v>274</v>
      </c>
      <c r="M697" t="s">
        <v>2169</v>
      </c>
      <c r="N697" t="s">
        <v>59</v>
      </c>
      <c r="O697">
        <v>4</v>
      </c>
      <c r="P697">
        <v>257.39</v>
      </c>
      <c r="Q697" s="11">
        <v>0</v>
      </c>
      <c r="R697">
        <v>1029.56</v>
      </c>
      <c r="S697">
        <v>626.33000000000004</v>
      </c>
      <c r="T697">
        <v>403.23</v>
      </c>
      <c r="U697" t="s">
        <v>32</v>
      </c>
      <c r="V697" t="s">
        <v>33</v>
      </c>
      <c r="X697" s="8" t="str">
        <f>IF(C697&gt;=B697,"Valid", "Invalid-Date")</f>
        <v>Valid</v>
      </c>
      <c r="Y697" s="8" t="str">
        <f t="shared" si="171"/>
        <v>Valid</v>
      </c>
      <c r="Z697" s="8" t="str">
        <f t="shared" si="172"/>
        <v>Pass</v>
      </c>
      <c r="AA697" s="8" t="str">
        <f t="shared" si="173"/>
        <v>Pass</v>
      </c>
      <c r="AB697" s="8" t="str">
        <f>TEXT(B697,"mmmm")</f>
        <v>July</v>
      </c>
      <c r="AC697" s="8" t="str">
        <f>TEXT(B697,"yyyy")</f>
        <v>2024</v>
      </c>
      <c r="AE697">
        <f t="shared" si="174"/>
        <v>1029.56</v>
      </c>
      <c r="AF697" s="11">
        <f t="shared" si="175"/>
        <v>1029.56</v>
      </c>
      <c r="AG697">
        <f t="shared" si="176"/>
        <v>403.2299999999999</v>
      </c>
      <c r="AH697" s="11">
        <f t="shared" si="177"/>
        <v>0.39165274486188267</v>
      </c>
      <c r="AI697" s="9">
        <f t="shared" si="178"/>
        <v>0.39165274486188267</v>
      </c>
      <c r="AJ697">
        <f t="shared" si="179"/>
        <v>1029.56</v>
      </c>
      <c r="AK697">
        <f t="shared" si="180"/>
        <v>1</v>
      </c>
      <c r="AL697">
        <f t="shared" si="181"/>
        <v>0</v>
      </c>
      <c r="AM697">
        <f t="shared" si="182"/>
        <v>0</v>
      </c>
      <c r="AN697">
        <f t="shared" si="183"/>
        <v>0</v>
      </c>
      <c r="AO697">
        <f t="shared" si="184"/>
        <v>0</v>
      </c>
      <c r="AP697">
        <f t="shared" si="185"/>
        <v>0</v>
      </c>
      <c r="AQ697">
        <f t="shared" si="186"/>
        <v>0</v>
      </c>
    </row>
    <row r="698" spans="1:43">
      <c r="A698" t="s">
        <v>2170</v>
      </c>
      <c r="B698" s="5">
        <v>45922</v>
      </c>
      <c r="C698" s="5">
        <v>45925</v>
      </c>
      <c r="D698" s="13">
        <f t="shared" si="170"/>
        <v>3</v>
      </c>
      <c r="E698" t="s">
        <v>2171</v>
      </c>
      <c r="F698" t="s">
        <v>47</v>
      </c>
      <c r="G698" t="s">
        <v>37</v>
      </c>
      <c r="H698" t="s">
        <v>54</v>
      </c>
      <c r="I698" t="s">
        <v>185</v>
      </c>
      <c r="J698" t="s">
        <v>186</v>
      </c>
      <c r="K698" t="s">
        <v>74</v>
      </c>
      <c r="L698" t="s">
        <v>171</v>
      </c>
      <c r="M698" t="s">
        <v>2172</v>
      </c>
      <c r="N698" t="s">
        <v>2785</v>
      </c>
      <c r="O698">
        <v>4</v>
      </c>
      <c r="P698">
        <v>1178.8399999999999</v>
      </c>
      <c r="Q698" s="11">
        <v>0.25</v>
      </c>
      <c r="R698">
        <v>3536.52</v>
      </c>
      <c r="S698">
        <v>2102.41</v>
      </c>
      <c r="T698">
        <v>1363.28</v>
      </c>
      <c r="U698" t="s">
        <v>32</v>
      </c>
      <c r="V698" t="s">
        <v>33</v>
      </c>
      <c r="X698" s="8" t="str">
        <f>IF(C698&gt;=B698,"Valid", "Invalid-Date")</f>
        <v>Valid</v>
      </c>
      <c r="Y698" s="8" t="str">
        <f t="shared" si="171"/>
        <v>Valid</v>
      </c>
      <c r="Z698" s="8" t="str">
        <f t="shared" si="172"/>
        <v>Flagged</v>
      </c>
      <c r="AA698" s="8" t="str">
        <f t="shared" si="173"/>
        <v>Pass</v>
      </c>
      <c r="AB698" s="8" t="str">
        <f>TEXT(B698,"mmmm")</f>
        <v>September</v>
      </c>
      <c r="AC698" s="8" t="str">
        <f>TEXT(B698,"yyyy")</f>
        <v>2025</v>
      </c>
      <c r="AE698">
        <f t="shared" si="174"/>
        <v>4715.3599999999997</v>
      </c>
      <c r="AF698" s="11">
        <f t="shared" si="175"/>
        <v>3536.5199999999995</v>
      </c>
      <c r="AG698">
        <f t="shared" si="176"/>
        <v>2612.9499999999998</v>
      </c>
      <c r="AH698" s="11">
        <f t="shared" si="177"/>
        <v>0.55413584540734961</v>
      </c>
      <c r="AI698" s="9">
        <f t="shared" si="178"/>
        <v>0.55413584540734961</v>
      </c>
      <c r="AJ698">
        <f t="shared" si="179"/>
        <v>3536.52</v>
      </c>
      <c r="AK698">
        <f t="shared" si="180"/>
        <v>1</v>
      </c>
      <c r="AL698">
        <f t="shared" si="181"/>
        <v>0</v>
      </c>
      <c r="AM698">
        <f t="shared" si="182"/>
        <v>0</v>
      </c>
      <c r="AN698">
        <f t="shared" si="183"/>
        <v>0</v>
      </c>
      <c r="AO698">
        <f t="shared" si="184"/>
        <v>0</v>
      </c>
      <c r="AP698">
        <f t="shared" si="185"/>
        <v>0</v>
      </c>
      <c r="AQ698">
        <f t="shared" si="186"/>
        <v>0</v>
      </c>
    </row>
    <row r="699" spans="1:43">
      <c r="A699" t="s">
        <v>2173</v>
      </c>
      <c r="B699" s="5">
        <v>45660</v>
      </c>
      <c r="C699" s="5">
        <v>45723</v>
      </c>
      <c r="D699" s="13">
        <f t="shared" si="170"/>
        <v>63</v>
      </c>
      <c r="E699" t="s">
        <v>2174</v>
      </c>
      <c r="F699" t="s">
        <v>53</v>
      </c>
      <c r="G699" t="s">
        <v>90</v>
      </c>
      <c r="H699" t="s">
        <v>54</v>
      </c>
      <c r="I699" t="s">
        <v>84</v>
      </c>
      <c r="J699" t="s">
        <v>85</v>
      </c>
      <c r="K699" t="s">
        <v>28</v>
      </c>
      <c r="L699" t="s">
        <v>91</v>
      </c>
      <c r="M699" t="s">
        <v>2175</v>
      </c>
      <c r="N699" t="s">
        <v>50</v>
      </c>
      <c r="O699">
        <v>7</v>
      </c>
      <c r="P699">
        <v>567.15</v>
      </c>
      <c r="Q699" s="11">
        <v>0</v>
      </c>
      <c r="R699">
        <v>2977.54</v>
      </c>
      <c r="S699">
        <v>1849.3</v>
      </c>
      <c r="T699">
        <v>1128.24</v>
      </c>
      <c r="U699" t="s">
        <v>102</v>
      </c>
      <c r="V699" t="s">
        <v>103</v>
      </c>
      <c r="X699" s="8" t="str">
        <f>IF(C699&gt;=B699,"Valid", "Invalid-Date")</f>
        <v>Valid</v>
      </c>
      <c r="Y699" s="8" t="str">
        <f t="shared" si="171"/>
        <v>Valid</v>
      </c>
      <c r="Z699" s="8" t="str">
        <f t="shared" si="172"/>
        <v>Pass</v>
      </c>
      <c r="AA699" s="8" t="str">
        <f t="shared" si="173"/>
        <v>Pass</v>
      </c>
      <c r="AB699" s="8" t="str">
        <f>TEXT(B699,"mmmm")</f>
        <v>January</v>
      </c>
      <c r="AC699" s="8" t="str">
        <f>TEXT(B699,"yyyy")</f>
        <v>2025</v>
      </c>
      <c r="AE699">
        <f t="shared" si="174"/>
        <v>3970.0499999999997</v>
      </c>
      <c r="AF699" s="11">
        <f t="shared" si="175"/>
        <v>3970.0499999999997</v>
      </c>
      <c r="AG699">
        <f t="shared" si="176"/>
        <v>2120.75</v>
      </c>
      <c r="AH699" s="11">
        <f t="shared" si="177"/>
        <v>0.53418722686112274</v>
      </c>
      <c r="AI699" s="9">
        <f t="shared" si="178"/>
        <v>0.53418722686112274</v>
      </c>
      <c r="AJ699">
        <f t="shared" si="179"/>
        <v>0</v>
      </c>
      <c r="AK699">
        <f t="shared" si="180"/>
        <v>0</v>
      </c>
      <c r="AL699">
        <f t="shared" si="181"/>
        <v>0</v>
      </c>
      <c r="AM699">
        <f t="shared" si="182"/>
        <v>0</v>
      </c>
      <c r="AN699">
        <f t="shared" si="183"/>
        <v>0</v>
      </c>
      <c r="AO699">
        <f t="shared" si="184"/>
        <v>0</v>
      </c>
      <c r="AP699">
        <f t="shared" si="185"/>
        <v>2977.54</v>
      </c>
      <c r="AQ699">
        <f t="shared" si="186"/>
        <v>1</v>
      </c>
    </row>
    <row r="700" spans="1:43">
      <c r="A700" t="s">
        <v>2176</v>
      </c>
      <c r="B700" s="5">
        <v>45549</v>
      </c>
      <c r="C700" s="5">
        <v>45549</v>
      </c>
      <c r="D700" s="13">
        <f t="shared" si="170"/>
        <v>0</v>
      </c>
      <c r="E700" t="s">
        <v>2177</v>
      </c>
      <c r="F700" t="s">
        <v>36</v>
      </c>
      <c r="G700" t="s">
        <v>90</v>
      </c>
      <c r="H700" t="s">
        <v>25</v>
      </c>
      <c r="I700" t="s">
        <v>26</v>
      </c>
      <c r="J700" t="s">
        <v>27</v>
      </c>
      <c r="K700" t="s">
        <v>74</v>
      </c>
      <c r="L700" t="s">
        <v>274</v>
      </c>
      <c r="M700" t="s">
        <v>2178</v>
      </c>
      <c r="N700" t="s">
        <v>59</v>
      </c>
      <c r="O700">
        <v>8</v>
      </c>
      <c r="P700">
        <v>4081.66</v>
      </c>
      <c r="Q700" s="11">
        <v>0.15</v>
      </c>
      <c r="R700">
        <v>28208.1</v>
      </c>
      <c r="S700">
        <v>23751.91</v>
      </c>
      <c r="T700">
        <v>4003.38</v>
      </c>
      <c r="U700" t="s">
        <v>32</v>
      </c>
      <c r="V700" t="s">
        <v>103</v>
      </c>
      <c r="X700" s="8" t="str">
        <f>IF(C700&gt;=B700,"Valid", "Invalid-Date")</f>
        <v>Valid</v>
      </c>
      <c r="Y700" s="8" t="str">
        <f t="shared" si="171"/>
        <v>Valid</v>
      </c>
      <c r="Z700" s="8" t="str">
        <f t="shared" si="172"/>
        <v>Pass</v>
      </c>
      <c r="AA700" s="8" t="str">
        <f t="shared" si="173"/>
        <v>Pass</v>
      </c>
      <c r="AB700" s="8" t="str">
        <f>TEXT(B700,"mmmm")</f>
        <v>September</v>
      </c>
      <c r="AC700" s="8" t="str">
        <f>TEXT(B700,"yyyy")</f>
        <v>2024</v>
      </c>
      <c r="AE700">
        <f t="shared" si="174"/>
        <v>32653.279999999999</v>
      </c>
      <c r="AF700" s="11">
        <f t="shared" si="175"/>
        <v>27755.287999999997</v>
      </c>
      <c r="AG700">
        <f t="shared" si="176"/>
        <v>8901.369999999999</v>
      </c>
      <c r="AH700" s="11">
        <f t="shared" si="177"/>
        <v>0.27260262981238026</v>
      </c>
      <c r="AI700" s="9">
        <f t="shared" si="178"/>
        <v>0.27260262981238026</v>
      </c>
      <c r="AJ700">
        <f t="shared" si="179"/>
        <v>0</v>
      </c>
      <c r="AK700">
        <f t="shared" si="180"/>
        <v>0</v>
      </c>
      <c r="AL700">
        <f t="shared" si="181"/>
        <v>0</v>
      </c>
      <c r="AM700">
        <f t="shared" si="182"/>
        <v>0</v>
      </c>
      <c r="AN700">
        <f t="shared" si="183"/>
        <v>0</v>
      </c>
      <c r="AO700">
        <f t="shared" si="184"/>
        <v>0</v>
      </c>
      <c r="AP700">
        <f t="shared" si="185"/>
        <v>28208.1</v>
      </c>
      <c r="AQ700">
        <f t="shared" si="186"/>
        <v>1</v>
      </c>
    </row>
    <row r="701" spans="1:43">
      <c r="A701" t="s">
        <v>2179</v>
      </c>
      <c r="B701" s="5">
        <v>45454</v>
      </c>
      <c r="C701" s="5">
        <v>45602</v>
      </c>
      <c r="D701" s="13">
        <f t="shared" si="170"/>
        <v>148</v>
      </c>
      <c r="E701" t="s">
        <v>2180</v>
      </c>
      <c r="F701" t="s">
        <v>53</v>
      </c>
      <c r="G701" t="s">
        <v>37</v>
      </c>
      <c r="H701" t="s">
        <v>54</v>
      </c>
      <c r="I701" t="s">
        <v>175</v>
      </c>
      <c r="J701" t="s">
        <v>176</v>
      </c>
      <c r="K701" t="s">
        <v>41</v>
      </c>
      <c r="L701" t="s">
        <v>158</v>
      </c>
      <c r="M701" t="s">
        <v>2181</v>
      </c>
      <c r="N701" t="s">
        <v>59</v>
      </c>
      <c r="O701">
        <v>9</v>
      </c>
      <c r="P701">
        <v>1400.11</v>
      </c>
      <c r="Q701" s="11">
        <v>0.25</v>
      </c>
      <c r="R701">
        <v>9450.74</v>
      </c>
      <c r="S701">
        <v>7798.56</v>
      </c>
      <c r="T701">
        <v>1652.18</v>
      </c>
      <c r="U701" t="s">
        <v>32</v>
      </c>
      <c r="V701" t="s">
        <v>33</v>
      </c>
      <c r="X701" s="8" t="str">
        <f>IF(C701&gt;=B701,"Valid", "Invalid-Date")</f>
        <v>Valid</v>
      </c>
      <c r="Y701" s="8" t="str">
        <f t="shared" si="171"/>
        <v>Valid</v>
      </c>
      <c r="Z701" s="8" t="str">
        <f t="shared" si="172"/>
        <v>Pass</v>
      </c>
      <c r="AA701" s="8" t="str">
        <f t="shared" si="173"/>
        <v>Pass</v>
      </c>
      <c r="AB701" s="8" t="str">
        <f>TEXT(B701,"mmmm")</f>
        <v>June</v>
      </c>
      <c r="AC701" s="8" t="str">
        <f>TEXT(B701,"yyyy")</f>
        <v>2024</v>
      </c>
      <c r="AE701">
        <f t="shared" si="174"/>
        <v>12600.99</v>
      </c>
      <c r="AF701" s="11">
        <f t="shared" si="175"/>
        <v>9450.7425000000003</v>
      </c>
      <c r="AG701">
        <f t="shared" si="176"/>
        <v>4802.4299999999994</v>
      </c>
      <c r="AH701" s="11">
        <f t="shared" si="177"/>
        <v>0.3811152933221913</v>
      </c>
      <c r="AI701" s="9">
        <f t="shared" si="178"/>
        <v>0.3811152933221913</v>
      </c>
      <c r="AJ701">
        <f t="shared" si="179"/>
        <v>9450.74</v>
      </c>
      <c r="AK701">
        <f t="shared" si="180"/>
        <v>1</v>
      </c>
      <c r="AL701">
        <f t="shared" si="181"/>
        <v>0</v>
      </c>
      <c r="AM701">
        <f t="shared" si="182"/>
        <v>0</v>
      </c>
      <c r="AN701">
        <f t="shared" si="183"/>
        <v>0</v>
      </c>
      <c r="AO701">
        <f t="shared" si="184"/>
        <v>0</v>
      </c>
      <c r="AP701">
        <f t="shared" si="185"/>
        <v>0</v>
      </c>
      <c r="AQ701">
        <f t="shared" si="186"/>
        <v>0</v>
      </c>
    </row>
    <row r="702" spans="1:43">
      <c r="A702" t="s">
        <v>2182</v>
      </c>
      <c r="B702" s="5">
        <v>45553</v>
      </c>
      <c r="C702" s="5">
        <v>45556</v>
      </c>
      <c r="D702" s="13">
        <f t="shared" si="170"/>
        <v>3</v>
      </c>
      <c r="E702" t="s">
        <v>2183</v>
      </c>
      <c r="F702" t="s">
        <v>79</v>
      </c>
      <c r="G702" t="s">
        <v>90</v>
      </c>
      <c r="H702" t="s">
        <v>38</v>
      </c>
      <c r="I702" t="s">
        <v>99</v>
      </c>
      <c r="J702" t="s">
        <v>100</v>
      </c>
      <c r="K702" t="s">
        <v>74</v>
      </c>
      <c r="L702" t="s">
        <v>274</v>
      </c>
      <c r="M702" t="s">
        <v>2184</v>
      </c>
      <c r="N702" t="s">
        <v>59</v>
      </c>
      <c r="O702">
        <v>3</v>
      </c>
      <c r="P702">
        <v>3055.9</v>
      </c>
      <c r="Q702" s="11">
        <v>0.15</v>
      </c>
      <c r="R702">
        <v>7792.55</v>
      </c>
      <c r="S702">
        <v>4691.7299999999996</v>
      </c>
      <c r="T702">
        <v>3100.82</v>
      </c>
      <c r="U702" t="s">
        <v>32</v>
      </c>
      <c r="V702" t="s">
        <v>33</v>
      </c>
      <c r="X702" s="8" t="str">
        <f>IF(C702&gt;=B702,"Valid", "Invalid-Date")</f>
        <v>Valid</v>
      </c>
      <c r="Y702" s="8" t="str">
        <f t="shared" si="171"/>
        <v>Valid</v>
      </c>
      <c r="Z702" s="8" t="str">
        <f t="shared" si="172"/>
        <v>Pass</v>
      </c>
      <c r="AA702" s="8" t="str">
        <f t="shared" si="173"/>
        <v>Pass</v>
      </c>
      <c r="AB702" s="8" t="str">
        <f>TEXT(B702,"mmmm")</f>
        <v>September</v>
      </c>
      <c r="AC702" s="8" t="str">
        <f>TEXT(B702,"yyyy")</f>
        <v>2024</v>
      </c>
      <c r="AE702">
        <f t="shared" si="174"/>
        <v>9167.7000000000007</v>
      </c>
      <c r="AF702" s="11">
        <f t="shared" si="175"/>
        <v>7792.5450000000001</v>
      </c>
      <c r="AG702">
        <f t="shared" si="176"/>
        <v>4475.9700000000012</v>
      </c>
      <c r="AH702" s="11">
        <f t="shared" si="177"/>
        <v>0.48823259923426821</v>
      </c>
      <c r="AI702" s="9">
        <f t="shared" si="178"/>
        <v>0.48823259923426821</v>
      </c>
      <c r="AJ702">
        <f t="shared" si="179"/>
        <v>7792.55</v>
      </c>
      <c r="AK702">
        <f t="shared" si="180"/>
        <v>1</v>
      </c>
      <c r="AL702">
        <f t="shared" si="181"/>
        <v>0</v>
      </c>
      <c r="AM702">
        <f t="shared" si="182"/>
        <v>0</v>
      </c>
      <c r="AN702">
        <f t="shared" si="183"/>
        <v>0</v>
      </c>
      <c r="AO702">
        <f t="shared" si="184"/>
        <v>0</v>
      </c>
      <c r="AP702">
        <f t="shared" si="185"/>
        <v>0</v>
      </c>
      <c r="AQ702">
        <f t="shared" si="186"/>
        <v>0</v>
      </c>
    </row>
    <row r="703" spans="1:43">
      <c r="A703" t="s">
        <v>2185</v>
      </c>
      <c r="B703" s="5">
        <v>45412</v>
      </c>
      <c r="C703" s="5">
        <v>45387</v>
      </c>
      <c r="D703" s="13">
        <f t="shared" si="170"/>
        <v>-25</v>
      </c>
      <c r="E703" t="s">
        <v>2186</v>
      </c>
      <c r="F703" t="s">
        <v>141</v>
      </c>
      <c r="G703" t="s">
        <v>37</v>
      </c>
      <c r="H703" t="s">
        <v>63</v>
      </c>
      <c r="I703" t="s">
        <v>180</v>
      </c>
      <c r="J703" t="s">
        <v>181</v>
      </c>
      <c r="K703" t="s">
        <v>28</v>
      </c>
      <c r="L703" t="s">
        <v>48</v>
      </c>
      <c r="M703" t="s">
        <v>2187</v>
      </c>
      <c r="N703" t="s">
        <v>44</v>
      </c>
      <c r="O703">
        <v>7</v>
      </c>
      <c r="P703">
        <v>1224.94</v>
      </c>
      <c r="Q703" s="11">
        <v>0</v>
      </c>
      <c r="R703">
        <v>8574.58</v>
      </c>
      <c r="S703">
        <v>6685.81</v>
      </c>
      <c r="T703">
        <v>1888.77</v>
      </c>
      <c r="U703" t="s">
        <v>32</v>
      </c>
      <c r="V703" t="s">
        <v>103</v>
      </c>
      <c r="X703" s="8" t="str">
        <f>IF(C703&gt;=B703,"Valid", "Invalid-Date")</f>
        <v>Invalid-Date</v>
      </c>
      <c r="Y703" s="8" t="str">
        <f t="shared" si="171"/>
        <v>Valid</v>
      </c>
      <c r="Z703" s="8" t="str">
        <f t="shared" si="172"/>
        <v>Pass</v>
      </c>
      <c r="AA703" s="8" t="str">
        <f t="shared" si="173"/>
        <v>Pass</v>
      </c>
      <c r="AB703" s="8" t="str">
        <f>TEXT(B703,"mmmm")</f>
        <v>April</v>
      </c>
      <c r="AC703" s="8" t="str">
        <f>TEXT(B703,"yyyy")</f>
        <v>2024</v>
      </c>
      <c r="AE703">
        <f t="shared" si="174"/>
        <v>8574.58</v>
      </c>
      <c r="AF703" s="11">
        <f t="shared" si="175"/>
        <v>8574.58</v>
      </c>
      <c r="AG703">
        <f t="shared" si="176"/>
        <v>1888.7699999999995</v>
      </c>
      <c r="AH703" s="11">
        <f t="shared" si="177"/>
        <v>0.22027551203674112</v>
      </c>
      <c r="AI703" s="9">
        <f t="shared" si="178"/>
        <v>0.22027551203674112</v>
      </c>
      <c r="AJ703">
        <f t="shared" si="179"/>
        <v>0</v>
      </c>
      <c r="AK703">
        <f t="shared" si="180"/>
        <v>0</v>
      </c>
      <c r="AL703">
        <f t="shared" si="181"/>
        <v>0</v>
      </c>
      <c r="AM703">
        <f t="shared" si="182"/>
        <v>0</v>
      </c>
      <c r="AN703">
        <f t="shared" si="183"/>
        <v>0</v>
      </c>
      <c r="AO703">
        <f t="shared" si="184"/>
        <v>0</v>
      </c>
      <c r="AP703">
        <f t="shared" si="185"/>
        <v>8574.58</v>
      </c>
      <c r="AQ703">
        <f t="shared" si="186"/>
        <v>1</v>
      </c>
    </row>
    <row r="704" spans="1:43">
      <c r="A704" t="s">
        <v>2188</v>
      </c>
      <c r="B704" s="5">
        <v>45690</v>
      </c>
      <c r="C704" s="5">
        <v>45810</v>
      </c>
      <c r="D704" s="13">
        <f t="shared" si="170"/>
        <v>120</v>
      </c>
      <c r="E704" t="s">
        <v>2189</v>
      </c>
      <c r="F704" t="s">
        <v>23</v>
      </c>
      <c r="G704" t="s">
        <v>37</v>
      </c>
      <c r="H704" t="s">
        <v>63</v>
      </c>
      <c r="I704" t="s">
        <v>26</v>
      </c>
      <c r="J704" t="s">
        <v>109</v>
      </c>
      <c r="K704" t="s">
        <v>41</v>
      </c>
      <c r="L704" t="s">
        <v>42</v>
      </c>
      <c r="M704" t="s">
        <v>2190</v>
      </c>
      <c r="N704" t="s">
        <v>31</v>
      </c>
      <c r="O704">
        <v>3</v>
      </c>
      <c r="P704">
        <v>997.34</v>
      </c>
      <c r="Q704" s="11">
        <v>0.1</v>
      </c>
      <c r="R704">
        <v>2692.82</v>
      </c>
      <c r="S704">
        <v>1820.08</v>
      </c>
      <c r="T704">
        <v>872.74</v>
      </c>
      <c r="U704" t="s">
        <v>32</v>
      </c>
      <c r="V704" t="s">
        <v>33</v>
      </c>
      <c r="X704" s="8" t="str">
        <f>IF(C704&gt;=B704,"Valid", "Invalid-Date")</f>
        <v>Valid</v>
      </c>
      <c r="Y704" s="8" t="str">
        <f t="shared" si="171"/>
        <v>Valid</v>
      </c>
      <c r="Z704" s="8" t="str">
        <f t="shared" si="172"/>
        <v>Pass</v>
      </c>
      <c r="AA704" s="8" t="str">
        <f t="shared" si="173"/>
        <v>Pass</v>
      </c>
      <c r="AB704" s="8" t="str">
        <f>TEXT(B704,"mmmm")</f>
        <v>February</v>
      </c>
      <c r="AC704" s="8" t="str">
        <f>TEXT(B704,"yyyy")</f>
        <v>2025</v>
      </c>
      <c r="AE704">
        <f t="shared" si="174"/>
        <v>2992.02</v>
      </c>
      <c r="AF704" s="11">
        <f t="shared" si="175"/>
        <v>2692.8180000000002</v>
      </c>
      <c r="AG704">
        <f t="shared" si="176"/>
        <v>1171.94</v>
      </c>
      <c r="AH704" s="11">
        <f t="shared" si="177"/>
        <v>0.39168855823156262</v>
      </c>
      <c r="AI704" s="9">
        <f t="shared" si="178"/>
        <v>0.39168855823156262</v>
      </c>
      <c r="AJ704">
        <f t="shared" si="179"/>
        <v>2692.82</v>
      </c>
      <c r="AK704">
        <f t="shared" si="180"/>
        <v>1</v>
      </c>
      <c r="AL704">
        <f t="shared" si="181"/>
        <v>0</v>
      </c>
      <c r="AM704">
        <f t="shared" si="182"/>
        <v>0</v>
      </c>
      <c r="AN704">
        <f t="shared" si="183"/>
        <v>0</v>
      </c>
      <c r="AO704">
        <f t="shared" si="184"/>
        <v>0</v>
      </c>
      <c r="AP704">
        <f t="shared" si="185"/>
        <v>0</v>
      </c>
      <c r="AQ704">
        <f t="shared" si="186"/>
        <v>0</v>
      </c>
    </row>
    <row r="705" spans="1:43">
      <c r="A705" t="s">
        <v>2191</v>
      </c>
      <c r="B705" s="5">
        <v>45584</v>
      </c>
      <c r="C705" s="5">
        <v>45585</v>
      </c>
      <c r="D705" s="13">
        <f t="shared" si="170"/>
        <v>1</v>
      </c>
      <c r="E705" t="s">
        <v>2192</v>
      </c>
      <c r="F705" t="s">
        <v>89</v>
      </c>
      <c r="G705" t="s">
        <v>90</v>
      </c>
      <c r="H705" t="s">
        <v>25</v>
      </c>
      <c r="I705" t="s">
        <v>26</v>
      </c>
      <c r="J705" t="s">
        <v>27</v>
      </c>
      <c r="K705" t="s">
        <v>41</v>
      </c>
      <c r="L705" t="s">
        <v>42</v>
      </c>
      <c r="M705" t="s">
        <v>2193</v>
      </c>
      <c r="N705" t="s">
        <v>50</v>
      </c>
      <c r="O705">
        <v>1</v>
      </c>
      <c r="P705">
        <v>1150.03</v>
      </c>
      <c r="Q705" s="11">
        <v>0.1</v>
      </c>
      <c r="R705">
        <v>1035.03</v>
      </c>
      <c r="S705">
        <v>854.35</v>
      </c>
      <c r="T705">
        <v>180.68</v>
      </c>
      <c r="U705" t="s">
        <v>32</v>
      </c>
      <c r="V705" t="s">
        <v>33</v>
      </c>
      <c r="X705" s="8" t="str">
        <f>IF(C705&gt;=B705,"Valid", "Invalid-Date")</f>
        <v>Valid</v>
      </c>
      <c r="Y705" s="8" t="str">
        <f t="shared" si="171"/>
        <v>Valid</v>
      </c>
      <c r="Z705" s="8" t="str">
        <f t="shared" si="172"/>
        <v>Pass</v>
      </c>
      <c r="AA705" s="8" t="str">
        <f t="shared" si="173"/>
        <v>Pass</v>
      </c>
      <c r="AB705" s="8" t="str">
        <f>TEXT(B705,"mmmm")</f>
        <v>October</v>
      </c>
      <c r="AC705" s="8" t="str">
        <f>TEXT(B705,"yyyy")</f>
        <v>2024</v>
      </c>
      <c r="AE705">
        <f t="shared" si="174"/>
        <v>1150.03</v>
      </c>
      <c r="AF705" s="11">
        <f t="shared" si="175"/>
        <v>1035.027</v>
      </c>
      <c r="AG705">
        <f t="shared" si="176"/>
        <v>295.67999999999995</v>
      </c>
      <c r="AH705" s="11">
        <f t="shared" si="177"/>
        <v>0.25710633635644281</v>
      </c>
      <c r="AI705" s="9">
        <f t="shared" si="178"/>
        <v>0.25710633635644281</v>
      </c>
      <c r="AJ705">
        <f t="shared" si="179"/>
        <v>1035.03</v>
      </c>
      <c r="AK705">
        <f t="shared" si="180"/>
        <v>1</v>
      </c>
      <c r="AL705">
        <f t="shared" si="181"/>
        <v>0</v>
      </c>
      <c r="AM705">
        <f t="shared" si="182"/>
        <v>0</v>
      </c>
      <c r="AN705">
        <f t="shared" si="183"/>
        <v>0</v>
      </c>
      <c r="AO705">
        <f t="shared" si="184"/>
        <v>0</v>
      </c>
      <c r="AP705">
        <f t="shared" si="185"/>
        <v>0</v>
      </c>
      <c r="AQ705">
        <f t="shared" si="186"/>
        <v>0</v>
      </c>
    </row>
    <row r="706" spans="1:43" s="15" customFormat="1">
      <c r="A706" s="15" t="s">
        <v>2194</v>
      </c>
      <c r="B706" s="16">
        <v>45364</v>
      </c>
      <c r="C706" s="16">
        <v>45371</v>
      </c>
      <c r="D706" s="17">
        <f t="shared" si="170"/>
        <v>7</v>
      </c>
      <c r="E706" s="15" t="s">
        <v>2195</v>
      </c>
      <c r="F706" s="15" t="s">
        <v>114</v>
      </c>
      <c r="G706" s="15" t="s">
        <v>95</v>
      </c>
      <c r="H706" s="15" t="s">
        <v>54</v>
      </c>
      <c r="I706" s="15" t="s">
        <v>247</v>
      </c>
      <c r="J706" s="15" t="s">
        <v>248</v>
      </c>
      <c r="K706" s="15" t="s">
        <v>41</v>
      </c>
      <c r="L706" s="15" t="s">
        <v>158</v>
      </c>
      <c r="M706" s="15" t="s">
        <v>2196</v>
      </c>
      <c r="N706" s="15" t="s">
        <v>2785</v>
      </c>
      <c r="O706" s="15">
        <v>1</v>
      </c>
      <c r="P706" s="15">
        <v>2825.63</v>
      </c>
      <c r="Q706" s="18">
        <v>0.15</v>
      </c>
      <c r="R706" s="15">
        <v>2401.79</v>
      </c>
      <c r="S706" s="15">
        <v>1820.34</v>
      </c>
      <c r="T706" s="15">
        <v>581.45000000000005</v>
      </c>
      <c r="U706" s="15" t="s">
        <v>32</v>
      </c>
      <c r="V706" s="15" t="s">
        <v>33</v>
      </c>
      <c r="W706" s="25"/>
      <c r="X706" s="8" t="str">
        <f>IF(C706&gt;=B706,"Valid", "Invalid-Date")</f>
        <v>Valid</v>
      </c>
      <c r="Y706" s="8" t="str">
        <f t="shared" si="171"/>
        <v>Valid</v>
      </c>
      <c r="Z706" s="19" t="str">
        <f t="shared" si="172"/>
        <v>Flagged</v>
      </c>
      <c r="AA706" s="19" t="str">
        <f t="shared" si="173"/>
        <v>Pass</v>
      </c>
      <c r="AB706" s="19" t="str">
        <f>TEXT(B706,"mmmm")</f>
        <v>March</v>
      </c>
      <c r="AC706" s="19" t="str">
        <f>TEXT(B706,"yyyy")</f>
        <v>2024</v>
      </c>
      <c r="AD706" s="20"/>
      <c r="AE706" s="15">
        <f t="shared" si="174"/>
        <v>2825.63</v>
      </c>
      <c r="AF706" s="11">
        <f t="shared" si="175"/>
        <v>2401.7855</v>
      </c>
      <c r="AG706" s="15">
        <f t="shared" si="176"/>
        <v>1005.2900000000002</v>
      </c>
      <c r="AH706" s="18">
        <f t="shared" si="177"/>
        <v>0.35577552616584623</v>
      </c>
      <c r="AI706" s="21">
        <f t="shared" si="178"/>
        <v>0.35577552616584623</v>
      </c>
      <c r="AJ706">
        <f t="shared" si="179"/>
        <v>2401.79</v>
      </c>
      <c r="AK706">
        <f t="shared" si="180"/>
        <v>1</v>
      </c>
      <c r="AL706">
        <f t="shared" si="181"/>
        <v>0</v>
      </c>
      <c r="AM706">
        <f t="shared" si="182"/>
        <v>0</v>
      </c>
      <c r="AN706">
        <f t="shared" si="183"/>
        <v>0</v>
      </c>
      <c r="AO706">
        <f t="shared" si="184"/>
        <v>0</v>
      </c>
      <c r="AP706">
        <f t="shared" si="185"/>
        <v>0</v>
      </c>
      <c r="AQ706">
        <f t="shared" si="186"/>
        <v>0</v>
      </c>
    </row>
    <row r="707" spans="1:43">
      <c r="A707" t="s">
        <v>2197</v>
      </c>
      <c r="B707" s="5">
        <v>45543</v>
      </c>
      <c r="C707" s="5">
        <v>45549</v>
      </c>
      <c r="D707" s="13">
        <f t="shared" ref="D707:D770" si="187">C707-B707</f>
        <v>6</v>
      </c>
      <c r="E707" t="s">
        <v>2198</v>
      </c>
      <c r="F707" t="s">
        <v>141</v>
      </c>
      <c r="G707" t="s">
        <v>24</v>
      </c>
      <c r="H707" t="s">
        <v>25</v>
      </c>
      <c r="I707" t="s">
        <v>26</v>
      </c>
      <c r="J707" t="s">
        <v>27</v>
      </c>
      <c r="K707" t="s">
        <v>28</v>
      </c>
      <c r="L707" t="s">
        <v>153</v>
      </c>
      <c r="M707" t="s">
        <v>2199</v>
      </c>
      <c r="N707" t="s">
        <v>59</v>
      </c>
      <c r="O707">
        <v>5</v>
      </c>
      <c r="P707">
        <v>3371.75</v>
      </c>
      <c r="Q707" s="11">
        <v>0.05</v>
      </c>
      <c r="R707">
        <v>16015.81</v>
      </c>
      <c r="S707">
        <v>11352.38</v>
      </c>
      <c r="T707">
        <v>4663.43</v>
      </c>
      <c r="U707" t="s">
        <v>32</v>
      </c>
      <c r="V707" t="s">
        <v>33</v>
      </c>
      <c r="X707" s="8" t="str">
        <f>IF(C707&gt;=B707,"Valid", "Invalid-Date")</f>
        <v>Valid</v>
      </c>
      <c r="Y707" s="8" t="str">
        <f t="shared" ref="Y707:Y770" si="188">IF(OR(Q707&lt;0, Q707&gt;0.5), "Invalid-Discount", "Valid")</f>
        <v>Valid</v>
      </c>
      <c r="Z707" s="8" t="str">
        <f t="shared" ref="Z707:Z770" si="189">IF(N707="Unknown","Flagged","Pass")</f>
        <v>Pass</v>
      </c>
      <c r="AA707" s="8" t="str">
        <f t="shared" ref="AA707:AA770" si="190">IF(H707="Unknown","Flagged","Pass")</f>
        <v>Pass</v>
      </c>
      <c r="AB707" s="8" t="str">
        <f>TEXT(B707,"mmmm")</f>
        <v>September</v>
      </c>
      <c r="AC707" s="8" t="str">
        <f>TEXT(B707,"yyyy")</f>
        <v>2024</v>
      </c>
      <c r="AE707">
        <f t="shared" ref="AE707:AE770" si="191">O707*P707</f>
        <v>16858.75</v>
      </c>
      <c r="AF707" s="11">
        <f t="shared" ref="AF707:AF770" si="192">AE707*(1-Q707)</f>
        <v>16015.8125</v>
      </c>
      <c r="AG707">
        <f t="shared" ref="AG707:AG770" si="193">AE707-S707</f>
        <v>5506.3700000000008</v>
      </c>
      <c r="AH707" s="11">
        <f t="shared" ref="AH707:AH770" si="194">AG707/AE707</f>
        <v>0.32661792837547271</v>
      </c>
      <c r="AI707" s="9">
        <f t="shared" ref="AI707:AI770" si="195">AG707/AE707</f>
        <v>0.32661792837547271</v>
      </c>
      <c r="AJ707">
        <f t="shared" ref="AJ707:AJ770" si="196">SUMIFS(R707, V707, "Completed", U707, "Paid")</f>
        <v>16015.81</v>
      </c>
      <c r="AK707">
        <f t="shared" ref="AK707:AK770" si="197">COUNTIFS(V707, "Completed", U707, "Paid")</f>
        <v>1</v>
      </c>
      <c r="AL707">
        <f t="shared" ref="AL707:AL770" si="198">SUMIFS(R707, V707, "Cancelled")</f>
        <v>0</v>
      </c>
      <c r="AM707">
        <f t="shared" ref="AM707:AM770" si="199">COUNTIFS(V707, "Cancelled")</f>
        <v>0</v>
      </c>
      <c r="AN707">
        <f t="shared" ref="AN707:AN770" si="200">SUMIFS(R707, U707, "Failed")</f>
        <v>0</v>
      </c>
      <c r="AO707">
        <f t="shared" ref="AO707:AO770" si="201">COUNTIFS(U707, "Failed")</f>
        <v>0</v>
      </c>
      <c r="AP707">
        <f t="shared" ref="AP707:AP770" si="202">SUMIFS(R707, V707, "Returned")</f>
        <v>0</v>
      </c>
      <c r="AQ707">
        <f t="shared" ref="AQ707:AQ770" si="203">COUNTIFS(V707, "Returned")</f>
        <v>0</v>
      </c>
    </row>
    <row r="708" spans="1:43">
      <c r="A708" t="s">
        <v>2200</v>
      </c>
      <c r="B708" s="5">
        <v>45467</v>
      </c>
      <c r="C708" s="5">
        <v>45471</v>
      </c>
      <c r="D708" s="13">
        <f t="shared" si="187"/>
        <v>4</v>
      </c>
      <c r="E708" t="s">
        <v>2201</v>
      </c>
      <c r="F708" t="s">
        <v>47</v>
      </c>
      <c r="G708" t="s">
        <v>37</v>
      </c>
      <c r="H708" t="s">
        <v>38</v>
      </c>
      <c r="I708" t="s">
        <v>39</v>
      </c>
      <c r="J708" t="s">
        <v>40</v>
      </c>
      <c r="K708" t="s">
        <v>28</v>
      </c>
      <c r="L708" t="s">
        <v>29</v>
      </c>
      <c r="M708" t="s">
        <v>2202</v>
      </c>
      <c r="N708" t="s">
        <v>44</v>
      </c>
      <c r="O708">
        <v>1</v>
      </c>
      <c r="P708">
        <v>2112.75</v>
      </c>
      <c r="Q708" s="11">
        <v>0.1</v>
      </c>
      <c r="R708">
        <v>1901.48</v>
      </c>
      <c r="S708">
        <v>1354.28</v>
      </c>
      <c r="T708">
        <v>547.20000000000005</v>
      </c>
      <c r="U708" t="s">
        <v>32</v>
      </c>
      <c r="V708" t="s">
        <v>33</v>
      </c>
      <c r="X708" s="8" t="str">
        <f>IF(C708&gt;=B708,"Valid", "Invalid-Date")</f>
        <v>Valid</v>
      </c>
      <c r="Y708" s="8" t="str">
        <f t="shared" si="188"/>
        <v>Valid</v>
      </c>
      <c r="Z708" s="8" t="str">
        <f t="shared" si="189"/>
        <v>Pass</v>
      </c>
      <c r="AA708" s="8" t="str">
        <f t="shared" si="190"/>
        <v>Pass</v>
      </c>
      <c r="AB708" s="8" t="str">
        <f>TEXT(B708,"mmmm")</f>
        <v>June</v>
      </c>
      <c r="AC708" s="8" t="str">
        <f>TEXT(B708,"yyyy")</f>
        <v>2024</v>
      </c>
      <c r="AE708">
        <f t="shared" si="191"/>
        <v>2112.75</v>
      </c>
      <c r="AF708" s="11">
        <f t="shared" si="192"/>
        <v>1901.4750000000001</v>
      </c>
      <c r="AG708">
        <f t="shared" si="193"/>
        <v>758.47</v>
      </c>
      <c r="AH708" s="11">
        <f t="shared" si="194"/>
        <v>0.35899656845343747</v>
      </c>
      <c r="AI708" s="9">
        <f t="shared" si="195"/>
        <v>0.35899656845343747</v>
      </c>
      <c r="AJ708">
        <f t="shared" si="196"/>
        <v>1901.48</v>
      </c>
      <c r="AK708">
        <f t="shared" si="197"/>
        <v>1</v>
      </c>
      <c r="AL708">
        <f t="shared" si="198"/>
        <v>0</v>
      </c>
      <c r="AM708">
        <f t="shared" si="199"/>
        <v>0</v>
      </c>
      <c r="AN708">
        <f t="shared" si="200"/>
        <v>0</v>
      </c>
      <c r="AO708">
        <f t="shared" si="201"/>
        <v>0</v>
      </c>
      <c r="AP708">
        <f t="shared" si="202"/>
        <v>0</v>
      </c>
      <c r="AQ708">
        <f t="shared" si="203"/>
        <v>0</v>
      </c>
    </row>
    <row r="709" spans="1:43">
      <c r="A709" t="s">
        <v>2203</v>
      </c>
      <c r="B709" s="5">
        <v>45832</v>
      </c>
      <c r="C709" s="5">
        <v>45834</v>
      </c>
      <c r="D709" s="13">
        <f t="shared" si="187"/>
        <v>2</v>
      </c>
      <c r="E709" t="s">
        <v>2204</v>
      </c>
      <c r="F709" t="s">
        <v>71</v>
      </c>
      <c r="G709" t="s">
        <v>24</v>
      </c>
      <c r="H709" t="s">
        <v>25</v>
      </c>
      <c r="I709" t="s">
        <v>26</v>
      </c>
      <c r="J709" t="s">
        <v>27</v>
      </c>
      <c r="K709" t="s">
        <v>74</v>
      </c>
      <c r="L709" t="s">
        <v>75</v>
      </c>
      <c r="M709" t="s">
        <v>2205</v>
      </c>
      <c r="N709" t="s">
        <v>44</v>
      </c>
      <c r="O709">
        <v>5</v>
      </c>
      <c r="P709">
        <v>3722.66</v>
      </c>
      <c r="Q709" s="11">
        <v>0.55000000000000004</v>
      </c>
      <c r="R709">
        <v>16751.97</v>
      </c>
      <c r="S709">
        <v>11678.32</v>
      </c>
      <c r="T709">
        <v>5073.6499999999996</v>
      </c>
      <c r="U709" t="s">
        <v>32</v>
      </c>
      <c r="V709" t="s">
        <v>33</v>
      </c>
      <c r="X709" s="8" t="str">
        <f>IF(C709&gt;=B709,"Valid", "Invalid-Date")</f>
        <v>Valid</v>
      </c>
      <c r="Y709" s="8" t="str">
        <f t="shared" si="188"/>
        <v>Invalid-Discount</v>
      </c>
      <c r="Z709" s="8" t="str">
        <f t="shared" si="189"/>
        <v>Pass</v>
      </c>
      <c r="AA709" s="8" t="str">
        <f t="shared" si="190"/>
        <v>Pass</v>
      </c>
      <c r="AB709" s="8" t="str">
        <f>TEXT(B709,"mmmm")</f>
        <v>June</v>
      </c>
      <c r="AC709" s="8" t="str">
        <f>TEXT(B709,"yyyy")</f>
        <v>2025</v>
      </c>
      <c r="AE709">
        <f t="shared" si="191"/>
        <v>18613.3</v>
      </c>
      <c r="AF709" s="11">
        <f t="shared" si="192"/>
        <v>8375.9849999999988</v>
      </c>
      <c r="AG709">
        <f t="shared" si="193"/>
        <v>6934.98</v>
      </c>
      <c r="AH709" s="11">
        <f t="shared" si="194"/>
        <v>0.37258197095625173</v>
      </c>
      <c r="AI709" s="9">
        <f t="shared" si="195"/>
        <v>0.37258197095625173</v>
      </c>
      <c r="AJ709">
        <f t="shared" si="196"/>
        <v>16751.97</v>
      </c>
      <c r="AK709">
        <f t="shared" si="197"/>
        <v>1</v>
      </c>
      <c r="AL709">
        <f t="shared" si="198"/>
        <v>0</v>
      </c>
      <c r="AM709">
        <f t="shared" si="199"/>
        <v>0</v>
      </c>
      <c r="AN709">
        <f t="shared" si="200"/>
        <v>0</v>
      </c>
      <c r="AO709">
        <f t="shared" si="201"/>
        <v>0</v>
      </c>
      <c r="AP709">
        <f t="shared" si="202"/>
        <v>0</v>
      </c>
      <c r="AQ709">
        <f t="shared" si="203"/>
        <v>0</v>
      </c>
    </row>
    <row r="710" spans="1:43">
      <c r="A710" t="s">
        <v>2206</v>
      </c>
      <c r="B710" s="5">
        <v>45736</v>
      </c>
      <c r="C710" s="5">
        <v>45742</v>
      </c>
      <c r="D710" s="13">
        <f t="shared" si="187"/>
        <v>6</v>
      </c>
      <c r="E710" t="s">
        <v>2207</v>
      </c>
      <c r="F710" t="s">
        <v>132</v>
      </c>
      <c r="G710" t="s">
        <v>24</v>
      </c>
      <c r="H710" t="s">
        <v>38</v>
      </c>
      <c r="I710" t="s">
        <v>166</v>
      </c>
      <c r="J710" t="s">
        <v>167</v>
      </c>
      <c r="K710" t="s">
        <v>41</v>
      </c>
      <c r="L710" t="s">
        <v>158</v>
      </c>
      <c r="M710" t="s">
        <v>2208</v>
      </c>
      <c r="N710" t="s">
        <v>50</v>
      </c>
      <c r="O710">
        <v>4</v>
      </c>
      <c r="P710">
        <v>4357.66</v>
      </c>
      <c r="Q710" s="11">
        <v>0.05</v>
      </c>
      <c r="R710">
        <v>16559.11</v>
      </c>
      <c r="S710">
        <v>13233.79</v>
      </c>
      <c r="T710">
        <v>3325.32</v>
      </c>
      <c r="U710" t="s">
        <v>32</v>
      </c>
      <c r="V710" t="s">
        <v>33</v>
      </c>
      <c r="X710" s="8" t="str">
        <f>IF(C710&gt;=B710,"Valid", "Invalid-Date")</f>
        <v>Valid</v>
      </c>
      <c r="Y710" s="8" t="str">
        <f t="shared" si="188"/>
        <v>Valid</v>
      </c>
      <c r="Z710" s="8" t="str">
        <f t="shared" si="189"/>
        <v>Pass</v>
      </c>
      <c r="AA710" s="8" t="str">
        <f t="shared" si="190"/>
        <v>Pass</v>
      </c>
      <c r="AB710" s="8" t="str">
        <f>TEXT(B710,"mmmm")</f>
        <v>March</v>
      </c>
      <c r="AC710" s="8" t="str">
        <f>TEXT(B710,"yyyy")</f>
        <v>2025</v>
      </c>
      <c r="AE710">
        <f t="shared" si="191"/>
        <v>17430.64</v>
      </c>
      <c r="AF710" s="11">
        <f t="shared" si="192"/>
        <v>16559.108</v>
      </c>
      <c r="AG710">
        <f t="shared" si="193"/>
        <v>4196.8499999999985</v>
      </c>
      <c r="AH710" s="11">
        <f t="shared" si="194"/>
        <v>0.240774291707017</v>
      </c>
      <c r="AI710" s="9">
        <f t="shared" si="195"/>
        <v>0.240774291707017</v>
      </c>
      <c r="AJ710">
        <f t="shared" si="196"/>
        <v>16559.11</v>
      </c>
      <c r="AK710">
        <f t="shared" si="197"/>
        <v>1</v>
      </c>
      <c r="AL710">
        <f t="shared" si="198"/>
        <v>0</v>
      </c>
      <c r="AM710">
        <f t="shared" si="199"/>
        <v>0</v>
      </c>
      <c r="AN710">
        <f t="shared" si="200"/>
        <v>0</v>
      </c>
      <c r="AO710">
        <f t="shared" si="201"/>
        <v>0</v>
      </c>
      <c r="AP710">
        <f t="shared" si="202"/>
        <v>0</v>
      </c>
      <c r="AQ710">
        <f t="shared" si="203"/>
        <v>0</v>
      </c>
    </row>
    <row r="711" spans="1:43">
      <c r="A711" t="s">
        <v>2209</v>
      </c>
      <c r="B711" s="5">
        <v>45676</v>
      </c>
      <c r="C711" s="5">
        <v>45680</v>
      </c>
      <c r="D711" s="13">
        <f t="shared" si="187"/>
        <v>4</v>
      </c>
      <c r="E711" t="s">
        <v>2210</v>
      </c>
      <c r="F711" t="s">
        <v>264</v>
      </c>
      <c r="G711" t="s">
        <v>95</v>
      </c>
      <c r="H711" t="s">
        <v>25</v>
      </c>
      <c r="I711" t="s">
        <v>122</v>
      </c>
      <c r="J711" t="s">
        <v>123</v>
      </c>
      <c r="K711" t="s">
        <v>74</v>
      </c>
      <c r="L711" t="s">
        <v>171</v>
      </c>
      <c r="M711" t="s">
        <v>2211</v>
      </c>
      <c r="N711" t="s">
        <v>44</v>
      </c>
      <c r="O711">
        <v>7</v>
      </c>
      <c r="P711">
        <v>1363.04</v>
      </c>
      <c r="Q711" s="11">
        <v>0.15</v>
      </c>
      <c r="R711">
        <v>8110.09</v>
      </c>
      <c r="S711">
        <v>6417.32</v>
      </c>
      <c r="T711">
        <v>1692.77</v>
      </c>
      <c r="U711" t="s">
        <v>32</v>
      </c>
      <c r="V711" t="s">
        <v>68</v>
      </c>
      <c r="X711" s="8" t="str">
        <f>IF(C711&gt;=B711,"Valid", "Invalid-Date")</f>
        <v>Valid</v>
      </c>
      <c r="Y711" s="8" t="str">
        <f t="shared" si="188"/>
        <v>Valid</v>
      </c>
      <c r="Z711" s="8" t="str">
        <f t="shared" si="189"/>
        <v>Pass</v>
      </c>
      <c r="AA711" s="8" t="str">
        <f t="shared" si="190"/>
        <v>Pass</v>
      </c>
      <c r="AB711" s="8" t="str">
        <f>TEXT(B711,"mmmm")</f>
        <v>January</v>
      </c>
      <c r="AC711" s="8" t="str">
        <f>TEXT(B711,"yyyy")</f>
        <v>2025</v>
      </c>
      <c r="AE711">
        <f t="shared" si="191"/>
        <v>9541.2799999999988</v>
      </c>
      <c r="AF711" s="11">
        <f t="shared" si="192"/>
        <v>8110.0879999999988</v>
      </c>
      <c r="AG711">
        <f t="shared" si="193"/>
        <v>3123.9599999999991</v>
      </c>
      <c r="AH711" s="11">
        <f t="shared" si="194"/>
        <v>0.32741518957624127</v>
      </c>
      <c r="AI711" s="9">
        <f t="shared" si="195"/>
        <v>0.32741518957624127</v>
      </c>
      <c r="AJ711">
        <f t="shared" si="196"/>
        <v>0</v>
      </c>
      <c r="AK711">
        <f t="shared" si="197"/>
        <v>0</v>
      </c>
      <c r="AL711">
        <f t="shared" si="198"/>
        <v>8110.09</v>
      </c>
      <c r="AM711">
        <f t="shared" si="199"/>
        <v>1</v>
      </c>
      <c r="AN711">
        <f t="shared" si="200"/>
        <v>0</v>
      </c>
      <c r="AO711">
        <f t="shared" si="201"/>
        <v>0</v>
      </c>
      <c r="AP711">
        <f t="shared" si="202"/>
        <v>0</v>
      </c>
      <c r="AQ711">
        <f t="shared" si="203"/>
        <v>0</v>
      </c>
    </row>
    <row r="712" spans="1:43">
      <c r="A712" t="s">
        <v>2212</v>
      </c>
      <c r="B712" s="5">
        <v>45633</v>
      </c>
      <c r="C712" s="5">
        <v>45492</v>
      </c>
      <c r="D712" s="13">
        <f t="shared" si="187"/>
        <v>-141</v>
      </c>
      <c r="E712" t="s">
        <v>2213</v>
      </c>
      <c r="F712" t="s">
        <v>71</v>
      </c>
      <c r="G712" t="s">
        <v>90</v>
      </c>
      <c r="H712" t="s">
        <v>25</v>
      </c>
      <c r="I712" t="s">
        <v>122</v>
      </c>
      <c r="J712" t="s">
        <v>123</v>
      </c>
      <c r="K712" t="s">
        <v>28</v>
      </c>
      <c r="L712" t="s">
        <v>48</v>
      </c>
      <c r="M712" t="s">
        <v>2214</v>
      </c>
      <c r="N712" t="s">
        <v>31</v>
      </c>
      <c r="O712">
        <v>5</v>
      </c>
      <c r="P712">
        <v>1559.16</v>
      </c>
      <c r="Q712" s="11">
        <v>0.05</v>
      </c>
      <c r="R712">
        <v>7406.01</v>
      </c>
      <c r="S712">
        <v>5941.74</v>
      </c>
      <c r="T712">
        <v>1464.27</v>
      </c>
      <c r="U712" t="s">
        <v>32</v>
      </c>
      <c r="V712" t="s">
        <v>33</v>
      </c>
      <c r="X712" s="8" t="str">
        <f>IF(C712&gt;=B712,"Valid", "Invalid-Date")</f>
        <v>Invalid-Date</v>
      </c>
      <c r="Y712" s="8" t="str">
        <f t="shared" si="188"/>
        <v>Valid</v>
      </c>
      <c r="Z712" s="8" t="str">
        <f t="shared" si="189"/>
        <v>Pass</v>
      </c>
      <c r="AA712" s="8" t="str">
        <f t="shared" si="190"/>
        <v>Pass</v>
      </c>
      <c r="AB712" s="8" t="str">
        <f>TEXT(B712,"mmmm")</f>
        <v>December</v>
      </c>
      <c r="AC712" s="8" t="str">
        <f>TEXT(B712,"yyyy")</f>
        <v>2024</v>
      </c>
      <c r="AE712">
        <f t="shared" si="191"/>
        <v>7795.8</v>
      </c>
      <c r="AF712" s="11">
        <f t="shared" si="192"/>
        <v>7406.01</v>
      </c>
      <c r="AG712">
        <f t="shared" si="193"/>
        <v>1854.0600000000004</v>
      </c>
      <c r="AH712" s="11">
        <f t="shared" si="194"/>
        <v>0.23782806126375744</v>
      </c>
      <c r="AI712" s="9">
        <f t="shared" si="195"/>
        <v>0.23782806126375744</v>
      </c>
      <c r="AJ712">
        <f t="shared" si="196"/>
        <v>7406.01</v>
      </c>
      <c r="AK712">
        <f t="shared" si="197"/>
        <v>1</v>
      </c>
      <c r="AL712">
        <f t="shared" si="198"/>
        <v>0</v>
      </c>
      <c r="AM712">
        <f t="shared" si="199"/>
        <v>0</v>
      </c>
      <c r="AN712">
        <f t="shared" si="200"/>
        <v>0</v>
      </c>
      <c r="AO712">
        <f t="shared" si="201"/>
        <v>0</v>
      </c>
      <c r="AP712">
        <f t="shared" si="202"/>
        <v>0</v>
      </c>
      <c r="AQ712">
        <f t="shared" si="203"/>
        <v>0</v>
      </c>
    </row>
    <row r="713" spans="1:43">
      <c r="A713" t="s">
        <v>2215</v>
      </c>
      <c r="B713" s="5">
        <v>45690</v>
      </c>
      <c r="C713" s="5">
        <v>45690</v>
      </c>
      <c r="D713" s="13">
        <f t="shared" si="187"/>
        <v>0</v>
      </c>
      <c r="E713" t="s">
        <v>2216</v>
      </c>
      <c r="F713" t="s">
        <v>264</v>
      </c>
      <c r="G713" t="s">
        <v>90</v>
      </c>
      <c r="H713" t="s">
        <v>38</v>
      </c>
      <c r="I713" t="s">
        <v>99</v>
      </c>
      <c r="J713" t="s">
        <v>100</v>
      </c>
      <c r="K713" t="s">
        <v>74</v>
      </c>
      <c r="L713" t="s">
        <v>274</v>
      </c>
      <c r="M713" t="s">
        <v>2217</v>
      </c>
      <c r="N713" t="s">
        <v>50</v>
      </c>
      <c r="O713">
        <v>1</v>
      </c>
      <c r="P713">
        <v>4326.75</v>
      </c>
      <c r="Q713" s="11">
        <v>0.05</v>
      </c>
      <c r="R713">
        <v>4110.41</v>
      </c>
      <c r="S713">
        <v>2394.14</v>
      </c>
      <c r="T713">
        <v>1716.27</v>
      </c>
      <c r="U713" t="s">
        <v>111</v>
      </c>
      <c r="V713" t="s">
        <v>103</v>
      </c>
      <c r="X713" s="8" t="str">
        <f>IF(C713&gt;=B713,"Valid", "Invalid-Date")</f>
        <v>Valid</v>
      </c>
      <c r="Y713" s="8" t="str">
        <f t="shared" si="188"/>
        <v>Valid</v>
      </c>
      <c r="Z713" s="8" t="str">
        <f t="shared" si="189"/>
        <v>Pass</v>
      </c>
      <c r="AA713" s="8" t="str">
        <f t="shared" si="190"/>
        <v>Pass</v>
      </c>
      <c r="AB713" s="8" t="str">
        <f>TEXT(B713,"mmmm")</f>
        <v>February</v>
      </c>
      <c r="AC713" s="8" t="str">
        <f>TEXT(B713,"yyyy")</f>
        <v>2025</v>
      </c>
      <c r="AE713">
        <f t="shared" si="191"/>
        <v>4326.75</v>
      </c>
      <c r="AF713" s="11">
        <f t="shared" si="192"/>
        <v>4110.4124999999995</v>
      </c>
      <c r="AG713">
        <f t="shared" si="193"/>
        <v>1932.6100000000001</v>
      </c>
      <c r="AH713" s="11">
        <f t="shared" si="194"/>
        <v>0.44666551106488706</v>
      </c>
      <c r="AI713" s="9">
        <f t="shared" si="195"/>
        <v>0.44666551106488706</v>
      </c>
      <c r="AJ713">
        <f t="shared" si="196"/>
        <v>0</v>
      </c>
      <c r="AK713">
        <f t="shared" si="197"/>
        <v>0</v>
      </c>
      <c r="AL713">
        <f t="shared" si="198"/>
        <v>0</v>
      </c>
      <c r="AM713">
        <f t="shared" si="199"/>
        <v>0</v>
      </c>
      <c r="AN713">
        <f t="shared" si="200"/>
        <v>0</v>
      </c>
      <c r="AO713">
        <f t="shared" si="201"/>
        <v>0</v>
      </c>
      <c r="AP713">
        <f t="shared" si="202"/>
        <v>4110.41</v>
      </c>
      <c r="AQ713">
        <f t="shared" si="203"/>
        <v>1</v>
      </c>
    </row>
    <row r="714" spans="1:43" s="15" customFormat="1">
      <c r="A714" s="15" t="s">
        <v>2218</v>
      </c>
      <c r="B714" s="16">
        <v>45332</v>
      </c>
      <c r="C714" s="16">
        <v>45340</v>
      </c>
      <c r="D714" s="17">
        <f t="shared" si="187"/>
        <v>8</v>
      </c>
      <c r="E714" s="15" t="s">
        <v>2219</v>
      </c>
      <c r="F714" s="15" t="s">
        <v>47</v>
      </c>
      <c r="G714" s="15" t="s">
        <v>95</v>
      </c>
      <c r="H714" s="15" t="s">
        <v>63</v>
      </c>
      <c r="I714" s="15" t="s">
        <v>72</v>
      </c>
      <c r="J714" s="15" t="s">
        <v>73</v>
      </c>
      <c r="K714" s="15" t="s">
        <v>41</v>
      </c>
      <c r="L714" s="15" t="s">
        <v>66</v>
      </c>
      <c r="M714" s="15" t="s">
        <v>2220</v>
      </c>
      <c r="N714" s="15" t="s">
        <v>50</v>
      </c>
      <c r="O714" s="15">
        <v>7</v>
      </c>
      <c r="P714" s="15">
        <v>1382.86</v>
      </c>
      <c r="Q714" s="18">
        <v>0</v>
      </c>
      <c r="R714" s="15">
        <v>9680.02</v>
      </c>
      <c r="S714" s="15">
        <v>6876.66</v>
      </c>
      <c r="T714" s="15">
        <v>2803.36</v>
      </c>
      <c r="U714" s="15" t="s">
        <v>32</v>
      </c>
      <c r="V714" s="15" t="s">
        <v>33</v>
      </c>
      <c r="W714" s="25"/>
      <c r="X714" s="8" t="str">
        <f>IF(C714&gt;=B714,"Valid", "Invalid-Date")</f>
        <v>Valid</v>
      </c>
      <c r="Y714" s="8" t="str">
        <f t="shared" si="188"/>
        <v>Valid</v>
      </c>
      <c r="Z714" s="19" t="str">
        <f t="shared" si="189"/>
        <v>Pass</v>
      </c>
      <c r="AA714" s="19" t="str">
        <f t="shared" si="190"/>
        <v>Pass</v>
      </c>
      <c r="AB714" s="19" t="str">
        <f>TEXT(B714,"mmmm")</f>
        <v>February</v>
      </c>
      <c r="AC714" s="19" t="str">
        <f>TEXT(B714,"yyyy")</f>
        <v>2024</v>
      </c>
      <c r="AD714" s="20"/>
      <c r="AE714" s="15">
        <f t="shared" si="191"/>
        <v>9680.0199999999986</v>
      </c>
      <c r="AF714" s="11">
        <f t="shared" si="192"/>
        <v>9680.0199999999986</v>
      </c>
      <c r="AG714" s="15">
        <f t="shared" si="193"/>
        <v>2803.3599999999988</v>
      </c>
      <c r="AH714" s="18">
        <f t="shared" si="194"/>
        <v>0.28960270743242256</v>
      </c>
      <c r="AI714" s="21">
        <f t="shared" si="195"/>
        <v>0.28960270743242256</v>
      </c>
      <c r="AJ714">
        <f t="shared" si="196"/>
        <v>9680.02</v>
      </c>
      <c r="AK714">
        <f t="shared" si="197"/>
        <v>1</v>
      </c>
      <c r="AL714">
        <f t="shared" si="198"/>
        <v>0</v>
      </c>
      <c r="AM714">
        <f t="shared" si="199"/>
        <v>0</v>
      </c>
      <c r="AN714">
        <f t="shared" si="200"/>
        <v>0</v>
      </c>
      <c r="AO714">
        <f t="shared" si="201"/>
        <v>0</v>
      </c>
      <c r="AP714">
        <f t="shared" si="202"/>
        <v>0</v>
      </c>
      <c r="AQ714">
        <f t="shared" si="203"/>
        <v>0</v>
      </c>
    </row>
    <row r="715" spans="1:43">
      <c r="A715" t="s">
        <v>2221</v>
      </c>
      <c r="B715" s="5">
        <v>45814</v>
      </c>
      <c r="C715" s="5">
        <v>45936</v>
      </c>
      <c r="D715" s="13">
        <f t="shared" si="187"/>
        <v>122</v>
      </c>
      <c r="E715" t="s">
        <v>598</v>
      </c>
      <c r="F715" t="s">
        <v>36</v>
      </c>
      <c r="G715" t="s">
        <v>24</v>
      </c>
      <c r="H715" t="s">
        <v>63</v>
      </c>
      <c r="I715" t="s">
        <v>26</v>
      </c>
      <c r="J715" t="s">
        <v>109</v>
      </c>
      <c r="K715" t="s">
        <v>74</v>
      </c>
      <c r="L715" t="s">
        <v>274</v>
      </c>
      <c r="M715" t="s">
        <v>2222</v>
      </c>
      <c r="N715" t="s">
        <v>31</v>
      </c>
      <c r="O715">
        <v>1</v>
      </c>
      <c r="P715">
        <v>289.97000000000003</v>
      </c>
      <c r="Q715" s="11">
        <v>0.25</v>
      </c>
      <c r="R715">
        <v>217.48</v>
      </c>
      <c r="S715">
        <v>132.13</v>
      </c>
      <c r="T715">
        <v>85.35</v>
      </c>
      <c r="U715" t="s">
        <v>32</v>
      </c>
      <c r="V715" t="s">
        <v>33</v>
      </c>
      <c r="X715" s="8" t="str">
        <f>IF(C715&gt;=B715,"Valid", "Invalid-Date")</f>
        <v>Valid</v>
      </c>
      <c r="Y715" s="8" t="str">
        <f t="shared" si="188"/>
        <v>Valid</v>
      </c>
      <c r="Z715" s="8" t="str">
        <f t="shared" si="189"/>
        <v>Pass</v>
      </c>
      <c r="AA715" s="8" t="str">
        <f t="shared" si="190"/>
        <v>Pass</v>
      </c>
      <c r="AB715" s="8" t="str">
        <f>TEXT(B715,"mmmm")</f>
        <v>June</v>
      </c>
      <c r="AC715" s="8" t="str">
        <f>TEXT(B715,"yyyy")</f>
        <v>2025</v>
      </c>
      <c r="AE715">
        <f t="shared" si="191"/>
        <v>289.97000000000003</v>
      </c>
      <c r="AF715" s="11">
        <f t="shared" si="192"/>
        <v>217.47750000000002</v>
      </c>
      <c r="AG715">
        <f t="shared" si="193"/>
        <v>157.84000000000003</v>
      </c>
      <c r="AH715" s="11">
        <f t="shared" si="194"/>
        <v>0.54433217229368558</v>
      </c>
      <c r="AI715" s="9">
        <f t="shared" si="195"/>
        <v>0.54433217229368558</v>
      </c>
      <c r="AJ715">
        <f t="shared" si="196"/>
        <v>217.48</v>
      </c>
      <c r="AK715">
        <f t="shared" si="197"/>
        <v>1</v>
      </c>
      <c r="AL715">
        <f t="shared" si="198"/>
        <v>0</v>
      </c>
      <c r="AM715">
        <f t="shared" si="199"/>
        <v>0</v>
      </c>
      <c r="AN715">
        <f t="shared" si="200"/>
        <v>0</v>
      </c>
      <c r="AO715">
        <f t="shared" si="201"/>
        <v>0</v>
      </c>
      <c r="AP715">
        <f t="shared" si="202"/>
        <v>0</v>
      </c>
      <c r="AQ715">
        <f t="shared" si="203"/>
        <v>0</v>
      </c>
    </row>
    <row r="716" spans="1:43">
      <c r="A716" t="s">
        <v>2223</v>
      </c>
      <c r="B716" s="5">
        <v>45738</v>
      </c>
      <c r="C716" s="5">
        <v>45739</v>
      </c>
      <c r="D716" s="13">
        <f t="shared" si="187"/>
        <v>1</v>
      </c>
      <c r="E716" t="s">
        <v>2224</v>
      </c>
      <c r="F716" t="s">
        <v>23</v>
      </c>
      <c r="G716" t="s">
        <v>95</v>
      </c>
      <c r="H716" t="s">
        <v>25</v>
      </c>
      <c r="I716" t="s">
        <v>350</v>
      </c>
      <c r="J716" t="s">
        <v>351</v>
      </c>
      <c r="K716" t="s">
        <v>74</v>
      </c>
      <c r="L716" t="s">
        <v>80</v>
      </c>
      <c r="M716" t="s">
        <v>2225</v>
      </c>
      <c r="N716" t="s">
        <v>59</v>
      </c>
      <c r="O716">
        <v>9</v>
      </c>
      <c r="P716">
        <v>2075.02</v>
      </c>
      <c r="Q716" s="11">
        <v>0</v>
      </c>
      <c r="R716">
        <v>18675.18</v>
      </c>
      <c r="S716">
        <v>13974.7</v>
      </c>
      <c r="T716">
        <v>4700.4799999999996</v>
      </c>
      <c r="U716" t="s">
        <v>32</v>
      </c>
      <c r="V716" t="s">
        <v>33</v>
      </c>
      <c r="X716" s="8" t="str">
        <f>IF(C716&gt;=B716,"Valid", "Invalid-Date")</f>
        <v>Valid</v>
      </c>
      <c r="Y716" s="8" t="str">
        <f t="shared" si="188"/>
        <v>Valid</v>
      </c>
      <c r="Z716" s="8" t="str">
        <f t="shared" si="189"/>
        <v>Pass</v>
      </c>
      <c r="AA716" s="8" t="str">
        <f t="shared" si="190"/>
        <v>Pass</v>
      </c>
      <c r="AB716" s="8" t="str">
        <f>TEXT(B716,"mmmm")</f>
        <v>March</v>
      </c>
      <c r="AC716" s="8" t="str">
        <f>TEXT(B716,"yyyy")</f>
        <v>2025</v>
      </c>
      <c r="AE716">
        <f t="shared" si="191"/>
        <v>18675.18</v>
      </c>
      <c r="AF716" s="11">
        <f t="shared" si="192"/>
        <v>18675.18</v>
      </c>
      <c r="AG716">
        <f t="shared" si="193"/>
        <v>4700.4799999999996</v>
      </c>
      <c r="AH716" s="11">
        <f t="shared" si="194"/>
        <v>0.25169663692665878</v>
      </c>
      <c r="AI716" s="9">
        <f t="shared" si="195"/>
        <v>0.25169663692665878</v>
      </c>
      <c r="AJ716">
        <f t="shared" si="196"/>
        <v>18675.18</v>
      </c>
      <c r="AK716">
        <f t="shared" si="197"/>
        <v>1</v>
      </c>
      <c r="AL716">
        <f t="shared" si="198"/>
        <v>0</v>
      </c>
      <c r="AM716">
        <f t="shared" si="199"/>
        <v>0</v>
      </c>
      <c r="AN716">
        <f t="shared" si="200"/>
        <v>0</v>
      </c>
      <c r="AO716">
        <f t="shared" si="201"/>
        <v>0</v>
      </c>
      <c r="AP716">
        <f t="shared" si="202"/>
        <v>0</v>
      </c>
      <c r="AQ716">
        <f t="shared" si="203"/>
        <v>0</v>
      </c>
    </row>
    <row r="717" spans="1:43">
      <c r="A717" t="s">
        <v>2226</v>
      </c>
      <c r="B717" s="5">
        <v>45891</v>
      </c>
      <c r="C717" s="5">
        <v>45896</v>
      </c>
      <c r="D717" s="13">
        <f t="shared" si="187"/>
        <v>5</v>
      </c>
      <c r="E717" t="s">
        <v>2227</v>
      </c>
      <c r="F717" t="s">
        <v>114</v>
      </c>
      <c r="G717" t="s">
        <v>24</v>
      </c>
      <c r="H717" t="s">
        <v>25</v>
      </c>
      <c r="I717" t="s">
        <v>236</v>
      </c>
      <c r="J717" t="s">
        <v>237</v>
      </c>
      <c r="K717" t="s">
        <v>41</v>
      </c>
      <c r="L717" t="s">
        <v>66</v>
      </c>
      <c r="M717" t="s">
        <v>2228</v>
      </c>
      <c r="N717" t="s">
        <v>31</v>
      </c>
      <c r="O717">
        <v>7</v>
      </c>
      <c r="P717">
        <v>2843.09</v>
      </c>
      <c r="Q717" s="11">
        <v>0</v>
      </c>
      <c r="R717">
        <v>19901.63</v>
      </c>
      <c r="S717">
        <v>15492.03</v>
      </c>
      <c r="T717">
        <v>4409.6000000000004</v>
      </c>
      <c r="U717" t="s">
        <v>102</v>
      </c>
      <c r="V717" t="s">
        <v>68</v>
      </c>
      <c r="X717" s="8" t="str">
        <f>IF(C717&gt;=B717,"Valid", "Invalid-Date")</f>
        <v>Valid</v>
      </c>
      <c r="Y717" s="8" t="str">
        <f t="shared" si="188"/>
        <v>Valid</v>
      </c>
      <c r="Z717" s="8" t="str">
        <f t="shared" si="189"/>
        <v>Pass</v>
      </c>
      <c r="AA717" s="8" t="str">
        <f t="shared" si="190"/>
        <v>Pass</v>
      </c>
      <c r="AB717" s="8" t="str">
        <f>TEXT(B717,"mmmm")</f>
        <v>August</v>
      </c>
      <c r="AC717" s="8" t="str">
        <f>TEXT(B717,"yyyy")</f>
        <v>2025</v>
      </c>
      <c r="AE717">
        <f t="shared" si="191"/>
        <v>19901.63</v>
      </c>
      <c r="AF717" s="11">
        <f t="shared" si="192"/>
        <v>19901.63</v>
      </c>
      <c r="AG717">
        <f t="shared" si="193"/>
        <v>4409.6000000000004</v>
      </c>
      <c r="AH717" s="11">
        <f t="shared" si="194"/>
        <v>0.22156979101711771</v>
      </c>
      <c r="AI717" s="9">
        <f t="shared" si="195"/>
        <v>0.22156979101711771</v>
      </c>
      <c r="AJ717">
        <f t="shared" si="196"/>
        <v>0</v>
      </c>
      <c r="AK717">
        <f t="shared" si="197"/>
        <v>0</v>
      </c>
      <c r="AL717">
        <f t="shared" si="198"/>
        <v>19901.63</v>
      </c>
      <c r="AM717">
        <f t="shared" si="199"/>
        <v>1</v>
      </c>
      <c r="AN717">
        <f t="shared" si="200"/>
        <v>0</v>
      </c>
      <c r="AO717">
        <f t="shared" si="201"/>
        <v>0</v>
      </c>
      <c r="AP717">
        <f t="shared" si="202"/>
        <v>0</v>
      </c>
      <c r="AQ717">
        <f t="shared" si="203"/>
        <v>0</v>
      </c>
    </row>
    <row r="718" spans="1:43">
      <c r="A718" t="s">
        <v>2229</v>
      </c>
      <c r="B718" s="5">
        <v>45895</v>
      </c>
      <c r="C718" s="5">
        <v>45900</v>
      </c>
      <c r="D718" s="13">
        <f t="shared" si="187"/>
        <v>5</v>
      </c>
      <c r="E718" t="s">
        <v>2230</v>
      </c>
      <c r="F718" t="s">
        <v>162</v>
      </c>
      <c r="G718" t="s">
        <v>37</v>
      </c>
      <c r="H718" t="s">
        <v>25</v>
      </c>
      <c r="I718" t="s">
        <v>236</v>
      </c>
      <c r="J718" t="s">
        <v>237</v>
      </c>
      <c r="K718" t="s">
        <v>74</v>
      </c>
      <c r="L718" t="s">
        <v>171</v>
      </c>
      <c r="M718" t="s">
        <v>2231</v>
      </c>
      <c r="N718" t="s">
        <v>50</v>
      </c>
      <c r="O718">
        <v>1</v>
      </c>
      <c r="P718">
        <v>3388.02</v>
      </c>
      <c r="Q718" s="11">
        <v>0.15</v>
      </c>
      <c r="R718">
        <v>2879.82</v>
      </c>
      <c r="S718">
        <v>1824.88</v>
      </c>
      <c r="T718">
        <v>1054.94</v>
      </c>
      <c r="U718" t="s">
        <v>32</v>
      </c>
      <c r="V718" t="s">
        <v>33</v>
      </c>
      <c r="X718" s="8" t="str">
        <f>IF(C718&gt;=B718,"Valid", "Invalid-Date")</f>
        <v>Valid</v>
      </c>
      <c r="Y718" s="8" t="str">
        <f t="shared" si="188"/>
        <v>Valid</v>
      </c>
      <c r="Z718" s="8" t="str">
        <f t="shared" si="189"/>
        <v>Pass</v>
      </c>
      <c r="AA718" s="8" t="str">
        <f t="shared" si="190"/>
        <v>Pass</v>
      </c>
      <c r="AB718" s="8" t="str">
        <f>TEXT(B718,"mmmm")</f>
        <v>August</v>
      </c>
      <c r="AC718" s="8" t="str">
        <f>TEXT(B718,"yyyy")</f>
        <v>2025</v>
      </c>
      <c r="AE718">
        <f t="shared" si="191"/>
        <v>3388.02</v>
      </c>
      <c r="AF718" s="11">
        <f t="shared" si="192"/>
        <v>2879.817</v>
      </c>
      <c r="AG718">
        <f t="shared" si="193"/>
        <v>1563.1399999999999</v>
      </c>
      <c r="AH718" s="11">
        <f t="shared" si="194"/>
        <v>0.46137271916930828</v>
      </c>
      <c r="AI718" s="9">
        <f t="shared" si="195"/>
        <v>0.46137271916930828</v>
      </c>
      <c r="AJ718">
        <f t="shared" si="196"/>
        <v>2879.82</v>
      </c>
      <c r="AK718">
        <f t="shared" si="197"/>
        <v>1</v>
      </c>
      <c r="AL718">
        <f t="shared" si="198"/>
        <v>0</v>
      </c>
      <c r="AM718">
        <f t="shared" si="199"/>
        <v>0</v>
      </c>
      <c r="AN718">
        <f t="shared" si="200"/>
        <v>0</v>
      </c>
      <c r="AO718">
        <f t="shared" si="201"/>
        <v>0</v>
      </c>
      <c r="AP718">
        <f t="shared" si="202"/>
        <v>0</v>
      </c>
      <c r="AQ718">
        <f t="shared" si="203"/>
        <v>0</v>
      </c>
    </row>
    <row r="719" spans="1:43">
      <c r="A719" t="s">
        <v>2232</v>
      </c>
      <c r="B719" s="5">
        <v>45942</v>
      </c>
      <c r="C719" s="5">
        <v>45945</v>
      </c>
      <c r="D719" s="13">
        <f t="shared" si="187"/>
        <v>3</v>
      </c>
      <c r="E719" t="s">
        <v>2233</v>
      </c>
      <c r="F719" t="s">
        <v>264</v>
      </c>
      <c r="G719" t="s">
        <v>37</v>
      </c>
      <c r="H719" t="s">
        <v>25</v>
      </c>
      <c r="I719" t="s">
        <v>236</v>
      </c>
      <c r="J719" t="s">
        <v>237</v>
      </c>
      <c r="K719" t="s">
        <v>74</v>
      </c>
      <c r="L719" t="s">
        <v>274</v>
      </c>
      <c r="M719" t="s">
        <v>2234</v>
      </c>
      <c r="N719" t="s">
        <v>59</v>
      </c>
      <c r="O719">
        <v>9</v>
      </c>
      <c r="P719">
        <v>2598.92</v>
      </c>
      <c r="Q719" s="11">
        <v>0.2</v>
      </c>
      <c r="R719">
        <v>18712.22</v>
      </c>
      <c r="S719">
        <v>11852.22</v>
      </c>
      <c r="T719">
        <v>6860</v>
      </c>
      <c r="U719" t="s">
        <v>111</v>
      </c>
      <c r="V719" t="s">
        <v>68</v>
      </c>
      <c r="X719" s="8" t="str">
        <f>IF(C719&gt;=B719,"Valid", "Invalid-Date")</f>
        <v>Valid</v>
      </c>
      <c r="Y719" s="8" t="str">
        <f t="shared" si="188"/>
        <v>Valid</v>
      </c>
      <c r="Z719" s="8" t="str">
        <f t="shared" si="189"/>
        <v>Pass</v>
      </c>
      <c r="AA719" s="8" t="str">
        <f t="shared" si="190"/>
        <v>Pass</v>
      </c>
      <c r="AB719" s="8" t="str">
        <f>TEXT(B719,"mmmm")</f>
        <v>October</v>
      </c>
      <c r="AC719" s="8" t="str">
        <f>TEXT(B719,"yyyy")</f>
        <v>2025</v>
      </c>
      <c r="AE719">
        <f t="shared" si="191"/>
        <v>23390.28</v>
      </c>
      <c r="AF719" s="11">
        <f t="shared" si="192"/>
        <v>18712.223999999998</v>
      </c>
      <c r="AG719">
        <f t="shared" si="193"/>
        <v>11538.06</v>
      </c>
      <c r="AH719" s="11">
        <f t="shared" si="194"/>
        <v>0.49328438992607188</v>
      </c>
      <c r="AI719" s="9">
        <f t="shared" si="195"/>
        <v>0.49328438992607188</v>
      </c>
      <c r="AJ719">
        <f t="shared" si="196"/>
        <v>0</v>
      </c>
      <c r="AK719">
        <f t="shared" si="197"/>
        <v>0</v>
      </c>
      <c r="AL719">
        <f t="shared" si="198"/>
        <v>18712.22</v>
      </c>
      <c r="AM719">
        <f t="shared" si="199"/>
        <v>1</v>
      </c>
      <c r="AN719">
        <f t="shared" si="200"/>
        <v>0</v>
      </c>
      <c r="AO719">
        <f t="shared" si="201"/>
        <v>0</v>
      </c>
      <c r="AP719">
        <f t="shared" si="202"/>
        <v>0</v>
      </c>
      <c r="AQ719">
        <f t="shared" si="203"/>
        <v>0</v>
      </c>
    </row>
    <row r="720" spans="1:43">
      <c r="A720" t="s">
        <v>2235</v>
      </c>
      <c r="B720" s="5">
        <v>45541</v>
      </c>
      <c r="C720" s="5">
        <v>45544</v>
      </c>
      <c r="D720" s="13">
        <f t="shared" si="187"/>
        <v>3</v>
      </c>
      <c r="E720" t="s">
        <v>2236</v>
      </c>
      <c r="F720" t="s">
        <v>36</v>
      </c>
      <c r="G720" t="s">
        <v>24</v>
      </c>
      <c r="H720" t="s">
        <v>63</v>
      </c>
      <c r="I720" t="s">
        <v>64</v>
      </c>
      <c r="J720" t="s">
        <v>65</v>
      </c>
      <c r="K720" t="s">
        <v>28</v>
      </c>
      <c r="L720" t="s">
        <v>48</v>
      </c>
      <c r="M720" t="s">
        <v>2237</v>
      </c>
      <c r="N720" t="s">
        <v>44</v>
      </c>
      <c r="O720">
        <v>3</v>
      </c>
      <c r="P720">
        <v>1972.27</v>
      </c>
      <c r="Q720" s="11">
        <v>0.2</v>
      </c>
      <c r="R720">
        <v>4733.45</v>
      </c>
      <c r="S720">
        <v>3672.32</v>
      </c>
      <c r="T720">
        <v>1061.1300000000001</v>
      </c>
      <c r="U720" t="s">
        <v>32</v>
      </c>
      <c r="V720" t="s">
        <v>33</v>
      </c>
      <c r="X720" s="8" t="str">
        <f>IF(C720&gt;=B720,"Valid", "Invalid-Date")</f>
        <v>Valid</v>
      </c>
      <c r="Y720" s="8" t="str">
        <f t="shared" si="188"/>
        <v>Valid</v>
      </c>
      <c r="Z720" s="8" t="str">
        <f t="shared" si="189"/>
        <v>Pass</v>
      </c>
      <c r="AA720" s="8" t="str">
        <f t="shared" si="190"/>
        <v>Pass</v>
      </c>
      <c r="AB720" s="8" t="str">
        <f>TEXT(B720,"mmmm")</f>
        <v>September</v>
      </c>
      <c r="AC720" s="8" t="str">
        <f>TEXT(B720,"yyyy")</f>
        <v>2024</v>
      </c>
      <c r="AE720">
        <f t="shared" si="191"/>
        <v>5916.8099999999995</v>
      </c>
      <c r="AF720" s="11">
        <f t="shared" si="192"/>
        <v>4733.4479999999994</v>
      </c>
      <c r="AG720">
        <f t="shared" si="193"/>
        <v>2244.4899999999993</v>
      </c>
      <c r="AH720" s="11">
        <f t="shared" si="194"/>
        <v>0.37934123286027427</v>
      </c>
      <c r="AI720" s="9">
        <f t="shared" si="195"/>
        <v>0.37934123286027427</v>
      </c>
      <c r="AJ720">
        <f t="shared" si="196"/>
        <v>4733.45</v>
      </c>
      <c r="AK720">
        <f t="shared" si="197"/>
        <v>1</v>
      </c>
      <c r="AL720">
        <f t="shared" si="198"/>
        <v>0</v>
      </c>
      <c r="AM720">
        <f t="shared" si="199"/>
        <v>0</v>
      </c>
      <c r="AN720">
        <f t="shared" si="200"/>
        <v>0</v>
      </c>
      <c r="AO720">
        <f t="shared" si="201"/>
        <v>0</v>
      </c>
      <c r="AP720">
        <f t="shared" si="202"/>
        <v>0</v>
      </c>
      <c r="AQ720">
        <f t="shared" si="203"/>
        <v>0</v>
      </c>
    </row>
    <row r="721" spans="1:43">
      <c r="A721" t="s">
        <v>2238</v>
      </c>
      <c r="B721" s="5">
        <v>45908</v>
      </c>
      <c r="C721" s="5">
        <v>45909</v>
      </c>
      <c r="D721" s="13">
        <f t="shared" si="187"/>
        <v>1</v>
      </c>
      <c r="E721" t="s">
        <v>144</v>
      </c>
      <c r="F721" t="s">
        <v>264</v>
      </c>
      <c r="G721" t="s">
        <v>90</v>
      </c>
      <c r="H721" t="s">
        <v>63</v>
      </c>
      <c r="I721" t="s">
        <v>180</v>
      </c>
      <c r="J721" t="s">
        <v>181</v>
      </c>
      <c r="K721" t="s">
        <v>28</v>
      </c>
      <c r="L721" t="s">
        <v>48</v>
      </c>
      <c r="M721" t="s">
        <v>2239</v>
      </c>
      <c r="N721" t="s">
        <v>44</v>
      </c>
      <c r="O721">
        <v>2</v>
      </c>
      <c r="P721">
        <v>2372.41</v>
      </c>
      <c r="Q721" s="11">
        <v>0.2</v>
      </c>
      <c r="R721">
        <v>3795.86</v>
      </c>
      <c r="S721">
        <v>2264.92</v>
      </c>
      <c r="T721">
        <v>1530.94</v>
      </c>
      <c r="U721" t="s">
        <v>32</v>
      </c>
      <c r="V721" t="s">
        <v>33</v>
      </c>
      <c r="X721" s="8" t="str">
        <f>IF(C721&gt;=B721,"Valid", "Invalid-Date")</f>
        <v>Valid</v>
      </c>
      <c r="Y721" s="8" t="str">
        <f t="shared" si="188"/>
        <v>Valid</v>
      </c>
      <c r="Z721" s="8" t="str">
        <f t="shared" si="189"/>
        <v>Pass</v>
      </c>
      <c r="AA721" s="8" t="str">
        <f t="shared" si="190"/>
        <v>Pass</v>
      </c>
      <c r="AB721" s="8" t="str">
        <f>TEXT(B721,"mmmm")</f>
        <v>September</v>
      </c>
      <c r="AC721" s="8" t="str">
        <f>TEXT(B721,"yyyy")</f>
        <v>2025</v>
      </c>
      <c r="AE721">
        <f t="shared" si="191"/>
        <v>4744.82</v>
      </c>
      <c r="AF721" s="11">
        <f t="shared" si="192"/>
        <v>3795.8559999999998</v>
      </c>
      <c r="AG721">
        <f t="shared" si="193"/>
        <v>2479.8999999999996</v>
      </c>
      <c r="AH721" s="11">
        <f t="shared" si="194"/>
        <v>0.52265417866220421</v>
      </c>
      <c r="AI721" s="9">
        <f t="shared" si="195"/>
        <v>0.52265417866220421</v>
      </c>
      <c r="AJ721">
        <f t="shared" si="196"/>
        <v>3795.86</v>
      </c>
      <c r="AK721">
        <f t="shared" si="197"/>
        <v>1</v>
      </c>
      <c r="AL721">
        <f t="shared" si="198"/>
        <v>0</v>
      </c>
      <c r="AM721">
        <f t="shared" si="199"/>
        <v>0</v>
      </c>
      <c r="AN721">
        <f t="shared" si="200"/>
        <v>0</v>
      </c>
      <c r="AO721">
        <f t="shared" si="201"/>
        <v>0</v>
      </c>
      <c r="AP721">
        <f t="shared" si="202"/>
        <v>0</v>
      </c>
      <c r="AQ721">
        <f t="shared" si="203"/>
        <v>0</v>
      </c>
    </row>
    <row r="722" spans="1:43">
      <c r="A722" t="s">
        <v>2240</v>
      </c>
      <c r="B722" s="5">
        <v>45489</v>
      </c>
      <c r="C722" s="5">
        <v>45489</v>
      </c>
      <c r="D722" s="13">
        <f t="shared" si="187"/>
        <v>0</v>
      </c>
      <c r="E722" t="s">
        <v>2241</v>
      </c>
      <c r="F722" t="s">
        <v>89</v>
      </c>
      <c r="G722" t="s">
        <v>95</v>
      </c>
      <c r="H722" t="s">
        <v>63</v>
      </c>
      <c r="I722" t="s">
        <v>72</v>
      </c>
      <c r="J722" t="s">
        <v>73</v>
      </c>
      <c r="K722" t="s">
        <v>74</v>
      </c>
      <c r="L722" t="s">
        <v>80</v>
      </c>
      <c r="M722" t="s">
        <v>2242</v>
      </c>
      <c r="N722" t="s">
        <v>44</v>
      </c>
      <c r="O722">
        <v>4</v>
      </c>
      <c r="P722">
        <v>4479.92</v>
      </c>
      <c r="Q722" s="11">
        <v>0.15</v>
      </c>
      <c r="R722">
        <v>15231.73</v>
      </c>
      <c r="S722">
        <v>12451.46</v>
      </c>
      <c r="T722">
        <v>2780.27</v>
      </c>
      <c r="U722" t="s">
        <v>32</v>
      </c>
      <c r="V722" t="s">
        <v>33</v>
      </c>
      <c r="X722" s="8" t="str">
        <f>IF(C722&gt;=B722,"Valid", "Invalid-Date")</f>
        <v>Valid</v>
      </c>
      <c r="Y722" s="8" t="str">
        <f t="shared" si="188"/>
        <v>Valid</v>
      </c>
      <c r="Z722" s="8" t="str">
        <f t="shared" si="189"/>
        <v>Pass</v>
      </c>
      <c r="AA722" s="8" t="str">
        <f t="shared" si="190"/>
        <v>Pass</v>
      </c>
      <c r="AB722" s="8" t="str">
        <f>TEXT(B722,"mmmm")</f>
        <v>July</v>
      </c>
      <c r="AC722" s="8" t="str">
        <f>TEXT(B722,"yyyy")</f>
        <v>2024</v>
      </c>
      <c r="AE722">
        <f t="shared" si="191"/>
        <v>17919.68</v>
      </c>
      <c r="AF722" s="11">
        <f t="shared" si="192"/>
        <v>15231.727999999999</v>
      </c>
      <c r="AG722">
        <f t="shared" si="193"/>
        <v>5468.2200000000012</v>
      </c>
      <c r="AH722" s="11">
        <f t="shared" si="194"/>
        <v>0.3051516544938303</v>
      </c>
      <c r="AI722" s="9">
        <f t="shared" si="195"/>
        <v>0.3051516544938303</v>
      </c>
      <c r="AJ722">
        <f t="shared" si="196"/>
        <v>15231.73</v>
      </c>
      <c r="AK722">
        <f t="shared" si="197"/>
        <v>1</v>
      </c>
      <c r="AL722">
        <f t="shared" si="198"/>
        <v>0</v>
      </c>
      <c r="AM722">
        <f t="shared" si="199"/>
        <v>0</v>
      </c>
      <c r="AN722">
        <f t="shared" si="200"/>
        <v>0</v>
      </c>
      <c r="AO722">
        <f t="shared" si="201"/>
        <v>0</v>
      </c>
      <c r="AP722">
        <f t="shared" si="202"/>
        <v>0</v>
      </c>
      <c r="AQ722">
        <f t="shared" si="203"/>
        <v>0</v>
      </c>
    </row>
    <row r="723" spans="1:43">
      <c r="A723" t="s">
        <v>2243</v>
      </c>
      <c r="B723" s="5">
        <v>45827</v>
      </c>
      <c r="C723" s="5">
        <v>45831</v>
      </c>
      <c r="D723" s="13">
        <f t="shared" si="187"/>
        <v>4</v>
      </c>
      <c r="E723" t="s">
        <v>2244</v>
      </c>
      <c r="F723" t="s">
        <v>132</v>
      </c>
      <c r="G723" t="s">
        <v>24</v>
      </c>
      <c r="H723" t="s">
        <v>54</v>
      </c>
      <c r="I723" t="s">
        <v>175</v>
      </c>
      <c r="J723" t="s">
        <v>176</v>
      </c>
      <c r="K723" t="s">
        <v>74</v>
      </c>
      <c r="L723" t="s">
        <v>80</v>
      </c>
      <c r="M723" t="s">
        <v>2245</v>
      </c>
      <c r="N723" t="s">
        <v>50</v>
      </c>
      <c r="O723">
        <v>5</v>
      </c>
      <c r="P723">
        <v>2729.95</v>
      </c>
      <c r="Q723" s="11">
        <v>0</v>
      </c>
      <c r="R723">
        <v>13649.75</v>
      </c>
      <c r="S723">
        <v>10288.030000000001</v>
      </c>
      <c r="T723">
        <v>3361.72</v>
      </c>
      <c r="U723" t="s">
        <v>32</v>
      </c>
      <c r="V723" t="s">
        <v>33</v>
      </c>
      <c r="X723" s="8" t="str">
        <f>IF(C723&gt;=B723,"Valid", "Invalid-Date")</f>
        <v>Valid</v>
      </c>
      <c r="Y723" s="8" t="str">
        <f t="shared" si="188"/>
        <v>Valid</v>
      </c>
      <c r="Z723" s="8" t="str">
        <f t="shared" si="189"/>
        <v>Pass</v>
      </c>
      <c r="AA723" s="8" t="str">
        <f t="shared" si="190"/>
        <v>Pass</v>
      </c>
      <c r="AB723" s="8" t="str">
        <f>TEXT(B723,"mmmm")</f>
        <v>June</v>
      </c>
      <c r="AC723" s="8" t="str">
        <f>TEXT(B723,"yyyy")</f>
        <v>2025</v>
      </c>
      <c r="AE723">
        <f t="shared" si="191"/>
        <v>13649.75</v>
      </c>
      <c r="AF723" s="11">
        <f t="shared" si="192"/>
        <v>13649.75</v>
      </c>
      <c r="AG723">
        <f t="shared" si="193"/>
        <v>3361.7199999999993</v>
      </c>
      <c r="AH723" s="11">
        <f t="shared" si="194"/>
        <v>0.24628436418249414</v>
      </c>
      <c r="AI723" s="9">
        <f t="shared" si="195"/>
        <v>0.24628436418249414</v>
      </c>
      <c r="AJ723">
        <f t="shared" si="196"/>
        <v>13649.75</v>
      </c>
      <c r="AK723">
        <f t="shared" si="197"/>
        <v>1</v>
      </c>
      <c r="AL723">
        <f t="shared" si="198"/>
        <v>0</v>
      </c>
      <c r="AM723">
        <f t="shared" si="199"/>
        <v>0</v>
      </c>
      <c r="AN723">
        <f t="shared" si="200"/>
        <v>0</v>
      </c>
      <c r="AO723">
        <f t="shared" si="201"/>
        <v>0</v>
      </c>
      <c r="AP723">
        <f t="shared" si="202"/>
        <v>0</v>
      </c>
      <c r="AQ723">
        <f t="shared" si="203"/>
        <v>0</v>
      </c>
    </row>
    <row r="724" spans="1:43">
      <c r="A724" t="s">
        <v>2246</v>
      </c>
      <c r="B724" s="5">
        <v>45572</v>
      </c>
      <c r="C724" s="5">
        <v>45575</v>
      </c>
      <c r="D724" s="13">
        <f t="shared" si="187"/>
        <v>3</v>
      </c>
      <c r="E724" t="s">
        <v>2247</v>
      </c>
      <c r="F724" t="s">
        <v>71</v>
      </c>
      <c r="G724" t="s">
        <v>24</v>
      </c>
      <c r="H724" t="s">
        <v>38</v>
      </c>
      <c r="I724" t="s">
        <v>99</v>
      </c>
      <c r="J724" t="s">
        <v>100</v>
      </c>
      <c r="K724" t="s">
        <v>41</v>
      </c>
      <c r="L724" t="s">
        <v>66</v>
      </c>
      <c r="M724" t="s">
        <v>2248</v>
      </c>
      <c r="N724" t="s">
        <v>31</v>
      </c>
      <c r="O724">
        <v>9</v>
      </c>
      <c r="P724">
        <v>481.51</v>
      </c>
      <c r="Q724" s="11">
        <v>0</v>
      </c>
      <c r="R724">
        <v>4333.59</v>
      </c>
      <c r="S724">
        <v>2533.59</v>
      </c>
      <c r="T724">
        <v>1800</v>
      </c>
      <c r="U724" t="s">
        <v>102</v>
      </c>
      <c r="V724" t="s">
        <v>68</v>
      </c>
      <c r="X724" s="8" t="str">
        <f>IF(C724&gt;=B724,"Valid", "Invalid-Date")</f>
        <v>Valid</v>
      </c>
      <c r="Y724" s="8" t="str">
        <f t="shared" si="188"/>
        <v>Valid</v>
      </c>
      <c r="Z724" s="8" t="str">
        <f t="shared" si="189"/>
        <v>Pass</v>
      </c>
      <c r="AA724" s="8" t="str">
        <f t="shared" si="190"/>
        <v>Pass</v>
      </c>
      <c r="AB724" s="8" t="str">
        <f>TEXT(B724,"mmmm")</f>
        <v>October</v>
      </c>
      <c r="AC724" s="8" t="str">
        <f>TEXT(B724,"yyyy")</f>
        <v>2024</v>
      </c>
      <c r="AE724">
        <f t="shared" si="191"/>
        <v>4333.59</v>
      </c>
      <c r="AF724" s="11">
        <f t="shared" si="192"/>
        <v>4333.59</v>
      </c>
      <c r="AG724">
        <f t="shared" si="193"/>
        <v>1800</v>
      </c>
      <c r="AH724" s="11">
        <f t="shared" si="194"/>
        <v>0.41536001329152039</v>
      </c>
      <c r="AI724" s="9">
        <f t="shared" si="195"/>
        <v>0.41536001329152039</v>
      </c>
      <c r="AJ724">
        <f t="shared" si="196"/>
        <v>0</v>
      </c>
      <c r="AK724">
        <f t="shared" si="197"/>
        <v>0</v>
      </c>
      <c r="AL724">
        <f t="shared" si="198"/>
        <v>4333.59</v>
      </c>
      <c r="AM724">
        <f t="shared" si="199"/>
        <v>1</v>
      </c>
      <c r="AN724">
        <f t="shared" si="200"/>
        <v>0</v>
      </c>
      <c r="AO724">
        <f t="shared" si="201"/>
        <v>0</v>
      </c>
      <c r="AP724">
        <f t="shared" si="202"/>
        <v>0</v>
      </c>
      <c r="AQ724">
        <f t="shared" si="203"/>
        <v>0</v>
      </c>
    </row>
    <row r="725" spans="1:43">
      <c r="A725" t="s">
        <v>2249</v>
      </c>
      <c r="B725" s="5">
        <v>45818</v>
      </c>
      <c r="C725" s="5">
        <v>45943</v>
      </c>
      <c r="D725" s="13">
        <f t="shared" si="187"/>
        <v>125</v>
      </c>
      <c r="E725" t="s">
        <v>2250</v>
      </c>
      <c r="F725" t="s">
        <v>264</v>
      </c>
      <c r="G725" t="s">
        <v>95</v>
      </c>
      <c r="H725" t="s">
        <v>38</v>
      </c>
      <c r="I725" t="s">
        <v>228</v>
      </c>
      <c r="J725" t="s">
        <v>229</v>
      </c>
      <c r="K725" t="s">
        <v>74</v>
      </c>
      <c r="L725" t="s">
        <v>75</v>
      </c>
      <c r="M725" t="s">
        <v>2251</v>
      </c>
      <c r="N725" t="s">
        <v>59</v>
      </c>
      <c r="O725">
        <v>6</v>
      </c>
      <c r="P725">
        <v>2391.9299999999998</v>
      </c>
      <c r="Q725" s="11">
        <v>0.05</v>
      </c>
      <c r="R725">
        <v>13634</v>
      </c>
      <c r="S725">
        <v>9589.81</v>
      </c>
      <c r="T725">
        <v>4044.19</v>
      </c>
      <c r="U725" t="s">
        <v>155</v>
      </c>
      <c r="V725" t="s">
        <v>103</v>
      </c>
      <c r="X725" s="8" t="str">
        <f>IF(C725&gt;=B725,"Valid", "Invalid-Date")</f>
        <v>Valid</v>
      </c>
      <c r="Y725" s="8" t="str">
        <f t="shared" si="188"/>
        <v>Valid</v>
      </c>
      <c r="Z725" s="8" t="str">
        <f t="shared" si="189"/>
        <v>Pass</v>
      </c>
      <c r="AA725" s="8" t="str">
        <f t="shared" si="190"/>
        <v>Pass</v>
      </c>
      <c r="AB725" s="8" t="str">
        <f>TEXT(B725,"mmmm")</f>
        <v>June</v>
      </c>
      <c r="AC725" s="8" t="str">
        <f>TEXT(B725,"yyyy")</f>
        <v>2025</v>
      </c>
      <c r="AE725">
        <f t="shared" si="191"/>
        <v>14351.579999999998</v>
      </c>
      <c r="AF725" s="11">
        <f t="shared" si="192"/>
        <v>13634.000999999998</v>
      </c>
      <c r="AG725">
        <f t="shared" si="193"/>
        <v>4761.7699999999986</v>
      </c>
      <c r="AH725" s="11">
        <f t="shared" si="194"/>
        <v>0.33179412998429436</v>
      </c>
      <c r="AI725" s="9">
        <f t="shared" si="195"/>
        <v>0.33179412998429436</v>
      </c>
      <c r="AJ725">
        <f t="shared" si="196"/>
        <v>0</v>
      </c>
      <c r="AK725">
        <f t="shared" si="197"/>
        <v>0</v>
      </c>
      <c r="AL725">
        <f t="shared" si="198"/>
        <v>0</v>
      </c>
      <c r="AM725">
        <f t="shared" si="199"/>
        <v>0</v>
      </c>
      <c r="AN725">
        <f t="shared" si="200"/>
        <v>13634</v>
      </c>
      <c r="AO725">
        <f t="shared" si="201"/>
        <v>1</v>
      </c>
      <c r="AP725">
        <f t="shared" si="202"/>
        <v>13634</v>
      </c>
      <c r="AQ725">
        <f t="shared" si="203"/>
        <v>1</v>
      </c>
    </row>
    <row r="726" spans="1:43">
      <c r="A726" t="s">
        <v>2252</v>
      </c>
      <c r="B726" s="5">
        <v>45567</v>
      </c>
      <c r="C726" s="5">
        <v>45338</v>
      </c>
      <c r="D726" s="13">
        <f t="shared" si="187"/>
        <v>-229</v>
      </c>
      <c r="E726" t="s">
        <v>2253</v>
      </c>
      <c r="F726" t="s">
        <v>23</v>
      </c>
      <c r="G726" t="s">
        <v>24</v>
      </c>
      <c r="H726" t="s">
        <v>63</v>
      </c>
      <c r="I726" t="s">
        <v>190</v>
      </c>
      <c r="J726" t="s">
        <v>191</v>
      </c>
      <c r="K726" t="s">
        <v>41</v>
      </c>
      <c r="L726" t="s">
        <v>57</v>
      </c>
      <c r="M726" t="s">
        <v>2254</v>
      </c>
      <c r="N726" t="s">
        <v>31</v>
      </c>
      <c r="O726">
        <v>3</v>
      </c>
      <c r="P726">
        <v>253.43</v>
      </c>
      <c r="Q726" s="11">
        <v>0</v>
      </c>
      <c r="R726">
        <v>760.29</v>
      </c>
      <c r="S726">
        <v>497.77</v>
      </c>
      <c r="T726">
        <v>262.52</v>
      </c>
      <c r="U726" t="s">
        <v>32</v>
      </c>
      <c r="V726" t="s">
        <v>33</v>
      </c>
      <c r="X726" s="8" t="str">
        <f>IF(C726&gt;=B726,"Valid", "Invalid-Date")</f>
        <v>Invalid-Date</v>
      </c>
      <c r="Y726" s="8" t="str">
        <f t="shared" si="188"/>
        <v>Valid</v>
      </c>
      <c r="Z726" s="8" t="str">
        <f t="shared" si="189"/>
        <v>Pass</v>
      </c>
      <c r="AA726" s="8" t="str">
        <f t="shared" si="190"/>
        <v>Pass</v>
      </c>
      <c r="AB726" s="8" t="str">
        <f>TEXT(B726,"mmmm")</f>
        <v>October</v>
      </c>
      <c r="AC726" s="8" t="str">
        <f>TEXT(B726,"yyyy")</f>
        <v>2024</v>
      </c>
      <c r="AE726">
        <f t="shared" si="191"/>
        <v>760.29</v>
      </c>
      <c r="AF726" s="11">
        <f t="shared" si="192"/>
        <v>760.29</v>
      </c>
      <c r="AG726">
        <f t="shared" si="193"/>
        <v>262.52</v>
      </c>
      <c r="AH726" s="11">
        <f t="shared" si="194"/>
        <v>0.34528929750489945</v>
      </c>
      <c r="AI726" s="9">
        <f t="shared" si="195"/>
        <v>0.34528929750489945</v>
      </c>
      <c r="AJ726">
        <f t="shared" si="196"/>
        <v>760.29</v>
      </c>
      <c r="AK726">
        <f t="shared" si="197"/>
        <v>1</v>
      </c>
      <c r="AL726">
        <f t="shared" si="198"/>
        <v>0</v>
      </c>
      <c r="AM726">
        <f t="shared" si="199"/>
        <v>0</v>
      </c>
      <c r="AN726">
        <f t="shared" si="200"/>
        <v>0</v>
      </c>
      <c r="AO726">
        <f t="shared" si="201"/>
        <v>0</v>
      </c>
      <c r="AP726">
        <f t="shared" si="202"/>
        <v>0</v>
      </c>
      <c r="AQ726">
        <f t="shared" si="203"/>
        <v>0</v>
      </c>
    </row>
    <row r="727" spans="1:43">
      <c r="A727" t="s">
        <v>2255</v>
      </c>
      <c r="B727" s="5">
        <v>45787</v>
      </c>
      <c r="C727" s="5">
        <v>46001</v>
      </c>
      <c r="D727" s="13">
        <f t="shared" si="187"/>
        <v>214</v>
      </c>
      <c r="E727" t="s">
        <v>2256</v>
      </c>
      <c r="F727" t="s">
        <v>114</v>
      </c>
      <c r="G727" t="s">
        <v>90</v>
      </c>
      <c r="H727" t="s">
        <v>54</v>
      </c>
      <c r="I727" t="s">
        <v>175</v>
      </c>
      <c r="J727" t="s">
        <v>176</v>
      </c>
      <c r="K727" t="s">
        <v>41</v>
      </c>
      <c r="L727" t="s">
        <v>42</v>
      </c>
      <c r="M727" t="s">
        <v>2257</v>
      </c>
      <c r="N727" t="s">
        <v>31</v>
      </c>
      <c r="O727">
        <v>7</v>
      </c>
      <c r="P727">
        <v>2134.73</v>
      </c>
      <c r="Q727" s="11">
        <v>0</v>
      </c>
      <c r="R727">
        <v>14943.11</v>
      </c>
      <c r="S727">
        <v>8521.5</v>
      </c>
      <c r="T727">
        <v>6421.61</v>
      </c>
      <c r="U727" t="s">
        <v>32</v>
      </c>
      <c r="V727" t="s">
        <v>33</v>
      </c>
      <c r="X727" s="8" t="str">
        <f>IF(C727&gt;=B727,"Valid", "Invalid-Date")</f>
        <v>Valid</v>
      </c>
      <c r="Y727" s="8" t="str">
        <f t="shared" si="188"/>
        <v>Valid</v>
      </c>
      <c r="Z727" s="8" t="str">
        <f t="shared" si="189"/>
        <v>Pass</v>
      </c>
      <c r="AA727" s="8" t="str">
        <f t="shared" si="190"/>
        <v>Pass</v>
      </c>
      <c r="AB727" s="8" t="str">
        <f>TEXT(B727,"mmmm")</f>
        <v>May</v>
      </c>
      <c r="AC727" s="8" t="str">
        <f>TEXT(B727,"yyyy")</f>
        <v>2025</v>
      </c>
      <c r="AE727">
        <f t="shared" si="191"/>
        <v>14943.11</v>
      </c>
      <c r="AF727" s="11">
        <f t="shared" si="192"/>
        <v>14943.11</v>
      </c>
      <c r="AG727">
        <f t="shared" si="193"/>
        <v>6421.6100000000006</v>
      </c>
      <c r="AH727" s="11">
        <f t="shared" si="194"/>
        <v>0.42973718322357263</v>
      </c>
      <c r="AI727" s="9">
        <f t="shared" si="195"/>
        <v>0.42973718322357263</v>
      </c>
      <c r="AJ727">
        <f t="shared" si="196"/>
        <v>14943.11</v>
      </c>
      <c r="AK727">
        <f t="shared" si="197"/>
        <v>1</v>
      </c>
      <c r="AL727">
        <f t="shared" si="198"/>
        <v>0</v>
      </c>
      <c r="AM727">
        <f t="shared" si="199"/>
        <v>0</v>
      </c>
      <c r="AN727">
        <f t="shared" si="200"/>
        <v>0</v>
      </c>
      <c r="AO727">
        <f t="shared" si="201"/>
        <v>0</v>
      </c>
      <c r="AP727">
        <f t="shared" si="202"/>
        <v>0</v>
      </c>
      <c r="AQ727">
        <f t="shared" si="203"/>
        <v>0</v>
      </c>
    </row>
    <row r="728" spans="1:43">
      <c r="A728" t="s">
        <v>2258</v>
      </c>
      <c r="B728" s="5">
        <v>45308</v>
      </c>
      <c r="C728" s="5">
        <v>45314</v>
      </c>
      <c r="D728" s="13">
        <f t="shared" si="187"/>
        <v>6</v>
      </c>
      <c r="E728" t="s">
        <v>2259</v>
      </c>
      <c r="F728" t="s">
        <v>264</v>
      </c>
      <c r="G728" t="s">
        <v>95</v>
      </c>
      <c r="H728" t="s">
        <v>63</v>
      </c>
      <c r="I728" t="s">
        <v>180</v>
      </c>
      <c r="J728" t="s">
        <v>181</v>
      </c>
      <c r="K728" t="s">
        <v>74</v>
      </c>
      <c r="L728" t="s">
        <v>171</v>
      </c>
      <c r="M728" t="s">
        <v>2260</v>
      </c>
      <c r="N728" t="s">
        <v>59</v>
      </c>
      <c r="O728">
        <v>5</v>
      </c>
      <c r="P728">
        <v>2018</v>
      </c>
      <c r="Q728" s="11">
        <v>0.2</v>
      </c>
      <c r="R728">
        <v>8072</v>
      </c>
      <c r="S728">
        <v>5379.22</v>
      </c>
      <c r="T728">
        <v>2692.78</v>
      </c>
      <c r="U728" t="s">
        <v>111</v>
      </c>
      <c r="V728" t="s">
        <v>103</v>
      </c>
      <c r="X728" s="8" t="str">
        <f>IF(C728&gt;=B728,"Valid", "Invalid-Date")</f>
        <v>Valid</v>
      </c>
      <c r="Y728" s="8" t="str">
        <f t="shared" si="188"/>
        <v>Valid</v>
      </c>
      <c r="Z728" s="8" t="str">
        <f t="shared" si="189"/>
        <v>Pass</v>
      </c>
      <c r="AA728" s="8" t="str">
        <f t="shared" si="190"/>
        <v>Pass</v>
      </c>
      <c r="AB728" s="8" t="str">
        <f>TEXT(B728,"mmmm")</f>
        <v>January</v>
      </c>
      <c r="AC728" s="8" t="str">
        <f>TEXT(B728,"yyyy")</f>
        <v>2024</v>
      </c>
      <c r="AE728">
        <f t="shared" si="191"/>
        <v>10090</v>
      </c>
      <c r="AF728" s="11">
        <f t="shared" si="192"/>
        <v>8072</v>
      </c>
      <c r="AG728">
        <f t="shared" si="193"/>
        <v>4710.78</v>
      </c>
      <c r="AH728" s="11">
        <f t="shared" si="194"/>
        <v>0.46687611496531217</v>
      </c>
      <c r="AI728" s="9">
        <f t="shared" si="195"/>
        <v>0.46687611496531217</v>
      </c>
      <c r="AJ728">
        <f t="shared" si="196"/>
        <v>0</v>
      </c>
      <c r="AK728">
        <f t="shared" si="197"/>
        <v>0</v>
      </c>
      <c r="AL728">
        <f t="shared" si="198"/>
        <v>0</v>
      </c>
      <c r="AM728">
        <f t="shared" si="199"/>
        <v>0</v>
      </c>
      <c r="AN728">
        <f t="shared" si="200"/>
        <v>0</v>
      </c>
      <c r="AO728">
        <f t="shared" si="201"/>
        <v>0</v>
      </c>
      <c r="AP728">
        <f t="shared" si="202"/>
        <v>8072</v>
      </c>
      <c r="AQ728">
        <f t="shared" si="203"/>
        <v>1</v>
      </c>
    </row>
    <row r="729" spans="1:43">
      <c r="A729" t="s">
        <v>2261</v>
      </c>
      <c r="B729" s="5">
        <v>45578</v>
      </c>
      <c r="C729" s="5">
        <v>45578</v>
      </c>
      <c r="D729" s="13">
        <f t="shared" si="187"/>
        <v>0</v>
      </c>
      <c r="E729" t="s">
        <v>2262</v>
      </c>
      <c r="F729" t="s">
        <v>128</v>
      </c>
      <c r="G729" t="s">
        <v>37</v>
      </c>
      <c r="H729" t="s">
        <v>38</v>
      </c>
      <c r="I729" t="s">
        <v>166</v>
      </c>
      <c r="J729" t="s">
        <v>167</v>
      </c>
      <c r="K729" t="s">
        <v>74</v>
      </c>
      <c r="L729" t="s">
        <v>75</v>
      </c>
      <c r="M729" t="s">
        <v>2263</v>
      </c>
      <c r="N729" t="s">
        <v>31</v>
      </c>
      <c r="O729">
        <v>8</v>
      </c>
      <c r="P729">
        <v>3730.66</v>
      </c>
      <c r="Q729" s="11">
        <v>0.05</v>
      </c>
      <c r="R729">
        <v>28353.02</v>
      </c>
      <c r="S729">
        <v>19257.849999999999</v>
      </c>
      <c r="T729">
        <v>9095.17</v>
      </c>
      <c r="U729" t="s">
        <v>32</v>
      </c>
      <c r="V729" t="s">
        <v>33</v>
      </c>
      <c r="X729" s="8" t="str">
        <f>IF(C729&gt;=B729,"Valid", "Invalid-Date")</f>
        <v>Valid</v>
      </c>
      <c r="Y729" s="8" t="str">
        <f t="shared" si="188"/>
        <v>Valid</v>
      </c>
      <c r="Z729" s="8" t="str">
        <f t="shared" si="189"/>
        <v>Pass</v>
      </c>
      <c r="AA729" s="8" t="str">
        <f t="shared" si="190"/>
        <v>Pass</v>
      </c>
      <c r="AB729" s="8" t="str">
        <f>TEXT(B729,"mmmm")</f>
        <v>October</v>
      </c>
      <c r="AC729" s="8" t="str">
        <f>TEXT(B729,"yyyy")</f>
        <v>2024</v>
      </c>
      <c r="AE729">
        <f t="shared" si="191"/>
        <v>29845.279999999999</v>
      </c>
      <c r="AF729" s="11">
        <f t="shared" si="192"/>
        <v>28353.015999999996</v>
      </c>
      <c r="AG729">
        <f t="shared" si="193"/>
        <v>10587.43</v>
      </c>
      <c r="AH729" s="11">
        <f t="shared" si="194"/>
        <v>0.35474386569668642</v>
      </c>
      <c r="AI729" s="9">
        <f t="shared" si="195"/>
        <v>0.35474386569668642</v>
      </c>
      <c r="AJ729">
        <f t="shared" si="196"/>
        <v>28353.02</v>
      </c>
      <c r="AK729">
        <f t="shared" si="197"/>
        <v>1</v>
      </c>
      <c r="AL729">
        <f t="shared" si="198"/>
        <v>0</v>
      </c>
      <c r="AM729">
        <f t="shared" si="199"/>
        <v>0</v>
      </c>
      <c r="AN729">
        <f t="shared" si="200"/>
        <v>0</v>
      </c>
      <c r="AO729">
        <f t="shared" si="201"/>
        <v>0</v>
      </c>
      <c r="AP729">
        <f t="shared" si="202"/>
        <v>0</v>
      </c>
      <c r="AQ729">
        <f t="shared" si="203"/>
        <v>0</v>
      </c>
    </row>
    <row r="730" spans="1:43">
      <c r="A730" t="s">
        <v>2264</v>
      </c>
      <c r="B730" s="5">
        <v>45295</v>
      </c>
      <c r="C730" s="5">
        <v>45298</v>
      </c>
      <c r="D730" s="13">
        <f t="shared" si="187"/>
        <v>3</v>
      </c>
      <c r="E730" t="s">
        <v>2265</v>
      </c>
      <c r="F730" t="s">
        <v>132</v>
      </c>
      <c r="G730" t="s">
        <v>37</v>
      </c>
      <c r="H730" t="s">
        <v>54</v>
      </c>
      <c r="I730" t="s">
        <v>175</v>
      </c>
      <c r="J730" t="s">
        <v>176</v>
      </c>
      <c r="K730" t="s">
        <v>74</v>
      </c>
      <c r="L730" t="s">
        <v>274</v>
      </c>
      <c r="M730" t="s">
        <v>2266</v>
      </c>
      <c r="N730" t="s">
        <v>50</v>
      </c>
      <c r="O730">
        <v>1</v>
      </c>
      <c r="P730">
        <v>2363.02</v>
      </c>
      <c r="Q730" s="11">
        <v>0.15</v>
      </c>
      <c r="R730">
        <v>2008.57</v>
      </c>
      <c r="S730">
        <v>1194.83</v>
      </c>
      <c r="T730">
        <v>813.74</v>
      </c>
      <c r="U730" t="s">
        <v>32</v>
      </c>
      <c r="V730" t="s">
        <v>33</v>
      </c>
      <c r="X730" s="8" t="str">
        <f>IF(C730&gt;=B730,"Valid", "Invalid-Date")</f>
        <v>Valid</v>
      </c>
      <c r="Y730" s="8" t="str">
        <f t="shared" si="188"/>
        <v>Valid</v>
      </c>
      <c r="Z730" s="8" t="str">
        <f t="shared" si="189"/>
        <v>Pass</v>
      </c>
      <c r="AA730" s="8" t="str">
        <f t="shared" si="190"/>
        <v>Pass</v>
      </c>
      <c r="AB730" s="8" t="str">
        <f>TEXT(B730,"mmmm")</f>
        <v>January</v>
      </c>
      <c r="AC730" s="8" t="str">
        <f>TEXT(B730,"yyyy")</f>
        <v>2024</v>
      </c>
      <c r="AE730">
        <f t="shared" si="191"/>
        <v>2363.02</v>
      </c>
      <c r="AF730" s="11">
        <f t="shared" si="192"/>
        <v>2008.567</v>
      </c>
      <c r="AG730">
        <f t="shared" si="193"/>
        <v>1168.19</v>
      </c>
      <c r="AH730" s="11">
        <f t="shared" si="194"/>
        <v>0.4943631454663947</v>
      </c>
      <c r="AI730" s="9">
        <f t="shared" si="195"/>
        <v>0.4943631454663947</v>
      </c>
      <c r="AJ730">
        <f t="shared" si="196"/>
        <v>2008.57</v>
      </c>
      <c r="AK730">
        <f t="shared" si="197"/>
        <v>1</v>
      </c>
      <c r="AL730">
        <f t="shared" si="198"/>
        <v>0</v>
      </c>
      <c r="AM730">
        <f t="shared" si="199"/>
        <v>0</v>
      </c>
      <c r="AN730">
        <f t="shared" si="200"/>
        <v>0</v>
      </c>
      <c r="AO730">
        <f t="shared" si="201"/>
        <v>0</v>
      </c>
      <c r="AP730">
        <f t="shared" si="202"/>
        <v>0</v>
      </c>
      <c r="AQ730">
        <f t="shared" si="203"/>
        <v>0</v>
      </c>
    </row>
    <row r="731" spans="1:43" s="15" customFormat="1">
      <c r="A731" s="15" t="s">
        <v>2267</v>
      </c>
      <c r="B731" s="16">
        <v>45794</v>
      </c>
      <c r="C731" s="16">
        <v>45802</v>
      </c>
      <c r="D731" s="17">
        <f t="shared" si="187"/>
        <v>8</v>
      </c>
      <c r="E731" s="15" t="s">
        <v>2268</v>
      </c>
      <c r="F731" s="15" t="s">
        <v>62</v>
      </c>
      <c r="G731" s="15" t="s">
        <v>90</v>
      </c>
      <c r="H731" s="15" t="s">
        <v>54</v>
      </c>
      <c r="I731" s="15" t="s">
        <v>247</v>
      </c>
      <c r="J731" s="15" t="s">
        <v>248</v>
      </c>
      <c r="K731" s="15" t="s">
        <v>74</v>
      </c>
      <c r="L731" s="15" t="s">
        <v>274</v>
      </c>
      <c r="M731" s="15" t="s">
        <v>2269</v>
      </c>
      <c r="N731" s="15" t="s">
        <v>44</v>
      </c>
      <c r="O731" s="15">
        <v>6</v>
      </c>
      <c r="P731" s="15">
        <v>1810.63</v>
      </c>
      <c r="Q731" s="18">
        <v>0.15</v>
      </c>
      <c r="R731" s="15">
        <v>9234.2099999999991</v>
      </c>
      <c r="S731" s="15">
        <v>5516.52</v>
      </c>
      <c r="T731" s="15">
        <v>3717.69</v>
      </c>
      <c r="U731" s="15" t="s">
        <v>32</v>
      </c>
      <c r="V731" s="15" t="s">
        <v>33</v>
      </c>
      <c r="W731" s="25"/>
      <c r="X731" s="8" t="str">
        <f>IF(C731&gt;=B731,"Valid", "Invalid-Date")</f>
        <v>Valid</v>
      </c>
      <c r="Y731" s="8" t="str">
        <f t="shared" si="188"/>
        <v>Valid</v>
      </c>
      <c r="Z731" s="19" t="str">
        <f t="shared" si="189"/>
        <v>Pass</v>
      </c>
      <c r="AA731" s="19" t="str">
        <f t="shared" si="190"/>
        <v>Pass</v>
      </c>
      <c r="AB731" s="19" t="str">
        <f>TEXT(B731,"mmmm")</f>
        <v>May</v>
      </c>
      <c r="AC731" s="19" t="str">
        <f>TEXT(B731,"yyyy")</f>
        <v>2025</v>
      </c>
      <c r="AD731" s="20"/>
      <c r="AE731" s="15">
        <f t="shared" si="191"/>
        <v>10863.78</v>
      </c>
      <c r="AF731" s="11">
        <f t="shared" si="192"/>
        <v>9234.2129999999997</v>
      </c>
      <c r="AG731" s="15">
        <f t="shared" si="193"/>
        <v>5347.26</v>
      </c>
      <c r="AH731" s="18">
        <f t="shared" si="194"/>
        <v>0.49220989379387287</v>
      </c>
      <c r="AI731" s="21">
        <f t="shared" si="195"/>
        <v>0.49220989379387287</v>
      </c>
      <c r="AJ731">
        <f t="shared" si="196"/>
        <v>9234.2099999999991</v>
      </c>
      <c r="AK731">
        <f t="shared" si="197"/>
        <v>1</v>
      </c>
      <c r="AL731">
        <f t="shared" si="198"/>
        <v>0</v>
      </c>
      <c r="AM731">
        <f t="shared" si="199"/>
        <v>0</v>
      </c>
      <c r="AN731">
        <f t="shared" si="200"/>
        <v>0</v>
      </c>
      <c r="AO731">
        <f t="shared" si="201"/>
        <v>0</v>
      </c>
      <c r="AP731">
        <f t="shared" si="202"/>
        <v>0</v>
      </c>
      <c r="AQ731">
        <f t="shared" si="203"/>
        <v>0</v>
      </c>
    </row>
    <row r="732" spans="1:43">
      <c r="A732" t="s">
        <v>2270</v>
      </c>
      <c r="B732" s="5">
        <v>45827</v>
      </c>
      <c r="C732" s="5">
        <v>45832</v>
      </c>
      <c r="D732" s="13">
        <f t="shared" si="187"/>
        <v>5</v>
      </c>
      <c r="E732" t="s">
        <v>2271</v>
      </c>
      <c r="F732" t="s">
        <v>53</v>
      </c>
      <c r="G732" t="s">
        <v>24</v>
      </c>
      <c r="H732" t="s">
        <v>38</v>
      </c>
      <c r="I732" t="s">
        <v>99</v>
      </c>
      <c r="J732" t="s">
        <v>100</v>
      </c>
      <c r="K732" t="s">
        <v>28</v>
      </c>
      <c r="L732" t="s">
        <v>48</v>
      </c>
      <c r="M732" t="s">
        <v>2272</v>
      </c>
      <c r="N732" t="s">
        <v>31</v>
      </c>
      <c r="O732">
        <v>4</v>
      </c>
      <c r="P732">
        <v>782.01</v>
      </c>
      <c r="Q732" s="11">
        <v>0.15</v>
      </c>
      <c r="R732">
        <v>2658.83</v>
      </c>
      <c r="S732">
        <v>2226.9699999999998</v>
      </c>
      <c r="T732">
        <v>431.86</v>
      </c>
      <c r="U732" t="s">
        <v>102</v>
      </c>
      <c r="V732" t="s">
        <v>103</v>
      </c>
      <c r="X732" s="8" t="str">
        <f>IF(C732&gt;=B732,"Valid", "Invalid-Date")</f>
        <v>Valid</v>
      </c>
      <c r="Y732" s="8" t="str">
        <f t="shared" si="188"/>
        <v>Valid</v>
      </c>
      <c r="Z732" s="8" t="str">
        <f t="shared" si="189"/>
        <v>Pass</v>
      </c>
      <c r="AA732" s="8" t="str">
        <f t="shared" si="190"/>
        <v>Pass</v>
      </c>
      <c r="AB732" s="8" t="str">
        <f>TEXT(B732,"mmmm")</f>
        <v>June</v>
      </c>
      <c r="AC732" s="8" t="str">
        <f>TEXT(B732,"yyyy")</f>
        <v>2025</v>
      </c>
      <c r="AE732">
        <f t="shared" si="191"/>
        <v>3128.04</v>
      </c>
      <c r="AF732" s="11">
        <f t="shared" si="192"/>
        <v>2658.8339999999998</v>
      </c>
      <c r="AG732">
        <f t="shared" si="193"/>
        <v>901.07000000000016</v>
      </c>
      <c r="AH732" s="11">
        <f t="shared" si="194"/>
        <v>0.28806217311799087</v>
      </c>
      <c r="AI732" s="9">
        <f t="shared" si="195"/>
        <v>0.28806217311799087</v>
      </c>
      <c r="AJ732">
        <f t="shared" si="196"/>
        <v>0</v>
      </c>
      <c r="AK732">
        <f t="shared" si="197"/>
        <v>0</v>
      </c>
      <c r="AL732">
        <f t="shared" si="198"/>
        <v>0</v>
      </c>
      <c r="AM732">
        <f t="shared" si="199"/>
        <v>0</v>
      </c>
      <c r="AN732">
        <f t="shared" si="200"/>
        <v>0</v>
      </c>
      <c r="AO732">
        <f t="shared" si="201"/>
        <v>0</v>
      </c>
      <c r="AP732">
        <f t="shared" si="202"/>
        <v>2658.83</v>
      </c>
      <c r="AQ732">
        <f t="shared" si="203"/>
        <v>1</v>
      </c>
    </row>
    <row r="733" spans="1:43">
      <c r="A733" t="s">
        <v>2273</v>
      </c>
      <c r="B733" s="5">
        <v>45368</v>
      </c>
      <c r="C733" s="5">
        <v>45370</v>
      </c>
      <c r="D733" s="13">
        <f t="shared" si="187"/>
        <v>2</v>
      </c>
      <c r="E733" t="s">
        <v>2274</v>
      </c>
      <c r="F733" t="s">
        <v>62</v>
      </c>
      <c r="G733" t="s">
        <v>90</v>
      </c>
      <c r="H733" t="s">
        <v>38</v>
      </c>
      <c r="I733" t="s">
        <v>39</v>
      </c>
      <c r="J733" t="s">
        <v>40</v>
      </c>
      <c r="K733" t="s">
        <v>28</v>
      </c>
      <c r="L733" t="s">
        <v>153</v>
      </c>
      <c r="M733" t="s">
        <v>2275</v>
      </c>
      <c r="N733" t="s">
        <v>50</v>
      </c>
      <c r="O733">
        <v>4</v>
      </c>
      <c r="P733">
        <v>4376.68</v>
      </c>
      <c r="Q733" s="11">
        <v>0.1</v>
      </c>
      <c r="R733">
        <v>15756.05</v>
      </c>
      <c r="S733">
        <v>10245.44</v>
      </c>
      <c r="T733">
        <v>5510.61</v>
      </c>
      <c r="U733" t="s">
        <v>32</v>
      </c>
      <c r="V733" t="s">
        <v>33</v>
      </c>
      <c r="X733" s="8" t="str">
        <f>IF(C733&gt;=B733,"Valid", "Invalid-Date")</f>
        <v>Valid</v>
      </c>
      <c r="Y733" s="8" t="str">
        <f t="shared" si="188"/>
        <v>Valid</v>
      </c>
      <c r="Z733" s="8" t="str">
        <f t="shared" si="189"/>
        <v>Pass</v>
      </c>
      <c r="AA733" s="8" t="str">
        <f t="shared" si="190"/>
        <v>Pass</v>
      </c>
      <c r="AB733" s="8" t="str">
        <f>TEXT(B733,"mmmm")</f>
        <v>March</v>
      </c>
      <c r="AC733" s="8" t="str">
        <f>TEXT(B733,"yyyy")</f>
        <v>2024</v>
      </c>
      <c r="AE733">
        <f t="shared" si="191"/>
        <v>17506.72</v>
      </c>
      <c r="AF733" s="11">
        <f t="shared" si="192"/>
        <v>15756.048000000001</v>
      </c>
      <c r="AG733">
        <f t="shared" si="193"/>
        <v>7261.2800000000007</v>
      </c>
      <c r="AH733" s="11">
        <f t="shared" si="194"/>
        <v>0.41477101364504604</v>
      </c>
      <c r="AI733" s="9">
        <f t="shared" si="195"/>
        <v>0.41477101364504604</v>
      </c>
      <c r="AJ733">
        <f t="shared" si="196"/>
        <v>15756.05</v>
      </c>
      <c r="AK733">
        <f t="shared" si="197"/>
        <v>1</v>
      </c>
      <c r="AL733">
        <f t="shared" si="198"/>
        <v>0</v>
      </c>
      <c r="AM733">
        <f t="shared" si="199"/>
        <v>0</v>
      </c>
      <c r="AN733">
        <f t="shared" si="200"/>
        <v>0</v>
      </c>
      <c r="AO733">
        <f t="shared" si="201"/>
        <v>0</v>
      </c>
      <c r="AP733">
        <f t="shared" si="202"/>
        <v>0</v>
      </c>
      <c r="AQ733">
        <f t="shared" si="203"/>
        <v>0</v>
      </c>
    </row>
    <row r="734" spans="1:43">
      <c r="A734" t="s">
        <v>2276</v>
      </c>
      <c r="B734" s="5">
        <v>45624</v>
      </c>
      <c r="C734" s="5">
        <v>45455</v>
      </c>
      <c r="D734" s="13">
        <f t="shared" si="187"/>
        <v>-169</v>
      </c>
      <c r="E734" t="s">
        <v>2277</v>
      </c>
      <c r="F734" t="s">
        <v>53</v>
      </c>
      <c r="G734" t="s">
        <v>37</v>
      </c>
      <c r="H734" t="s">
        <v>25</v>
      </c>
      <c r="I734" t="s">
        <v>122</v>
      </c>
      <c r="J734" t="s">
        <v>123</v>
      </c>
      <c r="K734" t="s">
        <v>74</v>
      </c>
      <c r="L734" t="s">
        <v>171</v>
      </c>
      <c r="M734" t="s">
        <v>2278</v>
      </c>
      <c r="N734" t="s">
        <v>59</v>
      </c>
      <c r="O734">
        <v>6</v>
      </c>
      <c r="P734">
        <v>2464.63</v>
      </c>
      <c r="Q734" s="11">
        <v>0</v>
      </c>
      <c r="R734">
        <v>14787.78</v>
      </c>
      <c r="S734">
        <v>8596.65</v>
      </c>
      <c r="T734">
        <v>6191.13</v>
      </c>
      <c r="U734" t="s">
        <v>32</v>
      </c>
      <c r="V734" t="s">
        <v>33</v>
      </c>
      <c r="X734" s="8" t="str">
        <f>IF(C734&gt;=B734,"Valid", "Invalid-Date")</f>
        <v>Invalid-Date</v>
      </c>
      <c r="Y734" s="8" t="str">
        <f t="shared" si="188"/>
        <v>Valid</v>
      </c>
      <c r="Z734" s="8" t="str">
        <f t="shared" si="189"/>
        <v>Pass</v>
      </c>
      <c r="AA734" s="8" t="str">
        <f t="shared" si="190"/>
        <v>Pass</v>
      </c>
      <c r="AB734" s="8" t="str">
        <f>TEXT(B734,"mmmm")</f>
        <v>November</v>
      </c>
      <c r="AC734" s="8" t="str">
        <f>TEXT(B734,"yyyy")</f>
        <v>2024</v>
      </c>
      <c r="AE734">
        <f t="shared" si="191"/>
        <v>14787.78</v>
      </c>
      <c r="AF734" s="11">
        <f t="shared" si="192"/>
        <v>14787.78</v>
      </c>
      <c r="AG734">
        <f t="shared" si="193"/>
        <v>6191.130000000001</v>
      </c>
      <c r="AH734" s="11">
        <f t="shared" si="194"/>
        <v>0.41866527632950995</v>
      </c>
      <c r="AI734" s="9">
        <f t="shared" si="195"/>
        <v>0.41866527632950995</v>
      </c>
      <c r="AJ734">
        <f t="shared" si="196"/>
        <v>14787.78</v>
      </c>
      <c r="AK734">
        <f t="shared" si="197"/>
        <v>1</v>
      </c>
      <c r="AL734">
        <f t="shared" si="198"/>
        <v>0</v>
      </c>
      <c r="AM734">
        <f t="shared" si="199"/>
        <v>0</v>
      </c>
      <c r="AN734">
        <f t="shared" si="200"/>
        <v>0</v>
      </c>
      <c r="AO734">
        <f t="shared" si="201"/>
        <v>0</v>
      </c>
      <c r="AP734">
        <f t="shared" si="202"/>
        <v>0</v>
      </c>
      <c r="AQ734">
        <f t="shared" si="203"/>
        <v>0</v>
      </c>
    </row>
    <row r="735" spans="1:43">
      <c r="A735" t="s">
        <v>2279</v>
      </c>
      <c r="B735" s="5">
        <v>45464</v>
      </c>
      <c r="C735" s="5">
        <v>45471</v>
      </c>
      <c r="D735" s="13">
        <f t="shared" si="187"/>
        <v>7</v>
      </c>
      <c r="E735" t="s">
        <v>2280</v>
      </c>
      <c r="F735" t="s">
        <v>128</v>
      </c>
      <c r="G735" t="s">
        <v>95</v>
      </c>
      <c r="H735" t="s">
        <v>25</v>
      </c>
      <c r="I735" t="s">
        <v>26</v>
      </c>
      <c r="J735" t="s">
        <v>27</v>
      </c>
      <c r="K735" t="s">
        <v>41</v>
      </c>
      <c r="L735" t="s">
        <v>57</v>
      </c>
      <c r="M735" t="s">
        <v>2281</v>
      </c>
      <c r="N735" t="s">
        <v>50</v>
      </c>
      <c r="O735">
        <v>9</v>
      </c>
      <c r="P735">
        <v>2797.96</v>
      </c>
      <c r="Q735" s="11">
        <v>0</v>
      </c>
      <c r="R735">
        <v>25181.64</v>
      </c>
      <c r="S735">
        <v>15337.9</v>
      </c>
      <c r="T735">
        <v>9843.74</v>
      </c>
      <c r="U735" t="s">
        <v>32</v>
      </c>
      <c r="V735" t="s">
        <v>33</v>
      </c>
      <c r="X735" s="8" t="str">
        <f>IF(C735&gt;=B735,"Valid", "Invalid-Date")</f>
        <v>Valid</v>
      </c>
      <c r="Y735" s="8" t="str">
        <f t="shared" si="188"/>
        <v>Valid</v>
      </c>
      <c r="Z735" s="8" t="str">
        <f t="shared" si="189"/>
        <v>Pass</v>
      </c>
      <c r="AA735" s="8" t="str">
        <f t="shared" si="190"/>
        <v>Pass</v>
      </c>
      <c r="AB735" s="8" t="str">
        <f>TEXT(B735,"mmmm")</f>
        <v>June</v>
      </c>
      <c r="AC735" s="8" t="str">
        <f>TEXT(B735,"yyyy")</f>
        <v>2024</v>
      </c>
      <c r="AE735">
        <f t="shared" si="191"/>
        <v>25181.64</v>
      </c>
      <c r="AF735" s="11">
        <f t="shared" si="192"/>
        <v>25181.64</v>
      </c>
      <c r="AG735">
        <f t="shared" si="193"/>
        <v>9843.74</v>
      </c>
      <c r="AH735" s="11">
        <f t="shared" si="194"/>
        <v>0.39090940860086953</v>
      </c>
      <c r="AI735" s="9">
        <f t="shared" si="195"/>
        <v>0.39090940860086953</v>
      </c>
      <c r="AJ735">
        <f t="shared" si="196"/>
        <v>25181.64</v>
      </c>
      <c r="AK735">
        <f t="shared" si="197"/>
        <v>1</v>
      </c>
      <c r="AL735">
        <f t="shared" si="198"/>
        <v>0</v>
      </c>
      <c r="AM735">
        <f t="shared" si="199"/>
        <v>0</v>
      </c>
      <c r="AN735">
        <f t="shared" si="200"/>
        <v>0</v>
      </c>
      <c r="AO735">
        <f t="shared" si="201"/>
        <v>0</v>
      </c>
      <c r="AP735">
        <f t="shared" si="202"/>
        <v>0</v>
      </c>
      <c r="AQ735">
        <f t="shared" si="203"/>
        <v>0</v>
      </c>
    </row>
    <row r="736" spans="1:43">
      <c r="A736" t="s">
        <v>2282</v>
      </c>
      <c r="B736" s="5">
        <v>45528</v>
      </c>
      <c r="C736" s="5">
        <v>45528</v>
      </c>
      <c r="D736" s="13">
        <f t="shared" si="187"/>
        <v>0</v>
      </c>
      <c r="E736" t="s">
        <v>2283</v>
      </c>
      <c r="F736" t="s">
        <v>62</v>
      </c>
      <c r="G736" t="s">
        <v>37</v>
      </c>
      <c r="H736" t="s">
        <v>25</v>
      </c>
      <c r="I736" t="s">
        <v>26</v>
      </c>
      <c r="J736" t="s">
        <v>27</v>
      </c>
      <c r="K736" t="s">
        <v>74</v>
      </c>
      <c r="L736" t="s">
        <v>75</v>
      </c>
      <c r="M736" t="s">
        <v>2284</v>
      </c>
      <c r="N736" t="s">
        <v>50</v>
      </c>
      <c r="O736">
        <v>4</v>
      </c>
      <c r="P736">
        <v>2761.86</v>
      </c>
      <c r="Q736" s="11">
        <v>0.2</v>
      </c>
      <c r="R736">
        <v>8837.9500000000007</v>
      </c>
      <c r="S736">
        <v>6157.27</v>
      </c>
      <c r="T736">
        <v>2680.68</v>
      </c>
      <c r="U736" t="s">
        <v>32</v>
      </c>
      <c r="V736" t="s">
        <v>33</v>
      </c>
      <c r="X736" s="8" t="str">
        <f>IF(C736&gt;=B736,"Valid", "Invalid-Date")</f>
        <v>Valid</v>
      </c>
      <c r="Y736" s="8" t="str">
        <f t="shared" si="188"/>
        <v>Valid</v>
      </c>
      <c r="Z736" s="8" t="str">
        <f t="shared" si="189"/>
        <v>Pass</v>
      </c>
      <c r="AA736" s="8" t="str">
        <f t="shared" si="190"/>
        <v>Pass</v>
      </c>
      <c r="AB736" s="8" t="str">
        <f>TEXT(B736,"mmmm")</f>
        <v>August</v>
      </c>
      <c r="AC736" s="8" t="str">
        <f>TEXT(B736,"yyyy")</f>
        <v>2024</v>
      </c>
      <c r="AE736">
        <f t="shared" si="191"/>
        <v>11047.44</v>
      </c>
      <c r="AF736" s="11">
        <f t="shared" si="192"/>
        <v>8837.9520000000011</v>
      </c>
      <c r="AG736">
        <f t="shared" si="193"/>
        <v>4890.17</v>
      </c>
      <c r="AH736" s="11">
        <f t="shared" si="194"/>
        <v>0.44265187228896469</v>
      </c>
      <c r="AI736" s="9">
        <f t="shared" si="195"/>
        <v>0.44265187228896469</v>
      </c>
      <c r="AJ736">
        <f t="shared" si="196"/>
        <v>8837.9500000000007</v>
      </c>
      <c r="AK736">
        <f t="shared" si="197"/>
        <v>1</v>
      </c>
      <c r="AL736">
        <f t="shared" si="198"/>
        <v>0</v>
      </c>
      <c r="AM736">
        <f t="shared" si="199"/>
        <v>0</v>
      </c>
      <c r="AN736">
        <f t="shared" si="200"/>
        <v>0</v>
      </c>
      <c r="AO736">
        <f t="shared" si="201"/>
        <v>0</v>
      </c>
      <c r="AP736">
        <f t="shared" si="202"/>
        <v>0</v>
      </c>
      <c r="AQ736">
        <f t="shared" si="203"/>
        <v>0</v>
      </c>
    </row>
    <row r="737" spans="1:43">
      <c r="A737" t="s">
        <v>2285</v>
      </c>
      <c r="B737" s="5">
        <v>45515</v>
      </c>
      <c r="C737" s="5">
        <v>45523</v>
      </c>
      <c r="D737" s="13">
        <f t="shared" si="187"/>
        <v>8</v>
      </c>
      <c r="E737" t="s">
        <v>2286</v>
      </c>
      <c r="F737" t="s">
        <v>36</v>
      </c>
      <c r="G737" t="s">
        <v>24</v>
      </c>
      <c r="H737" t="s">
        <v>63</v>
      </c>
      <c r="I737" t="s">
        <v>64</v>
      </c>
      <c r="J737" t="s">
        <v>65</v>
      </c>
      <c r="K737" t="s">
        <v>41</v>
      </c>
      <c r="L737" t="s">
        <v>42</v>
      </c>
      <c r="M737" t="s">
        <v>2287</v>
      </c>
      <c r="N737" t="s">
        <v>59</v>
      </c>
      <c r="O737">
        <v>6</v>
      </c>
      <c r="P737">
        <v>1515.79</v>
      </c>
      <c r="Q737" s="11">
        <v>0.2</v>
      </c>
      <c r="R737">
        <v>7275.79</v>
      </c>
      <c r="S737">
        <v>6152.87</v>
      </c>
      <c r="T737">
        <v>1122.92</v>
      </c>
      <c r="U737" t="s">
        <v>32</v>
      </c>
      <c r="V737" t="s">
        <v>33</v>
      </c>
      <c r="X737" s="8" t="str">
        <f>IF(C737&gt;=B737,"Valid", "Invalid-Date")</f>
        <v>Valid</v>
      </c>
      <c r="Y737" s="8" t="str">
        <f t="shared" si="188"/>
        <v>Valid</v>
      </c>
      <c r="Z737" s="8" t="str">
        <f t="shared" si="189"/>
        <v>Pass</v>
      </c>
      <c r="AA737" s="8" t="str">
        <f t="shared" si="190"/>
        <v>Pass</v>
      </c>
      <c r="AB737" s="8" t="str">
        <f>TEXT(B737,"mmmm")</f>
        <v>August</v>
      </c>
      <c r="AC737" s="8" t="str">
        <f>TEXT(B737,"yyyy")</f>
        <v>2024</v>
      </c>
      <c r="AE737">
        <f t="shared" si="191"/>
        <v>9094.74</v>
      </c>
      <c r="AF737" s="11">
        <f t="shared" si="192"/>
        <v>7275.7920000000004</v>
      </c>
      <c r="AG737">
        <f t="shared" si="193"/>
        <v>2941.87</v>
      </c>
      <c r="AH737" s="11">
        <f t="shared" si="194"/>
        <v>0.32346938999905439</v>
      </c>
      <c r="AI737" s="9">
        <f t="shared" si="195"/>
        <v>0.32346938999905439</v>
      </c>
      <c r="AJ737">
        <f t="shared" si="196"/>
        <v>7275.79</v>
      </c>
      <c r="AK737">
        <f t="shared" si="197"/>
        <v>1</v>
      </c>
      <c r="AL737">
        <f t="shared" si="198"/>
        <v>0</v>
      </c>
      <c r="AM737">
        <f t="shared" si="199"/>
        <v>0</v>
      </c>
      <c r="AN737">
        <f t="shared" si="200"/>
        <v>0</v>
      </c>
      <c r="AO737">
        <f t="shared" si="201"/>
        <v>0</v>
      </c>
      <c r="AP737">
        <f t="shared" si="202"/>
        <v>0</v>
      </c>
      <c r="AQ737">
        <f t="shared" si="203"/>
        <v>0</v>
      </c>
    </row>
    <row r="738" spans="1:43">
      <c r="A738" t="s">
        <v>2288</v>
      </c>
      <c r="B738" s="5">
        <v>45632</v>
      </c>
      <c r="C738" s="5">
        <v>45635</v>
      </c>
      <c r="D738" s="13">
        <f t="shared" si="187"/>
        <v>3</v>
      </c>
      <c r="E738" t="s">
        <v>2289</v>
      </c>
      <c r="F738" t="s">
        <v>89</v>
      </c>
      <c r="G738" t="s">
        <v>24</v>
      </c>
      <c r="H738" t="s">
        <v>63</v>
      </c>
      <c r="I738" t="s">
        <v>64</v>
      </c>
      <c r="J738" t="s">
        <v>65</v>
      </c>
      <c r="K738" t="s">
        <v>41</v>
      </c>
      <c r="L738" t="s">
        <v>66</v>
      </c>
      <c r="M738" t="s">
        <v>2290</v>
      </c>
      <c r="N738" t="s">
        <v>31</v>
      </c>
      <c r="O738">
        <v>9</v>
      </c>
      <c r="P738">
        <v>290.75</v>
      </c>
      <c r="Q738" s="11">
        <v>0.1</v>
      </c>
      <c r="R738">
        <v>2355.08</v>
      </c>
      <c r="S738">
        <v>1350.03</v>
      </c>
      <c r="T738">
        <v>1005.05</v>
      </c>
      <c r="U738" t="s">
        <v>32</v>
      </c>
      <c r="V738" t="s">
        <v>33</v>
      </c>
      <c r="X738" s="8" t="str">
        <f>IF(C738&gt;=B738,"Valid", "Invalid-Date")</f>
        <v>Valid</v>
      </c>
      <c r="Y738" s="8" t="str">
        <f t="shared" si="188"/>
        <v>Valid</v>
      </c>
      <c r="Z738" s="8" t="str">
        <f t="shared" si="189"/>
        <v>Pass</v>
      </c>
      <c r="AA738" s="8" t="str">
        <f t="shared" si="190"/>
        <v>Pass</v>
      </c>
      <c r="AB738" s="8" t="str">
        <f>TEXT(B738,"mmmm")</f>
        <v>December</v>
      </c>
      <c r="AC738" s="8" t="str">
        <f>TEXT(B738,"yyyy")</f>
        <v>2024</v>
      </c>
      <c r="AE738">
        <f t="shared" si="191"/>
        <v>2616.75</v>
      </c>
      <c r="AF738" s="11">
        <f t="shared" si="192"/>
        <v>2355.0750000000003</v>
      </c>
      <c r="AG738">
        <f t="shared" si="193"/>
        <v>1266.72</v>
      </c>
      <c r="AH738" s="11">
        <f t="shared" si="194"/>
        <v>0.48408139868157068</v>
      </c>
      <c r="AI738" s="9">
        <f t="shared" si="195"/>
        <v>0.48408139868157068</v>
      </c>
      <c r="AJ738">
        <f t="shared" si="196"/>
        <v>2355.08</v>
      </c>
      <c r="AK738">
        <f t="shared" si="197"/>
        <v>1</v>
      </c>
      <c r="AL738">
        <f t="shared" si="198"/>
        <v>0</v>
      </c>
      <c r="AM738">
        <f t="shared" si="199"/>
        <v>0</v>
      </c>
      <c r="AN738">
        <f t="shared" si="200"/>
        <v>0</v>
      </c>
      <c r="AO738">
        <f t="shared" si="201"/>
        <v>0</v>
      </c>
      <c r="AP738">
        <f t="shared" si="202"/>
        <v>0</v>
      </c>
      <c r="AQ738">
        <f t="shared" si="203"/>
        <v>0</v>
      </c>
    </row>
    <row r="739" spans="1:43">
      <c r="A739" t="s">
        <v>2291</v>
      </c>
      <c r="B739" s="5">
        <v>45332</v>
      </c>
      <c r="C739" s="5">
        <v>45567</v>
      </c>
      <c r="D739" s="13">
        <f t="shared" si="187"/>
        <v>235</v>
      </c>
      <c r="E739" t="s">
        <v>2292</v>
      </c>
      <c r="F739" t="s">
        <v>47</v>
      </c>
      <c r="G739" t="s">
        <v>95</v>
      </c>
      <c r="H739" t="s">
        <v>63</v>
      </c>
      <c r="I739" t="s">
        <v>64</v>
      </c>
      <c r="J739" t="s">
        <v>65</v>
      </c>
      <c r="K739" t="s">
        <v>41</v>
      </c>
      <c r="L739" t="s">
        <v>66</v>
      </c>
      <c r="M739" t="s">
        <v>2293</v>
      </c>
      <c r="N739" t="s">
        <v>44</v>
      </c>
      <c r="O739">
        <v>6</v>
      </c>
      <c r="P739">
        <v>601.52</v>
      </c>
      <c r="Q739" s="11">
        <v>0</v>
      </c>
      <c r="R739">
        <v>3609.12</v>
      </c>
      <c r="S739">
        <v>2645.5</v>
      </c>
      <c r="T739">
        <v>963.62</v>
      </c>
      <c r="U739" t="s">
        <v>32</v>
      </c>
      <c r="V739" t="s">
        <v>33</v>
      </c>
      <c r="X739" s="8" t="str">
        <f>IF(C739&gt;=B739,"Valid", "Invalid-Date")</f>
        <v>Valid</v>
      </c>
      <c r="Y739" s="8" t="str">
        <f t="shared" si="188"/>
        <v>Valid</v>
      </c>
      <c r="Z739" s="8" t="str">
        <f t="shared" si="189"/>
        <v>Pass</v>
      </c>
      <c r="AA739" s="8" t="str">
        <f t="shared" si="190"/>
        <v>Pass</v>
      </c>
      <c r="AB739" s="8" t="str">
        <f>TEXT(B739,"mmmm")</f>
        <v>February</v>
      </c>
      <c r="AC739" s="8" t="str">
        <f>TEXT(B739,"yyyy")</f>
        <v>2024</v>
      </c>
      <c r="AE739">
        <f t="shared" si="191"/>
        <v>3609.12</v>
      </c>
      <c r="AF739" s="11">
        <f t="shared" si="192"/>
        <v>3609.12</v>
      </c>
      <c r="AG739">
        <f t="shared" si="193"/>
        <v>963.61999999999989</v>
      </c>
      <c r="AH739" s="11">
        <f t="shared" si="194"/>
        <v>0.2669958327791816</v>
      </c>
      <c r="AI739" s="9">
        <f t="shared" si="195"/>
        <v>0.2669958327791816</v>
      </c>
      <c r="AJ739">
        <f t="shared" si="196"/>
        <v>3609.12</v>
      </c>
      <c r="AK739">
        <f t="shared" si="197"/>
        <v>1</v>
      </c>
      <c r="AL739">
        <f t="shared" si="198"/>
        <v>0</v>
      </c>
      <c r="AM739">
        <f t="shared" si="199"/>
        <v>0</v>
      </c>
      <c r="AN739">
        <f t="shared" si="200"/>
        <v>0</v>
      </c>
      <c r="AO739">
        <f t="shared" si="201"/>
        <v>0</v>
      </c>
      <c r="AP739">
        <f t="shared" si="202"/>
        <v>0</v>
      </c>
      <c r="AQ739">
        <f t="shared" si="203"/>
        <v>0</v>
      </c>
    </row>
    <row r="740" spans="1:43">
      <c r="A740" t="s">
        <v>2294</v>
      </c>
      <c r="B740" s="5">
        <v>45708</v>
      </c>
      <c r="C740" s="5">
        <v>45710</v>
      </c>
      <c r="D740" s="13">
        <f t="shared" si="187"/>
        <v>2</v>
      </c>
      <c r="E740" t="s">
        <v>2295</v>
      </c>
      <c r="F740" t="s">
        <v>114</v>
      </c>
      <c r="G740" t="s">
        <v>90</v>
      </c>
      <c r="H740" t="s">
        <v>54</v>
      </c>
      <c r="I740" t="s">
        <v>185</v>
      </c>
      <c r="J740" t="s">
        <v>186</v>
      </c>
      <c r="K740" t="s">
        <v>28</v>
      </c>
      <c r="L740" t="s">
        <v>29</v>
      </c>
      <c r="M740" t="s">
        <v>2296</v>
      </c>
      <c r="N740" t="s">
        <v>50</v>
      </c>
      <c r="O740">
        <v>1</v>
      </c>
      <c r="P740">
        <v>2188.19</v>
      </c>
      <c r="Q740" s="11">
        <v>0</v>
      </c>
      <c r="R740">
        <v>2188.19</v>
      </c>
      <c r="S740">
        <v>1298.8399999999999</v>
      </c>
      <c r="T740">
        <v>889.35</v>
      </c>
      <c r="U740" t="s">
        <v>32</v>
      </c>
      <c r="V740" t="s">
        <v>33</v>
      </c>
      <c r="X740" s="8" t="str">
        <f>IF(C740&gt;=B740,"Valid", "Invalid-Date")</f>
        <v>Valid</v>
      </c>
      <c r="Y740" s="8" t="str">
        <f t="shared" si="188"/>
        <v>Valid</v>
      </c>
      <c r="Z740" s="8" t="str">
        <f t="shared" si="189"/>
        <v>Pass</v>
      </c>
      <c r="AA740" s="8" t="str">
        <f t="shared" si="190"/>
        <v>Pass</v>
      </c>
      <c r="AB740" s="8" t="str">
        <f>TEXT(B740,"mmmm")</f>
        <v>February</v>
      </c>
      <c r="AC740" s="8" t="str">
        <f>TEXT(B740,"yyyy")</f>
        <v>2025</v>
      </c>
      <c r="AE740">
        <f t="shared" si="191"/>
        <v>2188.19</v>
      </c>
      <c r="AF740" s="11">
        <f t="shared" si="192"/>
        <v>2188.19</v>
      </c>
      <c r="AG740">
        <f t="shared" si="193"/>
        <v>889.35000000000014</v>
      </c>
      <c r="AH740" s="11">
        <f t="shared" si="194"/>
        <v>0.40643179979800664</v>
      </c>
      <c r="AI740" s="9">
        <f t="shared" si="195"/>
        <v>0.40643179979800664</v>
      </c>
      <c r="AJ740">
        <f t="shared" si="196"/>
        <v>2188.19</v>
      </c>
      <c r="AK740">
        <f t="shared" si="197"/>
        <v>1</v>
      </c>
      <c r="AL740">
        <f t="shared" si="198"/>
        <v>0</v>
      </c>
      <c r="AM740">
        <f t="shared" si="199"/>
        <v>0</v>
      </c>
      <c r="AN740">
        <f t="shared" si="200"/>
        <v>0</v>
      </c>
      <c r="AO740">
        <f t="shared" si="201"/>
        <v>0</v>
      </c>
      <c r="AP740">
        <f t="shared" si="202"/>
        <v>0</v>
      </c>
      <c r="AQ740">
        <f t="shared" si="203"/>
        <v>0</v>
      </c>
    </row>
    <row r="741" spans="1:43">
      <c r="A741" t="s">
        <v>2297</v>
      </c>
      <c r="B741" s="5">
        <v>45629</v>
      </c>
      <c r="C741" s="5">
        <v>45577</v>
      </c>
      <c r="D741" s="13">
        <f t="shared" si="187"/>
        <v>-52</v>
      </c>
      <c r="E741" t="s">
        <v>2298</v>
      </c>
      <c r="F741" t="s">
        <v>79</v>
      </c>
      <c r="G741" t="s">
        <v>90</v>
      </c>
      <c r="H741" t="s">
        <v>25</v>
      </c>
      <c r="I741" t="s">
        <v>26</v>
      </c>
      <c r="J741" t="s">
        <v>27</v>
      </c>
      <c r="K741" t="s">
        <v>74</v>
      </c>
      <c r="L741" t="s">
        <v>171</v>
      </c>
      <c r="M741" t="s">
        <v>2299</v>
      </c>
      <c r="N741" t="s">
        <v>59</v>
      </c>
      <c r="O741">
        <v>5</v>
      </c>
      <c r="P741">
        <v>2393.86</v>
      </c>
      <c r="Q741" s="11">
        <v>0.05</v>
      </c>
      <c r="R741">
        <v>11370.84</v>
      </c>
      <c r="S741">
        <v>7469.58</v>
      </c>
      <c r="T741">
        <v>3901.26</v>
      </c>
      <c r="U741" t="s">
        <v>32</v>
      </c>
      <c r="V741" t="s">
        <v>33</v>
      </c>
      <c r="X741" s="8" t="str">
        <f>IF(C741&gt;=B741,"Valid", "Invalid-Date")</f>
        <v>Invalid-Date</v>
      </c>
      <c r="Y741" s="8" t="str">
        <f t="shared" si="188"/>
        <v>Valid</v>
      </c>
      <c r="Z741" s="8" t="str">
        <f t="shared" si="189"/>
        <v>Pass</v>
      </c>
      <c r="AA741" s="8" t="str">
        <f t="shared" si="190"/>
        <v>Pass</v>
      </c>
      <c r="AB741" s="8" t="str">
        <f>TEXT(B741,"mmmm")</f>
        <v>December</v>
      </c>
      <c r="AC741" s="8" t="str">
        <f>TEXT(B741,"yyyy")</f>
        <v>2024</v>
      </c>
      <c r="AE741">
        <f t="shared" si="191"/>
        <v>11969.300000000001</v>
      </c>
      <c r="AF741" s="11">
        <f t="shared" si="192"/>
        <v>11370.835000000001</v>
      </c>
      <c r="AG741">
        <f t="shared" si="193"/>
        <v>4499.7200000000012</v>
      </c>
      <c r="AH741" s="11">
        <f t="shared" si="194"/>
        <v>0.3759384425154354</v>
      </c>
      <c r="AI741" s="9">
        <f t="shared" si="195"/>
        <v>0.3759384425154354</v>
      </c>
      <c r="AJ741">
        <f t="shared" si="196"/>
        <v>11370.84</v>
      </c>
      <c r="AK741">
        <f t="shared" si="197"/>
        <v>1</v>
      </c>
      <c r="AL741">
        <f t="shared" si="198"/>
        <v>0</v>
      </c>
      <c r="AM741">
        <f t="shared" si="199"/>
        <v>0</v>
      </c>
      <c r="AN741">
        <f t="shared" si="200"/>
        <v>0</v>
      </c>
      <c r="AO741">
        <f t="shared" si="201"/>
        <v>0</v>
      </c>
      <c r="AP741">
        <f t="shared" si="202"/>
        <v>0</v>
      </c>
      <c r="AQ741">
        <f t="shared" si="203"/>
        <v>0</v>
      </c>
    </row>
    <row r="742" spans="1:43">
      <c r="A742" t="s">
        <v>2300</v>
      </c>
      <c r="B742" s="5">
        <v>45384</v>
      </c>
      <c r="C742" s="5">
        <v>45326</v>
      </c>
      <c r="D742" s="13">
        <f t="shared" si="187"/>
        <v>-58</v>
      </c>
      <c r="E742" t="s">
        <v>521</v>
      </c>
      <c r="F742" t="s">
        <v>132</v>
      </c>
      <c r="G742" t="s">
        <v>37</v>
      </c>
      <c r="H742" t="s">
        <v>63</v>
      </c>
      <c r="I742" t="s">
        <v>64</v>
      </c>
      <c r="J742" t="s">
        <v>65</v>
      </c>
      <c r="K742" t="s">
        <v>41</v>
      </c>
      <c r="L742" t="s">
        <v>66</v>
      </c>
      <c r="M742" t="s">
        <v>2301</v>
      </c>
      <c r="N742" t="s">
        <v>50</v>
      </c>
      <c r="O742">
        <v>4</v>
      </c>
      <c r="P742">
        <v>2583</v>
      </c>
      <c r="Q742" s="11">
        <v>0.1</v>
      </c>
      <c r="R742">
        <v>9298.7999999999993</v>
      </c>
      <c r="S742">
        <v>6548.5</v>
      </c>
      <c r="T742">
        <v>2750.3</v>
      </c>
      <c r="U742" t="s">
        <v>32</v>
      </c>
      <c r="V742" t="s">
        <v>33</v>
      </c>
      <c r="X742" s="8" t="str">
        <f>IF(C742&gt;=B742,"Valid", "Invalid-Date")</f>
        <v>Invalid-Date</v>
      </c>
      <c r="Y742" s="8" t="str">
        <f t="shared" si="188"/>
        <v>Valid</v>
      </c>
      <c r="Z742" s="8" t="str">
        <f t="shared" si="189"/>
        <v>Pass</v>
      </c>
      <c r="AA742" s="8" t="str">
        <f t="shared" si="190"/>
        <v>Pass</v>
      </c>
      <c r="AB742" s="8" t="str">
        <f>TEXT(B742,"mmmm")</f>
        <v>April</v>
      </c>
      <c r="AC742" s="8" t="str">
        <f>TEXT(B742,"yyyy")</f>
        <v>2024</v>
      </c>
      <c r="AE742">
        <f t="shared" si="191"/>
        <v>10332</v>
      </c>
      <c r="AF742" s="11">
        <f t="shared" si="192"/>
        <v>9298.8000000000011</v>
      </c>
      <c r="AG742">
        <f t="shared" si="193"/>
        <v>3783.5</v>
      </c>
      <c r="AH742" s="11">
        <f t="shared" si="194"/>
        <v>0.36619241192411922</v>
      </c>
      <c r="AI742" s="9">
        <f t="shared" si="195"/>
        <v>0.36619241192411922</v>
      </c>
      <c r="AJ742">
        <f t="shared" si="196"/>
        <v>9298.7999999999993</v>
      </c>
      <c r="AK742">
        <f t="shared" si="197"/>
        <v>1</v>
      </c>
      <c r="AL742">
        <f t="shared" si="198"/>
        <v>0</v>
      </c>
      <c r="AM742">
        <f t="shared" si="199"/>
        <v>0</v>
      </c>
      <c r="AN742">
        <f t="shared" si="200"/>
        <v>0</v>
      </c>
      <c r="AO742">
        <f t="shared" si="201"/>
        <v>0</v>
      </c>
      <c r="AP742">
        <f t="shared" si="202"/>
        <v>0</v>
      </c>
      <c r="AQ742">
        <f t="shared" si="203"/>
        <v>0</v>
      </c>
    </row>
    <row r="743" spans="1:43">
      <c r="A743" t="s">
        <v>2302</v>
      </c>
      <c r="B743" s="5">
        <v>45770</v>
      </c>
      <c r="C743" s="5">
        <v>45772</v>
      </c>
      <c r="D743" s="13">
        <f t="shared" si="187"/>
        <v>2</v>
      </c>
      <c r="E743" t="s">
        <v>2303</v>
      </c>
      <c r="F743" t="s">
        <v>47</v>
      </c>
      <c r="G743" t="s">
        <v>95</v>
      </c>
      <c r="H743" t="s">
        <v>54</v>
      </c>
      <c r="I743" t="s">
        <v>247</v>
      </c>
      <c r="J743" t="s">
        <v>248</v>
      </c>
      <c r="K743" t="s">
        <v>41</v>
      </c>
      <c r="L743" t="s">
        <v>66</v>
      </c>
      <c r="M743" t="s">
        <v>2304</v>
      </c>
      <c r="N743" t="s">
        <v>31</v>
      </c>
      <c r="O743">
        <v>3</v>
      </c>
      <c r="P743">
        <v>2951.12</v>
      </c>
      <c r="Q743" s="11">
        <v>0</v>
      </c>
      <c r="R743">
        <v>7082.69</v>
      </c>
      <c r="S743">
        <v>5596.34</v>
      </c>
      <c r="T743">
        <v>1486.35</v>
      </c>
      <c r="U743" t="s">
        <v>32</v>
      </c>
      <c r="V743" t="s">
        <v>68</v>
      </c>
      <c r="X743" s="8" t="str">
        <f>IF(C743&gt;=B743,"Valid", "Invalid-Date")</f>
        <v>Valid</v>
      </c>
      <c r="Y743" s="8" t="str">
        <f t="shared" si="188"/>
        <v>Valid</v>
      </c>
      <c r="Z743" s="8" t="str">
        <f t="shared" si="189"/>
        <v>Pass</v>
      </c>
      <c r="AA743" s="8" t="str">
        <f t="shared" si="190"/>
        <v>Pass</v>
      </c>
      <c r="AB743" s="8" t="str">
        <f>TEXT(B743,"mmmm")</f>
        <v>April</v>
      </c>
      <c r="AC743" s="8" t="str">
        <f>TEXT(B743,"yyyy")</f>
        <v>2025</v>
      </c>
      <c r="AE743">
        <f t="shared" si="191"/>
        <v>8853.36</v>
      </c>
      <c r="AF743" s="11">
        <f t="shared" si="192"/>
        <v>8853.36</v>
      </c>
      <c r="AG743">
        <f t="shared" si="193"/>
        <v>3257.0200000000004</v>
      </c>
      <c r="AH743" s="11">
        <f t="shared" si="194"/>
        <v>0.36788518709280998</v>
      </c>
      <c r="AI743" s="9">
        <f t="shared" si="195"/>
        <v>0.36788518709280998</v>
      </c>
      <c r="AJ743">
        <f t="shared" si="196"/>
        <v>0</v>
      </c>
      <c r="AK743">
        <f t="shared" si="197"/>
        <v>0</v>
      </c>
      <c r="AL743">
        <f t="shared" si="198"/>
        <v>7082.69</v>
      </c>
      <c r="AM743">
        <f t="shared" si="199"/>
        <v>1</v>
      </c>
      <c r="AN743">
        <f t="shared" si="200"/>
        <v>0</v>
      </c>
      <c r="AO743">
        <f t="shared" si="201"/>
        <v>0</v>
      </c>
      <c r="AP743">
        <f t="shared" si="202"/>
        <v>0</v>
      </c>
      <c r="AQ743">
        <f t="shared" si="203"/>
        <v>0</v>
      </c>
    </row>
    <row r="744" spans="1:43">
      <c r="A744" t="s">
        <v>2305</v>
      </c>
      <c r="B744" s="5">
        <v>45580</v>
      </c>
      <c r="C744" s="5">
        <v>45587</v>
      </c>
      <c r="D744" s="13">
        <f t="shared" si="187"/>
        <v>7</v>
      </c>
      <c r="E744" t="s">
        <v>2306</v>
      </c>
      <c r="F744" t="s">
        <v>23</v>
      </c>
      <c r="G744" t="s">
        <v>90</v>
      </c>
      <c r="H744" t="s">
        <v>38</v>
      </c>
      <c r="I744" t="s">
        <v>39</v>
      </c>
      <c r="J744" t="s">
        <v>40</v>
      </c>
      <c r="K744" t="s">
        <v>28</v>
      </c>
      <c r="L744" t="s">
        <v>29</v>
      </c>
      <c r="M744" t="s">
        <v>2307</v>
      </c>
      <c r="N744" t="s">
        <v>59</v>
      </c>
      <c r="O744">
        <v>4</v>
      </c>
      <c r="P744">
        <v>2260.9499999999998</v>
      </c>
      <c r="Q744" s="11">
        <v>0</v>
      </c>
      <c r="R744">
        <v>9043.7999999999993</v>
      </c>
      <c r="S744">
        <v>5913.38</v>
      </c>
      <c r="T744">
        <v>3130.42</v>
      </c>
      <c r="U744" t="s">
        <v>32</v>
      </c>
      <c r="V744" t="s">
        <v>33</v>
      </c>
      <c r="X744" s="8" t="str">
        <f>IF(C744&gt;=B744,"Valid", "Invalid-Date")</f>
        <v>Valid</v>
      </c>
      <c r="Y744" s="8" t="str">
        <f t="shared" si="188"/>
        <v>Valid</v>
      </c>
      <c r="Z744" s="8" t="str">
        <f t="shared" si="189"/>
        <v>Pass</v>
      </c>
      <c r="AA744" s="8" t="str">
        <f t="shared" si="190"/>
        <v>Pass</v>
      </c>
      <c r="AB744" s="8" t="str">
        <f>TEXT(B744,"mmmm")</f>
        <v>October</v>
      </c>
      <c r="AC744" s="8" t="str">
        <f>TEXT(B744,"yyyy")</f>
        <v>2024</v>
      </c>
      <c r="AE744">
        <f t="shared" si="191"/>
        <v>9043.7999999999993</v>
      </c>
      <c r="AF744" s="11">
        <f t="shared" si="192"/>
        <v>9043.7999999999993</v>
      </c>
      <c r="AG744">
        <f t="shared" si="193"/>
        <v>3130.4199999999992</v>
      </c>
      <c r="AH744" s="11">
        <f t="shared" si="194"/>
        <v>0.34613989694597397</v>
      </c>
      <c r="AI744" s="9">
        <f t="shared" si="195"/>
        <v>0.34613989694597397</v>
      </c>
      <c r="AJ744">
        <f t="shared" si="196"/>
        <v>9043.7999999999993</v>
      </c>
      <c r="AK744">
        <f t="shared" si="197"/>
        <v>1</v>
      </c>
      <c r="AL744">
        <f t="shared" si="198"/>
        <v>0</v>
      </c>
      <c r="AM744">
        <f t="shared" si="199"/>
        <v>0</v>
      </c>
      <c r="AN744">
        <f t="shared" si="200"/>
        <v>0</v>
      </c>
      <c r="AO744">
        <f t="shared" si="201"/>
        <v>0</v>
      </c>
      <c r="AP744">
        <f t="shared" si="202"/>
        <v>0</v>
      </c>
      <c r="AQ744">
        <f t="shared" si="203"/>
        <v>0</v>
      </c>
    </row>
    <row r="745" spans="1:43">
      <c r="A745" t="s">
        <v>2308</v>
      </c>
      <c r="B745" s="5">
        <v>45993</v>
      </c>
      <c r="C745" s="5">
        <v>45702</v>
      </c>
      <c r="D745" s="13">
        <f t="shared" si="187"/>
        <v>-291</v>
      </c>
      <c r="E745" t="s">
        <v>2309</v>
      </c>
      <c r="F745" t="s">
        <v>132</v>
      </c>
      <c r="G745" t="s">
        <v>24</v>
      </c>
      <c r="H745" t="s">
        <v>25</v>
      </c>
      <c r="I745" t="s">
        <v>136</v>
      </c>
      <c r="J745" t="s">
        <v>137</v>
      </c>
      <c r="K745" t="s">
        <v>28</v>
      </c>
      <c r="L745" t="s">
        <v>48</v>
      </c>
      <c r="M745" t="s">
        <v>2310</v>
      </c>
      <c r="N745" t="s">
        <v>59</v>
      </c>
      <c r="O745">
        <v>6</v>
      </c>
      <c r="P745">
        <v>491.4</v>
      </c>
      <c r="Q745" s="11">
        <v>0.25</v>
      </c>
      <c r="R745">
        <v>2211.3000000000002</v>
      </c>
      <c r="S745">
        <v>1735.64</v>
      </c>
      <c r="T745">
        <v>475.66</v>
      </c>
      <c r="U745" t="s">
        <v>32</v>
      </c>
      <c r="V745" t="s">
        <v>33</v>
      </c>
      <c r="X745" s="8" t="str">
        <f>IF(C745&gt;=B745,"Valid", "Invalid-Date")</f>
        <v>Invalid-Date</v>
      </c>
      <c r="Y745" s="8" t="str">
        <f t="shared" si="188"/>
        <v>Valid</v>
      </c>
      <c r="Z745" s="8" t="str">
        <f t="shared" si="189"/>
        <v>Pass</v>
      </c>
      <c r="AA745" s="8" t="str">
        <f t="shared" si="190"/>
        <v>Pass</v>
      </c>
      <c r="AB745" s="8" t="str">
        <f>TEXT(B745,"mmmm")</f>
        <v>December</v>
      </c>
      <c r="AC745" s="8" t="str">
        <f>TEXT(B745,"yyyy")</f>
        <v>2025</v>
      </c>
      <c r="AE745">
        <f t="shared" si="191"/>
        <v>2948.3999999999996</v>
      </c>
      <c r="AF745" s="11">
        <f t="shared" si="192"/>
        <v>2211.2999999999997</v>
      </c>
      <c r="AG745">
        <f t="shared" si="193"/>
        <v>1212.7599999999995</v>
      </c>
      <c r="AH745" s="11">
        <f t="shared" si="194"/>
        <v>0.41132817799484456</v>
      </c>
      <c r="AI745" s="9">
        <f t="shared" si="195"/>
        <v>0.41132817799484456</v>
      </c>
      <c r="AJ745">
        <f t="shared" si="196"/>
        <v>2211.3000000000002</v>
      </c>
      <c r="AK745">
        <f t="shared" si="197"/>
        <v>1</v>
      </c>
      <c r="AL745">
        <f t="shared" si="198"/>
        <v>0</v>
      </c>
      <c r="AM745">
        <f t="shared" si="199"/>
        <v>0</v>
      </c>
      <c r="AN745">
        <f t="shared" si="200"/>
        <v>0</v>
      </c>
      <c r="AO745">
        <f t="shared" si="201"/>
        <v>0</v>
      </c>
      <c r="AP745">
        <f t="shared" si="202"/>
        <v>0</v>
      </c>
      <c r="AQ745">
        <f t="shared" si="203"/>
        <v>0</v>
      </c>
    </row>
    <row r="746" spans="1:43">
      <c r="A746" t="s">
        <v>2311</v>
      </c>
      <c r="B746" s="5">
        <v>45886</v>
      </c>
      <c r="C746" s="5">
        <v>45889</v>
      </c>
      <c r="D746" s="13">
        <f t="shared" si="187"/>
        <v>3</v>
      </c>
      <c r="E746" t="s">
        <v>2312</v>
      </c>
      <c r="F746" t="s">
        <v>36</v>
      </c>
      <c r="G746" t="s">
        <v>95</v>
      </c>
      <c r="H746" t="s">
        <v>25</v>
      </c>
      <c r="I746" t="s">
        <v>122</v>
      </c>
      <c r="J746" t="s">
        <v>123</v>
      </c>
      <c r="K746" t="s">
        <v>28</v>
      </c>
      <c r="L746" t="s">
        <v>153</v>
      </c>
      <c r="M746" t="s">
        <v>2313</v>
      </c>
      <c r="N746" t="s">
        <v>50</v>
      </c>
      <c r="O746">
        <v>5</v>
      </c>
      <c r="P746">
        <v>2701.89</v>
      </c>
      <c r="Q746" s="11">
        <v>0.1</v>
      </c>
      <c r="R746">
        <v>12158.5</v>
      </c>
      <c r="S746">
        <v>10260.07</v>
      </c>
      <c r="T746">
        <v>1898.43</v>
      </c>
      <c r="U746" t="s">
        <v>32</v>
      </c>
      <c r="V746" t="s">
        <v>68</v>
      </c>
      <c r="X746" s="8" t="str">
        <f>IF(C746&gt;=B746,"Valid", "Invalid-Date")</f>
        <v>Valid</v>
      </c>
      <c r="Y746" s="8" t="str">
        <f t="shared" si="188"/>
        <v>Valid</v>
      </c>
      <c r="Z746" s="8" t="str">
        <f t="shared" si="189"/>
        <v>Pass</v>
      </c>
      <c r="AA746" s="8" t="str">
        <f t="shared" si="190"/>
        <v>Pass</v>
      </c>
      <c r="AB746" s="8" t="str">
        <f>TEXT(B746,"mmmm")</f>
        <v>August</v>
      </c>
      <c r="AC746" s="8" t="str">
        <f>TEXT(B746,"yyyy")</f>
        <v>2025</v>
      </c>
      <c r="AE746">
        <f t="shared" si="191"/>
        <v>13509.449999999999</v>
      </c>
      <c r="AF746" s="11">
        <f t="shared" si="192"/>
        <v>12158.504999999999</v>
      </c>
      <c r="AG746">
        <f t="shared" si="193"/>
        <v>3249.3799999999992</v>
      </c>
      <c r="AH746" s="11">
        <f t="shared" si="194"/>
        <v>0.24052644630240308</v>
      </c>
      <c r="AI746" s="9">
        <f t="shared" si="195"/>
        <v>0.24052644630240308</v>
      </c>
      <c r="AJ746">
        <f t="shared" si="196"/>
        <v>0</v>
      </c>
      <c r="AK746">
        <f t="shared" si="197"/>
        <v>0</v>
      </c>
      <c r="AL746">
        <f t="shared" si="198"/>
        <v>12158.5</v>
      </c>
      <c r="AM746">
        <f t="shared" si="199"/>
        <v>1</v>
      </c>
      <c r="AN746">
        <f t="shared" si="200"/>
        <v>0</v>
      </c>
      <c r="AO746">
        <f t="shared" si="201"/>
        <v>0</v>
      </c>
      <c r="AP746">
        <f t="shared" si="202"/>
        <v>0</v>
      </c>
      <c r="AQ746">
        <f t="shared" si="203"/>
        <v>0</v>
      </c>
    </row>
    <row r="747" spans="1:43">
      <c r="A747" t="s">
        <v>2314</v>
      </c>
      <c r="B747" s="5">
        <v>45589</v>
      </c>
      <c r="C747" s="5">
        <v>45593</v>
      </c>
      <c r="D747" s="13">
        <f t="shared" si="187"/>
        <v>4</v>
      </c>
      <c r="E747" t="s">
        <v>2315</v>
      </c>
      <c r="F747" t="s">
        <v>36</v>
      </c>
      <c r="G747" t="s">
        <v>37</v>
      </c>
      <c r="H747" t="s">
        <v>38</v>
      </c>
      <c r="I747" t="s">
        <v>166</v>
      </c>
      <c r="J747" t="s">
        <v>167</v>
      </c>
      <c r="K747" t="s">
        <v>74</v>
      </c>
      <c r="L747" t="s">
        <v>80</v>
      </c>
      <c r="M747" t="s">
        <v>2316</v>
      </c>
      <c r="N747" t="s">
        <v>59</v>
      </c>
      <c r="O747">
        <v>3</v>
      </c>
      <c r="P747">
        <v>723.59</v>
      </c>
      <c r="Q747" s="11">
        <v>0.2</v>
      </c>
      <c r="R747">
        <v>1736.62</v>
      </c>
      <c r="S747">
        <v>1059.52</v>
      </c>
      <c r="T747">
        <v>677.1</v>
      </c>
      <c r="U747" t="s">
        <v>32</v>
      </c>
      <c r="V747" t="s">
        <v>33</v>
      </c>
      <c r="X747" s="8" t="str">
        <f>IF(C747&gt;=B747,"Valid", "Invalid-Date")</f>
        <v>Valid</v>
      </c>
      <c r="Y747" s="8" t="str">
        <f t="shared" si="188"/>
        <v>Valid</v>
      </c>
      <c r="Z747" s="8" t="str">
        <f t="shared" si="189"/>
        <v>Pass</v>
      </c>
      <c r="AA747" s="8" t="str">
        <f t="shared" si="190"/>
        <v>Pass</v>
      </c>
      <c r="AB747" s="8" t="str">
        <f>TEXT(B747,"mmmm")</f>
        <v>October</v>
      </c>
      <c r="AC747" s="8" t="str">
        <f>TEXT(B747,"yyyy")</f>
        <v>2024</v>
      </c>
      <c r="AE747">
        <f t="shared" si="191"/>
        <v>2170.77</v>
      </c>
      <c r="AF747" s="11">
        <f t="shared" si="192"/>
        <v>1736.616</v>
      </c>
      <c r="AG747">
        <f t="shared" si="193"/>
        <v>1111.25</v>
      </c>
      <c r="AH747" s="11">
        <f t="shared" si="194"/>
        <v>0.51191512689045826</v>
      </c>
      <c r="AI747" s="9">
        <f t="shared" si="195"/>
        <v>0.51191512689045826</v>
      </c>
      <c r="AJ747">
        <f t="shared" si="196"/>
        <v>1736.62</v>
      </c>
      <c r="AK747">
        <f t="shared" si="197"/>
        <v>1</v>
      </c>
      <c r="AL747">
        <f t="shared" si="198"/>
        <v>0</v>
      </c>
      <c r="AM747">
        <f t="shared" si="199"/>
        <v>0</v>
      </c>
      <c r="AN747">
        <f t="shared" si="200"/>
        <v>0</v>
      </c>
      <c r="AO747">
        <f t="shared" si="201"/>
        <v>0</v>
      </c>
      <c r="AP747">
        <f t="shared" si="202"/>
        <v>0</v>
      </c>
      <c r="AQ747">
        <f t="shared" si="203"/>
        <v>0</v>
      </c>
    </row>
    <row r="748" spans="1:43">
      <c r="A748" t="s">
        <v>2317</v>
      </c>
      <c r="B748" s="5">
        <v>45661</v>
      </c>
      <c r="C748" s="5">
        <v>45667</v>
      </c>
      <c r="D748" s="13">
        <f t="shared" si="187"/>
        <v>6</v>
      </c>
      <c r="E748" t="s">
        <v>2025</v>
      </c>
      <c r="F748" t="s">
        <v>128</v>
      </c>
      <c r="G748" t="s">
        <v>95</v>
      </c>
      <c r="H748" t="s">
        <v>38</v>
      </c>
      <c r="I748" t="s">
        <v>99</v>
      </c>
      <c r="J748" t="s">
        <v>100</v>
      </c>
      <c r="K748" t="s">
        <v>28</v>
      </c>
      <c r="L748" t="s">
        <v>29</v>
      </c>
      <c r="M748" t="s">
        <v>2318</v>
      </c>
      <c r="N748" t="s">
        <v>59</v>
      </c>
      <c r="O748">
        <v>4</v>
      </c>
      <c r="P748">
        <v>2583.19</v>
      </c>
      <c r="Q748" s="11">
        <v>0.2</v>
      </c>
      <c r="R748">
        <v>8266.2099999999991</v>
      </c>
      <c r="S748">
        <v>6236.32</v>
      </c>
      <c r="T748">
        <v>2029.89</v>
      </c>
      <c r="U748" t="s">
        <v>32</v>
      </c>
      <c r="V748" t="s">
        <v>33</v>
      </c>
      <c r="X748" s="8" t="str">
        <f>IF(C748&gt;=B748,"Valid", "Invalid-Date")</f>
        <v>Valid</v>
      </c>
      <c r="Y748" s="8" t="str">
        <f t="shared" si="188"/>
        <v>Valid</v>
      </c>
      <c r="Z748" s="8" t="str">
        <f t="shared" si="189"/>
        <v>Pass</v>
      </c>
      <c r="AA748" s="8" t="str">
        <f t="shared" si="190"/>
        <v>Pass</v>
      </c>
      <c r="AB748" s="8" t="str">
        <f>TEXT(B748,"mmmm")</f>
        <v>January</v>
      </c>
      <c r="AC748" s="8" t="str">
        <f>TEXT(B748,"yyyy")</f>
        <v>2025</v>
      </c>
      <c r="AE748">
        <f t="shared" si="191"/>
        <v>10332.76</v>
      </c>
      <c r="AF748" s="11">
        <f t="shared" si="192"/>
        <v>8266.2080000000005</v>
      </c>
      <c r="AG748">
        <f t="shared" si="193"/>
        <v>4096.4400000000005</v>
      </c>
      <c r="AH748" s="11">
        <f t="shared" si="194"/>
        <v>0.39645167409288518</v>
      </c>
      <c r="AI748" s="9">
        <f t="shared" si="195"/>
        <v>0.39645167409288518</v>
      </c>
      <c r="AJ748">
        <f t="shared" si="196"/>
        <v>8266.2099999999991</v>
      </c>
      <c r="AK748">
        <f t="shared" si="197"/>
        <v>1</v>
      </c>
      <c r="AL748">
        <f t="shared" si="198"/>
        <v>0</v>
      </c>
      <c r="AM748">
        <f t="shared" si="199"/>
        <v>0</v>
      </c>
      <c r="AN748">
        <f t="shared" si="200"/>
        <v>0</v>
      </c>
      <c r="AO748">
        <f t="shared" si="201"/>
        <v>0</v>
      </c>
      <c r="AP748">
        <f t="shared" si="202"/>
        <v>0</v>
      </c>
      <c r="AQ748">
        <f t="shared" si="203"/>
        <v>0</v>
      </c>
    </row>
    <row r="749" spans="1:43">
      <c r="A749" t="s">
        <v>2319</v>
      </c>
      <c r="B749" s="5">
        <v>45413</v>
      </c>
      <c r="C749" s="5">
        <v>45478</v>
      </c>
      <c r="D749" s="13">
        <f t="shared" si="187"/>
        <v>65</v>
      </c>
      <c r="E749" t="s">
        <v>2320</v>
      </c>
      <c r="F749" t="s">
        <v>47</v>
      </c>
      <c r="G749" t="s">
        <v>95</v>
      </c>
      <c r="H749" t="s">
        <v>38</v>
      </c>
      <c r="I749" t="s">
        <v>39</v>
      </c>
      <c r="J749" t="s">
        <v>40</v>
      </c>
      <c r="K749" t="s">
        <v>28</v>
      </c>
      <c r="L749" t="s">
        <v>29</v>
      </c>
      <c r="M749" t="s">
        <v>2321</v>
      </c>
      <c r="N749" t="s">
        <v>44</v>
      </c>
      <c r="O749">
        <v>8</v>
      </c>
      <c r="P749">
        <v>1473.83</v>
      </c>
      <c r="Q749" s="11">
        <v>0.15</v>
      </c>
      <c r="R749">
        <v>10022.040000000001</v>
      </c>
      <c r="S749">
        <v>5576.98</v>
      </c>
      <c r="T749">
        <v>4445.0600000000004</v>
      </c>
      <c r="U749" t="s">
        <v>32</v>
      </c>
      <c r="V749" t="s">
        <v>33</v>
      </c>
      <c r="X749" s="8" t="str">
        <f>IF(C749&gt;=B749,"Valid", "Invalid-Date")</f>
        <v>Valid</v>
      </c>
      <c r="Y749" s="8" t="str">
        <f t="shared" si="188"/>
        <v>Valid</v>
      </c>
      <c r="Z749" s="8" t="str">
        <f t="shared" si="189"/>
        <v>Pass</v>
      </c>
      <c r="AA749" s="8" t="str">
        <f t="shared" si="190"/>
        <v>Pass</v>
      </c>
      <c r="AB749" s="8" t="str">
        <f>TEXT(B749,"mmmm")</f>
        <v>May</v>
      </c>
      <c r="AC749" s="8" t="str">
        <f>TEXT(B749,"yyyy")</f>
        <v>2024</v>
      </c>
      <c r="AE749">
        <f t="shared" si="191"/>
        <v>11790.64</v>
      </c>
      <c r="AF749" s="11">
        <f t="shared" si="192"/>
        <v>10022.044</v>
      </c>
      <c r="AG749">
        <f t="shared" si="193"/>
        <v>6213.66</v>
      </c>
      <c r="AH749" s="11">
        <f t="shared" si="194"/>
        <v>0.52699938256108236</v>
      </c>
      <c r="AI749" s="9">
        <f t="shared" si="195"/>
        <v>0.52699938256108236</v>
      </c>
      <c r="AJ749">
        <f t="shared" si="196"/>
        <v>10022.040000000001</v>
      </c>
      <c r="AK749">
        <f t="shared" si="197"/>
        <v>1</v>
      </c>
      <c r="AL749">
        <f t="shared" si="198"/>
        <v>0</v>
      </c>
      <c r="AM749">
        <f t="shared" si="199"/>
        <v>0</v>
      </c>
      <c r="AN749">
        <f t="shared" si="200"/>
        <v>0</v>
      </c>
      <c r="AO749">
        <f t="shared" si="201"/>
        <v>0</v>
      </c>
      <c r="AP749">
        <f t="shared" si="202"/>
        <v>0</v>
      </c>
      <c r="AQ749">
        <f t="shared" si="203"/>
        <v>0</v>
      </c>
    </row>
    <row r="750" spans="1:43">
      <c r="A750" t="s">
        <v>2322</v>
      </c>
      <c r="B750" s="5">
        <v>45442</v>
      </c>
      <c r="C750" s="5">
        <v>45442</v>
      </c>
      <c r="D750" s="13">
        <f t="shared" si="187"/>
        <v>0</v>
      </c>
      <c r="E750" t="s">
        <v>2323</v>
      </c>
      <c r="F750" t="s">
        <v>162</v>
      </c>
      <c r="G750" t="s">
        <v>95</v>
      </c>
      <c r="H750" t="s">
        <v>25</v>
      </c>
      <c r="I750" t="s">
        <v>236</v>
      </c>
      <c r="J750" t="s">
        <v>237</v>
      </c>
      <c r="K750" t="s">
        <v>74</v>
      </c>
      <c r="L750" t="s">
        <v>171</v>
      </c>
      <c r="M750" t="s">
        <v>2324</v>
      </c>
      <c r="N750" t="s">
        <v>31</v>
      </c>
      <c r="O750">
        <v>1</v>
      </c>
      <c r="P750">
        <v>3848.04</v>
      </c>
      <c r="Q750" s="11">
        <v>0.25</v>
      </c>
      <c r="R750">
        <v>2886.03</v>
      </c>
      <c r="S750">
        <v>2064.83</v>
      </c>
      <c r="T750">
        <v>821.2</v>
      </c>
      <c r="U750" t="s">
        <v>32</v>
      </c>
      <c r="V750" t="s">
        <v>33</v>
      </c>
      <c r="X750" s="8" t="str">
        <f>IF(C750&gt;=B750,"Valid", "Invalid-Date")</f>
        <v>Valid</v>
      </c>
      <c r="Y750" s="8" t="str">
        <f t="shared" si="188"/>
        <v>Valid</v>
      </c>
      <c r="Z750" s="8" t="str">
        <f t="shared" si="189"/>
        <v>Pass</v>
      </c>
      <c r="AA750" s="8" t="str">
        <f t="shared" si="190"/>
        <v>Pass</v>
      </c>
      <c r="AB750" s="8" t="str">
        <f>TEXT(B750,"mmmm")</f>
        <v>May</v>
      </c>
      <c r="AC750" s="8" t="str">
        <f>TEXT(B750,"yyyy")</f>
        <v>2024</v>
      </c>
      <c r="AE750">
        <f t="shared" si="191"/>
        <v>3848.04</v>
      </c>
      <c r="AF750" s="11">
        <f t="shared" si="192"/>
        <v>2886.0299999999997</v>
      </c>
      <c r="AG750">
        <f t="shared" si="193"/>
        <v>1783.21</v>
      </c>
      <c r="AH750" s="11">
        <f t="shared" si="194"/>
        <v>0.46340734503799336</v>
      </c>
      <c r="AI750" s="9">
        <f t="shared" si="195"/>
        <v>0.46340734503799336</v>
      </c>
      <c r="AJ750">
        <f t="shared" si="196"/>
        <v>2886.03</v>
      </c>
      <c r="AK750">
        <f t="shared" si="197"/>
        <v>1</v>
      </c>
      <c r="AL750">
        <f t="shared" si="198"/>
        <v>0</v>
      </c>
      <c r="AM750">
        <f t="shared" si="199"/>
        <v>0</v>
      </c>
      <c r="AN750">
        <f t="shared" si="200"/>
        <v>0</v>
      </c>
      <c r="AO750">
        <f t="shared" si="201"/>
        <v>0</v>
      </c>
      <c r="AP750">
        <f t="shared" si="202"/>
        <v>0</v>
      </c>
      <c r="AQ750">
        <f t="shared" si="203"/>
        <v>0</v>
      </c>
    </row>
    <row r="751" spans="1:43">
      <c r="A751" t="s">
        <v>2325</v>
      </c>
      <c r="B751" s="5">
        <v>45372</v>
      </c>
      <c r="C751" s="5">
        <v>45376</v>
      </c>
      <c r="D751" s="13">
        <f t="shared" si="187"/>
        <v>4</v>
      </c>
      <c r="E751" t="s">
        <v>2326</v>
      </c>
      <c r="F751" t="s">
        <v>89</v>
      </c>
      <c r="G751" t="s">
        <v>95</v>
      </c>
      <c r="H751" t="s">
        <v>38</v>
      </c>
      <c r="I751" t="s">
        <v>166</v>
      </c>
      <c r="J751" t="s">
        <v>167</v>
      </c>
      <c r="K751" t="s">
        <v>74</v>
      </c>
      <c r="L751" t="s">
        <v>274</v>
      </c>
      <c r="M751" t="s">
        <v>2327</v>
      </c>
      <c r="N751" t="s">
        <v>59</v>
      </c>
      <c r="O751">
        <v>1</v>
      </c>
      <c r="P751">
        <v>1716.7</v>
      </c>
      <c r="Q751" s="11">
        <v>0.15</v>
      </c>
      <c r="R751">
        <v>1459.19</v>
      </c>
      <c r="S751">
        <v>1055.79</v>
      </c>
      <c r="T751">
        <v>403.4</v>
      </c>
      <c r="U751" t="s">
        <v>32</v>
      </c>
      <c r="V751" t="s">
        <v>33</v>
      </c>
      <c r="X751" s="8" t="str">
        <f>IF(C751&gt;=B751,"Valid", "Invalid-Date")</f>
        <v>Valid</v>
      </c>
      <c r="Y751" s="8" t="str">
        <f t="shared" si="188"/>
        <v>Valid</v>
      </c>
      <c r="Z751" s="8" t="str">
        <f t="shared" si="189"/>
        <v>Pass</v>
      </c>
      <c r="AA751" s="8" t="str">
        <f t="shared" si="190"/>
        <v>Pass</v>
      </c>
      <c r="AB751" s="8" t="str">
        <f>TEXT(B751,"mmmm")</f>
        <v>March</v>
      </c>
      <c r="AC751" s="8" t="str">
        <f>TEXT(B751,"yyyy")</f>
        <v>2024</v>
      </c>
      <c r="AE751">
        <f t="shared" si="191"/>
        <v>1716.7</v>
      </c>
      <c r="AF751" s="11">
        <f t="shared" si="192"/>
        <v>1459.1949999999999</v>
      </c>
      <c r="AG751">
        <f t="shared" si="193"/>
        <v>660.91000000000008</v>
      </c>
      <c r="AH751" s="11">
        <f t="shared" si="194"/>
        <v>0.38498864099726221</v>
      </c>
      <c r="AI751" s="9">
        <f t="shared" si="195"/>
        <v>0.38498864099726221</v>
      </c>
      <c r="AJ751">
        <f t="shared" si="196"/>
        <v>1459.19</v>
      </c>
      <c r="AK751">
        <f t="shared" si="197"/>
        <v>1</v>
      </c>
      <c r="AL751">
        <f t="shared" si="198"/>
        <v>0</v>
      </c>
      <c r="AM751">
        <f t="shared" si="199"/>
        <v>0</v>
      </c>
      <c r="AN751">
        <f t="shared" si="200"/>
        <v>0</v>
      </c>
      <c r="AO751">
        <f t="shared" si="201"/>
        <v>0</v>
      </c>
      <c r="AP751">
        <f t="shared" si="202"/>
        <v>0</v>
      </c>
      <c r="AQ751">
        <f t="shared" si="203"/>
        <v>0</v>
      </c>
    </row>
    <row r="752" spans="1:43">
      <c r="A752" t="s">
        <v>2328</v>
      </c>
      <c r="B752" s="5">
        <v>45694</v>
      </c>
      <c r="C752" s="5">
        <v>45694</v>
      </c>
      <c r="D752" s="13">
        <f t="shared" si="187"/>
        <v>0</v>
      </c>
      <c r="E752" t="s">
        <v>2329</v>
      </c>
      <c r="F752" t="s">
        <v>128</v>
      </c>
      <c r="G752" t="s">
        <v>95</v>
      </c>
      <c r="H752" t="s">
        <v>54</v>
      </c>
      <c r="I752" t="s">
        <v>55</v>
      </c>
      <c r="J752" t="s">
        <v>56</v>
      </c>
      <c r="K752" t="s">
        <v>74</v>
      </c>
      <c r="L752" t="s">
        <v>75</v>
      </c>
      <c r="M752" t="s">
        <v>2330</v>
      </c>
      <c r="N752" t="s">
        <v>50</v>
      </c>
      <c r="O752">
        <v>8</v>
      </c>
      <c r="P752">
        <v>3925.93</v>
      </c>
      <c r="Q752" s="11">
        <v>0.15</v>
      </c>
      <c r="R752">
        <v>26696.32</v>
      </c>
      <c r="S752">
        <v>22724.52</v>
      </c>
      <c r="T752">
        <v>3971.8</v>
      </c>
      <c r="U752" t="s">
        <v>32</v>
      </c>
      <c r="V752" t="s">
        <v>33</v>
      </c>
      <c r="X752" s="8" t="str">
        <f>IF(C752&gt;=B752,"Valid", "Invalid-Date")</f>
        <v>Valid</v>
      </c>
      <c r="Y752" s="8" t="str">
        <f t="shared" si="188"/>
        <v>Valid</v>
      </c>
      <c r="Z752" s="8" t="str">
        <f t="shared" si="189"/>
        <v>Pass</v>
      </c>
      <c r="AA752" s="8" t="str">
        <f t="shared" si="190"/>
        <v>Pass</v>
      </c>
      <c r="AB752" s="8" t="str">
        <f>TEXT(B752,"mmmm")</f>
        <v>February</v>
      </c>
      <c r="AC752" s="8" t="str">
        <f>TEXT(B752,"yyyy")</f>
        <v>2025</v>
      </c>
      <c r="AE752">
        <f t="shared" si="191"/>
        <v>31407.439999999999</v>
      </c>
      <c r="AF752" s="11">
        <f t="shared" si="192"/>
        <v>26696.323999999997</v>
      </c>
      <c r="AG752">
        <f t="shared" si="193"/>
        <v>8682.9199999999983</v>
      </c>
      <c r="AH752" s="11">
        <f t="shared" si="194"/>
        <v>0.27646060933332989</v>
      </c>
      <c r="AI752" s="9">
        <f t="shared" si="195"/>
        <v>0.27646060933332989</v>
      </c>
      <c r="AJ752">
        <f t="shared" si="196"/>
        <v>26696.32</v>
      </c>
      <c r="AK752">
        <f t="shared" si="197"/>
        <v>1</v>
      </c>
      <c r="AL752">
        <f t="shared" si="198"/>
        <v>0</v>
      </c>
      <c r="AM752">
        <f t="shared" si="199"/>
        <v>0</v>
      </c>
      <c r="AN752">
        <f t="shared" si="200"/>
        <v>0</v>
      </c>
      <c r="AO752">
        <f t="shared" si="201"/>
        <v>0</v>
      </c>
      <c r="AP752">
        <f t="shared" si="202"/>
        <v>0</v>
      </c>
      <c r="AQ752">
        <f t="shared" si="203"/>
        <v>0</v>
      </c>
    </row>
    <row r="753" spans="1:43">
      <c r="A753" t="s">
        <v>2331</v>
      </c>
      <c r="B753" s="5">
        <v>45856</v>
      </c>
      <c r="C753" s="5">
        <v>45857</v>
      </c>
      <c r="D753" s="13">
        <f t="shared" si="187"/>
        <v>1</v>
      </c>
      <c r="E753" t="s">
        <v>2332</v>
      </c>
      <c r="F753" t="s">
        <v>114</v>
      </c>
      <c r="G753" t="s">
        <v>95</v>
      </c>
      <c r="H753" t="s">
        <v>2785</v>
      </c>
      <c r="I753" t="s">
        <v>136</v>
      </c>
      <c r="J753" t="s">
        <v>137</v>
      </c>
      <c r="K753" t="s">
        <v>74</v>
      </c>
      <c r="L753" t="s">
        <v>274</v>
      </c>
      <c r="M753" t="s">
        <v>2333</v>
      </c>
      <c r="N753" t="s">
        <v>2785</v>
      </c>
      <c r="O753">
        <v>3</v>
      </c>
      <c r="P753">
        <v>2963.25</v>
      </c>
      <c r="Q753" s="11">
        <v>0.05</v>
      </c>
      <c r="R753">
        <v>8445.26</v>
      </c>
      <c r="S753">
        <v>6937.6</v>
      </c>
      <c r="T753">
        <v>1507.66</v>
      </c>
      <c r="U753" t="s">
        <v>32</v>
      </c>
      <c r="V753" t="s">
        <v>33</v>
      </c>
      <c r="X753" s="8" t="str">
        <f>IF(C753&gt;=B753,"Valid", "Invalid-Date")</f>
        <v>Valid</v>
      </c>
      <c r="Y753" s="8" t="str">
        <f t="shared" si="188"/>
        <v>Valid</v>
      </c>
      <c r="Z753" s="8" t="str">
        <f t="shared" si="189"/>
        <v>Flagged</v>
      </c>
      <c r="AA753" s="8" t="str">
        <f t="shared" si="190"/>
        <v>Flagged</v>
      </c>
      <c r="AB753" s="8" t="str">
        <f>TEXT(B753,"mmmm")</f>
        <v>July</v>
      </c>
      <c r="AC753" s="8" t="str">
        <f>TEXT(B753,"yyyy")</f>
        <v>2025</v>
      </c>
      <c r="AE753">
        <f t="shared" si="191"/>
        <v>8889.75</v>
      </c>
      <c r="AF753" s="11">
        <f t="shared" si="192"/>
        <v>8445.2624999999989</v>
      </c>
      <c r="AG753">
        <f t="shared" si="193"/>
        <v>1952.1499999999996</v>
      </c>
      <c r="AH753" s="11">
        <f t="shared" si="194"/>
        <v>0.21959560167608758</v>
      </c>
      <c r="AI753" s="9">
        <f t="shared" si="195"/>
        <v>0.21959560167608758</v>
      </c>
      <c r="AJ753">
        <f t="shared" si="196"/>
        <v>8445.26</v>
      </c>
      <c r="AK753">
        <f t="shared" si="197"/>
        <v>1</v>
      </c>
      <c r="AL753">
        <f t="shared" si="198"/>
        <v>0</v>
      </c>
      <c r="AM753">
        <f t="shared" si="199"/>
        <v>0</v>
      </c>
      <c r="AN753">
        <f t="shared" si="200"/>
        <v>0</v>
      </c>
      <c r="AO753">
        <f t="shared" si="201"/>
        <v>0</v>
      </c>
      <c r="AP753">
        <f t="shared" si="202"/>
        <v>0</v>
      </c>
      <c r="AQ753">
        <f t="shared" si="203"/>
        <v>0</v>
      </c>
    </row>
    <row r="754" spans="1:43">
      <c r="A754" t="s">
        <v>2334</v>
      </c>
      <c r="B754" s="5">
        <v>45375</v>
      </c>
      <c r="C754" s="5">
        <v>45378</v>
      </c>
      <c r="D754" s="13">
        <f t="shared" si="187"/>
        <v>3</v>
      </c>
      <c r="E754" t="s">
        <v>2335</v>
      </c>
      <c r="F754" t="s">
        <v>89</v>
      </c>
      <c r="G754" t="s">
        <v>90</v>
      </c>
      <c r="H754" t="s">
        <v>63</v>
      </c>
      <c r="I754" t="s">
        <v>180</v>
      </c>
      <c r="J754" t="s">
        <v>181</v>
      </c>
      <c r="K754" t="s">
        <v>28</v>
      </c>
      <c r="L754" t="s">
        <v>124</v>
      </c>
      <c r="M754" t="s">
        <v>2336</v>
      </c>
      <c r="N754" t="s">
        <v>50</v>
      </c>
      <c r="O754">
        <v>5</v>
      </c>
      <c r="P754">
        <v>2465.2199999999998</v>
      </c>
      <c r="Q754" s="11">
        <v>0.05</v>
      </c>
      <c r="R754">
        <v>11709.79</v>
      </c>
      <c r="S754">
        <v>8372.2900000000009</v>
      </c>
      <c r="T754">
        <v>3337.5</v>
      </c>
      <c r="U754" t="s">
        <v>32</v>
      </c>
      <c r="V754" t="s">
        <v>33</v>
      </c>
      <c r="X754" s="8" t="str">
        <f>IF(C754&gt;=B754,"Valid", "Invalid-Date")</f>
        <v>Valid</v>
      </c>
      <c r="Y754" s="8" t="str">
        <f t="shared" si="188"/>
        <v>Valid</v>
      </c>
      <c r="Z754" s="8" t="str">
        <f t="shared" si="189"/>
        <v>Pass</v>
      </c>
      <c r="AA754" s="8" t="str">
        <f t="shared" si="190"/>
        <v>Pass</v>
      </c>
      <c r="AB754" s="8" t="str">
        <f>TEXT(B754,"mmmm")</f>
        <v>March</v>
      </c>
      <c r="AC754" s="8" t="str">
        <f>TEXT(B754,"yyyy")</f>
        <v>2024</v>
      </c>
      <c r="AE754">
        <f t="shared" si="191"/>
        <v>12326.099999999999</v>
      </c>
      <c r="AF754" s="11">
        <f t="shared" si="192"/>
        <v>11709.794999999998</v>
      </c>
      <c r="AG754">
        <f t="shared" si="193"/>
        <v>3953.8099999999977</v>
      </c>
      <c r="AH754" s="11">
        <f t="shared" si="194"/>
        <v>0.32076731488467547</v>
      </c>
      <c r="AI754" s="9">
        <f t="shared" si="195"/>
        <v>0.32076731488467547</v>
      </c>
      <c r="AJ754">
        <f t="shared" si="196"/>
        <v>11709.79</v>
      </c>
      <c r="AK754">
        <f t="shared" si="197"/>
        <v>1</v>
      </c>
      <c r="AL754">
        <f t="shared" si="198"/>
        <v>0</v>
      </c>
      <c r="AM754">
        <f t="shared" si="199"/>
        <v>0</v>
      </c>
      <c r="AN754">
        <f t="shared" si="200"/>
        <v>0</v>
      </c>
      <c r="AO754">
        <f t="shared" si="201"/>
        <v>0</v>
      </c>
      <c r="AP754">
        <f t="shared" si="202"/>
        <v>0</v>
      </c>
      <c r="AQ754">
        <f t="shared" si="203"/>
        <v>0</v>
      </c>
    </row>
    <row r="755" spans="1:43">
      <c r="A755" t="s">
        <v>2337</v>
      </c>
      <c r="B755" s="5">
        <v>45515</v>
      </c>
      <c r="C755" s="5">
        <v>45514</v>
      </c>
      <c r="D755" s="13">
        <f t="shared" si="187"/>
        <v>-1</v>
      </c>
      <c r="E755" t="s">
        <v>2338</v>
      </c>
      <c r="F755" t="s">
        <v>89</v>
      </c>
      <c r="G755" t="s">
        <v>90</v>
      </c>
      <c r="H755" t="s">
        <v>25</v>
      </c>
      <c r="I755" t="s">
        <v>350</v>
      </c>
      <c r="J755" t="s">
        <v>351</v>
      </c>
      <c r="K755" t="s">
        <v>41</v>
      </c>
      <c r="L755" t="s">
        <v>57</v>
      </c>
      <c r="M755" t="s">
        <v>2339</v>
      </c>
      <c r="N755" t="s">
        <v>31</v>
      </c>
      <c r="O755">
        <v>3</v>
      </c>
      <c r="P755">
        <v>1017.22</v>
      </c>
      <c r="Q755" s="11">
        <v>0.15</v>
      </c>
      <c r="R755">
        <v>2593.91</v>
      </c>
      <c r="S755">
        <v>1848.48</v>
      </c>
      <c r="T755">
        <v>745.43</v>
      </c>
      <c r="U755" t="s">
        <v>155</v>
      </c>
      <c r="V755" t="s">
        <v>103</v>
      </c>
      <c r="X755" s="8" t="str">
        <f>IF(C755&gt;=B755,"Valid", "Invalid-Date")</f>
        <v>Invalid-Date</v>
      </c>
      <c r="Y755" s="8" t="str">
        <f t="shared" si="188"/>
        <v>Valid</v>
      </c>
      <c r="Z755" s="8" t="str">
        <f t="shared" si="189"/>
        <v>Pass</v>
      </c>
      <c r="AA755" s="8" t="str">
        <f t="shared" si="190"/>
        <v>Pass</v>
      </c>
      <c r="AB755" s="8" t="str">
        <f>TEXT(B755,"mmmm")</f>
        <v>August</v>
      </c>
      <c r="AC755" s="8" t="str">
        <f>TEXT(B755,"yyyy")</f>
        <v>2024</v>
      </c>
      <c r="AE755">
        <f t="shared" si="191"/>
        <v>3051.66</v>
      </c>
      <c r="AF755" s="11">
        <f t="shared" si="192"/>
        <v>2593.9109999999996</v>
      </c>
      <c r="AG755">
        <f t="shared" si="193"/>
        <v>1203.1799999999998</v>
      </c>
      <c r="AH755" s="11">
        <f t="shared" si="194"/>
        <v>0.39427065924775367</v>
      </c>
      <c r="AI755" s="9">
        <f t="shared" si="195"/>
        <v>0.39427065924775367</v>
      </c>
      <c r="AJ755">
        <f t="shared" si="196"/>
        <v>0</v>
      </c>
      <c r="AK755">
        <f t="shared" si="197"/>
        <v>0</v>
      </c>
      <c r="AL755">
        <f t="shared" si="198"/>
        <v>0</v>
      </c>
      <c r="AM755">
        <f t="shared" si="199"/>
        <v>0</v>
      </c>
      <c r="AN755">
        <f t="shared" si="200"/>
        <v>2593.91</v>
      </c>
      <c r="AO755">
        <f t="shared" si="201"/>
        <v>1</v>
      </c>
      <c r="AP755">
        <f t="shared" si="202"/>
        <v>2593.91</v>
      </c>
      <c r="AQ755">
        <f t="shared" si="203"/>
        <v>1</v>
      </c>
    </row>
    <row r="756" spans="1:43">
      <c r="A756" t="s">
        <v>2340</v>
      </c>
      <c r="B756" s="5">
        <v>45753</v>
      </c>
      <c r="C756" s="5">
        <v>45753</v>
      </c>
      <c r="D756" s="13">
        <f t="shared" si="187"/>
        <v>0</v>
      </c>
      <c r="E756" t="s">
        <v>2341</v>
      </c>
      <c r="F756" t="s">
        <v>79</v>
      </c>
      <c r="G756" t="s">
        <v>90</v>
      </c>
      <c r="H756" t="s">
        <v>54</v>
      </c>
      <c r="I756" t="s">
        <v>185</v>
      </c>
      <c r="J756" t="s">
        <v>186</v>
      </c>
      <c r="K756" t="s">
        <v>28</v>
      </c>
      <c r="L756" t="s">
        <v>124</v>
      </c>
      <c r="M756" t="s">
        <v>2342</v>
      </c>
      <c r="N756" t="s">
        <v>59</v>
      </c>
      <c r="O756">
        <v>4</v>
      </c>
      <c r="P756">
        <v>891.34</v>
      </c>
      <c r="Q756" s="11">
        <v>0.25</v>
      </c>
      <c r="R756">
        <v>2674.02</v>
      </c>
      <c r="S756">
        <v>2207.5700000000002</v>
      </c>
      <c r="T756">
        <v>466.45</v>
      </c>
      <c r="U756" t="s">
        <v>32</v>
      </c>
      <c r="V756" t="s">
        <v>33</v>
      </c>
      <c r="X756" s="8" t="str">
        <f>IF(C756&gt;=B756,"Valid", "Invalid-Date")</f>
        <v>Valid</v>
      </c>
      <c r="Y756" s="8" t="str">
        <f t="shared" si="188"/>
        <v>Valid</v>
      </c>
      <c r="Z756" s="8" t="str">
        <f t="shared" si="189"/>
        <v>Pass</v>
      </c>
      <c r="AA756" s="8" t="str">
        <f t="shared" si="190"/>
        <v>Pass</v>
      </c>
      <c r="AB756" s="8" t="str">
        <f>TEXT(B756,"mmmm")</f>
        <v>April</v>
      </c>
      <c r="AC756" s="8" t="str">
        <f>TEXT(B756,"yyyy")</f>
        <v>2025</v>
      </c>
      <c r="AE756">
        <f t="shared" si="191"/>
        <v>3565.36</v>
      </c>
      <c r="AF756" s="11">
        <f t="shared" si="192"/>
        <v>2674.02</v>
      </c>
      <c r="AG756">
        <f t="shared" si="193"/>
        <v>1357.79</v>
      </c>
      <c r="AH756" s="11">
        <f t="shared" si="194"/>
        <v>0.38082830345322771</v>
      </c>
      <c r="AI756" s="9">
        <f t="shared" si="195"/>
        <v>0.38082830345322771</v>
      </c>
      <c r="AJ756">
        <f t="shared" si="196"/>
        <v>2674.02</v>
      </c>
      <c r="AK756">
        <f t="shared" si="197"/>
        <v>1</v>
      </c>
      <c r="AL756">
        <f t="shared" si="198"/>
        <v>0</v>
      </c>
      <c r="AM756">
        <f t="shared" si="199"/>
        <v>0</v>
      </c>
      <c r="AN756">
        <f t="shared" si="200"/>
        <v>0</v>
      </c>
      <c r="AO756">
        <f t="shared" si="201"/>
        <v>0</v>
      </c>
      <c r="AP756">
        <f t="shared" si="202"/>
        <v>0</v>
      </c>
      <c r="AQ756">
        <f t="shared" si="203"/>
        <v>0</v>
      </c>
    </row>
    <row r="757" spans="1:43">
      <c r="A757" t="s">
        <v>2343</v>
      </c>
      <c r="B757" s="5">
        <v>45858</v>
      </c>
      <c r="C757" s="5">
        <v>45862</v>
      </c>
      <c r="D757" s="13">
        <f t="shared" si="187"/>
        <v>4</v>
      </c>
      <c r="E757" t="s">
        <v>2344</v>
      </c>
      <c r="F757" t="s">
        <v>114</v>
      </c>
      <c r="G757" t="s">
        <v>95</v>
      </c>
      <c r="H757" t="s">
        <v>63</v>
      </c>
      <c r="I757" t="s">
        <v>72</v>
      </c>
      <c r="J757" t="s">
        <v>73</v>
      </c>
      <c r="K757" t="s">
        <v>28</v>
      </c>
      <c r="L757" t="s">
        <v>124</v>
      </c>
      <c r="M757" t="s">
        <v>2345</v>
      </c>
      <c r="N757" t="s">
        <v>31</v>
      </c>
      <c r="O757">
        <v>5</v>
      </c>
      <c r="P757">
        <v>2481.7399999999998</v>
      </c>
      <c r="Q757" s="11">
        <v>0.2</v>
      </c>
      <c r="R757">
        <v>9926.9599999999991</v>
      </c>
      <c r="S757">
        <v>7994.98</v>
      </c>
      <c r="T757">
        <v>1931.98</v>
      </c>
      <c r="U757" t="s">
        <v>32</v>
      </c>
      <c r="V757" t="s">
        <v>33</v>
      </c>
      <c r="X757" s="8" t="str">
        <f>IF(C757&gt;=B757,"Valid", "Invalid-Date")</f>
        <v>Valid</v>
      </c>
      <c r="Y757" s="8" t="str">
        <f t="shared" si="188"/>
        <v>Valid</v>
      </c>
      <c r="Z757" s="8" t="str">
        <f t="shared" si="189"/>
        <v>Pass</v>
      </c>
      <c r="AA757" s="8" t="str">
        <f t="shared" si="190"/>
        <v>Pass</v>
      </c>
      <c r="AB757" s="8" t="str">
        <f>TEXT(B757,"mmmm")</f>
        <v>July</v>
      </c>
      <c r="AC757" s="8" t="str">
        <f>TEXT(B757,"yyyy")</f>
        <v>2025</v>
      </c>
      <c r="AE757">
        <f t="shared" si="191"/>
        <v>12408.699999999999</v>
      </c>
      <c r="AF757" s="11">
        <f t="shared" si="192"/>
        <v>9926.9599999999991</v>
      </c>
      <c r="AG757">
        <f t="shared" si="193"/>
        <v>4413.7199999999993</v>
      </c>
      <c r="AH757" s="11">
        <f t="shared" si="194"/>
        <v>0.35569560066727374</v>
      </c>
      <c r="AI757" s="9">
        <f t="shared" si="195"/>
        <v>0.35569560066727374</v>
      </c>
      <c r="AJ757">
        <f t="shared" si="196"/>
        <v>9926.9599999999991</v>
      </c>
      <c r="AK757">
        <f t="shared" si="197"/>
        <v>1</v>
      </c>
      <c r="AL757">
        <f t="shared" si="198"/>
        <v>0</v>
      </c>
      <c r="AM757">
        <f t="shared" si="199"/>
        <v>0</v>
      </c>
      <c r="AN757">
        <f t="shared" si="200"/>
        <v>0</v>
      </c>
      <c r="AO757">
        <f t="shared" si="201"/>
        <v>0</v>
      </c>
      <c r="AP757">
        <f t="shared" si="202"/>
        <v>0</v>
      </c>
      <c r="AQ757">
        <f t="shared" si="203"/>
        <v>0</v>
      </c>
    </row>
    <row r="758" spans="1:43">
      <c r="A758" t="s">
        <v>2346</v>
      </c>
      <c r="B758" s="5">
        <v>45592</v>
      </c>
      <c r="C758" s="5">
        <v>45302</v>
      </c>
      <c r="D758" s="13">
        <f t="shared" si="187"/>
        <v>-290</v>
      </c>
      <c r="E758" t="s">
        <v>2347</v>
      </c>
      <c r="F758" t="s">
        <v>141</v>
      </c>
      <c r="G758" t="s">
        <v>24</v>
      </c>
      <c r="H758" t="s">
        <v>25</v>
      </c>
      <c r="I758" t="s">
        <v>26</v>
      </c>
      <c r="J758" t="s">
        <v>27</v>
      </c>
      <c r="K758" t="s">
        <v>74</v>
      </c>
      <c r="L758" t="s">
        <v>75</v>
      </c>
      <c r="M758" t="s">
        <v>2348</v>
      </c>
      <c r="N758" t="s">
        <v>44</v>
      </c>
      <c r="O758">
        <v>7</v>
      </c>
      <c r="P758">
        <v>2177.1</v>
      </c>
      <c r="Q758" s="11">
        <v>0.2</v>
      </c>
      <c r="R758">
        <v>12191.76</v>
      </c>
      <c r="S758">
        <v>10457.49</v>
      </c>
      <c r="T758">
        <v>1734.27</v>
      </c>
      <c r="U758" t="s">
        <v>32</v>
      </c>
      <c r="V758" t="s">
        <v>103</v>
      </c>
      <c r="X758" s="8" t="str">
        <f>IF(C758&gt;=B758,"Valid", "Invalid-Date")</f>
        <v>Invalid-Date</v>
      </c>
      <c r="Y758" s="8" t="str">
        <f t="shared" si="188"/>
        <v>Valid</v>
      </c>
      <c r="Z758" s="8" t="str">
        <f t="shared" si="189"/>
        <v>Pass</v>
      </c>
      <c r="AA758" s="8" t="str">
        <f t="shared" si="190"/>
        <v>Pass</v>
      </c>
      <c r="AB758" s="8" t="str">
        <f>TEXT(B758,"mmmm")</f>
        <v>October</v>
      </c>
      <c r="AC758" s="8" t="str">
        <f>TEXT(B758,"yyyy")</f>
        <v>2024</v>
      </c>
      <c r="AE758">
        <f t="shared" si="191"/>
        <v>15239.699999999999</v>
      </c>
      <c r="AF758" s="11">
        <f t="shared" si="192"/>
        <v>12191.76</v>
      </c>
      <c r="AG758">
        <f t="shared" si="193"/>
        <v>4782.2099999999991</v>
      </c>
      <c r="AH758" s="11">
        <f t="shared" si="194"/>
        <v>0.31379948424181575</v>
      </c>
      <c r="AI758" s="9">
        <f t="shared" si="195"/>
        <v>0.31379948424181575</v>
      </c>
      <c r="AJ758">
        <f t="shared" si="196"/>
        <v>0</v>
      </c>
      <c r="AK758">
        <f t="shared" si="197"/>
        <v>0</v>
      </c>
      <c r="AL758">
        <f t="shared" si="198"/>
        <v>0</v>
      </c>
      <c r="AM758">
        <f t="shared" si="199"/>
        <v>0</v>
      </c>
      <c r="AN758">
        <f t="shared" si="200"/>
        <v>0</v>
      </c>
      <c r="AO758">
        <f t="shared" si="201"/>
        <v>0</v>
      </c>
      <c r="AP758">
        <f t="shared" si="202"/>
        <v>12191.76</v>
      </c>
      <c r="AQ758">
        <f t="shared" si="203"/>
        <v>1</v>
      </c>
    </row>
    <row r="759" spans="1:43">
      <c r="A759" t="s">
        <v>2349</v>
      </c>
      <c r="B759" s="5">
        <v>45870</v>
      </c>
      <c r="C759" s="5">
        <v>45724</v>
      </c>
      <c r="D759" s="13">
        <f t="shared" si="187"/>
        <v>-146</v>
      </c>
      <c r="E759" t="s">
        <v>2350</v>
      </c>
      <c r="F759" t="s">
        <v>89</v>
      </c>
      <c r="G759" t="s">
        <v>37</v>
      </c>
      <c r="H759" t="s">
        <v>54</v>
      </c>
      <c r="I759" t="s">
        <v>185</v>
      </c>
      <c r="J759" t="s">
        <v>186</v>
      </c>
      <c r="K759" t="s">
        <v>41</v>
      </c>
      <c r="L759" t="s">
        <v>158</v>
      </c>
      <c r="M759" t="s">
        <v>2351</v>
      </c>
      <c r="N759" t="s">
        <v>59</v>
      </c>
      <c r="O759">
        <v>3</v>
      </c>
      <c r="P759">
        <v>1904.78</v>
      </c>
      <c r="Q759" s="11">
        <v>0.25</v>
      </c>
      <c r="R759">
        <v>4285.76</v>
      </c>
      <c r="S759">
        <v>2386.33</v>
      </c>
      <c r="T759">
        <v>1899.43</v>
      </c>
      <c r="U759" t="s">
        <v>155</v>
      </c>
      <c r="V759" t="s">
        <v>68</v>
      </c>
      <c r="X759" s="8" t="str">
        <f>IF(C759&gt;=B759,"Valid", "Invalid-Date")</f>
        <v>Invalid-Date</v>
      </c>
      <c r="Y759" s="8" t="str">
        <f t="shared" si="188"/>
        <v>Valid</v>
      </c>
      <c r="Z759" s="8" t="str">
        <f t="shared" si="189"/>
        <v>Pass</v>
      </c>
      <c r="AA759" s="8" t="str">
        <f t="shared" si="190"/>
        <v>Pass</v>
      </c>
      <c r="AB759" s="8" t="str">
        <f>TEXT(B759,"mmmm")</f>
        <v>August</v>
      </c>
      <c r="AC759" s="8" t="str">
        <f>TEXT(B759,"yyyy")</f>
        <v>2025</v>
      </c>
      <c r="AE759">
        <f t="shared" si="191"/>
        <v>5714.34</v>
      </c>
      <c r="AF759" s="11">
        <f t="shared" si="192"/>
        <v>4285.7550000000001</v>
      </c>
      <c r="AG759">
        <f t="shared" si="193"/>
        <v>3328.01</v>
      </c>
      <c r="AH759" s="11">
        <f t="shared" si="194"/>
        <v>0.58239621723593626</v>
      </c>
      <c r="AI759" s="9">
        <f t="shared" si="195"/>
        <v>0.58239621723593626</v>
      </c>
      <c r="AJ759">
        <f t="shared" si="196"/>
        <v>0</v>
      </c>
      <c r="AK759">
        <f t="shared" si="197"/>
        <v>0</v>
      </c>
      <c r="AL759">
        <f t="shared" si="198"/>
        <v>4285.76</v>
      </c>
      <c r="AM759">
        <f t="shared" si="199"/>
        <v>1</v>
      </c>
      <c r="AN759">
        <f t="shared" si="200"/>
        <v>4285.76</v>
      </c>
      <c r="AO759">
        <f t="shared" si="201"/>
        <v>1</v>
      </c>
      <c r="AP759">
        <f t="shared" si="202"/>
        <v>0</v>
      </c>
      <c r="AQ759">
        <f t="shared" si="203"/>
        <v>0</v>
      </c>
    </row>
    <row r="760" spans="1:43">
      <c r="A760" t="s">
        <v>2352</v>
      </c>
      <c r="B760" s="5">
        <v>45414</v>
      </c>
      <c r="C760" s="5">
        <v>45570</v>
      </c>
      <c r="D760" s="13">
        <f t="shared" si="187"/>
        <v>156</v>
      </c>
      <c r="E760" t="s">
        <v>2353</v>
      </c>
      <c r="F760" t="s">
        <v>128</v>
      </c>
      <c r="G760" t="s">
        <v>37</v>
      </c>
      <c r="H760" t="s">
        <v>54</v>
      </c>
      <c r="I760" t="s">
        <v>175</v>
      </c>
      <c r="J760" t="s">
        <v>176</v>
      </c>
      <c r="K760" t="s">
        <v>41</v>
      </c>
      <c r="L760" t="s">
        <v>66</v>
      </c>
      <c r="M760" t="s">
        <v>2354</v>
      </c>
      <c r="N760" t="s">
        <v>59</v>
      </c>
      <c r="O760">
        <v>1</v>
      </c>
      <c r="P760">
        <v>4166.91</v>
      </c>
      <c r="Q760" s="11">
        <v>0</v>
      </c>
      <c r="R760">
        <v>4166.91</v>
      </c>
      <c r="S760">
        <v>3412.63</v>
      </c>
      <c r="T760">
        <v>754.28</v>
      </c>
      <c r="U760" t="s">
        <v>32</v>
      </c>
      <c r="V760" t="s">
        <v>33</v>
      </c>
      <c r="X760" s="8" t="str">
        <f>IF(C760&gt;=B760,"Valid", "Invalid-Date")</f>
        <v>Valid</v>
      </c>
      <c r="Y760" s="8" t="str">
        <f t="shared" si="188"/>
        <v>Valid</v>
      </c>
      <c r="Z760" s="8" t="str">
        <f t="shared" si="189"/>
        <v>Pass</v>
      </c>
      <c r="AA760" s="8" t="str">
        <f t="shared" si="190"/>
        <v>Pass</v>
      </c>
      <c r="AB760" s="8" t="str">
        <f>TEXT(B760,"mmmm")</f>
        <v>May</v>
      </c>
      <c r="AC760" s="8" t="str">
        <f>TEXT(B760,"yyyy")</f>
        <v>2024</v>
      </c>
      <c r="AE760">
        <f t="shared" si="191"/>
        <v>4166.91</v>
      </c>
      <c r="AF760" s="11">
        <f t="shared" si="192"/>
        <v>4166.91</v>
      </c>
      <c r="AG760">
        <f t="shared" si="193"/>
        <v>754.27999999999975</v>
      </c>
      <c r="AH760" s="11">
        <f t="shared" si="194"/>
        <v>0.18101662862888801</v>
      </c>
      <c r="AI760" s="9">
        <f t="shared" si="195"/>
        <v>0.18101662862888801</v>
      </c>
      <c r="AJ760">
        <f t="shared" si="196"/>
        <v>4166.91</v>
      </c>
      <c r="AK760">
        <f t="shared" si="197"/>
        <v>1</v>
      </c>
      <c r="AL760">
        <f t="shared" si="198"/>
        <v>0</v>
      </c>
      <c r="AM760">
        <f t="shared" si="199"/>
        <v>0</v>
      </c>
      <c r="AN760">
        <f t="shared" si="200"/>
        <v>0</v>
      </c>
      <c r="AO760">
        <f t="shared" si="201"/>
        <v>0</v>
      </c>
      <c r="AP760">
        <f t="shared" si="202"/>
        <v>0</v>
      </c>
      <c r="AQ760">
        <f t="shared" si="203"/>
        <v>0</v>
      </c>
    </row>
    <row r="761" spans="1:43">
      <c r="A761" t="s">
        <v>2355</v>
      </c>
      <c r="B761" s="5">
        <v>45492</v>
      </c>
      <c r="C761" s="5">
        <v>45499</v>
      </c>
      <c r="D761" s="13">
        <f t="shared" si="187"/>
        <v>7</v>
      </c>
      <c r="E761" t="s">
        <v>2356</v>
      </c>
      <c r="F761" t="s">
        <v>53</v>
      </c>
      <c r="G761" t="s">
        <v>95</v>
      </c>
      <c r="H761" t="s">
        <v>54</v>
      </c>
      <c r="I761" t="s">
        <v>175</v>
      </c>
      <c r="J761" t="s">
        <v>176</v>
      </c>
      <c r="K761" t="s">
        <v>41</v>
      </c>
      <c r="L761" t="s">
        <v>42</v>
      </c>
      <c r="M761" t="s">
        <v>2357</v>
      </c>
      <c r="N761" t="s">
        <v>31</v>
      </c>
      <c r="O761">
        <v>5</v>
      </c>
      <c r="P761">
        <v>3986.01</v>
      </c>
      <c r="Q761" s="11">
        <v>0.25</v>
      </c>
      <c r="R761">
        <v>14947.54</v>
      </c>
      <c r="S761">
        <v>9438.4599999999991</v>
      </c>
      <c r="T761">
        <v>5509.08</v>
      </c>
      <c r="U761" t="s">
        <v>32</v>
      </c>
      <c r="V761" t="s">
        <v>33</v>
      </c>
      <c r="X761" s="8" t="str">
        <f>IF(C761&gt;=B761,"Valid", "Invalid-Date")</f>
        <v>Valid</v>
      </c>
      <c r="Y761" s="8" t="str">
        <f t="shared" si="188"/>
        <v>Valid</v>
      </c>
      <c r="Z761" s="8" t="str">
        <f t="shared" si="189"/>
        <v>Pass</v>
      </c>
      <c r="AA761" s="8" t="str">
        <f t="shared" si="190"/>
        <v>Pass</v>
      </c>
      <c r="AB761" s="8" t="str">
        <f>TEXT(B761,"mmmm")</f>
        <v>July</v>
      </c>
      <c r="AC761" s="8" t="str">
        <f>TEXT(B761,"yyyy")</f>
        <v>2024</v>
      </c>
      <c r="AE761">
        <f t="shared" si="191"/>
        <v>19930.050000000003</v>
      </c>
      <c r="AF761" s="11">
        <f t="shared" si="192"/>
        <v>14947.537500000002</v>
      </c>
      <c r="AG761">
        <f t="shared" si="193"/>
        <v>10491.590000000004</v>
      </c>
      <c r="AH761" s="11">
        <f t="shared" si="194"/>
        <v>0.52642065624521772</v>
      </c>
      <c r="AI761" s="9">
        <f t="shared" si="195"/>
        <v>0.52642065624521772</v>
      </c>
      <c r="AJ761">
        <f t="shared" si="196"/>
        <v>14947.54</v>
      </c>
      <c r="AK761">
        <f t="shared" si="197"/>
        <v>1</v>
      </c>
      <c r="AL761">
        <f t="shared" si="198"/>
        <v>0</v>
      </c>
      <c r="AM761">
        <f t="shared" si="199"/>
        <v>0</v>
      </c>
      <c r="AN761">
        <f t="shared" si="200"/>
        <v>0</v>
      </c>
      <c r="AO761">
        <f t="shared" si="201"/>
        <v>0</v>
      </c>
      <c r="AP761">
        <f t="shared" si="202"/>
        <v>0</v>
      </c>
      <c r="AQ761">
        <f t="shared" si="203"/>
        <v>0</v>
      </c>
    </row>
    <row r="762" spans="1:43">
      <c r="A762" t="s">
        <v>2358</v>
      </c>
      <c r="B762" s="5">
        <v>45532</v>
      </c>
      <c r="C762" s="5">
        <v>45331</v>
      </c>
      <c r="D762" s="13">
        <f t="shared" si="187"/>
        <v>-201</v>
      </c>
      <c r="E762" t="s">
        <v>2359</v>
      </c>
      <c r="F762" t="s">
        <v>89</v>
      </c>
      <c r="G762" t="s">
        <v>95</v>
      </c>
      <c r="H762" t="s">
        <v>38</v>
      </c>
      <c r="I762" t="s">
        <v>166</v>
      </c>
      <c r="J762" t="s">
        <v>167</v>
      </c>
      <c r="K762" t="s">
        <v>28</v>
      </c>
      <c r="L762" t="s">
        <v>48</v>
      </c>
      <c r="M762" t="s">
        <v>2360</v>
      </c>
      <c r="N762" t="s">
        <v>31</v>
      </c>
      <c r="O762">
        <v>4</v>
      </c>
      <c r="P762">
        <v>3365.53</v>
      </c>
      <c r="Q762" s="11">
        <v>0</v>
      </c>
      <c r="R762">
        <v>13462.12</v>
      </c>
      <c r="S762">
        <v>7600.63</v>
      </c>
      <c r="T762">
        <v>5861.49</v>
      </c>
      <c r="U762" t="s">
        <v>111</v>
      </c>
      <c r="V762" t="s">
        <v>103</v>
      </c>
      <c r="X762" s="8" t="str">
        <f>IF(C762&gt;=B762,"Valid", "Invalid-Date")</f>
        <v>Invalid-Date</v>
      </c>
      <c r="Y762" s="8" t="str">
        <f t="shared" si="188"/>
        <v>Valid</v>
      </c>
      <c r="Z762" s="8" t="str">
        <f t="shared" si="189"/>
        <v>Pass</v>
      </c>
      <c r="AA762" s="8" t="str">
        <f t="shared" si="190"/>
        <v>Pass</v>
      </c>
      <c r="AB762" s="8" t="str">
        <f>TEXT(B762,"mmmm")</f>
        <v>August</v>
      </c>
      <c r="AC762" s="8" t="str">
        <f>TEXT(B762,"yyyy")</f>
        <v>2024</v>
      </c>
      <c r="AE762">
        <f t="shared" si="191"/>
        <v>13462.12</v>
      </c>
      <c r="AF762" s="11">
        <f t="shared" si="192"/>
        <v>13462.12</v>
      </c>
      <c r="AG762">
        <f t="shared" si="193"/>
        <v>5861.4900000000007</v>
      </c>
      <c r="AH762" s="11">
        <f t="shared" si="194"/>
        <v>0.43540616188237813</v>
      </c>
      <c r="AI762" s="9">
        <f t="shared" si="195"/>
        <v>0.43540616188237813</v>
      </c>
      <c r="AJ762">
        <f t="shared" si="196"/>
        <v>0</v>
      </c>
      <c r="AK762">
        <f t="shared" si="197"/>
        <v>0</v>
      </c>
      <c r="AL762">
        <f t="shared" si="198"/>
        <v>0</v>
      </c>
      <c r="AM762">
        <f t="shared" si="199"/>
        <v>0</v>
      </c>
      <c r="AN762">
        <f t="shared" si="200"/>
        <v>0</v>
      </c>
      <c r="AO762">
        <f t="shared" si="201"/>
        <v>0</v>
      </c>
      <c r="AP762">
        <f t="shared" si="202"/>
        <v>13462.12</v>
      </c>
      <c r="AQ762">
        <f t="shared" si="203"/>
        <v>1</v>
      </c>
    </row>
    <row r="763" spans="1:43">
      <c r="A763" t="s">
        <v>2361</v>
      </c>
      <c r="B763" s="5">
        <v>45896</v>
      </c>
      <c r="C763" s="5">
        <v>45900</v>
      </c>
      <c r="D763" s="13">
        <f t="shared" si="187"/>
        <v>4</v>
      </c>
      <c r="E763" t="s">
        <v>2362</v>
      </c>
      <c r="F763" t="s">
        <v>47</v>
      </c>
      <c r="G763" t="s">
        <v>24</v>
      </c>
      <c r="H763" t="s">
        <v>54</v>
      </c>
      <c r="I763" t="s">
        <v>175</v>
      </c>
      <c r="J763" t="s">
        <v>176</v>
      </c>
      <c r="K763" t="s">
        <v>74</v>
      </c>
      <c r="L763" t="s">
        <v>274</v>
      </c>
      <c r="M763" t="s">
        <v>2363</v>
      </c>
      <c r="N763" t="s">
        <v>50</v>
      </c>
      <c r="O763">
        <v>3</v>
      </c>
      <c r="P763">
        <v>2489.12</v>
      </c>
      <c r="Q763" s="11">
        <v>0</v>
      </c>
      <c r="R763">
        <v>7467.36</v>
      </c>
      <c r="S763">
        <v>5010.6099999999997</v>
      </c>
      <c r="T763">
        <v>2456.75</v>
      </c>
      <c r="U763" t="s">
        <v>32</v>
      </c>
      <c r="V763" t="s">
        <v>33</v>
      </c>
      <c r="X763" s="8" t="str">
        <f>IF(C763&gt;=B763,"Valid", "Invalid-Date")</f>
        <v>Valid</v>
      </c>
      <c r="Y763" s="8" t="str">
        <f t="shared" si="188"/>
        <v>Valid</v>
      </c>
      <c r="Z763" s="8" t="str">
        <f t="shared" si="189"/>
        <v>Pass</v>
      </c>
      <c r="AA763" s="8" t="str">
        <f t="shared" si="190"/>
        <v>Pass</v>
      </c>
      <c r="AB763" s="8" t="str">
        <f>TEXT(B763,"mmmm")</f>
        <v>August</v>
      </c>
      <c r="AC763" s="8" t="str">
        <f>TEXT(B763,"yyyy")</f>
        <v>2025</v>
      </c>
      <c r="AE763">
        <f t="shared" si="191"/>
        <v>7467.36</v>
      </c>
      <c r="AF763" s="11">
        <f t="shared" si="192"/>
        <v>7467.36</v>
      </c>
      <c r="AG763">
        <f t="shared" si="193"/>
        <v>2456.75</v>
      </c>
      <c r="AH763" s="11">
        <f t="shared" si="194"/>
        <v>0.32899846799940008</v>
      </c>
      <c r="AI763" s="9">
        <f t="shared" si="195"/>
        <v>0.32899846799940008</v>
      </c>
      <c r="AJ763">
        <f t="shared" si="196"/>
        <v>7467.36</v>
      </c>
      <c r="AK763">
        <f t="shared" si="197"/>
        <v>1</v>
      </c>
      <c r="AL763">
        <f t="shared" si="198"/>
        <v>0</v>
      </c>
      <c r="AM763">
        <f t="shared" si="199"/>
        <v>0</v>
      </c>
      <c r="AN763">
        <f t="shared" si="200"/>
        <v>0</v>
      </c>
      <c r="AO763">
        <f t="shared" si="201"/>
        <v>0</v>
      </c>
      <c r="AP763">
        <f t="shared" si="202"/>
        <v>0</v>
      </c>
      <c r="AQ763">
        <f t="shared" si="203"/>
        <v>0</v>
      </c>
    </row>
    <row r="764" spans="1:43">
      <c r="A764" t="s">
        <v>2364</v>
      </c>
      <c r="B764" s="5">
        <v>45292</v>
      </c>
      <c r="C764" s="5">
        <v>45413</v>
      </c>
      <c r="D764" s="13">
        <f t="shared" si="187"/>
        <v>121</v>
      </c>
      <c r="E764" t="s">
        <v>2365</v>
      </c>
      <c r="F764" t="s">
        <v>162</v>
      </c>
      <c r="G764" t="s">
        <v>90</v>
      </c>
      <c r="H764" t="s">
        <v>63</v>
      </c>
      <c r="I764" t="s">
        <v>72</v>
      </c>
      <c r="J764" t="s">
        <v>73</v>
      </c>
      <c r="K764" t="s">
        <v>74</v>
      </c>
      <c r="L764" t="s">
        <v>274</v>
      </c>
      <c r="M764" t="s">
        <v>2366</v>
      </c>
      <c r="N764" t="s">
        <v>31</v>
      </c>
      <c r="O764">
        <v>2</v>
      </c>
      <c r="P764">
        <v>3694.12</v>
      </c>
      <c r="Q764" s="11">
        <v>0.2</v>
      </c>
      <c r="R764">
        <v>5910.59</v>
      </c>
      <c r="S764">
        <v>4775.4399999999996</v>
      </c>
      <c r="T764">
        <v>1135.1500000000001</v>
      </c>
      <c r="U764" t="s">
        <v>102</v>
      </c>
      <c r="V764" t="s">
        <v>103</v>
      </c>
      <c r="X764" s="8" t="str">
        <f>IF(C764&gt;=B764,"Valid", "Invalid-Date")</f>
        <v>Valid</v>
      </c>
      <c r="Y764" s="8" t="str">
        <f t="shared" si="188"/>
        <v>Valid</v>
      </c>
      <c r="Z764" s="8" t="str">
        <f t="shared" si="189"/>
        <v>Pass</v>
      </c>
      <c r="AA764" s="8" t="str">
        <f t="shared" si="190"/>
        <v>Pass</v>
      </c>
      <c r="AB764" s="8" t="str">
        <f>TEXT(B764,"mmmm")</f>
        <v>January</v>
      </c>
      <c r="AC764" s="8" t="str">
        <f>TEXT(B764,"yyyy")</f>
        <v>2024</v>
      </c>
      <c r="AE764">
        <f t="shared" si="191"/>
        <v>7388.24</v>
      </c>
      <c r="AF764" s="11">
        <f t="shared" si="192"/>
        <v>5910.5920000000006</v>
      </c>
      <c r="AG764">
        <f t="shared" si="193"/>
        <v>2612.8000000000002</v>
      </c>
      <c r="AH764" s="11">
        <f t="shared" si="194"/>
        <v>0.35364308685153706</v>
      </c>
      <c r="AI764" s="9">
        <f t="shared" si="195"/>
        <v>0.35364308685153706</v>
      </c>
      <c r="AJ764">
        <f t="shared" si="196"/>
        <v>0</v>
      </c>
      <c r="AK764">
        <f t="shared" si="197"/>
        <v>0</v>
      </c>
      <c r="AL764">
        <f t="shared" si="198"/>
        <v>0</v>
      </c>
      <c r="AM764">
        <f t="shared" si="199"/>
        <v>0</v>
      </c>
      <c r="AN764">
        <f t="shared" si="200"/>
        <v>0</v>
      </c>
      <c r="AO764">
        <f t="shared" si="201"/>
        <v>0</v>
      </c>
      <c r="AP764">
        <f t="shared" si="202"/>
        <v>5910.59</v>
      </c>
      <c r="AQ764">
        <f t="shared" si="203"/>
        <v>1</v>
      </c>
    </row>
    <row r="765" spans="1:43">
      <c r="A765" t="s">
        <v>2367</v>
      </c>
      <c r="B765" s="5">
        <v>45892</v>
      </c>
      <c r="C765" s="5">
        <v>45894</v>
      </c>
      <c r="D765" s="13">
        <f t="shared" si="187"/>
        <v>2</v>
      </c>
      <c r="E765" t="s">
        <v>2368</v>
      </c>
      <c r="F765" t="s">
        <v>162</v>
      </c>
      <c r="G765" t="s">
        <v>24</v>
      </c>
      <c r="H765" t="s">
        <v>25</v>
      </c>
      <c r="I765" t="s">
        <v>26</v>
      </c>
      <c r="J765" t="s">
        <v>27</v>
      </c>
      <c r="K765" t="s">
        <v>41</v>
      </c>
      <c r="L765" t="s">
        <v>57</v>
      </c>
      <c r="M765" t="s">
        <v>2369</v>
      </c>
      <c r="N765" t="s">
        <v>44</v>
      </c>
      <c r="O765">
        <v>6</v>
      </c>
      <c r="P765">
        <v>2742.48</v>
      </c>
      <c r="Q765" s="11">
        <v>0</v>
      </c>
      <c r="R765">
        <v>16454.88</v>
      </c>
      <c r="S765">
        <v>12081.54</v>
      </c>
      <c r="T765">
        <v>4373.34</v>
      </c>
      <c r="U765" t="s">
        <v>32</v>
      </c>
      <c r="V765" t="s">
        <v>33</v>
      </c>
      <c r="X765" s="8" t="str">
        <f>IF(C765&gt;=B765,"Valid", "Invalid-Date")</f>
        <v>Valid</v>
      </c>
      <c r="Y765" s="8" t="str">
        <f t="shared" si="188"/>
        <v>Valid</v>
      </c>
      <c r="Z765" s="8" t="str">
        <f t="shared" si="189"/>
        <v>Pass</v>
      </c>
      <c r="AA765" s="8" t="str">
        <f t="shared" si="190"/>
        <v>Pass</v>
      </c>
      <c r="AB765" s="8" t="str">
        <f>TEXT(B765,"mmmm")</f>
        <v>August</v>
      </c>
      <c r="AC765" s="8" t="str">
        <f>TEXT(B765,"yyyy")</f>
        <v>2025</v>
      </c>
      <c r="AE765">
        <f t="shared" si="191"/>
        <v>16454.88</v>
      </c>
      <c r="AF765" s="11">
        <f t="shared" si="192"/>
        <v>16454.88</v>
      </c>
      <c r="AG765">
        <f t="shared" si="193"/>
        <v>4373.34</v>
      </c>
      <c r="AH765" s="11">
        <f t="shared" si="194"/>
        <v>0.26577769026574488</v>
      </c>
      <c r="AI765" s="9">
        <f t="shared" si="195"/>
        <v>0.26577769026574488</v>
      </c>
      <c r="AJ765">
        <f t="shared" si="196"/>
        <v>16454.88</v>
      </c>
      <c r="AK765">
        <f t="shared" si="197"/>
        <v>1</v>
      </c>
      <c r="AL765">
        <f t="shared" si="198"/>
        <v>0</v>
      </c>
      <c r="AM765">
        <f t="shared" si="199"/>
        <v>0</v>
      </c>
      <c r="AN765">
        <f t="shared" si="200"/>
        <v>0</v>
      </c>
      <c r="AO765">
        <f t="shared" si="201"/>
        <v>0</v>
      </c>
      <c r="AP765">
        <f t="shared" si="202"/>
        <v>0</v>
      </c>
      <c r="AQ765">
        <f t="shared" si="203"/>
        <v>0</v>
      </c>
    </row>
    <row r="766" spans="1:43">
      <c r="A766" t="s">
        <v>2370</v>
      </c>
      <c r="B766" s="5">
        <v>45760</v>
      </c>
      <c r="C766" s="5">
        <v>45760</v>
      </c>
      <c r="D766" s="13">
        <f t="shared" si="187"/>
        <v>0</v>
      </c>
      <c r="E766" t="s">
        <v>885</v>
      </c>
      <c r="F766" t="s">
        <v>114</v>
      </c>
      <c r="G766" t="s">
        <v>90</v>
      </c>
      <c r="H766" t="s">
        <v>54</v>
      </c>
      <c r="I766" t="s">
        <v>185</v>
      </c>
      <c r="J766" t="s">
        <v>186</v>
      </c>
      <c r="K766" t="s">
        <v>41</v>
      </c>
      <c r="L766" t="s">
        <v>158</v>
      </c>
      <c r="M766" t="s">
        <v>2371</v>
      </c>
      <c r="N766" t="s">
        <v>50</v>
      </c>
      <c r="O766">
        <v>6</v>
      </c>
      <c r="P766">
        <v>4414</v>
      </c>
      <c r="Q766" s="11">
        <v>0.05</v>
      </c>
      <c r="R766">
        <v>25159.8</v>
      </c>
      <c r="S766">
        <v>21606.83</v>
      </c>
      <c r="T766">
        <v>3552.97</v>
      </c>
      <c r="U766" t="s">
        <v>32</v>
      </c>
      <c r="V766" t="s">
        <v>33</v>
      </c>
      <c r="X766" s="8" t="str">
        <f>IF(C766&gt;=B766,"Valid", "Invalid-Date")</f>
        <v>Valid</v>
      </c>
      <c r="Y766" s="8" t="str">
        <f t="shared" si="188"/>
        <v>Valid</v>
      </c>
      <c r="Z766" s="8" t="str">
        <f t="shared" si="189"/>
        <v>Pass</v>
      </c>
      <c r="AA766" s="8" t="str">
        <f t="shared" si="190"/>
        <v>Pass</v>
      </c>
      <c r="AB766" s="8" t="str">
        <f>TEXT(B766,"mmmm")</f>
        <v>April</v>
      </c>
      <c r="AC766" s="8" t="str">
        <f>TEXT(B766,"yyyy")</f>
        <v>2025</v>
      </c>
      <c r="AE766">
        <f t="shared" si="191"/>
        <v>26484</v>
      </c>
      <c r="AF766" s="11">
        <f t="shared" si="192"/>
        <v>25159.8</v>
      </c>
      <c r="AG766">
        <f t="shared" si="193"/>
        <v>4877.1699999999983</v>
      </c>
      <c r="AH766" s="11">
        <f t="shared" si="194"/>
        <v>0.18415533907264758</v>
      </c>
      <c r="AI766" s="9">
        <f t="shared" si="195"/>
        <v>0.18415533907264758</v>
      </c>
      <c r="AJ766">
        <f t="shared" si="196"/>
        <v>25159.8</v>
      </c>
      <c r="AK766">
        <f t="shared" si="197"/>
        <v>1</v>
      </c>
      <c r="AL766">
        <f t="shared" si="198"/>
        <v>0</v>
      </c>
      <c r="AM766">
        <f t="shared" si="199"/>
        <v>0</v>
      </c>
      <c r="AN766">
        <f t="shared" si="200"/>
        <v>0</v>
      </c>
      <c r="AO766">
        <f t="shared" si="201"/>
        <v>0</v>
      </c>
      <c r="AP766">
        <f t="shared" si="202"/>
        <v>0</v>
      </c>
      <c r="AQ766">
        <f t="shared" si="203"/>
        <v>0</v>
      </c>
    </row>
    <row r="767" spans="1:43">
      <c r="A767" t="s">
        <v>2372</v>
      </c>
      <c r="B767" s="5">
        <v>45837</v>
      </c>
      <c r="C767" s="5">
        <v>45723</v>
      </c>
      <c r="D767" s="13">
        <f t="shared" si="187"/>
        <v>-114</v>
      </c>
      <c r="E767" t="s">
        <v>2373</v>
      </c>
      <c r="F767" t="s">
        <v>71</v>
      </c>
      <c r="G767" t="s">
        <v>90</v>
      </c>
      <c r="H767" t="s">
        <v>38</v>
      </c>
      <c r="I767" t="s">
        <v>228</v>
      </c>
      <c r="J767" t="s">
        <v>229</v>
      </c>
      <c r="K767" t="s">
        <v>28</v>
      </c>
      <c r="L767" t="s">
        <v>91</v>
      </c>
      <c r="M767" t="s">
        <v>2374</v>
      </c>
      <c r="N767" t="s">
        <v>50</v>
      </c>
      <c r="O767">
        <v>3</v>
      </c>
      <c r="P767">
        <v>608.14</v>
      </c>
      <c r="Q767" s="11">
        <v>0</v>
      </c>
      <c r="R767">
        <v>1824.42</v>
      </c>
      <c r="S767">
        <v>1214.8699999999999</v>
      </c>
      <c r="T767">
        <v>609.54999999999995</v>
      </c>
      <c r="U767" t="s">
        <v>32</v>
      </c>
      <c r="V767" t="s">
        <v>33</v>
      </c>
      <c r="X767" s="8" t="str">
        <f>IF(C767&gt;=B767,"Valid", "Invalid-Date")</f>
        <v>Invalid-Date</v>
      </c>
      <c r="Y767" s="8" t="str">
        <f t="shared" si="188"/>
        <v>Valid</v>
      </c>
      <c r="Z767" s="8" t="str">
        <f t="shared" si="189"/>
        <v>Pass</v>
      </c>
      <c r="AA767" s="8" t="str">
        <f t="shared" si="190"/>
        <v>Pass</v>
      </c>
      <c r="AB767" s="8" t="str">
        <f>TEXT(B767,"mmmm")</f>
        <v>June</v>
      </c>
      <c r="AC767" s="8" t="str">
        <f>TEXT(B767,"yyyy")</f>
        <v>2025</v>
      </c>
      <c r="AE767">
        <f t="shared" si="191"/>
        <v>1824.42</v>
      </c>
      <c r="AF767" s="11">
        <f t="shared" si="192"/>
        <v>1824.42</v>
      </c>
      <c r="AG767">
        <f t="shared" si="193"/>
        <v>609.55000000000018</v>
      </c>
      <c r="AH767" s="11">
        <f t="shared" si="194"/>
        <v>0.33410618169061956</v>
      </c>
      <c r="AI767" s="9">
        <f t="shared" si="195"/>
        <v>0.33410618169061956</v>
      </c>
      <c r="AJ767">
        <f t="shared" si="196"/>
        <v>1824.42</v>
      </c>
      <c r="AK767">
        <f t="shared" si="197"/>
        <v>1</v>
      </c>
      <c r="AL767">
        <f t="shared" si="198"/>
        <v>0</v>
      </c>
      <c r="AM767">
        <f t="shared" si="199"/>
        <v>0</v>
      </c>
      <c r="AN767">
        <f t="shared" si="200"/>
        <v>0</v>
      </c>
      <c r="AO767">
        <f t="shared" si="201"/>
        <v>0</v>
      </c>
      <c r="AP767">
        <f t="shared" si="202"/>
        <v>0</v>
      </c>
      <c r="AQ767">
        <f t="shared" si="203"/>
        <v>0</v>
      </c>
    </row>
    <row r="768" spans="1:43">
      <c r="A768" t="s">
        <v>2375</v>
      </c>
      <c r="B768" s="5">
        <v>45552</v>
      </c>
      <c r="C768" s="5">
        <v>45559</v>
      </c>
      <c r="D768" s="13">
        <f t="shared" si="187"/>
        <v>7</v>
      </c>
      <c r="E768" t="s">
        <v>2376</v>
      </c>
      <c r="F768" t="s">
        <v>36</v>
      </c>
      <c r="G768" t="s">
        <v>90</v>
      </c>
      <c r="H768" t="s">
        <v>63</v>
      </c>
      <c r="I768" t="s">
        <v>180</v>
      </c>
      <c r="J768" t="s">
        <v>181</v>
      </c>
      <c r="K768" t="s">
        <v>28</v>
      </c>
      <c r="L768" t="s">
        <v>48</v>
      </c>
      <c r="M768" t="s">
        <v>2377</v>
      </c>
      <c r="N768" t="s">
        <v>31</v>
      </c>
      <c r="O768">
        <v>9</v>
      </c>
      <c r="P768">
        <v>2307.96</v>
      </c>
      <c r="Q768" s="11">
        <v>0.2</v>
      </c>
      <c r="R768">
        <v>16617.310000000001</v>
      </c>
      <c r="S768">
        <v>9195.73</v>
      </c>
      <c r="T768">
        <v>7421.58</v>
      </c>
      <c r="U768" t="s">
        <v>32</v>
      </c>
      <c r="V768" t="s">
        <v>68</v>
      </c>
      <c r="X768" s="8" t="str">
        <f>IF(C768&gt;=B768,"Valid", "Invalid-Date")</f>
        <v>Valid</v>
      </c>
      <c r="Y768" s="8" t="str">
        <f t="shared" si="188"/>
        <v>Valid</v>
      </c>
      <c r="Z768" s="8" t="str">
        <f t="shared" si="189"/>
        <v>Pass</v>
      </c>
      <c r="AA768" s="8" t="str">
        <f t="shared" si="190"/>
        <v>Pass</v>
      </c>
      <c r="AB768" s="8" t="str">
        <f>TEXT(B768,"mmmm")</f>
        <v>September</v>
      </c>
      <c r="AC768" s="8" t="str">
        <f>TEXT(B768,"yyyy")</f>
        <v>2024</v>
      </c>
      <c r="AE768">
        <f t="shared" si="191"/>
        <v>20771.64</v>
      </c>
      <c r="AF768" s="11">
        <f t="shared" si="192"/>
        <v>16617.312000000002</v>
      </c>
      <c r="AG768">
        <f t="shared" si="193"/>
        <v>11575.91</v>
      </c>
      <c r="AH768" s="11">
        <f t="shared" si="194"/>
        <v>0.55729398352754045</v>
      </c>
      <c r="AI768" s="9">
        <f t="shared" si="195"/>
        <v>0.55729398352754045</v>
      </c>
      <c r="AJ768">
        <f t="shared" si="196"/>
        <v>0</v>
      </c>
      <c r="AK768">
        <f t="shared" si="197"/>
        <v>0</v>
      </c>
      <c r="AL768">
        <f t="shared" si="198"/>
        <v>16617.310000000001</v>
      </c>
      <c r="AM768">
        <f t="shared" si="199"/>
        <v>1</v>
      </c>
      <c r="AN768">
        <f t="shared" si="200"/>
        <v>0</v>
      </c>
      <c r="AO768">
        <f t="shared" si="201"/>
        <v>0</v>
      </c>
      <c r="AP768">
        <f t="shared" si="202"/>
        <v>0</v>
      </c>
      <c r="AQ768">
        <f t="shared" si="203"/>
        <v>0</v>
      </c>
    </row>
    <row r="769" spans="1:43">
      <c r="A769" t="s">
        <v>2378</v>
      </c>
      <c r="B769" s="5">
        <v>45415</v>
      </c>
      <c r="C769" s="5">
        <v>45448</v>
      </c>
      <c r="D769" s="13">
        <f t="shared" si="187"/>
        <v>33</v>
      </c>
      <c r="E769" t="s">
        <v>2379</v>
      </c>
      <c r="F769" t="s">
        <v>62</v>
      </c>
      <c r="G769" t="s">
        <v>95</v>
      </c>
      <c r="H769" t="s">
        <v>25</v>
      </c>
      <c r="I769" t="s">
        <v>136</v>
      </c>
      <c r="J769" t="s">
        <v>137</v>
      </c>
      <c r="K769" t="s">
        <v>28</v>
      </c>
      <c r="L769" t="s">
        <v>153</v>
      </c>
      <c r="M769" t="s">
        <v>2380</v>
      </c>
      <c r="N769" t="s">
        <v>59</v>
      </c>
      <c r="O769">
        <v>1</v>
      </c>
      <c r="P769">
        <v>1244.58</v>
      </c>
      <c r="Q769" s="11">
        <v>0.25</v>
      </c>
      <c r="R769">
        <v>933.43</v>
      </c>
      <c r="S769">
        <v>583.09</v>
      </c>
      <c r="T769">
        <v>350.34</v>
      </c>
      <c r="U769" t="s">
        <v>32</v>
      </c>
      <c r="V769" t="s">
        <v>33</v>
      </c>
      <c r="X769" s="8" t="str">
        <f>IF(C769&gt;=B769,"Valid", "Invalid-Date")</f>
        <v>Valid</v>
      </c>
      <c r="Y769" s="8" t="str">
        <f t="shared" si="188"/>
        <v>Valid</v>
      </c>
      <c r="Z769" s="8" t="str">
        <f t="shared" si="189"/>
        <v>Pass</v>
      </c>
      <c r="AA769" s="8" t="str">
        <f t="shared" si="190"/>
        <v>Pass</v>
      </c>
      <c r="AB769" s="8" t="str">
        <f>TEXT(B769,"mmmm")</f>
        <v>May</v>
      </c>
      <c r="AC769" s="8" t="str">
        <f>TEXT(B769,"yyyy")</f>
        <v>2024</v>
      </c>
      <c r="AE769">
        <f t="shared" si="191"/>
        <v>1244.58</v>
      </c>
      <c r="AF769" s="11">
        <f t="shared" si="192"/>
        <v>933.43499999999995</v>
      </c>
      <c r="AG769">
        <f t="shared" si="193"/>
        <v>661.4899999999999</v>
      </c>
      <c r="AH769" s="11">
        <f t="shared" si="194"/>
        <v>0.53149656912372045</v>
      </c>
      <c r="AI769" s="9">
        <f t="shared" si="195"/>
        <v>0.53149656912372045</v>
      </c>
      <c r="AJ769">
        <f t="shared" si="196"/>
        <v>933.43</v>
      </c>
      <c r="AK769">
        <f t="shared" si="197"/>
        <v>1</v>
      </c>
      <c r="AL769">
        <f t="shared" si="198"/>
        <v>0</v>
      </c>
      <c r="AM769">
        <f t="shared" si="199"/>
        <v>0</v>
      </c>
      <c r="AN769">
        <f t="shared" si="200"/>
        <v>0</v>
      </c>
      <c r="AO769">
        <f t="shared" si="201"/>
        <v>0</v>
      </c>
      <c r="AP769">
        <f t="shared" si="202"/>
        <v>0</v>
      </c>
      <c r="AQ769">
        <f t="shared" si="203"/>
        <v>0</v>
      </c>
    </row>
    <row r="770" spans="1:43">
      <c r="A770" t="s">
        <v>2381</v>
      </c>
      <c r="B770" s="5">
        <v>45749</v>
      </c>
      <c r="C770" s="5">
        <v>45751</v>
      </c>
      <c r="D770" s="13">
        <f t="shared" si="187"/>
        <v>2</v>
      </c>
      <c r="E770" t="s">
        <v>2382</v>
      </c>
      <c r="F770" t="s">
        <v>132</v>
      </c>
      <c r="G770" t="s">
        <v>95</v>
      </c>
      <c r="H770" t="s">
        <v>38</v>
      </c>
      <c r="I770" t="s">
        <v>228</v>
      </c>
      <c r="J770" t="s">
        <v>229</v>
      </c>
      <c r="K770" t="s">
        <v>28</v>
      </c>
      <c r="L770" t="s">
        <v>29</v>
      </c>
      <c r="M770" t="s">
        <v>2383</v>
      </c>
      <c r="N770" t="s">
        <v>44</v>
      </c>
      <c r="O770">
        <v>5</v>
      </c>
      <c r="P770">
        <v>3234.24</v>
      </c>
      <c r="Q770" s="11">
        <v>0.1</v>
      </c>
      <c r="R770">
        <v>14554.08</v>
      </c>
      <c r="S770">
        <v>11166.84</v>
      </c>
      <c r="T770">
        <v>3387.24</v>
      </c>
      <c r="U770" t="s">
        <v>32</v>
      </c>
      <c r="V770" t="s">
        <v>33</v>
      </c>
      <c r="X770" s="8" t="str">
        <f>IF(C770&gt;=B770,"Valid", "Invalid-Date")</f>
        <v>Valid</v>
      </c>
      <c r="Y770" s="8" t="str">
        <f t="shared" si="188"/>
        <v>Valid</v>
      </c>
      <c r="Z770" s="8" t="str">
        <f t="shared" si="189"/>
        <v>Pass</v>
      </c>
      <c r="AA770" s="8" t="str">
        <f t="shared" si="190"/>
        <v>Pass</v>
      </c>
      <c r="AB770" s="8" t="str">
        <f>TEXT(B770,"mmmm")</f>
        <v>April</v>
      </c>
      <c r="AC770" s="8" t="str">
        <f>TEXT(B770,"yyyy")</f>
        <v>2025</v>
      </c>
      <c r="AE770">
        <f t="shared" si="191"/>
        <v>16171.199999999999</v>
      </c>
      <c r="AF770" s="11">
        <f t="shared" si="192"/>
        <v>14554.08</v>
      </c>
      <c r="AG770">
        <f t="shared" si="193"/>
        <v>5004.3599999999988</v>
      </c>
      <c r="AH770" s="11">
        <f t="shared" si="194"/>
        <v>0.30946126447016914</v>
      </c>
      <c r="AI770" s="9">
        <f t="shared" si="195"/>
        <v>0.30946126447016914</v>
      </c>
      <c r="AJ770">
        <f t="shared" si="196"/>
        <v>14554.08</v>
      </c>
      <c r="AK770">
        <f t="shared" si="197"/>
        <v>1</v>
      </c>
      <c r="AL770">
        <f t="shared" si="198"/>
        <v>0</v>
      </c>
      <c r="AM770">
        <f t="shared" si="199"/>
        <v>0</v>
      </c>
      <c r="AN770">
        <f t="shared" si="200"/>
        <v>0</v>
      </c>
      <c r="AO770">
        <f t="shared" si="201"/>
        <v>0</v>
      </c>
      <c r="AP770">
        <f t="shared" si="202"/>
        <v>0</v>
      </c>
      <c r="AQ770">
        <f t="shared" si="203"/>
        <v>0</v>
      </c>
    </row>
    <row r="771" spans="1:43">
      <c r="A771" t="s">
        <v>2384</v>
      </c>
      <c r="B771" s="5">
        <v>45601</v>
      </c>
      <c r="C771" s="5">
        <v>45425</v>
      </c>
      <c r="D771" s="13">
        <f t="shared" ref="D771:D834" si="204">C771-B771</f>
        <v>-176</v>
      </c>
      <c r="E771" t="s">
        <v>2385</v>
      </c>
      <c r="F771" t="s">
        <v>114</v>
      </c>
      <c r="G771" t="s">
        <v>95</v>
      </c>
      <c r="H771" t="s">
        <v>63</v>
      </c>
      <c r="I771" t="s">
        <v>190</v>
      </c>
      <c r="J771" t="s">
        <v>191</v>
      </c>
      <c r="K771" t="s">
        <v>41</v>
      </c>
      <c r="L771" t="s">
        <v>158</v>
      </c>
      <c r="M771" t="s">
        <v>2386</v>
      </c>
      <c r="N771" t="s">
        <v>44</v>
      </c>
      <c r="O771">
        <v>3</v>
      </c>
      <c r="P771">
        <v>3612.75</v>
      </c>
      <c r="Q771" s="11">
        <v>0.25</v>
      </c>
      <c r="R771">
        <v>8128.69</v>
      </c>
      <c r="S771">
        <v>5071.66</v>
      </c>
      <c r="T771">
        <v>3057.03</v>
      </c>
      <c r="U771" t="s">
        <v>32</v>
      </c>
      <c r="V771" t="s">
        <v>33</v>
      </c>
      <c r="X771" s="8" t="str">
        <f>IF(C771&gt;=B771,"Valid", "Invalid-Date")</f>
        <v>Invalid-Date</v>
      </c>
      <c r="Y771" s="8" t="str">
        <f t="shared" ref="Y771:Y834" si="205">IF(OR(Q771&lt;0, Q771&gt;0.5), "Invalid-Discount", "Valid")</f>
        <v>Valid</v>
      </c>
      <c r="Z771" s="8" t="str">
        <f t="shared" ref="Z771:Z834" si="206">IF(N771="Unknown","Flagged","Pass")</f>
        <v>Pass</v>
      </c>
      <c r="AA771" s="8" t="str">
        <f t="shared" ref="AA771:AA834" si="207">IF(H771="Unknown","Flagged","Pass")</f>
        <v>Pass</v>
      </c>
      <c r="AB771" s="8" t="str">
        <f>TEXT(B771,"mmmm")</f>
        <v>November</v>
      </c>
      <c r="AC771" s="8" t="str">
        <f>TEXT(B771,"yyyy")</f>
        <v>2024</v>
      </c>
      <c r="AE771">
        <f t="shared" ref="AE771:AE834" si="208">O771*P771</f>
        <v>10838.25</v>
      </c>
      <c r="AF771" s="11">
        <f t="shared" ref="AF771:AF834" si="209">AE771*(1-Q771)</f>
        <v>8128.6875</v>
      </c>
      <c r="AG771">
        <f t="shared" ref="AG771:AG834" si="210">AE771-S771</f>
        <v>5766.59</v>
      </c>
      <c r="AH771" s="11">
        <f t="shared" ref="AH771:AH834" si="211">AG771/AE771</f>
        <v>0.53205914238922336</v>
      </c>
      <c r="AI771" s="9">
        <f t="shared" ref="AI771:AI834" si="212">AG771/AE771</f>
        <v>0.53205914238922336</v>
      </c>
      <c r="AJ771">
        <f t="shared" ref="AJ771:AJ834" si="213">SUMIFS(R771, V771, "Completed", U771, "Paid")</f>
        <v>8128.69</v>
      </c>
      <c r="AK771">
        <f t="shared" ref="AK771:AK834" si="214">COUNTIFS(V771, "Completed", U771, "Paid")</f>
        <v>1</v>
      </c>
      <c r="AL771">
        <f t="shared" ref="AL771:AL834" si="215">SUMIFS(R771, V771, "Cancelled")</f>
        <v>0</v>
      </c>
      <c r="AM771">
        <f t="shared" ref="AM771:AM834" si="216">COUNTIFS(V771, "Cancelled")</f>
        <v>0</v>
      </c>
      <c r="AN771">
        <f t="shared" ref="AN771:AN834" si="217">SUMIFS(R771, U771, "Failed")</f>
        <v>0</v>
      </c>
      <c r="AO771">
        <f t="shared" ref="AO771:AO834" si="218">COUNTIFS(U771, "Failed")</f>
        <v>0</v>
      </c>
      <c r="AP771">
        <f t="shared" ref="AP771:AP834" si="219">SUMIFS(R771, V771, "Returned")</f>
        <v>0</v>
      </c>
      <c r="AQ771">
        <f t="shared" ref="AQ771:AQ834" si="220">COUNTIFS(V771, "Returned")</f>
        <v>0</v>
      </c>
    </row>
    <row r="772" spans="1:43">
      <c r="A772" t="s">
        <v>2387</v>
      </c>
      <c r="B772" s="5">
        <v>45337</v>
      </c>
      <c r="C772" s="5">
        <v>45339</v>
      </c>
      <c r="D772" s="13">
        <f t="shared" si="204"/>
        <v>2</v>
      </c>
      <c r="E772" t="s">
        <v>2388</v>
      </c>
      <c r="F772" t="s">
        <v>79</v>
      </c>
      <c r="G772" t="s">
        <v>24</v>
      </c>
      <c r="H772" t="s">
        <v>25</v>
      </c>
      <c r="I772" t="s">
        <v>136</v>
      </c>
      <c r="J772" t="s">
        <v>137</v>
      </c>
      <c r="K772" t="s">
        <v>74</v>
      </c>
      <c r="L772" t="s">
        <v>80</v>
      </c>
      <c r="M772" t="s">
        <v>2389</v>
      </c>
      <c r="N772" t="s">
        <v>50</v>
      </c>
      <c r="O772">
        <v>4</v>
      </c>
      <c r="P772">
        <v>863</v>
      </c>
      <c r="Q772" s="11">
        <v>0</v>
      </c>
      <c r="R772">
        <v>3106.8</v>
      </c>
      <c r="S772">
        <v>2376.62</v>
      </c>
      <c r="T772">
        <v>730.18</v>
      </c>
      <c r="U772" t="s">
        <v>32</v>
      </c>
      <c r="V772" t="s">
        <v>33</v>
      </c>
      <c r="X772" s="8" t="str">
        <f>IF(C772&gt;=B772,"Valid", "Invalid-Date")</f>
        <v>Valid</v>
      </c>
      <c r="Y772" s="8" t="str">
        <f t="shared" si="205"/>
        <v>Valid</v>
      </c>
      <c r="Z772" s="8" t="str">
        <f t="shared" si="206"/>
        <v>Pass</v>
      </c>
      <c r="AA772" s="8" t="str">
        <f t="shared" si="207"/>
        <v>Pass</v>
      </c>
      <c r="AB772" s="8" t="str">
        <f>TEXT(B772,"mmmm")</f>
        <v>February</v>
      </c>
      <c r="AC772" s="8" t="str">
        <f>TEXT(B772,"yyyy")</f>
        <v>2024</v>
      </c>
      <c r="AE772">
        <f t="shared" si="208"/>
        <v>3452</v>
      </c>
      <c r="AF772" s="11">
        <f t="shared" si="209"/>
        <v>3452</v>
      </c>
      <c r="AG772">
        <f t="shared" si="210"/>
        <v>1075.3800000000001</v>
      </c>
      <c r="AH772" s="11">
        <f t="shared" si="211"/>
        <v>0.3115237543453071</v>
      </c>
      <c r="AI772" s="9">
        <f t="shared" si="212"/>
        <v>0.3115237543453071</v>
      </c>
      <c r="AJ772">
        <f t="shared" si="213"/>
        <v>3106.8</v>
      </c>
      <c r="AK772">
        <f t="shared" si="214"/>
        <v>1</v>
      </c>
      <c r="AL772">
        <f t="shared" si="215"/>
        <v>0</v>
      </c>
      <c r="AM772">
        <f t="shared" si="216"/>
        <v>0</v>
      </c>
      <c r="AN772">
        <f t="shared" si="217"/>
        <v>0</v>
      </c>
      <c r="AO772">
        <f t="shared" si="218"/>
        <v>0</v>
      </c>
      <c r="AP772">
        <f t="shared" si="219"/>
        <v>0</v>
      </c>
      <c r="AQ772">
        <f t="shared" si="220"/>
        <v>0</v>
      </c>
    </row>
    <row r="773" spans="1:43">
      <c r="A773" t="s">
        <v>2390</v>
      </c>
      <c r="B773" s="5">
        <v>45485</v>
      </c>
      <c r="C773" s="5">
        <v>45487</v>
      </c>
      <c r="D773" s="13">
        <f t="shared" si="204"/>
        <v>2</v>
      </c>
      <c r="E773" t="s">
        <v>467</v>
      </c>
      <c r="F773" t="s">
        <v>62</v>
      </c>
      <c r="G773" t="s">
        <v>24</v>
      </c>
      <c r="H773" t="s">
        <v>25</v>
      </c>
      <c r="I773" t="s">
        <v>236</v>
      </c>
      <c r="J773" t="s">
        <v>237</v>
      </c>
      <c r="K773" t="s">
        <v>74</v>
      </c>
      <c r="L773" t="s">
        <v>274</v>
      </c>
      <c r="M773" t="s">
        <v>2391</v>
      </c>
      <c r="N773" t="s">
        <v>31</v>
      </c>
      <c r="O773">
        <v>4</v>
      </c>
      <c r="P773">
        <v>2131.41</v>
      </c>
      <c r="Q773" s="11">
        <v>0</v>
      </c>
      <c r="R773">
        <v>6394.23</v>
      </c>
      <c r="S773">
        <v>3520.69</v>
      </c>
      <c r="T773">
        <v>2873.54</v>
      </c>
      <c r="U773" t="s">
        <v>32</v>
      </c>
      <c r="V773" t="s">
        <v>33</v>
      </c>
      <c r="X773" s="8" t="str">
        <f>IF(C773&gt;=B773,"Valid", "Invalid-Date")</f>
        <v>Valid</v>
      </c>
      <c r="Y773" s="8" t="str">
        <f t="shared" si="205"/>
        <v>Valid</v>
      </c>
      <c r="Z773" s="8" t="str">
        <f t="shared" si="206"/>
        <v>Pass</v>
      </c>
      <c r="AA773" s="8" t="str">
        <f t="shared" si="207"/>
        <v>Pass</v>
      </c>
      <c r="AB773" s="8" t="str">
        <f>TEXT(B773,"mmmm")</f>
        <v>July</v>
      </c>
      <c r="AC773" s="8" t="str">
        <f>TEXT(B773,"yyyy")</f>
        <v>2024</v>
      </c>
      <c r="AE773">
        <f t="shared" si="208"/>
        <v>8525.64</v>
      </c>
      <c r="AF773" s="11">
        <f t="shared" si="209"/>
        <v>8525.64</v>
      </c>
      <c r="AG773">
        <f t="shared" si="210"/>
        <v>5004.9499999999989</v>
      </c>
      <c r="AH773" s="11">
        <f t="shared" si="211"/>
        <v>0.58704683753946907</v>
      </c>
      <c r="AI773" s="9">
        <f t="shared" si="212"/>
        <v>0.58704683753946907</v>
      </c>
      <c r="AJ773">
        <f t="shared" si="213"/>
        <v>6394.23</v>
      </c>
      <c r="AK773">
        <f t="shared" si="214"/>
        <v>1</v>
      </c>
      <c r="AL773">
        <f t="shared" si="215"/>
        <v>0</v>
      </c>
      <c r="AM773">
        <f t="shared" si="216"/>
        <v>0</v>
      </c>
      <c r="AN773">
        <f t="shared" si="217"/>
        <v>0</v>
      </c>
      <c r="AO773">
        <f t="shared" si="218"/>
        <v>0</v>
      </c>
      <c r="AP773">
        <f t="shared" si="219"/>
        <v>0</v>
      </c>
      <c r="AQ773">
        <f t="shared" si="220"/>
        <v>0</v>
      </c>
    </row>
    <row r="774" spans="1:43">
      <c r="A774" t="s">
        <v>2392</v>
      </c>
      <c r="B774" s="5">
        <v>45853</v>
      </c>
      <c r="C774" s="5">
        <v>45857</v>
      </c>
      <c r="D774" s="13">
        <f t="shared" si="204"/>
        <v>4</v>
      </c>
      <c r="E774" t="s">
        <v>2393</v>
      </c>
      <c r="F774" t="s">
        <v>162</v>
      </c>
      <c r="G774" t="s">
        <v>24</v>
      </c>
      <c r="H774" t="s">
        <v>54</v>
      </c>
      <c r="I774" t="s">
        <v>247</v>
      </c>
      <c r="J774" t="s">
        <v>248</v>
      </c>
      <c r="K774" t="s">
        <v>41</v>
      </c>
      <c r="L774" t="s">
        <v>66</v>
      </c>
      <c r="M774" t="s">
        <v>2394</v>
      </c>
      <c r="N774" t="s">
        <v>44</v>
      </c>
      <c r="O774">
        <v>1</v>
      </c>
      <c r="P774">
        <v>3903.22</v>
      </c>
      <c r="Q774" s="11">
        <v>0.05</v>
      </c>
      <c r="R774">
        <v>3708.06</v>
      </c>
      <c r="S774">
        <v>2760.29</v>
      </c>
      <c r="T774">
        <v>947.77</v>
      </c>
      <c r="U774" t="s">
        <v>111</v>
      </c>
      <c r="V774" t="s">
        <v>68</v>
      </c>
      <c r="X774" s="8" t="str">
        <f>IF(C774&gt;=B774,"Valid", "Invalid-Date")</f>
        <v>Valid</v>
      </c>
      <c r="Y774" s="8" t="str">
        <f t="shared" si="205"/>
        <v>Valid</v>
      </c>
      <c r="Z774" s="8" t="str">
        <f t="shared" si="206"/>
        <v>Pass</v>
      </c>
      <c r="AA774" s="8" t="str">
        <f t="shared" si="207"/>
        <v>Pass</v>
      </c>
      <c r="AB774" s="8" t="str">
        <f>TEXT(B774,"mmmm")</f>
        <v>July</v>
      </c>
      <c r="AC774" s="8" t="str">
        <f>TEXT(B774,"yyyy")</f>
        <v>2025</v>
      </c>
      <c r="AE774">
        <f t="shared" si="208"/>
        <v>3903.22</v>
      </c>
      <c r="AF774" s="11">
        <f t="shared" si="209"/>
        <v>3708.0589999999997</v>
      </c>
      <c r="AG774">
        <f t="shared" si="210"/>
        <v>1142.9299999999998</v>
      </c>
      <c r="AH774" s="11">
        <f t="shared" si="211"/>
        <v>0.29281721245535736</v>
      </c>
      <c r="AI774" s="9">
        <f t="shared" si="212"/>
        <v>0.29281721245535736</v>
      </c>
      <c r="AJ774">
        <f t="shared" si="213"/>
        <v>0</v>
      </c>
      <c r="AK774">
        <f t="shared" si="214"/>
        <v>0</v>
      </c>
      <c r="AL774">
        <f t="shared" si="215"/>
        <v>3708.06</v>
      </c>
      <c r="AM774">
        <f t="shared" si="216"/>
        <v>1</v>
      </c>
      <c r="AN774">
        <f t="shared" si="217"/>
        <v>0</v>
      </c>
      <c r="AO774">
        <f t="shared" si="218"/>
        <v>0</v>
      </c>
      <c r="AP774">
        <f t="shared" si="219"/>
        <v>0</v>
      </c>
      <c r="AQ774">
        <f t="shared" si="220"/>
        <v>0</v>
      </c>
    </row>
    <row r="775" spans="1:43">
      <c r="A775" t="s">
        <v>2395</v>
      </c>
      <c r="B775" s="5">
        <v>45709</v>
      </c>
      <c r="C775" s="5">
        <v>45709</v>
      </c>
      <c r="D775" s="13">
        <f t="shared" si="204"/>
        <v>0</v>
      </c>
      <c r="E775" t="s">
        <v>2396</v>
      </c>
      <c r="F775" t="s">
        <v>23</v>
      </c>
      <c r="G775" t="s">
        <v>95</v>
      </c>
      <c r="H775" t="s">
        <v>63</v>
      </c>
      <c r="I775" t="s">
        <v>180</v>
      </c>
      <c r="J775" t="s">
        <v>181</v>
      </c>
      <c r="K775" t="s">
        <v>74</v>
      </c>
      <c r="L775" t="s">
        <v>171</v>
      </c>
      <c r="M775" t="s">
        <v>2397</v>
      </c>
      <c r="N775" t="s">
        <v>2785</v>
      </c>
      <c r="O775">
        <v>4</v>
      </c>
      <c r="P775">
        <v>2945.07</v>
      </c>
      <c r="Q775" s="11">
        <v>0.2</v>
      </c>
      <c r="R775">
        <v>9424.2199999999993</v>
      </c>
      <c r="S775">
        <v>6178.92</v>
      </c>
      <c r="T775">
        <v>3245.3</v>
      </c>
      <c r="U775" t="s">
        <v>32</v>
      </c>
      <c r="V775" t="s">
        <v>33</v>
      </c>
      <c r="X775" s="8" t="str">
        <f>IF(C775&gt;=B775,"Valid", "Invalid-Date")</f>
        <v>Valid</v>
      </c>
      <c r="Y775" s="8" t="str">
        <f t="shared" si="205"/>
        <v>Valid</v>
      </c>
      <c r="Z775" s="8" t="str">
        <f t="shared" si="206"/>
        <v>Flagged</v>
      </c>
      <c r="AA775" s="8" t="str">
        <f t="shared" si="207"/>
        <v>Pass</v>
      </c>
      <c r="AB775" s="8" t="str">
        <f>TEXT(B775,"mmmm")</f>
        <v>February</v>
      </c>
      <c r="AC775" s="8" t="str">
        <f>TEXT(B775,"yyyy")</f>
        <v>2025</v>
      </c>
      <c r="AE775">
        <f t="shared" si="208"/>
        <v>11780.28</v>
      </c>
      <c r="AF775" s="11">
        <f t="shared" si="209"/>
        <v>9424.2240000000002</v>
      </c>
      <c r="AG775">
        <f t="shared" si="210"/>
        <v>5601.3600000000006</v>
      </c>
      <c r="AH775" s="11">
        <f t="shared" si="211"/>
        <v>0.47548615143273337</v>
      </c>
      <c r="AI775" s="9">
        <f t="shared" si="212"/>
        <v>0.47548615143273337</v>
      </c>
      <c r="AJ775">
        <f t="shared" si="213"/>
        <v>9424.2199999999993</v>
      </c>
      <c r="AK775">
        <f t="shared" si="214"/>
        <v>1</v>
      </c>
      <c r="AL775">
        <f t="shared" si="215"/>
        <v>0</v>
      </c>
      <c r="AM775">
        <f t="shared" si="216"/>
        <v>0</v>
      </c>
      <c r="AN775">
        <f t="shared" si="217"/>
        <v>0</v>
      </c>
      <c r="AO775">
        <f t="shared" si="218"/>
        <v>0</v>
      </c>
      <c r="AP775">
        <f t="shared" si="219"/>
        <v>0</v>
      </c>
      <c r="AQ775">
        <f t="shared" si="220"/>
        <v>0</v>
      </c>
    </row>
    <row r="776" spans="1:43">
      <c r="A776" t="s">
        <v>2398</v>
      </c>
      <c r="B776" s="5">
        <v>45876</v>
      </c>
      <c r="C776" s="5">
        <v>45846</v>
      </c>
      <c r="D776" s="13">
        <f t="shared" si="204"/>
        <v>-30</v>
      </c>
      <c r="E776" t="s">
        <v>2399</v>
      </c>
      <c r="F776" t="s">
        <v>264</v>
      </c>
      <c r="G776" t="s">
        <v>24</v>
      </c>
      <c r="H776" t="s">
        <v>63</v>
      </c>
      <c r="I776" t="s">
        <v>26</v>
      </c>
      <c r="J776" t="s">
        <v>109</v>
      </c>
      <c r="K776" t="s">
        <v>74</v>
      </c>
      <c r="L776" t="s">
        <v>274</v>
      </c>
      <c r="M776" t="s">
        <v>2400</v>
      </c>
      <c r="N776" t="s">
        <v>2785</v>
      </c>
      <c r="O776">
        <v>9</v>
      </c>
      <c r="P776">
        <v>1076.75</v>
      </c>
      <c r="Q776" s="11">
        <v>0.2</v>
      </c>
      <c r="R776">
        <v>7752.6</v>
      </c>
      <c r="S776">
        <v>4689.3</v>
      </c>
      <c r="T776">
        <v>3063.3</v>
      </c>
      <c r="U776" t="s">
        <v>32</v>
      </c>
      <c r="V776" t="s">
        <v>33</v>
      </c>
      <c r="X776" s="8" t="str">
        <f>IF(C776&gt;=B776,"Valid", "Invalid-Date")</f>
        <v>Invalid-Date</v>
      </c>
      <c r="Y776" s="8" t="str">
        <f t="shared" si="205"/>
        <v>Valid</v>
      </c>
      <c r="Z776" s="8" t="str">
        <f t="shared" si="206"/>
        <v>Flagged</v>
      </c>
      <c r="AA776" s="8" t="str">
        <f t="shared" si="207"/>
        <v>Pass</v>
      </c>
      <c r="AB776" s="8" t="str">
        <f>TEXT(B776,"mmmm")</f>
        <v>August</v>
      </c>
      <c r="AC776" s="8" t="str">
        <f>TEXT(B776,"yyyy")</f>
        <v>2025</v>
      </c>
      <c r="AE776">
        <f t="shared" si="208"/>
        <v>9690.75</v>
      </c>
      <c r="AF776" s="11">
        <f t="shared" si="209"/>
        <v>7752.6</v>
      </c>
      <c r="AG776">
        <f t="shared" si="210"/>
        <v>5001.45</v>
      </c>
      <c r="AH776" s="11">
        <f t="shared" si="211"/>
        <v>0.5161055645847844</v>
      </c>
      <c r="AI776" s="9">
        <f t="shared" si="212"/>
        <v>0.5161055645847844</v>
      </c>
      <c r="AJ776">
        <f t="shared" si="213"/>
        <v>7752.6</v>
      </c>
      <c r="AK776">
        <f t="shared" si="214"/>
        <v>1</v>
      </c>
      <c r="AL776">
        <f t="shared" si="215"/>
        <v>0</v>
      </c>
      <c r="AM776">
        <f t="shared" si="216"/>
        <v>0</v>
      </c>
      <c r="AN776">
        <f t="shared" si="217"/>
        <v>0</v>
      </c>
      <c r="AO776">
        <f t="shared" si="218"/>
        <v>0</v>
      </c>
      <c r="AP776">
        <f t="shared" si="219"/>
        <v>0</v>
      </c>
      <c r="AQ776">
        <f t="shared" si="220"/>
        <v>0</v>
      </c>
    </row>
    <row r="777" spans="1:43">
      <c r="A777" t="s">
        <v>2401</v>
      </c>
      <c r="B777" s="5">
        <v>45396</v>
      </c>
      <c r="C777" s="5">
        <v>45404</v>
      </c>
      <c r="D777" s="13">
        <f t="shared" si="204"/>
        <v>8</v>
      </c>
      <c r="E777" t="s">
        <v>2402</v>
      </c>
      <c r="F777" t="s">
        <v>53</v>
      </c>
      <c r="G777" t="s">
        <v>24</v>
      </c>
      <c r="H777" t="s">
        <v>25</v>
      </c>
      <c r="I777" t="s">
        <v>236</v>
      </c>
      <c r="J777" t="s">
        <v>237</v>
      </c>
      <c r="K777" t="s">
        <v>74</v>
      </c>
      <c r="L777" t="s">
        <v>75</v>
      </c>
      <c r="M777" t="s">
        <v>2403</v>
      </c>
      <c r="N777" t="s">
        <v>59</v>
      </c>
      <c r="O777">
        <v>8</v>
      </c>
      <c r="P777">
        <v>3956.12</v>
      </c>
      <c r="Q777" s="11">
        <v>0.25</v>
      </c>
      <c r="R777">
        <v>23736.720000000001</v>
      </c>
      <c r="S777">
        <v>13890.9</v>
      </c>
      <c r="T777">
        <v>9845.82</v>
      </c>
      <c r="U777" t="s">
        <v>32</v>
      </c>
      <c r="V777" t="s">
        <v>33</v>
      </c>
      <c r="X777" s="8" t="str">
        <f>IF(C777&gt;=B777,"Valid", "Invalid-Date")</f>
        <v>Valid</v>
      </c>
      <c r="Y777" s="8" t="str">
        <f t="shared" si="205"/>
        <v>Valid</v>
      </c>
      <c r="Z777" s="8" t="str">
        <f t="shared" si="206"/>
        <v>Pass</v>
      </c>
      <c r="AA777" s="8" t="str">
        <f t="shared" si="207"/>
        <v>Pass</v>
      </c>
      <c r="AB777" s="8" t="str">
        <f>TEXT(B777,"mmmm")</f>
        <v>April</v>
      </c>
      <c r="AC777" s="8" t="str">
        <f>TEXT(B777,"yyyy")</f>
        <v>2024</v>
      </c>
      <c r="AE777">
        <f t="shared" si="208"/>
        <v>31648.959999999999</v>
      </c>
      <c r="AF777" s="11">
        <f t="shared" si="209"/>
        <v>23736.720000000001</v>
      </c>
      <c r="AG777">
        <f t="shared" si="210"/>
        <v>17758.059999999998</v>
      </c>
      <c r="AH777" s="11">
        <f t="shared" si="211"/>
        <v>0.56109458257080158</v>
      </c>
      <c r="AI777" s="9">
        <f t="shared" si="212"/>
        <v>0.56109458257080158</v>
      </c>
      <c r="AJ777">
        <f t="shared" si="213"/>
        <v>23736.720000000001</v>
      </c>
      <c r="AK777">
        <f t="shared" si="214"/>
        <v>1</v>
      </c>
      <c r="AL777">
        <f t="shared" si="215"/>
        <v>0</v>
      </c>
      <c r="AM777">
        <f t="shared" si="216"/>
        <v>0</v>
      </c>
      <c r="AN777">
        <f t="shared" si="217"/>
        <v>0</v>
      </c>
      <c r="AO777">
        <f t="shared" si="218"/>
        <v>0</v>
      </c>
      <c r="AP777">
        <f t="shared" si="219"/>
        <v>0</v>
      </c>
      <c r="AQ777">
        <f t="shared" si="220"/>
        <v>0</v>
      </c>
    </row>
    <row r="778" spans="1:43">
      <c r="A778" t="s">
        <v>2404</v>
      </c>
      <c r="B778" s="5">
        <v>45816</v>
      </c>
      <c r="C778" s="5">
        <v>45821</v>
      </c>
      <c r="D778" s="13">
        <f t="shared" si="204"/>
        <v>5</v>
      </c>
      <c r="E778" t="s">
        <v>2405</v>
      </c>
      <c r="F778" t="s">
        <v>89</v>
      </c>
      <c r="G778" t="s">
        <v>37</v>
      </c>
      <c r="H778" t="s">
        <v>25</v>
      </c>
      <c r="I778" t="s">
        <v>26</v>
      </c>
      <c r="J778" t="s">
        <v>27</v>
      </c>
      <c r="K778" t="s">
        <v>74</v>
      </c>
      <c r="L778" t="s">
        <v>80</v>
      </c>
      <c r="M778" t="s">
        <v>2406</v>
      </c>
      <c r="N778" t="s">
        <v>31</v>
      </c>
      <c r="O778">
        <v>7</v>
      </c>
      <c r="P778">
        <v>3857.13</v>
      </c>
      <c r="Q778" s="11">
        <v>0</v>
      </c>
      <c r="R778">
        <v>26999.91</v>
      </c>
      <c r="S778">
        <v>17815.98</v>
      </c>
      <c r="T778">
        <v>9183.93</v>
      </c>
      <c r="U778" t="s">
        <v>32</v>
      </c>
      <c r="V778" t="s">
        <v>33</v>
      </c>
      <c r="X778" s="8" t="str">
        <f>IF(C778&gt;=B778,"Valid", "Invalid-Date")</f>
        <v>Valid</v>
      </c>
      <c r="Y778" s="8" t="str">
        <f t="shared" si="205"/>
        <v>Valid</v>
      </c>
      <c r="Z778" s="8" t="str">
        <f t="shared" si="206"/>
        <v>Pass</v>
      </c>
      <c r="AA778" s="8" t="str">
        <f t="shared" si="207"/>
        <v>Pass</v>
      </c>
      <c r="AB778" s="8" t="str">
        <f>TEXT(B778,"mmmm")</f>
        <v>June</v>
      </c>
      <c r="AC778" s="8" t="str">
        <f>TEXT(B778,"yyyy")</f>
        <v>2025</v>
      </c>
      <c r="AE778">
        <f t="shared" si="208"/>
        <v>26999.91</v>
      </c>
      <c r="AF778" s="11">
        <f t="shared" si="209"/>
        <v>26999.91</v>
      </c>
      <c r="AG778">
        <f t="shared" si="210"/>
        <v>9183.93</v>
      </c>
      <c r="AH778" s="11">
        <f t="shared" si="211"/>
        <v>0.34014668937785347</v>
      </c>
      <c r="AI778" s="9">
        <f t="shared" si="212"/>
        <v>0.34014668937785347</v>
      </c>
      <c r="AJ778">
        <f t="shared" si="213"/>
        <v>26999.91</v>
      </c>
      <c r="AK778">
        <f t="shared" si="214"/>
        <v>1</v>
      </c>
      <c r="AL778">
        <f t="shared" si="215"/>
        <v>0</v>
      </c>
      <c r="AM778">
        <f t="shared" si="216"/>
        <v>0</v>
      </c>
      <c r="AN778">
        <f t="shared" si="217"/>
        <v>0</v>
      </c>
      <c r="AO778">
        <f t="shared" si="218"/>
        <v>0</v>
      </c>
      <c r="AP778">
        <f t="shared" si="219"/>
        <v>0</v>
      </c>
      <c r="AQ778">
        <f t="shared" si="220"/>
        <v>0</v>
      </c>
    </row>
    <row r="779" spans="1:43">
      <c r="A779" t="s">
        <v>2407</v>
      </c>
      <c r="B779" s="5">
        <v>45326</v>
      </c>
      <c r="C779" s="5">
        <v>45445</v>
      </c>
      <c r="D779" s="13">
        <f t="shared" si="204"/>
        <v>119</v>
      </c>
      <c r="E779" t="s">
        <v>2408</v>
      </c>
      <c r="F779" t="s">
        <v>264</v>
      </c>
      <c r="G779" t="s">
        <v>37</v>
      </c>
      <c r="H779" t="s">
        <v>63</v>
      </c>
      <c r="I779" t="s">
        <v>72</v>
      </c>
      <c r="J779" t="s">
        <v>73</v>
      </c>
      <c r="K779" t="s">
        <v>74</v>
      </c>
      <c r="L779" t="s">
        <v>75</v>
      </c>
      <c r="M779" t="s">
        <v>2409</v>
      </c>
      <c r="N779" t="s">
        <v>31</v>
      </c>
      <c r="O779">
        <v>4</v>
      </c>
      <c r="P779">
        <v>1489.74</v>
      </c>
      <c r="Q779" s="11">
        <v>0.15</v>
      </c>
      <c r="R779">
        <v>5065.12</v>
      </c>
      <c r="S779">
        <v>3530.12</v>
      </c>
      <c r="T779">
        <v>1535</v>
      </c>
      <c r="U779" t="s">
        <v>155</v>
      </c>
      <c r="V779" t="s">
        <v>68</v>
      </c>
      <c r="X779" s="8" t="str">
        <f>IF(C779&gt;=B779,"Valid", "Invalid-Date")</f>
        <v>Valid</v>
      </c>
      <c r="Y779" s="8" t="str">
        <f t="shared" si="205"/>
        <v>Valid</v>
      </c>
      <c r="Z779" s="8" t="str">
        <f t="shared" si="206"/>
        <v>Pass</v>
      </c>
      <c r="AA779" s="8" t="str">
        <f t="shared" si="207"/>
        <v>Pass</v>
      </c>
      <c r="AB779" s="8" t="str">
        <f>TEXT(B779,"mmmm")</f>
        <v>February</v>
      </c>
      <c r="AC779" s="8" t="str">
        <f>TEXT(B779,"yyyy")</f>
        <v>2024</v>
      </c>
      <c r="AE779">
        <f t="shared" si="208"/>
        <v>5958.96</v>
      </c>
      <c r="AF779" s="11">
        <f t="shared" si="209"/>
        <v>5065.116</v>
      </c>
      <c r="AG779">
        <f t="shared" si="210"/>
        <v>2428.84</v>
      </c>
      <c r="AH779" s="11">
        <f t="shared" si="211"/>
        <v>0.40759461382523127</v>
      </c>
      <c r="AI779" s="9">
        <f t="shared" si="212"/>
        <v>0.40759461382523127</v>
      </c>
      <c r="AJ779">
        <f t="shared" si="213"/>
        <v>0</v>
      </c>
      <c r="AK779">
        <f t="shared" si="214"/>
        <v>0</v>
      </c>
      <c r="AL779">
        <f t="shared" si="215"/>
        <v>5065.12</v>
      </c>
      <c r="AM779">
        <f t="shared" si="216"/>
        <v>1</v>
      </c>
      <c r="AN779">
        <f t="shared" si="217"/>
        <v>5065.12</v>
      </c>
      <c r="AO779">
        <f t="shared" si="218"/>
        <v>1</v>
      </c>
      <c r="AP779">
        <f t="shared" si="219"/>
        <v>0</v>
      </c>
      <c r="AQ779">
        <f t="shared" si="220"/>
        <v>0</v>
      </c>
    </row>
    <row r="780" spans="1:43">
      <c r="A780" t="s">
        <v>2410</v>
      </c>
      <c r="B780" s="5">
        <v>45497</v>
      </c>
      <c r="C780" s="5">
        <v>45497</v>
      </c>
      <c r="D780" s="13">
        <f t="shared" si="204"/>
        <v>0</v>
      </c>
      <c r="E780" t="s">
        <v>2411</v>
      </c>
      <c r="F780" t="s">
        <v>23</v>
      </c>
      <c r="G780" t="s">
        <v>37</v>
      </c>
      <c r="H780" t="s">
        <v>25</v>
      </c>
      <c r="I780" t="s">
        <v>236</v>
      </c>
      <c r="J780" t="s">
        <v>237</v>
      </c>
      <c r="K780" t="s">
        <v>74</v>
      </c>
      <c r="L780" t="s">
        <v>80</v>
      </c>
      <c r="M780" t="s">
        <v>2412</v>
      </c>
      <c r="N780" t="s">
        <v>31</v>
      </c>
      <c r="O780">
        <v>4</v>
      </c>
      <c r="P780">
        <v>1676.88</v>
      </c>
      <c r="Q780" s="11">
        <v>0</v>
      </c>
      <c r="R780">
        <v>6707.52</v>
      </c>
      <c r="S780">
        <v>5672.57</v>
      </c>
      <c r="T780">
        <v>1034.95</v>
      </c>
      <c r="U780" t="s">
        <v>32</v>
      </c>
      <c r="V780" t="s">
        <v>33</v>
      </c>
      <c r="X780" s="8" t="str">
        <f>IF(C780&gt;=B780,"Valid", "Invalid-Date")</f>
        <v>Valid</v>
      </c>
      <c r="Y780" s="8" t="str">
        <f t="shared" si="205"/>
        <v>Valid</v>
      </c>
      <c r="Z780" s="8" t="str">
        <f t="shared" si="206"/>
        <v>Pass</v>
      </c>
      <c r="AA780" s="8" t="str">
        <f t="shared" si="207"/>
        <v>Pass</v>
      </c>
      <c r="AB780" s="8" t="str">
        <f>TEXT(B780,"mmmm")</f>
        <v>July</v>
      </c>
      <c r="AC780" s="8" t="str">
        <f>TEXT(B780,"yyyy")</f>
        <v>2024</v>
      </c>
      <c r="AE780">
        <f t="shared" si="208"/>
        <v>6707.52</v>
      </c>
      <c r="AF780" s="11">
        <f t="shared" si="209"/>
        <v>6707.52</v>
      </c>
      <c r="AG780">
        <f t="shared" si="210"/>
        <v>1034.9500000000007</v>
      </c>
      <c r="AH780" s="11">
        <f t="shared" si="211"/>
        <v>0.15429696817899918</v>
      </c>
      <c r="AI780" s="9">
        <f t="shared" si="212"/>
        <v>0.15429696817899918</v>
      </c>
      <c r="AJ780">
        <f t="shared" si="213"/>
        <v>6707.52</v>
      </c>
      <c r="AK780">
        <f t="shared" si="214"/>
        <v>1</v>
      </c>
      <c r="AL780">
        <f t="shared" si="215"/>
        <v>0</v>
      </c>
      <c r="AM780">
        <f t="shared" si="216"/>
        <v>0</v>
      </c>
      <c r="AN780">
        <f t="shared" si="217"/>
        <v>0</v>
      </c>
      <c r="AO780">
        <f t="shared" si="218"/>
        <v>0</v>
      </c>
      <c r="AP780">
        <f t="shared" si="219"/>
        <v>0</v>
      </c>
      <c r="AQ780">
        <f t="shared" si="220"/>
        <v>0</v>
      </c>
    </row>
    <row r="781" spans="1:43">
      <c r="A781" t="s">
        <v>2413</v>
      </c>
      <c r="B781" s="5">
        <v>45306</v>
      </c>
      <c r="C781" s="5">
        <v>45311</v>
      </c>
      <c r="D781" s="13">
        <f t="shared" si="204"/>
        <v>5</v>
      </c>
      <c r="E781" t="s">
        <v>2414</v>
      </c>
      <c r="F781" t="s">
        <v>114</v>
      </c>
      <c r="G781" t="s">
        <v>37</v>
      </c>
      <c r="H781" t="s">
        <v>54</v>
      </c>
      <c r="I781" t="s">
        <v>84</v>
      </c>
      <c r="J781" t="s">
        <v>85</v>
      </c>
      <c r="K781" t="s">
        <v>41</v>
      </c>
      <c r="L781" t="s">
        <v>66</v>
      </c>
      <c r="M781" t="s">
        <v>2415</v>
      </c>
      <c r="N781" t="s">
        <v>59</v>
      </c>
      <c r="O781">
        <v>4</v>
      </c>
      <c r="P781">
        <v>3153.54</v>
      </c>
      <c r="Q781" s="11">
        <v>0.05</v>
      </c>
      <c r="R781">
        <v>11983.45</v>
      </c>
      <c r="S781">
        <v>8572.9</v>
      </c>
      <c r="T781">
        <v>3410.55</v>
      </c>
      <c r="U781" t="s">
        <v>32</v>
      </c>
      <c r="V781" t="s">
        <v>33</v>
      </c>
      <c r="X781" s="8" t="str">
        <f>IF(C781&gt;=B781,"Valid", "Invalid-Date")</f>
        <v>Valid</v>
      </c>
      <c r="Y781" s="8" t="str">
        <f t="shared" si="205"/>
        <v>Valid</v>
      </c>
      <c r="Z781" s="8" t="str">
        <f t="shared" si="206"/>
        <v>Pass</v>
      </c>
      <c r="AA781" s="8" t="str">
        <f t="shared" si="207"/>
        <v>Pass</v>
      </c>
      <c r="AB781" s="8" t="str">
        <f>TEXT(B781,"mmmm")</f>
        <v>January</v>
      </c>
      <c r="AC781" s="8" t="str">
        <f>TEXT(B781,"yyyy")</f>
        <v>2024</v>
      </c>
      <c r="AE781">
        <f t="shared" si="208"/>
        <v>12614.16</v>
      </c>
      <c r="AF781" s="11">
        <f t="shared" si="209"/>
        <v>11983.451999999999</v>
      </c>
      <c r="AG781">
        <f t="shared" si="210"/>
        <v>4041.26</v>
      </c>
      <c r="AH781" s="11">
        <f t="shared" si="211"/>
        <v>0.32037488029325778</v>
      </c>
      <c r="AI781" s="9">
        <f t="shared" si="212"/>
        <v>0.32037488029325778</v>
      </c>
      <c r="AJ781">
        <f t="shared" si="213"/>
        <v>11983.45</v>
      </c>
      <c r="AK781">
        <f t="shared" si="214"/>
        <v>1</v>
      </c>
      <c r="AL781">
        <f t="shared" si="215"/>
        <v>0</v>
      </c>
      <c r="AM781">
        <f t="shared" si="216"/>
        <v>0</v>
      </c>
      <c r="AN781">
        <f t="shared" si="217"/>
        <v>0</v>
      </c>
      <c r="AO781">
        <f t="shared" si="218"/>
        <v>0</v>
      </c>
      <c r="AP781">
        <f t="shared" si="219"/>
        <v>0</v>
      </c>
      <c r="AQ781">
        <f t="shared" si="220"/>
        <v>0</v>
      </c>
    </row>
    <row r="782" spans="1:43">
      <c r="A782" t="s">
        <v>2416</v>
      </c>
      <c r="B782" s="5">
        <v>45508</v>
      </c>
      <c r="C782" s="5">
        <v>45573</v>
      </c>
      <c r="D782" s="13">
        <f t="shared" si="204"/>
        <v>65</v>
      </c>
      <c r="E782" t="s">
        <v>2417</v>
      </c>
      <c r="F782" t="s">
        <v>162</v>
      </c>
      <c r="G782" t="s">
        <v>37</v>
      </c>
      <c r="H782" t="s">
        <v>63</v>
      </c>
      <c r="I782" t="s">
        <v>26</v>
      </c>
      <c r="J782" t="s">
        <v>109</v>
      </c>
      <c r="K782" t="s">
        <v>41</v>
      </c>
      <c r="L782" t="s">
        <v>66</v>
      </c>
      <c r="M782" t="s">
        <v>2418</v>
      </c>
      <c r="N782" t="s">
        <v>44</v>
      </c>
      <c r="O782">
        <v>4</v>
      </c>
      <c r="P782">
        <v>426.43</v>
      </c>
      <c r="Q782" s="11">
        <v>0.2</v>
      </c>
      <c r="R782">
        <v>1364.58</v>
      </c>
      <c r="S782">
        <v>978.16</v>
      </c>
      <c r="T782">
        <v>386.42</v>
      </c>
      <c r="U782" t="s">
        <v>32</v>
      </c>
      <c r="V782" t="s">
        <v>33</v>
      </c>
      <c r="X782" s="8" t="str">
        <f>IF(C782&gt;=B782,"Valid", "Invalid-Date")</f>
        <v>Valid</v>
      </c>
      <c r="Y782" s="8" t="str">
        <f t="shared" si="205"/>
        <v>Valid</v>
      </c>
      <c r="Z782" s="8" t="str">
        <f t="shared" si="206"/>
        <v>Pass</v>
      </c>
      <c r="AA782" s="8" t="str">
        <f t="shared" si="207"/>
        <v>Pass</v>
      </c>
      <c r="AB782" s="8" t="str">
        <f>TEXT(B782,"mmmm")</f>
        <v>August</v>
      </c>
      <c r="AC782" s="8" t="str">
        <f>TEXT(B782,"yyyy")</f>
        <v>2024</v>
      </c>
      <c r="AE782">
        <f t="shared" si="208"/>
        <v>1705.72</v>
      </c>
      <c r="AF782" s="11">
        <f t="shared" si="209"/>
        <v>1364.576</v>
      </c>
      <c r="AG782">
        <f t="shared" si="210"/>
        <v>727.56000000000006</v>
      </c>
      <c r="AH782" s="11">
        <f t="shared" si="211"/>
        <v>0.42654128461881202</v>
      </c>
      <c r="AI782" s="9">
        <f t="shared" si="212"/>
        <v>0.42654128461881202</v>
      </c>
      <c r="AJ782">
        <f t="shared" si="213"/>
        <v>1364.58</v>
      </c>
      <c r="AK782">
        <f t="shared" si="214"/>
        <v>1</v>
      </c>
      <c r="AL782">
        <f t="shared" si="215"/>
        <v>0</v>
      </c>
      <c r="AM782">
        <f t="shared" si="216"/>
        <v>0</v>
      </c>
      <c r="AN782">
        <f t="shared" si="217"/>
        <v>0</v>
      </c>
      <c r="AO782">
        <f t="shared" si="218"/>
        <v>0</v>
      </c>
      <c r="AP782">
        <f t="shared" si="219"/>
        <v>0</v>
      </c>
      <c r="AQ782">
        <f t="shared" si="220"/>
        <v>0</v>
      </c>
    </row>
    <row r="783" spans="1:43">
      <c r="A783" t="s">
        <v>2419</v>
      </c>
      <c r="B783" s="5">
        <v>45324</v>
      </c>
      <c r="C783" s="5">
        <v>45567</v>
      </c>
      <c r="D783" s="13">
        <f t="shared" si="204"/>
        <v>243</v>
      </c>
      <c r="E783" t="s">
        <v>2420</v>
      </c>
      <c r="F783" t="s">
        <v>23</v>
      </c>
      <c r="G783" t="s">
        <v>95</v>
      </c>
      <c r="H783" t="s">
        <v>63</v>
      </c>
      <c r="I783" t="s">
        <v>26</v>
      </c>
      <c r="J783" t="s">
        <v>109</v>
      </c>
      <c r="K783" t="s">
        <v>28</v>
      </c>
      <c r="L783" t="s">
        <v>91</v>
      </c>
      <c r="M783" t="s">
        <v>2421</v>
      </c>
      <c r="N783" t="s">
        <v>50</v>
      </c>
      <c r="O783">
        <v>3</v>
      </c>
      <c r="P783">
        <v>383.4</v>
      </c>
      <c r="Q783" s="11">
        <v>0.25</v>
      </c>
      <c r="R783">
        <v>862.65</v>
      </c>
      <c r="S783">
        <v>603.73</v>
      </c>
      <c r="T783">
        <v>258.92</v>
      </c>
      <c r="U783" t="s">
        <v>111</v>
      </c>
      <c r="V783" t="s">
        <v>103</v>
      </c>
      <c r="X783" s="8" t="str">
        <f>IF(C783&gt;=B783,"Valid", "Invalid-Date")</f>
        <v>Valid</v>
      </c>
      <c r="Y783" s="8" t="str">
        <f t="shared" si="205"/>
        <v>Valid</v>
      </c>
      <c r="Z783" s="8" t="str">
        <f t="shared" si="206"/>
        <v>Pass</v>
      </c>
      <c r="AA783" s="8" t="str">
        <f t="shared" si="207"/>
        <v>Pass</v>
      </c>
      <c r="AB783" s="8" t="str">
        <f>TEXT(B783,"mmmm")</f>
        <v>February</v>
      </c>
      <c r="AC783" s="8" t="str">
        <f>TEXT(B783,"yyyy")</f>
        <v>2024</v>
      </c>
      <c r="AE783">
        <f t="shared" si="208"/>
        <v>1150.1999999999998</v>
      </c>
      <c r="AF783" s="11">
        <f t="shared" si="209"/>
        <v>862.64999999999986</v>
      </c>
      <c r="AG783">
        <f t="shared" si="210"/>
        <v>546.4699999999998</v>
      </c>
      <c r="AH783" s="11">
        <f t="shared" si="211"/>
        <v>0.47510867675186913</v>
      </c>
      <c r="AI783" s="9">
        <f t="shared" si="212"/>
        <v>0.47510867675186913</v>
      </c>
      <c r="AJ783">
        <f t="shared" si="213"/>
        <v>0</v>
      </c>
      <c r="AK783">
        <f t="shared" si="214"/>
        <v>0</v>
      </c>
      <c r="AL783">
        <f t="shared" si="215"/>
        <v>0</v>
      </c>
      <c r="AM783">
        <f t="shared" si="216"/>
        <v>0</v>
      </c>
      <c r="AN783">
        <f t="shared" si="217"/>
        <v>0</v>
      </c>
      <c r="AO783">
        <f t="shared" si="218"/>
        <v>0</v>
      </c>
      <c r="AP783">
        <f t="shared" si="219"/>
        <v>862.65</v>
      </c>
      <c r="AQ783">
        <f t="shared" si="220"/>
        <v>1</v>
      </c>
    </row>
    <row r="784" spans="1:43">
      <c r="A784" t="s">
        <v>2422</v>
      </c>
      <c r="B784" s="5">
        <v>45730</v>
      </c>
      <c r="C784" s="5">
        <v>45738</v>
      </c>
      <c r="D784" s="13">
        <f t="shared" si="204"/>
        <v>8</v>
      </c>
      <c r="E784" t="s">
        <v>2423</v>
      </c>
      <c r="F784" t="s">
        <v>36</v>
      </c>
      <c r="G784" t="s">
        <v>90</v>
      </c>
      <c r="H784" t="s">
        <v>38</v>
      </c>
      <c r="I784" t="s">
        <v>99</v>
      </c>
      <c r="J784" t="s">
        <v>100</v>
      </c>
      <c r="K784" t="s">
        <v>74</v>
      </c>
      <c r="L784" t="s">
        <v>80</v>
      </c>
      <c r="M784" t="s">
        <v>2424</v>
      </c>
      <c r="N784" t="s">
        <v>59</v>
      </c>
      <c r="O784">
        <v>2</v>
      </c>
      <c r="P784">
        <v>669.63</v>
      </c>
      <c r="Q784" s="11">
        <v>0.15</v>
      </c>
      <c r="R784">
        <v>1138.3699999999999</v>
      </c>
      <c r="S784">
        <v>797.34</v>
      </c>
      <c r="T784">
        <v>341.03</v>
      </c>
      <c r="U784" t="s">
        <v>32</v>
      </c>
      <c r="V784" t="s">
        <v>33</v>
      </c>
      <c r="X784" s="8" t="str">
        <f>IF(C784&gt;=B784,"Valid", "Invalid-Date")</f>
        <v>Valid</v>
      </c>
      <c r="Y784" s="8" t="str">
        <f t="shared" si="205"/>
        <v>Valid</v>
      </c>
      <c r="Z784" s="8" t="str">
        <f t="shared" si="206"/>
        <v>Pass</v>
      </c>
      <c r="AA784" s="8" t="str">
        <f t="shared" si="207"/>
        <v>Pass</v>
      </c>
      <c r="AB784" s="8" t="str">
        <f>TEXT(B784,"mmmm")</f>
        <v>March</v>
      </c>
      <c r="AC784" s="8" t="str">
        <f>TEXT(B784,"yyyy")</f>
        <v>2025</v>
      </c>
      <c r="AE784">
        <f t="shared" si="208"/>
        <v>1339.26</v>
      </c>
      <c r="AF784" s="11">
        <f t="shared" si="209"/>
        <v>1138.3709999999999</v>
      </c>
      <c r="AG784">
        <f t="shared" si="210"/>
        <v>541.91999999999996</v>
      </c>
      <c r="AH784" s="11">
        <f t="shared" si="211"/>
        <v>0.40464136911428694</v>
      </c>
      <c r="AI784" s="9">
        <f t="shared" si="212"/>
        <v>0.40464136911428694</v>
      </c>
      <c r="AJ784">
        <f t="shared" si="213"/>
        <v>1138.3699999999999</v>
      </c>
      <c r="AK784">
        <f t="shared" si="214"/>
        <v>1</v>
      </c>
      <c r="AL784">
        <f t="shared" si="215"/>
        <v>0</v>
      </c>
      <c r="AM784">
        <f t="shared" si="216"/>
        <v>0</v>
      </c>
      <c r="AN784">
        <f t="shared" si="217"/>
        <v>0</v>
      </c>
      <c r="AO784">
        <f t="shared" si="218"/>
        <v>0</v>
      </c>
      <c r="AP784">
        <f t="shared" si="219"/>
        <v>0</v>
      </c>
      <c r="AQ784">
        <f t="shared" si="220"/>
        <v>0</v>
      </c>
    </row>
    <row r="785" spans="1:43">
      <c r="A785" t="s">
        <v>2425</v>
      </c>
      <c r="B785" s="5">
        <v>45450</v>
      </c>
      <c r="C785" s="5">
        <v>45479</v>
      </c>
      <c r="D785" s="13">
        <f t="shared" si="204"/>
        <v>29</v>
      </c>
      <c r="E785" t="s">
        <v>2426</v>
      </c>
      <c r="F785" t="s">
        <v>128</v>
      </c>
      <c r="G785" t="s">
        <v>37</v>
      </c>
      <c r="H785" t="s">
        <v>38</v>
      </c>
      <c r="I785" t="s">
        <v>145</v>
      </c>
      <c r="J785" t="s">
        <v>146</v>
      </c>
      <c r="K785" t="s">
        <v>28</v>
      </c>
      <c r="L785" t="s">
        <v>48</v>
      </c>
      <c r="M785" t="s">
        <v>2427</v>
      </c>
      <c r="N785" t="s">
        <v>31</v>
      </c>
      <c r="O785">
        <v>1</v>
      </c>
      <c r="P785">
        <v>2581.9299999999998</v>
      </c>
      <c r="Q785" s="11">
        <v>0.05</v>
      </c>
      <c r="R785">
        <v>2452.83</v>
      </c>
      <c r="S785">
        <v>1906.7</v>
      </c>
      <c r="T785">
        <v>546.13</v>
      </c>
      <c r="U785" t="s">
        <v>32</v>
      </c>
      <c r="V785" t="s">
        <v>33</v>
      </c>
      <c r="X785" s="8" t="str">
        <f>IF(C785&gt;=B785,"Valid", "Invalid-Date")</f>
        <v>Valid</v>
      </c>
      <c r="Y785" s="8" t="str">
        <f t="shared" si="205"/>
        <v>Valid</v>
      </c>
      <c r="Z785" s="8" t="str">
        <f t="shared" si="206"/>
        <v>Pass</v>
      </c>
      <c r="AA785" s="8" t="str">
        <f t="shared" si="207"/>
        <v>Pass</v>
      </c>
      <c r="AB785" s="8" t="str">
        <f>TEXT(B785,"mmmm")</f>
        <v>June</v>
      </c>
      <c r="AC785" s="8" t="str">
        <f>TEXT(B785,"yyyy")</f>
        <v>2024</v>
      </c>
      <c r="AE785">
        <f t="shared" si="208"/>
        <v>2581.9299999999998</v>
      </c>
      <c r="AF785" s="11">
        <f t="shared" si="209"/>
        <v>2452.8334999999997</v>
      </c>
      <c r="AG785">
        <f t="shared" si="210"/>
        <v>675.22999999999979</v>
      </c>
      <c r="AH785" s="11">
        <f t="shared" si="211"/>
        <v>0.26152142002300599</v>
      </c>
      <c r="AI785" s="9">
        <f t="shared" si="212"/>
        <v>0.26152142002300599</v>
      </c>
      <c r="AJ785">
        <f t="shared" si="213"/>
        <v>2452.83</v>
      </c>
      <c r="AK785">
        <f t="shared" si="214"/>
        <v>1</v>
      </c>
      <c r="AL785">
        <f t="shared" si="215"/>
        <v>0</v>
      </c>
      <c r="AM785">
        <f t="shared" si="216"/>
        <v>0</v>
      </c>
      <c r="AN785">
        <f t="shared" si="217"/>
        <v>0</v>
      </c>
      <c r="AO785">
        <f t="shared" si="218"/>
        <v>0</v>
      </c>
      <c r="AP785">
        <f t="shared" si="219"/>
        <v>0</v>
      </c>
      <c r="AQ785">
        <f t="shared" si="220"/>
        <v>0</v>
      </c>
    </row>
    <row r="786" spans="1:43">
      <c r="A786" t="s">
        <v>2428</v>
      </c>
      <c r="B786" s="5">
        <v>45757</v>
      </c>
      <c r="C786" s="5">
        <v>45787</v>
      </c>
      <c r="D786" s="13">
        <f t="shared" si="204"/>
        <v>30</v>
      </c>
      <c r="E786" t="s">
        <v>2429</v>
      </c>
      <c r="F786" t="s">
        <v>114</v>
      </c>
      <c r="G786" t="s">
        <v>90</v>
      </c>
      <c r="H786" t="s">
        <v>25</v>
      </c>
      <c r="I786" t="s">
        <v>122</v>
      </c>
      <c r="J786" t="s">
        <v>123</v>
      </c>
      <c r="K786" t="s">
        <v>74</v>
      </c>
      <c r="L786" t="s">
        <v>80</v>
      </c>
      <c r="M786" t="s">
        <v>2430</v>
      </c>
      <c r="N786" t="s">
        <v>50</v>
      </c>
      <c r="O786">
        <v>4</v>
      </c>
      <c r="P786">
        <v>418.18</v>
      </c>
      <c r="Q786" s="11">
        <v>0.05</v>
      </c>
      <c r="R786">
        <v>1589.08</v>
      </c>
      <c r="S786">
        <v>1084.6600000000001</v>
      </c>
      <c r="T786">
        <v>504.42</v>
      </c>
      <c r="U786" t="s">
        <v>32</v>
      </c>
      <c r="V786" t="s">
        <v>33</v>
      </c>
      <c r="X786" s="8" t="str">
        <f>IF(C786&gt;=B786,"Valid", "Invalid-Date")</f>
        <v>Valid</v>
      </c>
      <c r="Y786" s="8" t="str">
        <f t="shared" si="205"/>
        <v>Valid</v>
      </c>
      <c r="Z786" s="8" t="str">
        <f t="shared" si="206"/>
        <v>Pass</v>
      </c>
      <c r="AA786" s="8" t="str">
        <f t="shared" si="207"/>
        <v>Pass</v>
      </c>
      <c r="AB786" s="8" t="str">
        <f>TEXT(B786,"mmmm")</f>
        <v>April</v>
      </c>
      <c r="AC786" s="8" t="str">
        <f>TEXT(B786,"yyyy")</f>
        <v>2025</v>
      </c>
      <c r="AE786">
        <f t="shared" si="208"/>
        <v>1672.72</v>
      </c>
      <c r="AF786" s="11">
        <f t="shared" si="209"/>
        <v>1589.0840000000001</v>
      </c>
      <c r="AG786">
        <f t="shared" si="210"/>
        <v>588.05999999999995</v>
      </c>
      <c r="AH786" s="11">
        <f t="shared" si="211"/>
        <v>0.35155913721364002</v>
      </c>
      <c r="AI786" s="9">
        <f t="shared" si="212"/>
        <v>0.35155913721364002</v>
      </c>
      <c r="AJ786">
        <f t="shared" si="213"/>
        <v>1589.08</v>
      </c>
      <c r="AK786">
        <f t="shared" si="214"/>
        <v>1</v>
      </c>
      <c r="AL786">
        <f t="shared" si="215"/>
        <v>0</v>
      </c>
      <c r="AM786">
        <f t="shared" si="216"/>
        <v>0</v>
      </c>
      <c r="AN786">
        <f t="shared" si="217"/>
        <v>0</v>
      </c>
      <c r="AO786">
        <f t="shared" si="218"/>
        <v>0</v>
      </c>
      <c r="AP786">
        <f t="shared" si="219"/>
        <v>0</v>
      </c>
      <c r="AQ786">
        <f t="shared" si="220"/>
        <v>0</v>
      </c>
    </row>
    <row r="787" spans="1:43">
      <c r="A787" t="s">
        <v>2431</v>
      </c>
      <c r="B787" s="5">
        <v>45435</v>
      </c>
      <c r="C787" s="5">
        <v>45441</v>
      </c>
      <c r="D787" s="13">
        <f t="shared" si="204"/>
        <v>6</v>
      </c>
      <c r="E787" t="s">
        <v>2432</v>
      </c>
      <c r="F787" t="s">
        <v>162</v>
      </c>
      <c r="G787" t="s">
        <v>37</v>
      </c>
      <c r="H787" t="s">
        <v>25</v>
      </c>
      <c r="I787" t="s">
        <v>236</v>
      </c>
      <c r="J787" t="s">
        <v>237</v>
      </c>
      <c r="K787" t="s">
        <v>28</v>
      </c>
      <c r="L787" t="s">
        <v>124</v>
      </c>
      <c r="M787" t="s">
        <v>2433</v>
      </c>
      <c r="N787" t="s">
        <v>44</v>
      </c>
      <c r="O787">
        <v>2</v>
      </c>
      <c r="P787">
        <v>3012.94</v>
      </c>
      <c r="Q787" s="11">
        <v>0.25</v>
      </c>
      <c r="R787">
        <v>4519.41</v>
      </c>
      <c r="S787">
        <v>3504.16</v>
      </c>
      <c r="T787">
        <v>1275.55</v>
      </c>
      <c r="U787" t="s">
        <v>155</v>
      </c>
      <c r="V787" t="s">
        <v>68</v>
      </c>
      <c r="X787" s="8" t="str">
        <f>IF(C787&gt;=B787,"Valid", "Invalid-Date")</f>
        <v>Valid</v>
      </c>
      <c r="Y787" s="8" t="str">
        <f t="shared" si="205"/>
        <v>Valid</v>
      </c>
      <c r="Z787" s="8" t="str">
        <f t="shared" si="206"/>
        <v>Pass</v>
      </c>
      <c r="AA787" s="8" t="str">
        <f t="shared" si="207"/>
        <v>Pass</v>
      </c>
      <c r="AB787" s="8" t="str">
        <f>TEXT(B787,"mmmm")</f>
        <v>May</v>
      </c>
      <c r="AC787" s="8" t="str">
        <f>TEXT(B787,"yyyy")</f>
        <v>2024</v>
      </c>
      <c r="AE787">
        <f t="shared" si="208"/>
        <v>6025.88</v>
      </c>
      <c r="AF787" s="11">
        <f t="shared" si="209"/>
        <v>4519.41</v>
      </c>
      <c r="AG787">
        <f t="shared" si="210"/>
        <v>2521.7200000000003</v>
      </c>
      <c r="AH787" s="11">
        <f t="shared" si="211"/>
        <v>0.41848161596314565</v>
      </c>
      <c r="AI787" s="9">
        <f t="shared" si="212"/>
        <v>0.41848161596314565</v>
      </c>
      <c r="AJ787">
        <f t="shared" si="213"/>
        <v>0</v>
      </c>
      <c r="AK787">
        <f t="shared" si="214"/>
        <v>0</v>
      </c>
      <c r="AL787">
        <f t="shared" si="215"/>
        <v>4519.41</v>
      </c>
      <c r="AM787">
        <f t="shared" si="216"/>
        <v>1</v>
      </c>
      <c r="AN787">
        <f t="shared" si="217"/>
        <v>4519.41</v>
      </c>
      <c r="AO787">
        <f t="shared" si="218"/>
        <v>1</v>
      </c>
      <c r="AP787">
        <f t="shared" si="219"/>
        <v>0</v>
      </c>
      <c r="AQ787">
        <f t="shared" si="220"/>
        <v>0</v>
      </c>
    </row>
    <row r="788" spans="1:43">
      <c r="A788" t="s">
        <v>2434</v>
      </c>
      <c r="B788" s="5">
        <v>45815</v>
      </c>
      <c r="C788" s="5">
        <v>45876</v>
      </c>
      <c r="D788" s="13">
        <f t="shared" si="204"/>
        <v>61</v>
      </c>
      <c r="E788" t="s">
        <v>2435</v>
      </c>
      <c r="F788" t="s">
        <v>62</v>
      </c>
      <c r="G788" t="s">
        <v>90</v>
      </c>
      <c r="H788" t="s">
        <v>25</v>
      </c>
      <c r="I788" t="s">
        <v>26</v>
      </c>
      <c r="J788" t="s">
        <v>27</v>
      </c>
      <c r="K788" t="s">
        <v>41</v>
      </c>
      <c r="L788" t="s">
        <v>57</v>
      </c>
      <c r="M788" t="s">
        <v>2436</v>
      </c>
      <c r="N788" t="s">
        <v>2785</v>
      </c>
      <c r="O788">
        <v>4</v>
      </c>
      <c r="P788">
        <v>715.45</v>
      </c>
      <c r="Q788" s="11">
        <v>0.05</v>
      </c>
      <c r="R788">
        <v>2718.71</v>
      </c>
      <c r="S788">
        <v>2065.0500000000002</v>
      </c>
      <c r="T788">
        <v>653.66</v>
      </c>
      <c r="U788" t="s">
        <v>102</v>
      </c>
      <c r="V788" t="s">
        <v>103</v>
      </c>
      <c r="X788" s="8" t="str">
        <f>IF(C788&gt;=B788,"Valid", "Invalid-Date")</f>
        <v>Valid</v>
      </c>
      <c r="Y788" s="8" t="str">
        <f t="shared" si="205"/>
        <v>Valid</v>
      </c>
      <c r="Z788" s="8" t="str">
        <f t="shared" si="206"/>
        <v>Flagged</v>
      </c>
      <c r="AA788" s="8" t="str">
        <f t="shared" si="207"/>
        <v>Pass</v>
      </c>
      <c r="AB788" s="8" t="str">
        <f>TEXT(B788,"mmmm")</f>
        <v>June</v>
      </c>
      <c r="AC788" s="8" t="str">
        <f>TEXT(B788,"yyyy")</f>
        <v>2025</v>
      </c>
      <c r="AE788">
        <f t="shared" si="208"/>
        <v>2861.8</v>
      </c>
      <c r="AF788" s="11">
        <f t="shared" si="209"/>
        <v>2718.71</v>
      </c>
      <c r="AG788">
        <f t="shared" si="210"/>
        <v>796.75</v>
      </c>
      <c r="AH788" s="11">
        <f t="shared" si="211"/>
        <v>0.27840869382905864</v>
      </c>
      <c r="AI788" s="9">
        <f t="shared" si="212"/>
        <v>0.27840869382905864</v>
      </c>
      <c r="AJ788">
        <f t="shared" si="213"/>
        <v>0</v>
      </c>
      <c r="AK788">
        <f t="shared" si="214"/>
        <v>0</v>
      </c>
      <c r="AL788">
        <f t="shared" si="215"/>
        <v>0</v>
      </c>
      <c r="AM788">
        <f t="shared" si="216"/>
        <v>0</v>
      </c>
      <c r="AN788">
        <f t="shared" si="217"/>
        <v>0</v>
      </c>
      <c r="AO788">
        <f t="shared" si="218"/>
        <v>0</v>
      </c>
      <c r="AP788">
        <f t="shared" si="219"/>
        <v>2718.71</v>
      </c>
      <c r="AQ788">
        <f t="shared" si="220"/>
        <v>1</v>
      </c>
    </row>
    <row r="789" spans="1:43">
      <c r="A789" t="s">
        <v>2437</v>
      </c>
      <c r="B789" s="5">
        <v>45547</v>
      </c>
      <c r="C789" s="5">
        <v>45553</v>
      </c>
      <c r="D789" s="13">
        <f t="shared" si="204"/>
        <v>6</v>
      </c>
      <c r="E789" t="s">
        <v>2438</v>
      </c>
      <c r="F789" t="s">
        <v>62</v>
      </c>
      <c r="G789" t="s">
        <v>95</v>
      </c>
      <c r="H789" t="s">
        <v>38</v>
      </c>
      <c r="I789" t="s">
        <v>145</v>
      </c>
      <c r="J789" t="s">
        <v>146</v>
      </c>
      <c r="K789" t="s">
        <v>28</v>
      </c>
      <c r="L789" t="s">
        <v>29</v>
      </c>
      <c r="M789" t="s">
        <v>2439</v>
      </c>
      <c r="N789" t="s">
        <v>31</v>
      </c>
      <c r="O789">
        <v>2</v>
      </c>
      <c r="P789">
        <v>3718.77</v>
      </c>
      <c r="Q789" s="11">
        <v>0.05</v>
      </c>
      <c r="R789">
        <v>7065.66</v>
      </c>
      <c r="S789">
        <v>4915.2700000000004</v>
      </c>
      <c r="T789">
        <v>2150.39</v>
      </c>
      <c r="U789" t="s">
        <v>32</v>
      </c>
      <c r="V789" t="s">
        <v>33</v>
      </c>
      <c r="X789" s="8" t="str">
        <f>IF(C789&gt;=B789,"Valid", "Invalid-Date")</f>
        <v>Valid</v>
      </c>
      <c r="Y789" s="8" t="str">
        <f t="shared" si="205"/>
        <v>Valid</v>
      </c>
      <c r="Z789" s="8" t="str">
        <f t="shared" si="206"/>
        <v>Pass</v>
      </c>
      <c r="AA789" s="8" t="str">
        <f t="shared" si="207"/>
        <v>Pass</v>
      </c>
      <c r="AB789" s="8" t="str">
        <f>TEXT(B789,"mmmm")</f>
        <v>September</v>
      </c>
      <c r="AC789" s="8" t="str">
        <f>TEXT(B789,"yyyy")</f>
        <v>2024</v>
      </c>
      <c r="AE789">
        <f t="shared" si="208"/>
        <v>7437.54</v>
      </c>
      <c r="AF789" s="11">
        <f t="shared" si="209"/>
        <v>7065.6629999999996</v>
      </c>
      <c r="AG789">
        <f t="shared" si="210"/>
        <v>2522.2699999999995</v>
      </c>
      <c r="AH789" s="11">
        <f t="shared" si="211"/>
        <v>0.33912691561994956</v>
      </c>
      <c r="AI789" s="9">
        <f t="shared" si="212"/>
        <v>0.33912691561994956</v>
      </c>
      <c r="AJ789">
        <f t="shared" si="213"/>
        <v>7065.66</v>
      </c>
      <c r="AK789">
        <f t="shared" si="214"/>
        <v>1</v>
      </c>
      <c r="AL789">
        <f t="shared" si="215"/>
        <v>0</v>
      </c>
      <c r="AM789">
        <f t="shared" si="216"/>
        <v>0</v>
      </c>
      <c r="AN789">
        <f t="shared" si="217"/>
        <v>0</v>
      </c>
      <c r="AO789">
        <f t="shared" si="218"/>
        <v>0</v>
      </c>
      <c r="AP789">
        <f t="shared" si="219"/>
        <v>0</v>
      </c>
      <c r="AQ789">
        <f t="shared" si="220"/>
        <v>0</v>
      </c>
    </row>
    <row r="790" spans="1:43">
      <c r="A790" t="s">
        <v>2440</v>
      </c>
      <c r="B790" s="5">
        <v>45505</v>
      </c>
      <c r="C790" s="5">
        <v>45506</v>
      </c>
      <c r="D790" s="13">
        <f t="shared" si="204"/>
        <v>1</v>
      </c>
      <c r="E790" t="s">
        <v>2441</v>
      </c>
      <c r="F790" t="s">
        <v>47</v>
      </c>
      <c r="G790" t="s">
        <v>90</v>
      </c>
      <c r="H790" t="s">
        <v>25</v>
      </c>
      <c r="I790" t="s">
        <v>136</v>
      </c>
      <c r="J790" t="s">
        <v>137</v>
      </c>
      <c r="K790" t="s">
        <v>41</v>
      </c>
      <c r="L790" t="s">
        <v>66</v>
      </c>
      <c r="M790" t="s">
        <v>2442</v>
      </c>
      <c r="N790" t="s">
        <v>59</v>
      </c>
      <c r="O790">
        <v>8</v>
      </c>
      <c r="P790">
        <v>2487.64</v>
      </c>
      <c r="Q790" s="11">
        <v>0.1</v>
      </c>
      <c r="R790">
        <v>17911.009999999998</v>
      </c>
      <c r="S790">
        <v>11546.05</v>
      </c>
      <c r="T790">
        <v>6364.96</v>
      </c>
      <c r="U790" t="s">
        <v>155</v>
      </c>
      <c r="V790" t="s">
        <v>103</v>
      </c>
      <c r="X790" s="8" t="str">
        <f>IF(C790&gt;=B790,"Valid", "Invalid-Date")</f>
        <v>Valid</v>
      </c>
      <c r="Y790" s="8" t="str">
        <f t="shared" si="205"/>
        <v>Valid</v>
      </c>
      <c r="Z790" s="8" t="str">
        <f t="shared" si="206"/>
        <v>Pass</v>
      </c>
      <c r="AA790" s="8" t="str">
        <f t="shared" si="207"/>
        <v>Pass</v>
      </c>
      <c r="AB790" s="8" t="str">
        <f>TEXT(B790,"mmmm")</f>
        <v>August</v>
      </c>
      <c r="AC790" s="8" t="str">
        <f>TEXT(B790,"yyyy")</f>
        <v>2024</v>
      </c>
      <c r="AE790">
        <f t="shared" si="208"/>
        <v>19901.12</v>
      </c>
      <c r="AF790" s="11">
        <f t="shared" si="209"/>
        <v>17911.007999999998</v>
      </c>
      <c r="AG790">
        <f t="shared" si="210"/>
        <v>8355.07</v>
      </c>
      <c r="AH790" s="11">
        <f t="shared" si="211"/>
        <v>0.41982913524464954</v>
      </c>
      <c r="AI790" s="9">
        <f t="shared" si="212"/>
        <v>0.41982913524464954</v>
      </c>
      <c r="AJ790">
        <f t="shared" si="213"/>
        <v>0</v>
      </c>
      <c r="AK790">
        <f t="shared" si="214"/>
        <v>0</v>
      </c>
      <c r="AL790">
        <f t="shared" si="215"/>
        <v>0</v>
      </c>
      <c r="AM790">
        <f t="shared" si="216"/>
        <v>0</v>
      </c>
      <c r="AN790">
        <f t="shared" si="217"/>
        <v>17911.009999999998</v>
      </c>
      <c r="AO790">
        <f t="shared" si="218"/>
        <v>1</v>
      </c>
      <c r="AP790">
        <f t="shared" si="219"/>
        <v>17911.009999999998</v>
      </c>
      <c r="AQ790">
        <f t="shared" si="220"/>
        <v>1</v>
      </c>
    </row>
    <row r="791" spans="1:43">
      <c r="A791" t="s">
        <v>2443</v>
      </c>
      <c r="B791" s="5">
        <v>45723</v>
      </c>
      <c r="C791" s="5">
        <v>45872</v>
      </c>
      <c r="D791" s="13">
        <f t="shared" si="204"/>
        <v>149</v>
      </c>
      <c r="E791" t="s">
        <v>2444</v>
      </c>
      <c r="F791" t="s">
        <v>114</v>
      </c>
      <c r="G791" t="s">
        <v>95</v>
      </c>
      <c r="H791" t="s">
        <v>2785</v>
      </c>
      <c r="I791" t="s">
        <v>26</v>
      </c>
      <c r="J791" t="s">
        <v>109</v>
      </c>
      <c r="K791" t="s">
        <v>74</v>
      </c>
      <c r="L791" t="s">
        <v>80</v>
      </c>
      <c r="M791" t="s">
        <v>2445</v>
      </c>
      <c r="N791" t="s">
        <v>44</v>
      </c>
      <c r="O791">
        <v>4</v>
      </c>
      <c r="P791">
        <v>3537.48</v>
      </c>
      <c r="Q791" s="11">
        <v>0</v>
      </c>
      <c r="R791">
        <v>14149.92</v>
      </c>
      <c r="S791">
        <v>9466.51</v>
      </c>
      <c r="T791">
        <v>4683.41</v>
      </c>
      <c r="U791" t="s">
        <v>32</v>
      </c>
      <c r="V791" t="s">
        <v>33</v>
      </c>
      <c r="X791" s="8" t="str">
        <f>IF(C791&gt;=B791,"Valid", "Invalid-Date")</f>
        <v>Valid</v>
      </c>
      <c r="Y791" s="8" t="str">
        <f t="shared" si="205"/>
        <v>Valid</v>
      </c>
      <c r="Z791" s="8" t="str">
        <f t="shared" si="206"/>
        <v>Pass</v>
      </c>
      <c r="AA791" s="8" t="str">
        <f t="shared" si="207"/>
        <v>Flagged</v>
      </c>
      <c r="AB791" s="8" t="str">
        <f>TEXT(B791,"mmmm")</f>
        <v>March</v>
      </c>
      <c r="AC791" s="8" t="str">
        <f>TEXT(B791,"yyyy")</f>
        <v>2025</v>
      </c>
      <c r="AE791">
        <f t="shared" si="208"/>
        <v>14149.92</v>
      </c>
      <c r="AF791" s="11">
        <f t="shared" si="209"/>
        <v>14149.92</v>
      </c>
      <c r="AG791">
        <f t="shared" si="210"/>
        <v>4683.41</v>
      </c>
      <c r="AH791" s="11">
        <f t="shared" si="211"/>
        <v>0.33098491016203624</v>
      </c>
      <c r="AI791" s="9">
        <f t="shared" si="212"/>
        <v>0.33098491016203624</v>
      </c>
      <c r="AJ791">
        <f t="shared" si="213"/>
        <v>14149.92</v>
      </c>
      <c r="AK791">
        <f t="shared" si="214"/>
        <v>1</v>
      </c>
      <c r="AL791">
        <f t="shared" si="215"/>
        <v>0</v>
      </c>
      <c r="AM791">
        <f t="shared" si="216"/>
        <v>0</v>
      </c>
      <c r="AN791">
        <f t="shared" si="217"/>
        <v>0</v>
      </c>
      <c r="AO791">
        <f t="shared" si="218"/>
        <v>0</v>
      </c>
      <c r="AP791">
        <f t="shared" si="219"/>
        <v>0</v>
      </c>
      <c r="AQ791">
        <f t="shared" si="220"/>
        <v>0</v>
      </c>
    </row>
    <row r="792" spans="1:43">
      <c r="A792" t="s">
        <v>2446</v>
      </c>
      <c r="B792" s="5">
        <v>45443</v>
      </c>
      <c r="C792" s="5">
        <v>45328</v>
      </c>
      <c r="D792" s="13">
        <f t="shared" si="204"/>
        <v>-115</v>
      </c>
      <c r="E792" t="s">
        <v>2447</v>
      </c>
      <c r="F792" t="s">
        <v>118</v>
      </c>
      <c r="G792" t="s">
        <v>90</v>
      </c>
      <c r="H792" t="s">
        <v>54</v>
      </c>
      <c r="I792" t="s">
        <v>84</v>
      </c>
      <c r="J792" t="s">
        <v>85</v>
      </c>
      <c r="K792" t="s">
        <v>28</v>
      </c>
      <c r="L792" t="s">
        <v>48</v>
      </c>
      <c r="M792" t="s">
        <v>2448</v>
      </c>
      <c r="N792" t="s">
        <v>59</v>
      </c>
      <c r="O792">
        <v>8</v>
      </c>
      <c r="P792">
        <v>667.59</v>
      </c>
      <c r="Q792" s="11">
        <v>0.2</v>
      </c>
      <c r="R792">
        <v>4272.58</v>
      </c>
      <c r="S792">
        <v>3328.92</v>
      </c>
      <c r="T792">
        <v>943.66</v>
      </c>
      <c r="U792" t="s">
        <v>32</v>
      </c>
      <c r="V792" t="s">
        <v>33</v>
      </c>
      <c r="X792" s="8" t="str">
        <f>IF(C792&gt;=B792,"Valid", "Invalid-Date")</f>
        <v>Invalid-Date</v>
      </c>
      <c r="Y792" s="8" t="str">
        <f t="shared" si="205"/>
        <v>Valid</v>
      </c>
      <c r="Z792" s="8" t="str">
        <f t="shared" si="206"/>
        <v>Pass</v>
      </c>
      <c r="AA792" s="8" t="str">
        <f t="shared" si="207"/>
        <v>Pass</v>
      </c>
      <c r="AB792" s="8" t="str">
        <f>TEXT(B792,"mmmm")</f>
        <v>May</v>
      </c>
      <c r="AC792" s="8" t="str">
        <f>TEXT(B792,"yyyy")</f>
        <v>2024</v>
      </c>
      <c r="AE792">
        <f t="shared" si="208"/>
        <v>5340.72</v>
      </c>
      <c r="AF792" s="11">
        <f t="shared" si="209"/>
        <v>4272.576</v>
      </c>
      <c r="AG792">
        <f t="shared" si="210"/>
        <v>2011.8000000000002</v>
      </c>
      <c r="AH792" s="11">
        <f t="shared" si="211"/>
        <v>0.37669078326517774</v>
      </c>
      <c r="AI792" s="9">
        <f t="shared" si="212"/>
        <v>0.37669078326517774</v>
      </c>
      <c r="AJ792">
        <f t="shared" si="213"/>
        <v>4272.58</v>
      </c>
      <c r="AK792">
        <f t="shared" si="214"/>
        <v>1</v>
      </c>
      <c r="AL792">
        <f t="shared" si="215"/>
        <v>0</v>
      </c>
      <c r="AM792">
        <f t="shared" si="216"/>
        <v>0</v>
      </c>
      <c r="AN792">
        <f t="shared" si="217"/>
        <v>0</v>
      </c>
      <c r="AO792">
        <f t="shared" si="218"/>
        <v>0</v>
      </c>
      <c r="AP792">
        <f t="shared" si="219"/>
        <v>0</v>
      </c>
      <c r="AQ792">
        <f t="shared" si="220"/>
        <v>0</v>
      </c>
    </row>
    <row r="793" spans="1:43">
      <c r="A793" t="s">
        <v>2449</v>
      </c>
      <c r="B793" s="5">
        <v>45567</v>
      </c>
      <c r="C793" s="5">
        <v>45453</v>
      </c>
      <c r="D793" s="13">
        <f t="shared" si="204"/>
        <v>-114</v>
      </c>
      <c r="E793" t="s">
        <v>2450</v>
      </c>
      <c r="F793" t="s">
        <v>118</v>
      </c>
      <c r="G793" t="s">
        <v>95</v>
      </c>
      <c r="H793" t="s">
        <v>54</v>
      </c>
      <c r="I793" t="s">
        <v>175</v>
      </c>
      <c r="J793" t="s">
        <v>176</v>
      </c>
      <c r="K793" t="s">
        <v>41</v>
      </c>
      <c r="L793" t="s">
        <v>158</v>
      </c>
      <c r="M793" t="s">
        <v>2451</v>
      </c>
      <c r="N793" t="s">
        <v>44</v>
      </c>
      <c r="O793">
        <v>8</v>
      </c>
      <c r="P793">
        <v>1558.77</v>
      </c>
      <c r="Q793" s="11">
        <v>0.25</v>
      </c>
      <c r="R793">
        <v>9352.6200000000008</v>
      </c>
      <c r="S793">
        <v>5269.41</v>
      </c>
      <c r="T793">
        <v>4083.21</v>
      </c>
      <c r="U793" t="s">
        <v>32</v>
      </c>
      <c r="V793" t="s">
        <v>33</v>
      </c>
      <c r="X793" s="8" t="str">
        <f>IF(C793&gt;=B793,"Valid", "Invalid-Date")</f>
        <v>Invalid-Date</v>
      </c>
      <c r="Y793" s="8" t="str">
        <f t="shared" si="205"/>
        <v>Valid</v>
      </c>
      <c r="Z793" s="8" t="str">
        <f t="shared" si="206"/>
        <v>Pass</v>
      </c>
      <c r="AA793" s="8" t="str">
        <f t="shared" si="207"/>
        <v>Pass</v>
      </c>
      <c r="AB793" s="8" t="str">
        <f>TEXT(B793,"mmmm")</f>
        <v>October</v>
      </c>
      <c r="AC793" s="8" t="str">
        <f>TEXT(B793,"yyyy")</f>
        <v>2024</v>
      </c>
      <c r="AE793">
        <f t="shared" si="208"/>
        <v>12470.16</v>
      </c>
      <c r="AF793" s="11">
        <f t="shared" si="209"/>
        <v>9352.619999999999</v>
      </c>
      <c r="AG793">
        <f t="shared" si="210"/>
        <v>7200.75</v>
      </c>
      <c r="AH793" s="11">
        <f t="shared" si="211"/>
        <v>0.5774384610943244</v>
      </c>
      <c r="AI793" s="9">
        <f t="shared" si="212"/>
        <v>0.5774384610943244</v>
      </c>
      <c r="AJ793">
        <f t="shared" si="213"/>
        <v>9352.6200000000008</v>
      </c>
      <c r="AK793">
        <f t="shared" si="214"/>
        <v>1</v>
      </c>
      <c r="AL793">
        <f t="shared" si="215"/>
        <v>0</v>
      </c>
      <c r="AM793">
        <f t="shared" si="216"/>
        <v>0</v>
      </c>
      <c r="AN793">
        <f t="shared" si="217"/>
        <v>0</v>
      </c>
      <c r="AO793">
        <f t="shared" si="218"/>
        <v>0</v>
      </c>
      <c r="AP793">
        <f t="shared" si="219"/>
        <v>0</v>
      </c>
      <c r="AQ793">
        <f t="shared" si="220"/>
        <v>0</v>
      </c>
    </row>
    <row r="794" spans="1:43">
      <c r="A794" t="s">
        <v>2452</v>
      </c>
      <c r="B794" s="5">
        <v>45812</v>
      </c>
      <c r="C794" s="5">
        <v>45875</v>
      </c>
      <c r="D794" s="13">
        <f t="shared" si="204"/>
        <v>63</v>
      </c>
      <c r="E794" t="s">
        <v>2453</v>
      </c>
      <c r="F794" t="s">
        <v>53</v>
      </c>
      <c r="G794" t="s">
        <v>37</v>
      </c>
      <c r="H794" t="s">
        <v>38</v>
      </c>
      <c r="I794" t="s">
        <v>166</v>
      </c>
      <c r="J794" t="s">
        <v>167</v>
      </c>
      <c r="K794" t="s">
        <v>41</v>
      </c>
      <c r="L794" t="s">
        <v>57</v>
      </c>
      <c r="M794" t="s">
        <v>2454</v>
      </c>
      <c r="N794" t="s">
        <v>31</v>
      </c>
      <c r="O794">
        <v>1</v>
      </c>
      <c r="P794">
        <v>3501.12</v>
      </c>
      <c r="Q794" s="11">
        <v>0.2</v>
      </c>
      <c r="R794">
        <v>2800.9</v>
      </c>
      <c r="S794">
        <v>1735.98</v>
      </c>
      <c r="T794">
        <v>1064.92</v>
      </c>
      <c r="U794" t="s">
        <v>32</v>
      </c>
      <c r="V794" t="s">
        <v>103</v>
      </c>
      <c r="X794" s="8" t="str">
        <f>IF(C794&gt;=B794,"Valid", "Invalid-Date")</f>
        <v>Valid</v>
      </c>
      <c r="Y794" s="8" t="str">
        <f t="shared" si="205"/>
        <v>Valid</v>
      </c>
      <c r="Z794" s="8" t="str">
        <f t="shared" si="206"/>
        <v>Pass</v>
      </c>
      <c r="AA794" s="8" t="str">
        <f t="shared" si="207"/>
        <v>Pass</v>
      </c>
      <c r="AB794" s="8" t="str">
        <f>TEXT(B794,"mmmm")</f>
        <v>June</v>
      </c>
      <c r="AC794" s="8" t="str">
        <f>TEXT(B794,"yyyy")</f>
        <v>2025</v>
      </c>
      <c r="AE794">
        <f t="shared" si="208"/>
        <v>3501.12</v>
      </c>
      <c r="AF794" s="11">
        <f t="shared" si="209"/>
        <v>2800.8960000000002</v>
      </c>
      <c r="AG794">
        <f t="shared" si="210"/>
        <v>1765.1399999999999</v>
      </c>
      <c r="AH794" s="11">
        <f t="shared" si="211"/>
        <v>0.50416438168357547</v>
      </c>
      <c r="AI794" s="9">
        <f t="shared" si="212"/>
        <v>0.50416438168357547</v>
      </c>
      <c r="AJ794">
        <f t="shared" si="213"/>
        <v>0</v>
      </c>
      <c r="AK794">
        <f t="shared" si="214"/>
        <v>0</v>
      </c>
      <c r="AL794">
        <f t="shared" si="215"/>
        <v>0</v>
      </c>
      <c r="AM794">
        <f t="shared" si="216"/>
        <v>0</v>
      </c>
      <c r="AN794">
        <f t="shared" si="217"/>
        <v>0</v>
      </c>
      <c r="AO794">
        <f t="shared" si="218"/>
        <v>0</v>
      </c>
      <c r="AP794">
        <f t="shared" si="219"/>
        <v>2800.9</v>
      </c>
      <c r="AQ794">
        <f t="shared" si="220"/>
        <v>1</v>
      </c>
    </row>
    <row r="795" spans="1:43">
      <c r="A795" t="s">
        <v>2455</v>
      </c>
      <c r="B795" s="5">
        <v>45440</v>
      </c>
      <c r="C795" s="5">
        <v>45357</v>
      </c>
      <c r="D795" s="13">
        <f t="shared" si="204"/>
        <v>-83</v>
      </c>
      <c r="E795" t="s">
        <v>2456</v>
      </c>
      <c r="F795" t="s">
        <v>71</v>
      </c>
      <c r="G795" t="s">
        <v>90</v>
      </c>
      <c r="H795" t="s">
        <v>25</v>
      </c>
      <c r="I795" t="s">
        <v>26</v>
      </c>
      <c r="J795" t="s">
        <v>27</v>
      </c>
      <c r="K795" t="s">
        <v>74</v>
      </c>
      <c r="L795" t="s">
        <v>80</v>
      </c>
      <c r="M795" t="s">
        <v>2457</v>
      </c>
      <c r="N795" t="s">
        <v>31</v>
      </c>
      <c r="O795">
        <v>5</v>
      </c>
      <c r="P795">
        <v>4302.32</v>
      </c>
      <c r="Q795" s="11">
        <v>0</v>
      </c>
      <c r="R795">
        <v>21511.599999999999</v>
      </c>
      <c r="S795">
        <v>15408.47</v>
      </c>
      <c r="T795">
        <v>6103.13</v>
      </c>
      <c r="U795" t="s">
        <v>32</v>
      </c>
      <c r="V795" t="s">
        <v>33</v>
      </c>
      <c r="X795" s="8" t="str">
        <f>IF(C795&gt;=B795,"Valid", "Invalid-Date")</f>
        <v>Invalid-Date</v>
      </c>
      <c r="Y795" s="8" t="str">
        <f t="shared" si="205"/>
        <v>Valid</v>
      </c>
      <c r="Z795" s="8" t="str">
        <f t="shared" si="206"/>
        <v>Pass</v>
      </c>
      <c r="AA795" s="8" t="str">
        <f t="shared" si="207"/>
        <v>Pass</v>
      </c>
      <c r="AB795" s="8" t="str">
        <f>TEXT(B795,"mmmm")</f>
        <v>May</v>
      </c>
      <c r="AC795" s="8" t="str">
        <f>TEXT(B795,"yyyy")</f>
        <v>2024</v>
      </c>
      <c r="AE795">
        <f t="shared" si="208"/>
        <v>21511.599999999999</v>
      </c>
      <c r="AF795" s="11">
        <f t="shared" si="209"/>
        <v>21511.599999999999</v>
      </c>
      <c r="AG795">
        <f t="shared" si="210"/>
        <v>6103.1299999999992</v>
      </c>
      <c r="AH795" s="11">
        <f t="shared" si="211"/>
        <v>0.28371343833094703</v>
      </c>
      <c r="AI795" s="9">
        <f t="shared" si="212"/>
        <v>0.28371343833094703</v>
      </c>
      <c r="AJ795">
        <f t="shared" si="213"/>
        <v>21511.599999999999</v>
      </c>
      <c r="AK795">
        <f t="shared" si="214"/>
        <v>1</v>
      </c>
      <c r="AL795">
        <f t="shared" si="215"/>
        <v>0</v>
      </c>
      <c r="AM795">
        <f t="shared" si="216"/>
        <v>0</v>
      </c>
      <c r="AN795">
        <f t="shared" si="217"/>
        <v>0</v>
      </c>
      <c r="AO795">
        <f t="shared" si="218"/>
        <v>0</v>
      </c>
      <c r="AP795">
        <f t="shared" si="219"/>
        <v>0</v>
      </c>
      <c r="AQ795">
        <f t="shared" si="220"/>
        <v>0</v>
      </c>
    </row>
    <row r="796" spans="1:43">
      <c r="A796" t="s">
        <v>2458</v>
      </c>
      <c r="B796" s="5">
        <v>45830</v>
      </c>
      <c r="C796" s="5">
        <v>45832</v>
      </c>
      <c r="D796" s="13">
        <f t="shared" si="204"/>
        <v>2</v>
      </c>
      <c r="E796" t="s">
        <v>2459</v>
      </c>
      <c r="F796" t="s">
        <v>132</v>
      </c>
      <c r="G796" t="s">
        <v>90</v>
      </c>
      <c r="H796" t="s">
        <v>38</v>
      </c>
      <c r="I796" t="s">
        <v>166</v>
      </c>
      <c r="J796" t="s">
        <v>167</v>
      </c>
      <c r="K796" t="s">
        <v>28</v>
      </c>
      <c r="L796" t="s">
        <v>29</v>
      </c>
      <c r="M796" t="s">
        <v>2460</v>
      </c>
      <c r="N796" t="s">
        <v>59</v>
      </c>
      <c r="O796">
        <v>9</v>
      </c>
      <c r="P796">
        <v>951.55</v>
      </c>
      <c r="Q796" s="11">
        <v>0.15</v>
      </c>
      <c r="R796">
        <v>7279.36</v>
      </c>
      <c r="S796">
        <v>4870.3900000000003</v>
      </c>
      <c r="T796">
        <v>2408.9699999999998</v>
      </c>
      <c r="U796" t="s">
        <v>32</v>
      </c>
      <c r="V796" t="s">
        <v>33</v>
      </c>
      <c r="X796" s="8" t="str">
        <f>IF(C796&gt;=B796,"Valid", "Invalid-Date")</f>
        <v>Valid</v>
      </c>
      <c r="Y796" s="8" t="str">
        <f t="shared" si="205"/>
        <v>Valid</v>
      </c>
      <c r="Z796" s="8" t="str">
        <f t="shared" si="206"/>
        <v>Pass</v>
      </c>
      <c r="AA796" s="8" t="str">
        <f t="shared" si="207"/>
        <v>Pass</v>
      </c>
      <c r="AB796" s="8" t="str">
        <f>TEXT(B796,"mmmm")</f>
        <v>June</v>
      </c>
      <c r="AC796" s="8" t="str">
        <f>TEXT(B796,"yyyy")</f>
        <v>2025</v>
      </c>
      <c r="AE796">
        <f t="shared" si="208"/>
        <v>8563.9499999999989</v>
      </c>
      <c r="AF796" s="11">
        <f t="shared" si="209"/>
        <v>7279.3574999999992</v>
      </c>
      <c r="AG796">
        <f t="shared" si="210"/>
        <v>3693.5599999999986</v>
      </c>
      <c r="AH796" s="11">
        <f t="shared" si="211"/>
        <v>0.43129163528511949</v>
      </c>
      <c r="AI796" s="9">
        <f t="shared" si="212"/>
        <v>0.43129163528511949</v>
      </c>
      <c r="AJ796">
        <f t="shared" si="213"/>
        <v>7279.36</v>
      </c>
      <c r="AK796">
        <f t="shared" si="214"/>
        <v>1</v>
      </c>
      <c r="AL796">
        <f t="shared" si="215"/>
        <v>0</v>
      </c>
      <c r="AM796">
        <f t="shared" si="216"/>
        <v>0</v>
      </c>
      <c r="AN796">
        <f t="shared" si="217"/>
        <v>0</v>
      </c>
      <c r="AO796">
        <f t="shared" si="218"/>
        <v>0</v>
      </c>
      <c r="AP796">
        <f t="shared" si="219"/>
        <v>0</v>
      </c>
      <c r="AQ796">
        <f t="shared" si="220"/>
        <v>0</v>
      </c>
    </row>
    <row r="797" spans="1:43">
      <c r="A797" t="s">
        <v>2461</v>
      </c>
      <c r="B797" s="5">
        <v>45503</v>
      </c>
      <c r="C797" s="5">
        <v>45503</v>
      </c>
      <c r="D797" s="13">
        <f t="shared" si="204"/>
        <v>0</v>
      </c>
      <c r="E797" t="s">
        <v>2462</v>
      </c>
      <c r="F797" t="s">
        <v>162</v>
      </c>
      <c r="G797" t="s">
        <v>95</v>
      </c>
      <c r="H797" t="s">
        <v>38</v>
      </c>
      <c r="I797" t="s">
        <v>39</v>
      </c>
      <c r="J797" t="s">
        <v>40</v>
      </c>
      <c r="K797" t="s">
        <v>74</v>
      </c>
      <c r="L797" t="s">
        <v>80</v>
      </c>
      <c r="M797" t="s">
        <v>2463</v>
      </c>
      <c r="N797" t="s">
        <v>44</v>
      </c>
      <c r="O797">
        <v>9</v>
      </c>
      <c r="P797">
        <v>2894.66</v>
      </c>
      <c r="Q797" s="11">
        <v>0</v>
      </c>
      <c r="R797">
        <v>26051.94</v>
      </c>
      <c r="S797">
        <v>16883.59</v>
      </c>
      <c r="T797">
        <v>9168.35</v>
      </c>
      <c r="U797" t="s">
        <v>102</v>
      </c>
      <c r="V797" t="s">
        <v>68</v>
      </c>
      <c r="X797" s="8" t="str">
        <f>IF(C797&gt;=B797,"Valid", "Invalid-Date")</f>
        <v>Valid</v>
      </c>
      <c r="Y797" s="8" t="str">
        <f t="shared" si="205"/>
        <v>Valid</v>
      </c>
      <c r="Z797" s="8" t="str">
        <f t="shared" si="206"/>
        <v>Pass</v>
      </c>
      <c r="AA797" s="8" t="str">
        <f t="shared" si="207"/>
        <v>Pass</v>
      </c>
      <c r="AB797" s="8" t="str">
        <f>TEXT(B797,"mmmm")</f>
        <v>July</v>
      </c>
      <c r="AC797" s="8" t="str">
        <f>TEXT(B797,"yyyy")</f>
        <v>2024</v>
      </c>
      <c r="AE797">
        <f t="shared" si="208"/>
        <v>26051.94</v>
      </c>
      <c r="AF797" s="11">
        <f t="shared" si="209"/>
        <v>26051.94</v>
      </c>
      <c r="AG797">
        <f t="shared" si="210"/>
        <v>9168.3499999999985</v>
      </c>
      <c r="AH797" s="11">
        <f t="shared" si="211"/>
        <v>0.3519258066769691</v>
      </c>
      <c r="AI797" s="9">
        <f t="shared" si="212"/>
        <v>0.3519258066769691</v>
      </c>
      <c r="AJ797">
        <f t="shared" si="213"/>
        <v>0</v>
      </c>
      <c r="AK797">
        <f t="shared" si="214"/>
        <v>0</v>
      </c>
      <c r="AL797">
        <f t="shared" si="215"/>
        <v>26051.94</v>
      </c>
      <c r="AM797">
        <f t="shared" si="216"/>
        <v>1</v>
      </c>
      <c r="AN797">
        <f t="shared" si="217"/>
        <v>0</v>
      </c>
      <c r="AO797">
        <f t="shared" si="218"/>
        <v>0</v>
      </c>
      <c r="AP797">
        <f t="shared" si="219"/>
        <v>0</v>
      </c>
      <c r="AQ797">
        <f t="shared" si="220"/>
        <v>0</v>
      </c>
    </row>
    <row r="798" spans="1:43">
      <c r="A798" t="s">
        <v>2464</v>
      </c>
      <c r="B798" s="5">
        <v>45374</v>
      </c>
      <c r="C798" s="5">
        <v>45381</v>
      </c>
      <c r="D798" s="13">
        <f t="shared" si="204"/>
        <v>7</v>
      </c>
      <c r="E798" t="s">
        <v>2465</v>
      </c>
      <c r="F798" t="s">
        <v>141</v>
      </c>
      <c r="G798" t="s">
        <v>37</v>
      </c>
      <c r="H798" t="s">
        <v>54</v>
      </c>
      <c r="I798" t="s">
        <v>84</v>
      </c>
      <c r="J798" t="s">
        <v>85</v>
      </c>
      <c r="K798" t="s">
        <v>74</v>
      </c>
      <c r="L798" t="s">
        <v>274</v>
      </c>
      <c r="M798" t="s">
        <v>2466</v>
      </c>
      <c r="N798" t="s">
        <v>50</v>
      </c>
      <c r="O798">
        <v>6</v>
      </c>
      <c r="P798">
        <v>1894.44</v>
      </c>
      <c r="Q798" s="11">
        <v>0.15</v>
      </c>
      <c r="R798">
        <v>9661.64</v>
      </c>
      <c r="S798">
        <v>6303.77</v>
      </c>
      <c r="T798">
        <v>3357.87</v>
      </c>
      <c r="U798" t="s">
        <v>32</v>
      </c>
      <c r="V798" t="s">
        <v>33</v>
      </c>
      <c r="X798" s="8" t="str">
        <f>IF(C798&gt;=B798,"Valid", "Invalid-Date")</f>
        <v>Valid</v>
      </c>
      <c r="Y798" s="8" t="str">
        <f t="shared" si="205"/>
        <v>Valid</v>
      </c>
      <c r="Z798" s="8" t="str">
        <f t="shared" si="206"/>
        <v>Pass</v>
      </c>
      <c r="AA798" s="8" t="str">
        <f t="shared" si="207"/>
        <v>Pass</v>
      </c>
      <c r="AB798" s="8" t="str">
        <f>TEXT(B798,"mmmm")</f>
        <v>March</v>
      </c>
      <c r="AC798" s="8" t="str">
        <f>TEXT(B798,"yyyy")</f>
        <v>2024</v>
      </c>
      <c r="AE798">
        <f t="shared" si="208"/>
        <v>11366.64</v>
      </c>
      <c r="AF798" s="11">
        <f t="shared" si="209"/>
        <v>9661.6439999999984</v>
      </c>
      <c r="AG798">
        <f t="shared" si="210"/>
        <v>5062.869999999999</v>
      </c>
      <c r="AH798" s="11">
        <f t="shared" si="211"/>
        <v>0.44541482795267551</v>
      </c>
      <c r="AI798" s="9">
        <f t="shared" si="212"/>
        <v>0.44541482795267551</v>
      </c>
      <c r="AJ798">
        <f t="shared" si="213"/>
        <v>9661.64</v>
      </c>
      <c r="AK798">
        <f t="shared" si="214"/>
        <v>1</v>
      </c>
      <c r="AL798">
        <f t="shared" si="215"/>
        <v>0</v>
      </c>
      <c r="AM798">
        <f t="shared" si="216"/>
        <v>0</v>
      </c>
      <c r="AN798">
        <f t="shared" si="217"/>
        <v>0</v>
      </c>
      <c r="AO798">
        <f t="shared" si="218"/>
        <v>0</v>
      </c>
      <c r="AP798">
        <f t="shared" si="219"/>
        <v>0</v>
      </c>
      <c r="AQ798">
        <f t="shared" si="220"/>
        <v>0</v>
      </c>
    </row>
    <row r="799" spans="1:43">
      <c r="A799" t="s">
        <v>2467</v>
      </c>
      <c r="B799" s="5">
        <v>45400</v>
      </c>
      <c r="C799" s="5">
        <v>45404</v>
      </c>
      <c r="D799" s="13">
        <f t="shared" si="204"/>
        <v>4</v>
      </c>
      <c r="E799" t="s">
        <v>2468</v>
      </c>
      <c r="F799" t="s">
        <v>128</v>
      </c>
      <c r="G799" t="s">
        <v>24</v>
      </c>
      <c r="H799" t="s">
        <v>38</v>
      </c>
      <c r="I799" t="s">
        <v>39</v>
      </c>
      <c r="J799" t="s">
        <v>40</v>
      </c>
      <c r="K799" t="s">
        <v>28</v>
      </c>
      <c r="L799" t="s">
        <v>153</v>
      </c>
      <c r="M799" t="s">
        <v>2469</v>
      </c>
      <c r="N799" t="s">
        <v>50</v>
      </c>
      <c r="O799">
        <v>8</v>
      </c>
      <c r="P799">
        <v>1714.37</v>
      </c>
      <c r="Q799" s="11">
        <v>0</v>
      </c>
      <c r="R799">
        <v>13714.96</v>
      </c>
      <c r="S799">
        <v>10550.47</v>
      </c>
      <c r="T799">
        <v>3164.49</v>
      </c>
      <c r="U799" t="s">
        <v>155</v>
      </c>
      <c r="V799" t="s">
        <v>68</v>
      </c>
      <c r="X799" s="8" t="str">
        <f>IF(C799&gt;=B799,"Valid", "Invalid-Date")</f>
        <v>Valid</v>
      </c>
      <c r="Y799" s="8" t="str">
        <f t="shared" si="205"/>
        <v>Valid</v>
      </c>
      <c r="Z799" s="8" t="str">
        <f t="shared" si="206"/>
        <v>Pass</v>
      </c>
      <c r="AA799" s="8" t="str">
        <f t="shared" si="207"/>
        <v>Pass</v>
      </c>
      <c r="AB799" s="8" t="str">
        <f>TEXT(B799,"mmmm")</f>
        <v>April</v>
      </c>
      <c r="AC799" s="8" t="str">
        <f>TEXT(B799,"yyyy")</f>
        <v>2024</v>
      </c>
      <c r="AE799">
        <f t="shared" si="208"/>
        <v>13714.96</v>
      </c>
      <c r="AF799" s="11">
        <f t="shared" si="209"/>
        <v>13714.96</v>
      </c>
      <c r="AG799">
        <f t="shared" si="210"/>
        <v>3164.49</v>
      </c>
      <c r="AH799" s="11">
        <f t="shared" si="211"/>
        <v>0.23073271814135804</v>
      </c>
      <c r="AI799" s="9">
        <f t="shared" si="212"/>
        <v>0.23073271814135804</v>
      </c>
      <c r="AJ799">
        <f t="shared" si="213"/>
        <v>0</v>
      </c>
      <c r="AK799">
        <f t="shared" si="214"/>
        <v>0</v>
      </c>
      <c r="AL799">
        <f t="shared" si="215"/>
        <v>13714.96</v>
      </c>
      <c r="AM799">
        <f t="shared" si="216"/>
        <v>1</v>
      </c>
      <c r="AN799">
        <f t="shared" si="217"/>
        <v>13714.96</v>
      </c>
      <c r="AO799">
        <f t="shared" si="218"/>
        <v>1</v>
      </c>
      <c r="AP799">
        <f t="shared" si="219"/>
        <v>0</v>
      </c>
      <c r="AQ799">
        <f t="shared" si="220"/>
        <v>0</v>
      </c>
    </row>
    <row r="800" spans="1:43">
      <c r="A800" t="s">
        <v>2470</v>
      </c>
      <c r="B800" s="5">
        <v>45849</v>
      </c>
      <c r="C800" s="5">
        <v>45847</v>
      </c>
      <c r="D800" s="13">
        <f t="shared" si="204"/>
        <v>-2</v>
      </c>
      <c r="E800" t="s">
        <v>2471</v>
      </c>
      <c r="F800" t="s">
        <v>89</v>
      </c>
      <c r="G800" t="s">
        <v>90</v>
      </c>
      <c r="H800" t="s">
        <v>25</v>
      </c>
      <c r="I800" t="s">
        <v>350</v>
      </c>
      <c r="J800" t="s">
        <v>351</v>
      </c>
      <c r="K800" t="s">
        <v>41</v>
      </c>
      <c r="L800" t="s">
        <v>57</v>
      </c>
      <c r="M800" t="s">
        <v>2472</v>
      </c>
      <c r="N800" t="s">
        <v>59</v>
      </c>
      <c r="O800">
        <v>9</v>
      </c>
      <c r="P800">
        <v>1706.05</v>
      </c>
      <c r="Q800" s="11">
        <v>0</v>
      </c>
      <c r="R800">
        <v>15354.45</v>
      </c>
      <c r="S800">
        <v>9656.5</v>
      </c>
      <c r="T800">
        <v>5697.95</v>
      </c>
      <c r="U800" t="s">
        <v>32</v>
      </c>
      <c r="V800" t="s">
        <v>33</v>
      </c>
      <c r="X800" s="8" t="str">
        <f>IF(C800&gt;=B800,"Valid", "Invalid-Date")</f>
        <v>Invalid-Date</v>
      </c>
      <c r="Y800" s="8" t="str">
        <f t="shared" si="205"/>
        <v>Valid</v>
      </c>
      <c r="Z800" s="8" t="str">
        <f t="shared" si="206"/>
        <v>Pass</v>
      </c>
      <c r="AA800" s="8" t="str">
        <f t="shared" si="207"/>
        <v>Pass</v>
      </c>
      <c r="AB800" s="8" t="str">
        <f>TEXT(B800,"mmmm")</f>
        <v>July</v>
      </c>
      <c r="AC800" s="8" t="str">
        <f>TEXT(B800,"yyyy")</f>
        <v>2025</v>
      </c>
      <c r="AE800">
        <f t="shared" si="208"/>
        <v>15354.449999999999</v>
      </c>
      <c r="AF800" s="11">
        <f t="shared" si="209"/>
        <v>15354.449999999999</v>
      </c>
      <c r="AG800">
        <f t="shared" si="210"/>
        <v>5697.9499999999989</v>
      </c>
      <c r="AH800" s="11">
        <f t="shared" si="211"/>
        <v>0.37109437329243311</v>
      </c>
      <c r="AI800" s="9">
        <f t="shared" si="212"/>
        <v>0.37109437329243311</v>
      </c>
      <c r="AJ800">
        <f t="shared" si="213"/>
        <v>15354.45</v>
      </c>
      <c r="AK800">
        <f t="shared" si="214"/>
        <v>1</v>
      </c>
      <c r="AL800">
        <f t="shared" si="215"/>
        <v>0</v>
      </c>
      <c r="AM800">
        <f t="shared" si="216"/>
        <v>0</v>
      </c>
      <c r="AN800">
        <f t="shared" si="217"/>
        <v>0</v>
      </c>
      <c r="AO800">
        <f t="shared" si="218"/>
        <v>0</v>
      </c>
      <c r="AP800">
        <f t="shared" si="219"/>
        <v>0</v>
      </c>
      <c r="AQ800">
        <f t="shared" si="220"/>
        <v>0</v>
      </c>
    </row>
    <row r="801" spans="1:43">
      <c r="A801" t="s">
        <v>2473</v>
      </c>
      <c r="B801" s="5">
        <v>45575</v>
      </c>
      <c r="C801" s="5">
        <v>45582</v>
      </c>
      <c r="D801" s="13">
        <f t="shared" si="204"/>
        <v>7</v>
      </c>
      <c r="E801" t="s">
        <v>2474</v>
      </c>
      <c r="F801" t="s">
        <v>47</v>
      </c>
      <c r="G801" t="s">
        <v>95</v>
      </c>
      <c r="H801" t="s">
        <v>25</v>
      </c>
      <c r="I801" t="s">
        <v>236</v>
      </c>
      <c r="J801" t="s">
        <v>237</v>
      </c>
      <c r="K801" t="s">
        <v>74</v>
      </c>
      <c r="L801" t="s">
        <v>75</v>
      </c>
      <c r="M801" t="s">
        <v>2475</v>
      </c>
      <c r="N801" t="s">
        <v>2785</v>
      </c>
      <c r="O801">
        <v>5</v>
      </c>
      <c r="P801">
        <v>967.41</v>
      </c>
      <c r="Q801" s="11">
        <v>0.05</v>
      </c>
      <c r="R801">
        <v>4595.2</v>
      </c>
      <c r="S801">
        <v>3887.41</v>
      </c>
      <c r="T801">
        <v>707.79</v>
      </c>
      <c r="U801" t="s">
        <v>32</v>
      </c>
      <c r="V801" t="s">
        <v>103</v>
      </c>
      <c r="X801" s="8" t="str">
        <f>IF(C801&gt;=B801,"Valid", "Invalid-Date")</f>
        <v>Valid</v>
      </c>
      <c r="Y801" s="8" t="str">
        <f t="shared" si="205"/>
        <v>Valid</v>
      </c>
      <c r="Z801" s="8" t="str">
        <f t="shared" si="206"/>
        <v>Flagged</v>
      </c>
      <c r="AA801" s="8" t="str">
        <f t="shared" si="207"/>
        <v>Pass</v>
      </c>
      <c r="AB801" s="8" t="str">
        <f>TEXT(B801,"mmmm")</f>
        <v>October</v>
      </c>
      <c r="AC801" s="8" t="str">
        <f>TEXT(B801,"yyyy")</f>
        <v>2024</v>
      </c>
      <c r="AE801">
        <f t="shared" si="208"/>
        <v>4837.05</v>
      </c>
      <c r="AF801" s="11">
        <f t="shared" si="209"/>
        <v>4595.1975000000002</v>
      </c>
      <c r="AG801">
        <f t="shared" si="210"/>
        <v>949.64000000000033</v>
      </c>
      <c r="AH801" s="11">
        <f t="shared" si="211"/>
        <v>0.19632627324505644</v>
      </c>
      <c r="AI801" s="9">
        <f t="shared" si="212"/>
        <v>0.19632627324505644</v>
      </c>
      <c r="AJ801">
        <f t="shared" si="213"/>
        <v>0</v>
      </c>
      <c r="AK801">
        <f t="shared" si="214"/>
        <v>0</v>
      </c>
      <c r="AL801">
        <f t="shared" si="215"/>
        <v>0</v>
      </c>
      <c r="AM801">
        <f t="shared" si="216"/>
        <v>0</v>
      </c>
      <c r="AN801">
        <f t="shared" si="217"/>
        <v>0</v>
      </c>
      <c r="AO801">
        <f t="shared" si="218"/>
        <v>0</v>
      </c>
      <c r="AP801">
        <f t="shared" si="219"/>
        <v>4595.2</v>
      </c>
      <c r="AQ801">
        <f t="shared" si="220"/>
        <v>1</v>
      </c>
    </row>
    <row r="802" spans="1:43">
      <c r="A802" t="s">
        <v>2476</v>
      </c>
      <c r="B802" s="5">
        <v>45352</v>
      </c>
      <c r="C802" s="5">
        <v>45476</v>
      </c>
      <c r="D802" s="13">
        <f t="shared" si="204"/>
        <v>124</v>
      </c>
      <c r="E802" t="s">
        <v>2477</v>
      </c>
      <c r="F802" t="s">
        <v>71</v>
      </c>
      <c r="G802" t="s">
        <v>37</v>
      </c>
      <c r="H802" t="s">
        <v>63</v>
      </c>
      <c r="I802" t="s">
        <v>64</v>
      </c>
      <c r="J802" t="s">
        <v>65</v>
      </c>
      <c r="K802" t="s">
        <v>28</v>
      </c>
      <c r="L802" t="s">
        <v>124</v>
      </c>
      <c r="M802" t="s">
        <v>2478</v>
      </c>
      <c r="N802" t="s">
        <v>31</v>
      </c>
      <c r="O802">
        <v>6</v>
      </c>
      <c r="P802">
        <v>4163.72</v>
      </c>
      <c r="Q802" s="11">
        <v>0.15</v>
      </c>
      <c r="R802">
        <v>21234.97</v>
      </c>
      <c r="S802">
        <v>16736.09</v>
      </c>
      <c r="T802">
        <v>4498.88</v>
      </c>
      <c r="U802" t="s">
        <v>32</v>
      </c>
      <c r="V802" t="s">
        <v>33</v>
      </c>
      <c r="X802" s="8" t="str">
        <f>IF(C802&gt;=B802,"Valid", "Invalid-Date")</f>
        <v>Valid</v>
      </c>
      <c r="Y802" s="8" t="str">
        <f t="shared" si="205"/>
        <v>Valid</v>
      </c>
      <c r="Z802" s="8" t="str">
        <f t="shared" si="206"/>
        <v>Pass</v>
      </c>
      <c r="AA802" s="8" t="str">
        <f t="shared" si="207"/>
        <v>Pass</v>
      </c>
      <c r="AB802" s="8" t="str">
        <f>TEXT(B802,"mmmm")</f>
        <v>March</v>
      </c>
      <c r="AC802" s="8" t="str">
        <f>TEXT(B802,"yyyy")</f>
        <v>2024</v>
      </c>
      <c r="AE802">
        <f t="shared" si="208"/>
        <v>24982.32</v>
      </c>
      <c r="AF802" s="11">
        <f t="shared" si="209"/>
        <v>21234.971999999998</v>
      </c>
      <c r="AG802">
        <f t="shared" si="210"/>
        <v>8246.23</v>
      </c>
      <c r="AH802" s="11">
        <f t="shared" si="211"/>
        <v>0.33008263443907532</v>
      </c>
      <c r="AI802" s="9">
        <f t="shared" si="212"/>
        <v>0.33008263443907532</v>
      </c>
      <c r="AJ802">
        <f t="shared" si="213"/>
        <v>21234.97</v>
      </c>
      <c r="AK802">
        <f t="shared" si="214"/>
        <v>1</v>
      </c>
      <c r="AL802">
        <f t="shared" si="215"/>
        <v>0</v>
      </c>
      <c r="AM802">
        <f t="shared" si="216"/>
        <v>0</v>
      </c>
      <c r="AN802">
        <f t="shared" si="217"/>
        <v>0</v>
      </c>
      <c r="AO802">
        <f t="shared" si="218"/>
        <v>0</v>
      </c>
      <c r="AP802">
        <f t="shared" si="219"/>
        <v>0</v>
      </c>
      <c r="AQ802">
        <f t="shared" si="220"/>
        <v>0</v>
      </c>
    </row>
    <row r="803" spans="1:43">
      <c r="A803" t="s">
        <v>2479</v>
      </c>
      <c r="B803" s="5">
        <v>45938</v>
      </c>
      <c r="C803" s="5">
        <v>45945</v>
      </c>
      <c r="D803" s="13">
        <f t="shared" si="204"/>
        <v>7</v>
      </c>
      <c r="E803" t="s">
        <v>2480</v>
      </c>
      <c r="F803" t="s">
        <v>128</v>
      </c>
      <c r="G803" t="s">
        <v>95</v>
      </c>
      <c r="H803" t="s">
        <v>38</v>
      </c>
      <c r="I803" t="s">
        <v>39</v>
      </c>
      <c r="J803" t="s">
        <v>40</v>
      </c>
      <c r="K803" t="s">
        <v>74</v>
      </c>
      <c r="L803" t="s">
        <v>75</v>
      </c>
      <c r="M803" t="s">
        <v>2481</v>
      </c>
      <c r="N803" t="s">
        <v>31</v>
      </c>
      <c r="O803">
        <v>3</v>
      </c>
      <c r="P803">
        <v>3372.21</v>
      </c>
      <c r="Q803" s="11">
        <v>0.2</v>
      </c>
      <c r="R803">
        <v>8093.3</v>
      </c>
      <c r="S803">
        <v>6052.43</v>
      </c>
      <c r="T803">
        <v>2040.87</v>
      </c>
      <c r="U803" t="s">
        <v>111</v>
      </c>
      <c r="V803" t="s">
        <v>68</v>
      </c>
      <c r="X803" s="8" t="str">
        <f>IF(C803&gt;=B803,"Valid", "Invalid-Date")</f>
        <v>Valid</v>
      </c>
      <c r="Y803" s="8" t="str">
        <f t="shared" si="205"/>
        <v>Valid</v>
      </c>
      <c r="Z803" s="8" t="str">
        <f t="shared" si="206"/>
        <v>Pass</v>
      </c>
      <c r="AA803" s="8" t="str">
        <f t="shared" si="207"/>
        <v>Pass</v>
      </c>
      <c r="AB803" s="8" t="str">
        <f>TEXT(B803,"mmmm")</f>
        <v>October</v>
      </c>
      <c r="AC803" s="8" t="str">
        <f>TEXT(B803,"yyyy")</f>
        <v>2025</v>
      </c>
      <c r="AE803">
        <f t="shared" si="208"/>
        <v>10116.630000000001</v>
      </c>
      <c r="AF803" s="11">
        <f t="shared" si="209"/>
        <v>8093.304000000001</v>
      </c>
      <c r="AG803">
        <f t="shared" si="210"/>
        <v>4064.2000000000007</v>
      </c>
      <c r="AH803" s="11">
        <f t="shared" si="211"/>
        <v>0.40173456971343224</v>
      </c>
      <c r="AI803" s="9">
        <f t="shared" si="212"/>
        <v>0.40173456971343224</v>
      </c>
      <c r="AJ803">
        <f t="shared" si="213"/>
        <v>0</v>
      </c>
      <c r="AK803">
        <f t="shared" si="214"/>
        <v>0</v>
      </c>
      <c r="AL803">
        <f t="shared" si="215"/>
        <v>8093.3</v>
      </c>
      <c r="AM803">
        <f t="shared" si="216"/>
        <v>1</v>
      </c>
      <c r="AN803">
        <f t="shared" si="217"/>
        <v>0</v>
      </c>
      <c r="AO803">
        <f t="shared" si="218"/>
        <v>0</v>
      </c>
      <c r="AP803">
        <f t="shared" si="219"/>
        <v>0</v>
      </c>
      <c r="AQ803">
        <f t="shared" si="220"/>
        <v>0</v>
      </c>
    </row>
    <row r="804" spans="1:43">
      <c r="A804" t="s">
        <v>2482</v>
      </c>
      <c r="B804" s="5">
        <v>45704</v>
      </c>
      <c r="C804" s="5">
        <v>45704</v>
      </c>
      <c r="D804" s="13">
        <f t="shared" si="204"/>
        <v>0</v>
      </c>
      <c r="E804" t="s">
        <v>2483</v>
      </c>
      <c r="F804" t="s">
        <v>141</v>
      </c>
      <c r="G804" t="s">
        <v>37</v>
      </c>
      <c r="H804" t="s">
        <v>38</v>
      </c>
      <c r="I804" t="s">
        <v>166</v>
      </c>
      <c r="J804" t="s">
        <v>167</v>
      </c>
      <c r="K804" t="s">
        <v>41</v>
      </c>
      <c r="L804" t="s">
        <v>57</v>
      </c>
      <c r="M804" t="s">
        <v>2484</v>
      </c>
      <c r="N804" t="s">
        <v>31</v>
      </c>
      <c r="O804">
        <v>6</v>
      </c>
      <c r="P804">
        <v>1441.91</v>
      </c>
      <c r="Q804" s="11">
        <v>0</v>
      </c>
      <c r="R804">
        <v>8651.4599999999991</v>
      </c>
      <c r="S804">
        <v>5254.62</v>
      </c>
      <c r="T804">
        <v>3396.84</v>
      </c>
      <c r="U804" t="s">
        <v>155</v>
      </c>
      <c r="V804" t="s">
        <v>103</v>
      </c>
      <c r="X804" s="8" t="str">
        <f>IF(C804&gt;=B804,"Valid", "Invalid-Date")</f>
        <v>Valid</v>
      </c>
      <c r="Y804" s="8" t="str">
        <f t="shared" si="205"/>
        <v>Valid</v>
      </c>
      <c r="Z804" s="8" t="str">
        <f t="shared" si="206"/>
        <v>Pass</v>
      </c>
      <c r="AA804" s="8" t="str">
        <f t="shared" si="207"/>
        <v>Pass</v>
      </c>
      <c r="AB804" s="8" t="str">
        <f>TEXT(B804,"mmmm")</f>
        <v>February</v>
      </c>
      <c r="AC804" s="8" t="str">
        <f>TEXT(B804,"yyyy")</f>
        <v>2025</v>
      </c>
      <c r="AE804">
        <f t="shared" si="208"/>
        <v>8651.4600000000009</v>
      </c>
      <c r="AF804" s="11">
        <f t="shared" si="209"/>
        <v>8651.4600000000009</v>
      </c>
      <c r="AG804">
        <f t="shared" si="210"/>
        <v>3396.8400000000011</v>
      </c>
      <c r="AH804" s="11">
        <f t="shared" si="211"/>
        <v>0.39263199506210522</v>
      </c>
      <c r="AI804" s="9">
        <f t="shared" si="212"/>
        <v>0.39263199506210522</v>
      </c>
      <c r="AJ804">
        <f t="shared" si="213"/>
        <v>0</v>
      </c>
      <c r="AK804">
        <f t="shared" si="214"/>
        <v>0</v>
      </c>
      <c r="AL804">
        <f t="shared" si="215"/>
        <v>0</v>
      </c>
      <c r="AM804">
        <f t="shared" si="216"/>
        <v>0</v>
      </c>
      <c r="AN804">
        <f t="shared" si="217"/>
        <v>8651.4599999999991</v>
      </c>
      <c r="AO804">
        <f t="shared" si="218"/>
        <v>1</v>
      </c>
      <c r="AP804">
        <f t="shared" si="219"/>
        <v>8651.4599999999991</v>
      </c>
      <c r="AQ804">
        <f t="shared" si="220"/>
        <v>1</v>
      </c>
    </row>
    <row r="805" spans="1:43">
      <c r="A805" t="s">
        <v>2485</v>
      </c>
      <c r="B805" s="5">
        <v>45635</v>
      </c>
      <c r="C805" s="5">
        <v>45639</v>
      </c>
      <c r="D805" s="13">
        <f t="shared" si="204"/>
        <v>4</v>
      </c>
      <c r="E805" t="s">
        <v>2486</v>
      </c>
      <c r="F805" t="s">
        <v>141</v>
      </c>
      <c r="G805" t="s">
        <v>24</v>
      </c>
      <c r="H805" t="s">
        <v>2785</v>
      </c>
      <c r="I805" t="s">
        <v>228</v>
      </c>
      <c r="J805" t="s">
        <v>229</v>
      </c>
      <c r="K805" t="s">
        <v>28</v>
      </c>
      <c r="L805" t="s">
        <v>91</v>
      </c>
      <c r="M805" t="s">
        <v>2487</v>
      </c>
      <c r="N805" t="s">
        <v>50</v>
      </c>
      <c r="O805">
        <v>1</v>
      </c>
      <c r="P805">
        <v>4306.6499999999996</v>
      </c>
      <c r="Q805" s="11">
        <v>0</v>
      </c>
      <c r="R805">
        <v>4306.6499999999996</v>
      </c>
      <c r="S805">
        <v>2568.8200000000002</v>
      </c>
      <c r="T805">
        <v>1737.83</v>
      </c>
      <c r="U805" t="s">
        <v>32</v>
      </c>
      <c r="V805" t="s">
        <v>33</v>
      </c>
      <c r="X805" s="8" t="str">
        <f>IF(C805&gt;=B805,"Valid", "Invalid-Date")</f>
        <v>Valid</v>
      </c>
      <c r="Y805" s="8" t="str">
        <f t="shared" si="205"/>
        <v>Valid</v>
      </c>
      <c r="Z805" s="8" t="str">
        <f t="shared" si="206"/>
        <v>Pass</v>
      </c>
      <c r="AA805" s="8" t="str">
        <f t="shared" si="207"/>
        <v>Flagged</v>
      </c>
      <c r="AB805" s="8" t="str">
        <f>TEXT(B805,"mmmm")</f>
        <v>December</v>
      </c>
      <c r="AC805" s="8" t="str">
        <f>TEXT(B805,"yyyy")</f>
        <v>2024</v>
      </c>
      <c r="AE805">
        <f t="shared" si="208"/>
        <v>4306.6499999999996</v>
      </c>
      <c r="AF805" s="11">
        <f t="shared" si="209"/>
        <v>4306.6499999999996</v>
      </c>
      <c r="AG805">
        <f t="shared" si="210"/>
        <v>1737.8299999999995</v>
      </c>
      <c r="AH805" s="11">
        <f t="shared" si="211"/>
        <v>0.40352245945224235</v>
      </c>
      <c r="AI805" s="9">
        <f t="shared" si="212"/>
        <v>0.40352245945224235</v>
      </c>
      <c r="AJ805">
        <f t="shared" si="213"/>
        <v>4306.6499999999996</v>
      </c>
      <c r="AK805">
        <f t="shared" si="214"/>
        <v>1</v>
      </c>
      <c r="AL805">
        <f t="shared" si="215"/>
        <v>0</v>
      </c>
      <c r="AM805">
        <f t="shared" si="216"/>
        <v>0</v>
      </c>
      <c r="AN805">
        <f t="shared" si="217"/>
        <v>0</v>
      </c>
      <c r="AO805">
        <f t="shared" si="218"/>
        <v>0</v>
      </c>
      <c r="AP805">
        <f t="shared" si="219"/>
        <v>0</v>
      </c>
      <c r="AQ805">
        <f t="shared" si="220"/>
        <v>0</v>
      </c>
    </row>
    <row r="806" spans="1:43">
      <c r="A806" t="s">
        <v>2488</v>
      </c>
      <c r="B806" s="5">
        <v>45910</v>
      </c>
      <c r="C806" s="5">
        <v>45918</v>
      </c>
      <c r="D806" s="13">
        <f t="shared" si="204"/>
        <v>8</v>
      </c>
      <c r="E806" t="s">
        <v>2489</v>
      </c>
      <c r="F806" t="s">
        <v>118</v>
      </c>
      <c r="G806" t="s">
        <v>95</v>
      </c>
      <c r="H806" t="s">
        <v>54</v>
      </c>
      <c r="I806" t="s">
        <v>55</v>
      </c>
      <c r="J806" t="s">
        <v>56</v>
      </c>
      <c r="K806" t="s">
        <v>41</v>
      </c>
      <c r="L806" t="s">
        <v>57</v>
      </c>
      <c r="M806" t="s">
        <v>2490</v>
      </c>
      <c r="N806" t="s">
        <v>59</v>
      </c>
      <c r="O806">
        <v>1</v>
      </c>
      <c r="P806">
        <v>2050.62</v>
      </c>
      <c r="Q806" s="11">
        <v>0.05</v>
      </c>
      <c r="R806">
        <v>1948.09</v>
      </c>
      <c r="S806">
        <v>1507.08</v>
      </c>
      <c r="T806">
        <v>441.01</v>
      </c>
      <c r="U806" t="s">
        <v>32</v>
      </c>
      <c r="V806" t="s">
        <v>33</v>
      </c>
      <c r="X806" s="8" t="str">
        <f>IF(C806&gt;=B806,"Valid", "Invalid-Date")</f>
        <v>Valid</v>
      </c>
      <c r="Y806" s="8" t="str">
        <f t="shared" si="205"/>
        <v>Valid</v>
      </c>
      <c r="Z806" s="8" t="str">
        <f t="shared" si="206"/>
        <v>Pass</v>
      </c>
      <c r="AA806" s="8" t="str">
        <f t="shared" si="207"/>
        <v>Pass</v>
      </c>
      <c r="AB806" s="8" t="str">
        <f>TEXT(B806,"mmmm")</f>
        <v>September</v>
      </c>
      <c r="AC806" s="8" t="str">
        <f>TEXT(B806,"yyyy")</f>
        <v>2025</v>
      </c>
      <c r="AE806">
        <f t="shared" si="208"/>
        <v>2050.62</v>
      </c>
      <c r="AF806" s="11">
        <f t="shared" si="209"/>
        <v>1948.0889999999997</v>
      </c>
      <c r="AG806">
        <f t="shared" si="210"/>
        <v>543.54</v>
      </c>
      <c r="AH806" s="11">
        <f t="shared" si="211"/>
        <v>0.26506129853410187</v>
      </c>
      <c r="AI806" s="9">
        <f t="shared" si="212"/>
        <v>0.26506129853410187</v>
      </c>
      <c r="AJ806">
        <f t="shared" si="213"/>
        <v>1948.09</v>
      </c>
      <c r="AK806">
        <f t="shared" si="214"/>
        <v>1</v>
      </c>
      <c r="AL806">
        <f t="shared" si="215"/>
        <v>0</v>
      </c>
      <c r="AM806">
        <f t="shared" si="216"/>
        <v>0</v>
      </c>
      <c r="AN806">
        <f t="shared" si="217"/>
        <v>0</v>
      </c>
      <c r="AO806">
        <f t="shared" si="218"/>
        <v>0</v>
      </c>
      <c r="AP806">
        <f t="shared" si="219"/>
        <v>0</v>
      </c>
      <c r="AQ806">
        <f t="shared" si="220"/>
        <v>0</v>
      </c>
    </row>
    <row r="807" spans="1:43">
      <c r="A807" t="s">
        <v>2491</v>
      </c>
      <c r="B807" s="5">
        <v>45753</v>
      </c>
      <c r="C807" s="5">
        <v>45754</v>
      </c>
      <c r="D807" s="13">
        <f t="shared" si="204"/>
        <v>1</v>
      </c>
      <c r="E807" t="s">
        <v>2356</v>
      </c>
      <c r="F807" t="s">
        <v>114</v>
      </c>
      <c r="G807" t="s">
        <v>95</v>
      </c>
      <c r="H807" t="s">
        <v>38</v>
      </c>
      <c r="I807" t="s">
        <v>166</v>
      </c>
      <c r="J807" t="s">
        <v>167</v>
      </c>
      <c r="K807" t="s">
        <v>28</v>
      </c>
      <c r="L807" t="s">
        <v>153</v>
      </c>
      <c r="M807" t="s">
        <v>2492</v>
      </c>
      <c r="N807" t="s">
        <v>31</v>
      </c>
      <c r="O807">
        <v>2</v>
      </c>
      <c r="P807">
        <v>2030.06</v>
      </c>
      <c r="Q807" s="11">
        <v>0.25</v>
      </c>
      <c r="R807">
        <v>3045.09</v>
      </c>
      <c r="S807">
        <v>2601.09</v>
      </c>
      <c r="T807">
        <v>444</v>
      </c>
      <c r="U807" t="s">
        <v>32</v>
      </c>
      <c r="V807" t="s">
        <v>33</v>
      </c>
      <c r="X807" s="8" t="str">
        <f>IF(C807&gt;=B807,"Valid", "Invalid-Date")</f>
        <v>Valid</v>
      </c>
      <c r="Y807" s="8" t="str">
        <f t="shared" si="205"/>
        <v>Valid</v>
      </c>
      <c r="Z807" s="8" t="str">
        <f t="shared" si="206"/>
        <v>Pass</v>
      </c>
      <c r="AA807" s="8" t="str">
        <f t="shared" si="207"/>
        <v>Pass</v>
      </c>
      <c r="AB807" s="8" t="str">
        <f>TEXT(B807,"mmmm")</f>
        <v>April</v>
      </c>
      <c r="AC807" s="8" t="str">
        <f>TEXT(B807,"yyyy")</f>
        <v>2025</v>
      </c>
      <c r="AE807">
        <f t="shared" si="208"/>
        <v>4060.12</v>
      </c>
      <c r="AF807" s="11">
        <f t="shared" si="209"/>
        <v>3045.09</v>
      </c>
      <c r="AG807">
        <f t="shared" si="210"/>
        <v>1459.0299999999997</v>
      </c>
      <c r="AH807" s="11">
        <f t="shared" si="211"/>
        <v>0.35935637370324025</v>
      </c>
      <c r="AI807" s="9">
        <f t="shared" si="212"/>
        <v>0.35935637370324025</v>
      </c>
      <c r="AJ807">
        <f t="shared" si="213"/>
        <v>3045.09</v>
      </c>
      <c r="AK807">
        <f t="shared" si="214"/>
        <v>1</v>
      </c>
      <c r="AL807">
        <f t="shared" si="215"/>
        <v>0</v>
      </c>
      <c r="AM807">
        <f t="shared" si="216"/>
        <v>0</v>
      </c>
      <c r="AN807">
        <f t="shared" si="217"/>
        <v>0</v>
      </c>
      <c r="AO807">
        <f t="shared" si="218"/>
        <v>0</v>
      </c>
      <c r="AP807">
        <f t="shared" si="219"/>
        <v>0</v>
      </c>
      <c r="AQ807">
        <f t="shared" si="220"/>
        <v>0</v>
      </c>
    </row>
    <row r="808" spans="1:43">
      <c r="A808" t="s">
        <v>2493</v>
      </c>
      <c r="B808" s="5">
        <v>45605</v>
      </c>
      <c r="C808" s="5">
        <v>45611</v>
      </c>
      <c r="D808" s="13">
        <f t="shared" si="204"/>
        <v>6</v>
      </c>
      <c r="E808" t="s">
        <v>2494</v>
      </c>
      <c r="F808" t="s">
        <v>47</v>
      </c>
      <c r="G808" t="s">
        <v>95</v>
      </c>
      <c r="H808" t="s">
        <v>25</v>
      </c>
      <c r="I808" t="s">
        <v>26</v>
      </c>
      <c r="J808" t="s">
        <v>27</v>
      </c>
      <c r="K808" t="s">
        <v>74</v>
      </c>
      <c r="L808" t="s">
        <v>80</v>
      </c>
      <c r="M808" t="s">
        <v>2495</v>
      </c>
      <c r="N808" t="s">
        <v>59</v>
      </c>
      <c r="O808">
        <v>1</v>
      </c>
      <c r="P808">
        <v>3665.97</v>
      </c>
      <c r="Q808" s="11">
        <v>0.2</v>
      </c>
      <c r="R808">
        <v>2932.78</v>
      </c>
      <c r="S808">
        <v>1900.35</v>
      </c>
      <c r="T808">
        <v>1032.43</v>
      </c>
      <c r="U808" t="s">
        <v>155</v>
      </c>
      <c r="V808" t="s">
        <v>68</v>
      </c>
      <c r="X808" s="8" t="str">
        <f>IF(C808&gt;=B808,"Valid", "Invalid-Date")</f>
        <v>Valid</v>
      </c>
      <c r="Y808" s="8" t="str">
        <f t="shared" si="205"/>
        <v>Valid</v>
      </c>
      <c r="Z808" s="8" t="str">
        <f t="shared" si="206"/>
        <v>Pass</v>
      </c>
      <c r="AA808" s="8" t="str">
        <f t="shared" si="207"/>
        <v>Pass</v>
      </c>
      <c r="AB808" s="8" t="str">
        <f>TEXT(B808,"mmmm")</f>
        <v>November</v>
      </c>
      <c r="AC808" s="8" t="str">
        <f>TEXT(B808,"yyyy")</f>
        <v>2024</v>
      </c>
      <c r="AE808">
        <f t="shared" si="208"/>
        <v>3665.97</v>
      </c>
      <c r="AF808" s="11">
        <f t="shared" si="209"/>
        <v>2932.7759999999998</v>
      </c>
      <c r="AG808">
        <f t="shared" si="210"/>
        <v>1765.62</v>
      </c>
      <c r="AH808" s="11">
        <f t="shared" si="211"/>
        <v>0.48162423587754399</v>
      </c>
      <c r="AI808" s="9">
        <f t="shared" si="212"/>
        <v>0.48162423587754399</v>
      </c>
      <c r="AJ808">
        <f t="shared" si="213"/>
        <v>0</v>
      </c>
      <c r="AK808">
        <f t="shared" si="214"/>
        <v>0</v>
      </c>
      <c r="AL808">
        <f t="shared" si="215"/>
        <v>2932.78</v>
      </c>
      <c r="AM808">
        <f t="shared" si="216"/>
        <v>1</v>
      </c>
      <c r="AN808">
        <f t="shared" si="217"/>
        <v>2932.78</v>
      </c>
      <c r="AO808">
        <f t="shared" si="218"/>
        <v>1</v>
      </c>
      <c r="AP808">
        <f t="shared" si="219"/>
        <v>0</v>
      </c>
      <c r="AQ808">
        <f t="shared" si="220"/>
        <v>0</v>
      </c>
    </row>
    <row r="809" spans="1:43">
      <c r="A809" t="s">
        <v>2496</v>
      </c>
      <c r="B809" s="5">
        <v>45695</v>
      </c>
      <c r="C809" s="5">
        <v>45871</v>
      </c>
      <c r="D809" s="13">
        <f t="shared" si="204"/>
        <v>176</v>
      </c>
      <c r="E809" t="s">
        <v>2497</v>
      </c>
      <c r="F809" t="s">
        <v>23</v>
      </c>
      <c r="G809" t="s">
        <v>37</v>
      </c>
      <c r="H809" t="s">
        <v>54</v>
      </c>
      <c r="I809" t="s">
        <v>55</v>
      </c>
      <c r="J809" t="s">
        <v>56</v>
      </c>
      <c r="K809" t="s">
        <v>28</v>
      </c>
      <c r="L809" t="s">
        <v>91</v>
      </c>
      <c r="M809" t="s">
        <v>2498</v>
      </c>
      <c r="N809" t="s">
        <v>59</v>
      </c>
      <c r="O809">
        <v>2</v>
      </c>
      <c r="P809">
        <v>2432.98</v>
      </c>
      <c r="Q809" s="11">
        <v>0.1</v>
      </c>
      <c r="R809">
        <v>4379.3599999999997</v>
      </c>
      <c r="S809">
        <v>3723.93</v>
      </c>
      <c r="T809">
        <v>655.43</v>
      </c>
      <c r="U809" t="s">
        <v>32</v>
      </c>
      <c r="V809" t="s">
        <v>33</v>
      </c>
      <c r="X809" s="8" t="str">
        <f>IF(C809&gt;=B809,"Valid", "Invalid-Date")</f>
        <v>Valid</v>
      </c>
      <c r="Y809" s="8" t="str">
        <f t="shared" si="205"/>
        <v>Valid</v>
      </c>
      <c r="Z809" s="8" t="str">
        <f t="shared" si="206"/>
        <v>Pass</v>
      </c>
      <c r="AA809" s="8" t="str">
        <f t="shared" si="207"/>
        <v>Pass</v>
      </c>
      <c r="AB809" s="8" t="str">
        <f>TEXT(B809,"mmmm")</f>
        <v>February</v>
      </c>
      <c r="AC809" s="8" t="str">
        <f>TEXT(B809,"yyyy")</f>
        <v>2025</v>
      </c>
      <c r="AE809">
        <f t="shared" si="208"/>
        <v>4865.96</v>
      </c>
      <c r="AF809" s="11">
        <f t="shared" si="209"/>
        <v>4379.3640000000005</v>
      </c>
      <c r="AG809">
        <f t="shared" si="210"/>
        <v>1142.0300000000002</v>
      </c>
      <c r="AH809" s="11">
        <f t="shared" si="211"/>
        <v>0.23469777803352271</v>
      </c>
      <c r="AI809" s="9">
        <f t="shared" si="212"/>
        <v>0.23469777803352271</v>
      </c>
      <c r="AJ809">
        <f t="shared" si="213"/>
        <v>4379.3599999999997</v>
      </c>
      <c r="AK809">
        <f t="shared" si="214"/>
        <v>1</v>
      </c>
      <c r="AL809">
        <f t="shared" si="215"/>
        <v>0</v>
      </c>
      <c r="AM809">
        <f t="shared" si="216"/>
        <v>0</v>
      </c>
      <c r="AN809">
        <f t="shared" si="217"/>
        <v>0</v>
      </c>
      <c r="AO809">
        <f t="shared" si="218"/>
        <v>0</v>
      </c>
      <c r="AP809">
        <f t="shared" si="219"/>
        <v>0</v>
      </c>
      <c r="AQ809">
        <f t="shared" si="220"/>
        <v>0</v>
      </c>
    </row>
    <row r="810" spans="1:43">
      <c r="A810" t="s">
        <v>2499</v>
      </c>
      <c r="B810" s="5">
        <v>45900</v>
      </c>
      <c r="C810" s="5">
        <v>45897</v>
      </c>
      <c r="D810" s="13">
        <f t="shared" si="204"/>
        <v>-3</v>
      </c>
      <c r="E810" t="s">
        <v>2500</v>
      </c>
      <c r="F810" t="s">
        <v>128</v>
      </c>
      <c r="G810" t="s">
        <v>37</v>
      </c>
      <c r="H810" t="s">
        <v>54</v>
      </c>
      <c r="I810" t="s">
        <v>247</v>
      </c>
      <c r="J810" t="s">
        <v>248</v>
      </c>
      <c r="K810" t="s">
        <v>41</v>
      </c>
      <c r="L810" t="s">
        <v>57</v>
      </c>
      <c r="M810" t="s">
        <v>2501</v>
      </c>
      <c r="N810" t="s">
        <v>50</v>
      </c>
      <c r="O810">
        <v>7</v>
      </c>
      <c r="P810">
        <v>977.28</v>
      </c>
      <c r="Q810" s="11">
        <v>0.2</v>
      </c>
      <c r="R810">
        <v>5472.77</v>
      </c>
      <c r="S810">
        <v>4477.33</v>
      </c>
      <c r="T810">
        <v>995.44</v>
      </c>
      <c r="U810" t="s">
        <v>32</v>
      </c>
      <c r="V810" t="s">
        <v>33</v>
      </c>
      <c r="X810" s="8" t="str">
        <f>IF(C810&gt;=B810,"Valid", "Invalid-Date")</f>
        <v>Invalid-Date</v>
      </c>
      <c r="Y810" s="8" t="str">
        <f t="shared" si="205"/>
        <v>Valid</v>
      </c>
      <c r="Z810" s="8" t="str">
        <f t="shared" si="206"/>
        <v>Pass</v>
      </c>
      <c r="AA810" s="8" t="str">
        <f t="shared" si="207"/>
        <v>Pass</v>
      </c>
      <c r="AB810" s="8" t="str">
        <f>TEXT(B810,"mmmm")</f>
        <v>August</v>
      </c>
      <c r="AC810" s="8" t="str">
        <f>TEXT(B810,"yyyy")</f>
        <v>2025</v>
      </c>
      <c r="AE810">
        <f t="shared" si="208"/>
        <v>6840.96</v>
      </c>
      <c r="AF810" s="11">
        <f t="shared" si="209"/>
        <v>5472.768</v>
      </c>
      <c r="AG810">
        <f t="shared" si="210"/>
        <v>2363.63</v>
      </c>
      <c r="AH810" s="11">
        <f t="shared" si="211"/>
        <v>0.3455114486855646</v>
      </c>
      <c r="AI810" s="9">
        <f t="shared" si="212"/>
        <v>0.3455114486855646</v>
      </c>
      <c r="AJ810">
        <f t="shared" si="213"/>
        <v>5472.77</v>
      </c>
      <c r="AK810">
        <f t="shared" si="214"/>
        <v>1</v>
      </c>
      <c r="AL810">
        <f t="shared" si="215"/>
        <v>0</v>
      </c>
      <c r="AM810">
        <f t="shared" si="216"/>
        <v>0</v>
      </c>
      <c r="AN810">
        <f t="shared" si="217"/>
        <v>0</v>
      </c>
      <c r="AO810">
        <f t="shared" si="218"/>
        <v>0</v>
      </c>
      <c r="AP810">
        <f t="shared" si="219"/>
        <v>0</v>
      </c>
      <c r="AQ810">
        <f t="shared" si="220"/>
        <v>0</v>
      </c>
    </row>
    <row r="811" spans="1:43">
      <c r="A811" t="s">
        <v>2502</v>
      </c>
      <c r="B811" s="5">
        <v>45833</v>
      </c>
      <c r="C811" s="5">
        <v>45833</v>
      </c>
      <c r="D811" s="13">
        <f t="shared" si="204"/>
        <v>0</v>
      </c>
      <c r="E811" t="s">
        <v>2503</v>
      </c>
      <c r="F811" t="s">
        <v>53</v>
      </c>
      <c r="G811" t="s">
        <v>37</v>
      </c>
      <c r="H811" t="s">
        <v>2785</v>
      </c>
      <c r="I811" t="s">
        <v>122</v>
      </c>
      <c r="J811" t="s">
        <v>123</v>
      </c>
      <c r="K811" t="s">
        <v>28</v>
      </c>
      <c r="L811" t="s">
        <v>153</v>
      </c>
      <c r="M811" t="s">
        <v>2504</v>
      </c>
      <c r="N811" t="s">
        <v>31</v>
      </c>
      <c r="O811">
        <v>6</v>
      </c>
      <c r="P811">
        <v>1366.13</v>
      </c>
      <c r="Q811" s="11">
        <v>0.1</v>
      </c>
      <c r="R811">
        <v>7377.1</v>
      </c>
      <c r="S811">
        <v>5085.21</v>
      </c>
      <c r="T811">
        <v>2291.89</v>
      </c>
      <c r="U811" t="s">
        <v>32</v>
      </c>
      <c r="V811" t="s">
        <v>33</v>
      </c>
      <c r="X811" s="8" t="str">
        <f>IF(C811&gt;=B811,"Valid", "Invalid-Date")</f>
        <v>Valid</v>
      </c>
      <c r="Y811" s="8" t="str">
        <f t="shared" si="205"/>
        <v>Valid</v>
      </c>
      <c r="Z811" s="8" t="str">
        <f t="shared" si="206"/>
        <v>Pass</v>
      </c>
      <c r="AA811" s="8" t="str">
        <f t="shared" si="207"/>
        <v>Flagged</v>
      </c>
      <c r="AB811" s="8" t="str">
        <f>TEXT(B811,"mmmm")</f>
        <v>June</v>
      </c>
      <c r="AC811" s="8" t="str">
        <f>TEXT(B811,"yyyy")</f>
        <v>2025</v>
      </c>
      <c r="AE811">
        <f t="shared" si="208"/>
        <v>8196.7800000000007</v>
      </c>
      <c r="AF811" s="11">
        <f t="shared" si="209"/>
        <v>7377.1020000000008</v>
      </c>
      <c r="AG811">
        <f t="shared" si="210"/>
        <v>3111.5700000000006</v>
      </c>
      <c r="AH811" s="11">
        <f t="shared" si="211"/>
        <v>0.37960882200083451</v>
      </c>
      <c r="AI811" s="9">
        <f t="shared" si="212"/>
        <v>0.37960882200083451</v>
      </c>
      <c r="AJ811">
        <f t="shared" si="213"/>
        <v>7377.1</v>
      </c>
      <c r="AK811">
        <f t="shared" si="214"/>
        <v>1</v>
      </c>
      <c r="AL811">
        <f t="shared" si="215"/>
        <v>0</v>
      </c>
      <c r="AM811">
        <f t="shared" si="216"/>
        <v>0</v>
      </c>
      <c r="AN811">
        <f t="shared" si="217"/>
        <v>0</v>
      </c>
      <c r="AO811">
        <f t="shared" si="218"/>
        <v>0</v>
      </c>
      <c r="AP811">
        <f t="shared" si="219"/>
        <v>0</v>
      </c>
      <c r="AQ811">
        <f t="shared" si="220"/>
        <v>0</v>
      </c>
    </row>
    <row r="812" spans="1:43">
      <c r="A812" t="s">
        <v>2505</v>
      </c>
      <c r="B812" s="5">
        <v>45355</v>
      </c>
      <c r="C812" s="5">
        <v>45390</v>
      </c>
      <c r="D812" s="13">
        <f t="shared" si="204"/>
        <v>35</v>
      </c>
      <c r="E812" t="s">
        <v>1667</v>
      </c>
      <c r="F812" t="s">
        <v>264</v>
      </c>
      <c r="G812" t="s">
        <v>95</v>
      </c>
      <c r="H812" t="s">
        <v>63</v>
      </c>
      <c r="I812" t="s">
        <v>180</v>
      </c>
      <c r="J812" t="s">
        <v>181</v>
      </c>
      <c r="K812" t="s">
        <v>74</v>
      </c>
      <c r="L812" t="s">
        <v>80</v>
      </c>
      <c r="M812" t="s">
        <v>2506</v>
      </c>
      <c r="N812" t="s">
        <v>50</v>
      </c>
      <c r="O812">
        <v>1</v>
      </c>
      <c r="P812">
        <v>3151.85</v>
      </c>
      <c r="Q812" s="11">
        <v>0.25</v>
      </c>
      <c r="R812">
        <v>2363.89</v>
      </c>
      <c r="S812">
        <v>1471.51</v>
      </c>
      <c r="T812">
        <v>892.38</v>
      </c>
      <c r="U812" t="s">
        <v>32</v>
      </c>
      <c r="V812" t="s">
        <v>33</v>
      </c>
      <c r="X812" s="8" t="str">
        <f>IF(C812&gt;=B812,"Valid", "Invalid-Date")</f>
        <v>Valid</v>
      </c>
      <c r="Y812" s="8" t="str">
        <f t="shared" si="205"/>
        <v>Valid</v>
      </c>
      <c r="Z812" s="8" t="str">
        <f t="shared" si="206"/>
        <v>Pass</v>
      </c>
      <c r="AA812" s="8" t="str">
        <f t="shared" si="207"/>
        <v>Pass</v>
      </c>
      <c r="AB812" s="8" t="str">
        <f>TEXT(B812,"mmmm")</f>
        <v>March</v>
      </c>
      <c r="AC812" s="8" t="str">
        <f>TEXT(B812,"yyyy")</f>
        <v>2024</v>
      </c>
      <c r="AE812">
        <f t="shared" si="208"/>
        <v>3151.85</v>
      </c>
      <c r="AF812" s="11">
        <f t="shared" si="209"/>
        <v>2363.8874999999998</v>
      </c>
      <c r="AG812">
        <f t="shared" si="210"/>
        <v>1680.34</v>
      </c>
      <c r="AH812" s="11">
        <f t="shared" si="211"/>
        <v>0.53312816282500752</v>
      </c>
      <c r="AI812" s="9">
        <f t="shared" si="212"/>
        <v>0.53312816282500752</v>
      </c>
      <c r="AJ812">
        <f t="shared" si="213"/>
        <v>2363.89</v>
      </c>
      <c r="AK812">
        <f t="shared" si="214"/>
        <v>1</v>
      </c>
      <c r="AL812">
        <f t="shared" si="215"/>
        <v>0</v>
      </c>
      <c r="AM812">
        <f t="shared" si="216"/>
        <v>0</v>
      </c>
      <c r="AN812">
        <f t="shared" si="217"/>
        <v>0</v>
      </c>
      <c r="AO812">
        <f t="shared" si="218"/>
        <v>0</v>
      </c>
      <c r="AP812">
        <f t="shared" si="219"/>
        <v>0</v>
      </c>
      <c r="AQ812">
        <f t="shared" si="220"/>
        <v>0</v>
      </c>
    </row>
    <row r="813" spans="1:43">
      <c r="A813" t="s">
        <v>2507</v>
      </c>
      <c r="B813" s="5">
        <v>45638</v>
      </c>
      <c r="C813" s="5">
        <v>45645</v>
      </c>
      <c r="D813" s="13">
        <f t="shared" si="204"/>
        <v>7</v>
      </c>
      <c r="E813" t="s">
        <v>2508</v>
      </c>
      <c r="F813" t="s">
        <v>141</v>
      </c>
      <c r="G813" t="s">
        <v>95</v>
      </c>
      <c r="H813" t="s">
        <v>25</v>
      </c>
      <c r="I813" t="s">
        <v>236</v>
      </c>
      <c r="J813" t="s">
        <v>237</v>
      </c>
      <c r="K813" t="s">
        <v>74</v>
      </c>
      <c r="L813" t="s">
        <v>75</v>
      </c>
      <c r="M813" t="s">
        <v>2509</v>
      </c>
      <c r="N813" t="s">
        <v>50</v>
      </c>
      <c r="O813">
        <v>2</v>
      </c>
      <c r="P813">
        <v>1610.75</v>
      </c>
      <c r="Q813" s="11">
        <v>0.2</v>
      </c>
      <c r="R813">
        <v>2577.1999999999998</v>
      </c>
      <c r="S813">
        <v>1475.87</v>
      </c>
      <c r="T813">
        <v>1101.33</v>
      </c>
      <c r="U813" t="s">
        <v>32</v>
      </c>
      <c r="V813" t="s">
        <v>33</v>
      </c>
      <c r="X813" s="8" t="str">
        <f>IF(C813&gt;=B813,"Valid", "Invalid-Date")</f>
        <v>Valid</v>
      </c>
      <c r="Y813" s="8" t="str">
        <f t="shared" si="205"/>
        <v>Valid</v>
      </c>
      <c r="Z813" s="8" t="str">
        <f t="shared" si="206"/>
        <v>Pass</v>
      </c>
      <c r="AA813" s="8" t="str">
        <f t="shared" si="207"/>
        <v>Pass</v>
      </c>
      <c r="AB813" s="8" t="str">
        <f>TEXT(B813,"mmmm")</f>
        <v>December</v>
      </c>
      <c r="AC813" s="8" t="str">
        <f>TEXT(B813,"yyyy")</f>
        <v>2024</v>
      </c>
      <c r="AE813">
        <f t="shared" si="208"/>
        <v>3221.5</v>
      </c>
      <c r="AF813" s="11">
        <f t="shared" si="209"/>
        <v>2577.2000000000003</v>
      </c>
      <c r="AG813">
        <f t="shared" si="210"/>
        <v>1745.63</v>
      </c>
      <c r="AH813" s="11">
        <f t="shared" si="211"/>
        <v>0.54186869470743448</v>
      </c>
      <c r="AI813" s="9">
        <f t="shared" si="212"/>
        <v>0.54186869470743448</v>
      </c>
      <c r="AJ813">
        <f t="shared" si="213"/>
        <v>2577.1999999999998</v>
      </c>
      <c r="AK813">
        <f t="shared" si="214"/>
        <v>1</v>
      </c>
      <c r="AL813">
        <f t="shared" si="215"/>
        <v>0</v>
      </c>
      <c r="AM813">
        <f t="shared" si="216"/>
        <v>0</v>
      </c>
      <c r="AN813">
        <f t="shared" si="217"/>
        <v>0</v>
      </c>
      <c r="AO813">
        <f t="shared" si="218"/>
        <v>0</v>
      </c>
      <c r="AP813">
        <f t="shared" si="219"/>
        <v>0</v>
      </c>
      <c r="AQ813">
        <f t="shared" si="220"/>
        <v>0</v>
      </c>
    </row>
    <row r="814" spans="1:43">
      <c r="A814" t="s">
        <v>2510</v>
      </c>
      <c r="B814" s="5">
        <v>45458</v>
      </c>
      <c r="C814" s="5">
        <v>45463</v>
      </c>
      <c r="D814" s="13">
        <f t="shared" si="204"/>
        <v>5</v>
      </c>
      <c r="E814" t="s">
        <v>2511</v>
      </c>
      <c r="F814" t="s">
        <v>132</v>
      </c>
      <c r="G814" t="s">
        <v>37</v>
      </c>
      <c r="H814" t="s">
        <v>38</v>
      </c>
      <c r="I814" t="s">
        <v>228</v>
      </c>
      <c r="J814" t="s">
        <v>229</v>
      </c>
      <c r="K814" t="s">
        <v>41</v>
      </c>
      <c r="L814" t="s">
        <v>42</v>
      </c>
      <c r="M814" t="s">
        <v>2512</v>
      </c>
      <c r="N814" t="s">
        <v>50</v>
      </c>
      <c r="O814">
        <v>8</v>
      </c>
      <c r="P814">
        <v>2228.4699999999998</v>
      </c>
      <c r="Q814" s="11">
        <v>0</v>
      </c>
      <c r="R814">
        <v>17827.759999999998</v>
      </c>
      <c r="S814">
        <v>14122.13</v>
      </c>
      <c r="T814">
        <v>3705.63</v>
      </c>
      <c r="U814" t="s">
        <v>32</v>
      </c>
      <c r="V814" t="s">
        <v>33</v>
      </c>
      <c r="X814" s="8" t="str">
        <f>IF(C814&gt;=B814,"Valid", "Invalid-Date")</f>
        <v>Valid</v>
      </c>
      <c r="Y814" s="8" t="str">
        <f t="shared" si="205"/>
        <v>Valid</v>
      </c>
      <c r="Z814" s="8" t="str">
        <f t="shared" si="206"/>
        <v>Pass</v>
      </c>
      <c r="AA814" s="8" t="str">
        <f t="shared" si="207"/>
        <v>Pass</v>
      </c>
      <c r="AB814" s="8" t="str">
        <f>TEXT(B814,"mmmm")</f>
        <v>June</v>
      </c>
      <c r="AC814" s="8" t="str">
        <f>TEXT(B814,"yyyy")</f>
        <v>2024</v>
      </c>
      <c r="AE814">
        <f t="shared" si="208"/>
        <v>17827.759999999998</v>
      </c>
      <c r="AF814" s="11">
        <f t="shared" si="209"/>
        <v>17827.759999999998</v>
      </c>
      <c r="AG814">
        <f t="shared" si="210"/>
        <v>3705.6299999999992</v>
      </c>
      <c r="AH814" s="11">
        <f t="shared" si="211"/>
        <v>0.20785729671029896</v>
      </c>
      <c r="AI814" s="9">
        <f t="shared" si="212"/>
        <v>0.20785729671029896</v>
      </c>
      <c r="AJ814">
        <f t="shared" si="213"/>
        <v>17827.759999999998</v>
      </c>
      <c r="AK814">
        <f t="shared" si="214"/>
        <v>1</v>
      </c>
      <c r="AL814">
        <f t="shared" si="215"/>
        <v>0</v>
      </c>
      <c r="AM814">
        <f t="shared" si="216"/>
        <v>0</v>
      </c>
      <c r="AN814">
        <f t="shared" si="217"/>
        <v>0</v>
      </c>
      <c r="AO814">
        <f t="shared" si="218"/>
        <v>0</v>
      </c>
      <c r="AP814">
        <f t="shared" si="219"/>
        <v>0</v>
      </c>
      <c r="AQ814">
        <f t="shared" si="220"/>
        <v>0</v>
      </c>
    </row>
    <row r="815" spans="1:43">
      <c r="A815" t="s">
        <v>2513</v>
      </c>
      <c r="B815" s="5">
        <v>45812</v>
      </c>
      <c r="C815" s="5">
        <v>45934</v>
      </c>
      <c r="D815" s="13">
        <f t="shared" si="204"/>
        <v>122</v>
      </c>
      <c r="E815" t="s">
        <v>2514</v>
      </c>
      <c r="F815" t="s">
        <v>141</v>
      </c>
      <c r="G815" t="s">
        <v>24</v>
      </c>
      <c r="H815" t="s">
        <v>38</v>
      </c>
      <c r="I815" t="s">
        <v>39</v>
      </c>
      <c r="J815" t="s">
        <v>40</v>
      </c>
      <c r="K815" t="s">
        <v>41</v>
      </c>
      <c r="L815" t="s">
        <v>158</v>
      </c>
      <c r="M815" t="s">
        <v>1122</v>
      </c>
      <c r="N815" t="s">
        <v>59</v>
      </c>
      <c r="O815">
        <v>2</v>
      </c>
      <c r="P815">
        <v>1337.67</v>
      </c>
      <c r="Q815" s="11">
        <v>0</v>
      </c>
      <c r="R815">
        <v>2675.34</v>
      </c>
      <c r="S815">
        <v>1595.87</v>
      </c>
      <c r="T815">
        <v>1079.47</v>
      </c>
      <c r="U815" t="s">
        <v>32</v>
      </c>
      <c r="V815" t="s">
        <v>33</v>
      </c>
      <c r="X815" s="8" t="str">
        <f>IF(C815&gt;=B815,"Valid", "Invalid-Date")</f>
        <v>Valid</v>
      </c>
      <c r="Y815" s="8" t="str">
        <f t="shared" si="205"/>
        <v>Valid</v>
      </c>
      <c r="Z815" s="8" t="str">
        <f t="shared" si="206"/>
        <v>Pass</v>
      </c>
      <c r="AA815" s="8" t="str">
        <f t="shared" si="207"/>
        <v>Pass</v>
      </c>
      <c r="AB815" s="8" t="str">
        <f>TEXT(B815,"mmmm")</f>
        <v>June</v>
      </c>
      <c r="AC815" s="8" t="str">
        <f>TEXT(B815,"yyyy")</f>
        <v>2025</v>
      </c>
      <c r="AE815">
        <f t="shared" si="208"/>
        <v>2675.34</v>
      </c>
      <c r="AF815" s="11">
        <f t="shared" si="209"/>
        <v>2675.34</v>
      </c>
      <c r="AG815">
        <f t="shared" si="210"/>
        <v>1079.4700000000003</v>
      </c>
      <c r="AH815" s="11">
        <f t="shared" si="211"/>
        <v>0.40348890234512258</v>
      </c>
      <c r="AI815" s="9">
        <f t="shared" si="212"/>
        <v>0.40348890234512258</v>
      </c>
      <c r="AJ815">
        <f t="shared" si="213"/>
        <v>2675.34</v>
      </c>
      <c r="AK815">
        <f t="shared" si="214"/>
        <v>1</v>
      </c>
      <c r="AL815">
        <f t="shared" si="215"/>
        <v>0</v>
      </c>
      <c r="AM815">
        <f t="shared" si="216"/>
        <v>0</v>
      </c>
      <c r="AN815">
        <f t="shared" si="217"/>
        <v>0</v>
      </c>
      <c r="AO815">
        <f t="shared" si="218"/>
        <v>0</v>
      </c>
      <c r="AP815">
        <f t="shared" si="219"/>
        <v>0</v>
      </c>
      <c r="AQ815">
        <f t="shared" si="220"/>
        <v>0</v>
      </c>
    </row>
    <row r="816" spans="1:43">
      <c r="A816" t="s">
        <v>2515</v>
      </c>
      <c r="B816" s="5">
        <v>45875</v>
      </c>
      <c r="C816" s="5">
        <v>45969</v>
      </c>
      <c r="D816" s="13">
        <f t="shared" si="204"/>
        <v>94</v>
      </c>
      <c r="E816" t="s">
        <v>2516</v>
      </c>
      <c r="F816" t="s">
        <v>53</v>
      </c>
      <c r="G816" t="s">
        <v>24</v>
      </c>
      <c r="H816" t="s">
        <v>63</v>
      </c>
      <c r="I816" t="s">
        <v>72</v>
      </c>
      <c r="J816" t="s">
        <v>73</v>
      </c>
      <c r="K816" t="s">
        <v>28</v>
      </c>
      <c r="L816" t="s">
        <v>91</v>
      </c>
      <c r="M816" t="s">
        <v>2517</v>
      </c>
      <c r="N816" t="s">
        <v>50</v>
      </c>
      <c r="O816">
        <v>2</v>
      </c>
      <c r="P816">
        <v>2375.94</v>
      </c>
      <c r="Q816" s="11">
        <v>0.25</v>
      </c>
      <c r="R816">
        <v>3563.91</v>
      </c>
      <c r="S816">
        <v>2639.7</v>
      </c>
      <c r="T816">
        <v>924.21</v>
      </c>
      <c r="U816" t="s">
        <v>32</v>
      </c>
      <c r="V816" t="s">
        <v>33</v>
      </c>
      <c r="X816" s="8" t="str">
        <f>IF(C816&gt;=B816,"Valid", "Invalid-Date")</f>
        <v>Valid</v>
      </c>
      <c r="Y816" s="8" t="str">
        <f t="shared" si="205"/>
        <v>Valid</v>
      </c>
      <c r="Z816" s="8" t="str">
        <f t="shared" si="206"/>
        <v>Pass</v>
      </c>
      <c r="AA816" s="8" t="str">
        <f t="shared" si="207"/>
        <v>Pass</v>
      </c>
      <c r="AB816" s="8" t="str">
        <f>TEXT(B816,"mmmm")</f>
        <v>August</v>
      </c>
      <c r="AC816" s="8" t="str">
        <f>TEXT(B816,"yyyy")</f>
        <v>2025</v>
      </c>
      <c r="AE816">
        <f t="shared" si="208"/>
        <v>4751.88</v>
      </c>
      <c r="AF816" s="11">
        <f t="shared" si="209"/>
        <v>3563.91</v>
      </c>
      <c r="AG816">
        <f t="shared" si="210"/>
        <v>2112.1800000000003</v>
      </c>
      <c r="AH816" s="11">
        <f t="shared" si="211"/>
        <v>0.44449354781686412</v>
      </c>
      <c r="AI816" s="9">
        <f t="shared" si="212"/>
        <v>0.44449354781686412</v>
      </c>
      <c r="AJ816">
        <f t="shared" si="213"/>
        <v>3563.91</v>
      </c>
      <c r="AK816">
        <f t="shared" si="214"/>
        <v>1</v>
      </c>
      <c r="AL816">
        <f t="shared" si="215"/>
        <v>0</v>
      </c>
      <c r="AM816">
        <f t="shared" si="216"/>
        <v>0</v>
      </c>
      <c r="AN816">
        <f t="shared" si="217"/>
        <v>0</v>
      </c>
      <c r="AO816">
        <f t="shared" si="218"/>
        <v>0</v>
      </c>
      <c r="AP816">
        <f t="shared" si="219"/>
        <v>0</v>
      </c>
      <c r="AQ816">
        <f t="shared" si="220"/>
        <v>0</v>
      </c>
    </row>
    <row r="817" spans="1:43">
      <c r="A817" t="s">
        <v>2518</v>
      </c>
      <c r="B817" s="5">
        <v>45295</v>
      </c>
      <c r="C817" s="5">
        <v>45508</v>
      </c>
      <c r="D817" s="13">
        <f t="shared" si="204"/>
        <v>213</v>
      </c>
      <c r="E817" t="s">
        <v>2519</v>
      </c>
      <c r="F817" t="s">
        <v>162</v>
      </c>
      <c r="G817" t="s">
        <v>24</v>
      </c>
      <c r="H817" t="s">
        <v>38</v>
      </c>
      <c r="I817" t="s">
        <v>39</v>
      </c>
      <c r="J817" t="s">
        <v>40</v>
      </c>
      <c r="K817" t="s">
        <v>74</v>
      </c>
      <c r="L817" t="s">
        <v>274</v>
      </c>
      <c r="M817" t="s">
        <v>2520</v>
      </c>
      <c r="N817" t="s">
        <v>59</v>
      </c>
      <c r="O817">
        <v>7</v>
      </c>
      <c r="P817">
        <v>715.81</v>
      </c>
      <c r="Q817" s="11">
        <v>0.15</v>
      </c>
      <c r="R817">
        <v>4259.07</v>
      </c>
      <c r="S817">
        <v>3130.32</v>
      </c>
      <c r="T817">
        <v>1128.75</v>
      </c>
      <c r="U817" t="s">
        <v>111</v>
      </c>
      <c r="V817" t="s">
        <v>68</v>
      </c>
      <c r="X817" s="8" t="str">
        <f>IF(C817&gt;=B817,"Valid", "Invalid-Date")</f>
        <v>Valid</v>
      </c>
      <c r="Y817" s="8" t="str">
        <f t="shared" si="205"/>
        <v>Valid</v>
      </c>
      <c r="Z817" s="8" t="str">
        <f t="shared" si="206"/>
        <v>Pass</v>
      </c>
      <c r="AA817" s="8" t="str">
        <f t="shared" si="207"/>
        <v>Pass</v>
      </c>
      <c r="AB817" s="8" t="str">
        <f>TEXT(B817,"mmmm")</f>
        <v>January</v>
      </c>
      <c r="AC817" s="8" t="str">
        <f>TEXT(B817,"yyyy")</f>
        <v>2024</v>
      </c>
      <c r="AE817">
        <f t="shared" si="208"/>
        <v>5010.67</v>
      </c>
      <c r="AF817" s="11">
        <f t="shared" si="209"/>
        <v>4259.0694999999996</v>
      </c>
      <c r="AG817">
        <f t="shared" si="210"/>
        <v>1880.35</v>
      </c>
      <c r="AH817" s="11">
        <f t="shared" si="211"/>
        <v>0.37526917557931372</v>
      </c>
      <c r="AI817" s="9">
        <f t="shared" si="212"/>
        <v>0.37526917557931372</v>
      </c>
      <c r="AJ817">
        <f t="shared" si="213"/>
        <v>0</v>
      </c>
      <c r="AK817">
        <f t="shared" si="214"/>
        <v>0</v>
      </c>
      <c r="AL817">
        <f t="shared" si="215"/>
        <v>4259.07</v>
      </c>
      <c r="AM817">
        <f t="shared" si="216"/>
        <v>1</v>
      </c>
      <c r="AN817">
        <f t="shared" si="217"/>
        <v>0</v>
      </c>
      <c r="AO817">
        <f t="shared" si="218"/>
        <v>0</v>
      </c>
      <c r="AP817">
        <f t="shared" si="219"/>
        <v>0</v>
      </c>
      <c r="AQ817">
        <f t="shared" si="220"/>
        <v>0</v>
      </c>
    </row>
    <row r="818" spans="1:43">
      <c r="A818" t="s">
        <v>2521</v>
      </c>
      <c r="B818" s="5">
        <v>45623</v>
      </c>
      <c r="C818" s="5">
        <v>45626</v>
      </c>
      <c r="D818" s="13">
        <f t="shared" si="204"/>
        <v>3</v>
      </c>
      <c r="E818" t="s">
        <v>2522</v>
      </c>
      <c r="F818" t="s">
        <v>118</v>
      </c>
      <c r="G818" t="s">
        <v>37</v>
      </c>
      <c r="H818" t="s">
        <v>38</v>
      </c>
      <c r="I818" t="s">
        <v>228</v>
      </c>
      <c r="J818" t="s">
        <v>229</v>
      </c>
      <c r="K818" t="s">
        <v>41</v>
      </c>
      <c r="L818" t="s">
        <v>57</v>
      </c>
      <c r="M818" t="s">
        <v>2523</v>
      </c>
      <c r="N818" t="s">
        <v>50</v>
      </c>
      <c r="O818">
        <v>1</v>
      </c>
      <c r="P818">
        <v>874.3</v>
      </c>
      <c r="Q818" s="11">
        <v>0.1</v>
      </c>
      <c r="R818">
        <v>786.87</v>
      </c>
      <c r="S818">
        <v>498.5</v>
      </c>
      <c r="T818">
        <v>288.37</v>
      </c>
      <c r="U818" t="s">
        <v>32</v>
      </c>
      <c r="V818" t="s">
        <v>33</v>
      </c>
      <c r="X818" s="8" t="str">
        <f>IF(C818&gt;=B818,"Valid", "Invalid-Date")</f>
        <v>Valid</v>
      </c>
      <c r="Y818" s="8" t="str">
        <f t="shared" si="205"/>
        <v>Valid</v>
      </c>
      <c r="Z818" s="8" t="str">
        <f t="shared" si="206"/>
        <v>Pass</v>
      </c>
      <c r="AA818" s="8" t="str">
        <f t="shared" si="207"/>
        <v>Pass</v>
      </c>
      <c r="AB818" s="8" t="str">
        <f>TEXT(B818,"mmmm")</f>
        <v>November</v>
      </c>
      <c r="AC818" s="8" t="str">
        <f>TEXT(B818,"yyyy")</f>
        <v>2024</v>
      </c>
      <c r="AE818">
        <f t="shared" si="208"/>
        <v>874.3</v>
      </c>
      <c r="AF818" s="11">
        <f t="shared" si="209"/>
        <v>786.87</v>
      </c>
      <c r="AG818">
        <f t="shared" si="210"/>
        <v>375.79999999999995</v>
      </c>
      <c r="AH818" s="11">
        <f t="shared" si="211"/>
        <v>0.42982957794807269</v>
      </c>
      <c r="AI818" s="9">
        <f t="shared" si="212"/>
        <v>0.42982957794807269</v>
      </c>
      <c r="AJ818">
        <f t="shared" si="213"/>
        <v>786.87</v>
      </c>
      <c r="AK818">
        <f t="shared" si="214"/>
        <v>1</v>
      </c>
      <c r="AL818">
        <f t="shared" si="215"/>
        <v>0</v>
      </c>
      <c r="AM818">
        <f t="shared" si="216"/>
        <v>0</v>
      </c>
      <c r="AN818">
        <f t="shared" si="217"/>
        <v>0</v>
      </c>
      <c r="AO818">
        <f t="shared" si="218"/>
        <v>0</v>
      </c>
      <c r="AP818">
        <f t="shared" si="219"/>
        <v>0</v>
      </c>
      <c r="AQ818">
        <f t="shared" si="220"/>
        <v>0</v>
      </c>
    </row>
    <row r="819" spans="1:43">
      <c r="A819" t="s">
        <v>2524</v>
      </c>
      <c r="B819" s="5">
        <v>45752</v>
      </c>
      <c r="C819" s="5">
        <v>45781</v>
      </c>
      <c r="D819" s="13">
        <f t="shared" si="204"/>
        <v>29</v>
      </c>
      <c r="E819" t="s">
        <v>2525</v>
      </c>
      <c r="F819" t="s">
        <v>132</v>
      </c>
      <c r="G819" t="s">
        <v>24</v>
      </c>
      <c r="H819" t="s">
        <v>38</v>
      </c>
      <c r="I819" t="s">
        <v>145</v>
      </c>
      <c r="J819" t="s">
        <v>146</v>
      </c>
      <c r="K819" t="s">
        <v>28</v>
      </c>
      <c r="L819" t="s">
        <v>153</v>
      </c>
      <c r="M819" t="s">
        <v>2526</v>
      </c>
      <c r="N819" t="s">
        <v>59</v>
      </c>
      <c r="O819">
        <v>6</v>
      </c>
      <c r="P819">
        <v>1829.69</v>
      </c>
      <c r="Q819" s="11">
        <v>0.25</v>
      </c>
      <c r="R819">
        <v>8233.6</v>
      </c>
      <c r="S819">
        <v>4713.79</v>
      </c>
      <c r="T819">
        <v>3519.81</v>
      </c>
      <c r="U819" t="s">
        <v>32</v>
      </c>
      <c r="V819" t="s">
        <v>33</v>
      </c>
      <c r="X819" s="8" t="str">
        <f>IF(C819&gt;=B819,"Valid", "Invalid-Date")</f>
        <v>Valid</v>
      </c>
      <c r="Y819" s="8" t="str">
        <f t="shared" si="205"/>
        <v>Valid</v>
      </c>
      <c r="Z819" s="8" t="str">
        <f t="shared" si="206"/>
        <v>Pass</v>
      </c>
      <c r="AA819" s="8" t="str">
        <f t="shared" si="207"/>
        <v>Pass</v>
      </c>
      <c r="AB819" s="8" t="str">
        <f>TEXT(B819,"mmmm")</f>
        <v>April</v>
      </c>
      <c r="AC819" s="8" t="str">
        <f>TEXT(B819,"yyyy")</f>
        <v>2025</v>
      </c>
      <c r="AE819">
        <f t="shared" si="208"/>
        <v>10978.14</v>
      </c>
      <c r="AF819" s="11">
        <f t="shared" si="209"/>
        <v>8233.6049999999996</v>
      </c>
      <c r="AG819">
        <f t="shared" si="210"/>
        <v>6264.3499999999995</v>
      </c>
      <c r="AH819" s="11">
        <f t="shared" si="211"/>
        <v>0.57062034187940758</v>
      </c>
      <c r="AI819" s="9">
        <f t="shared" si="212"/>
        <v>0.57062034187940758</v>
      </c>
      <c r="AJ819">
        <f t="shared" si="213"/>
        <v>8233.6</v>
      </c>
      <c r="AK819">
        <f t="shared" si="214"/>
        <v>1</v>
      </c>
      <c r="AL819">
        <f t="shared" si="215"/>
        <v>0</v>
      </c>
      <c r="AM819">
        <f t="shared" si="216"/>
        <v>0</v>
      </c>
      <c r="AN819">
        <f t="shared" si="217"/>
        <v>0</v>
      </c>
      <c r="AO819">
        <f t="shared" si="218"/>
        <v>0</v>
      </c>
      <c r="AP819">
        <f t="shared" si="219"/>
        <v>0</v>
      </c>
      <c r="AQ819">
        <f t="shared" si="220"/>
        <v>0</v>
      </c>
    </row>
    <row r="820" spans="1:43">
      <c r="A820" t="s">
        <v>2527</v>
      </c>
      <c r="B820" s="5">
        <v>45564</v>
      </c>
      <c r="C820" s="5">
        <v>45570</v>
      </c>
      <c r="D820" s="13">
        <f t="shared" si="204"/>
        <v>6</v>
      </c>
      <c r="E820" t="s">
        <v>2528</v>
      </c>
      <c r="F820" t="s">
        <v>114</v>
      </c>
      <c r="G820" t="s">
        <v>37</v>
      </c>
      <c r="H820" t="s">
        <v>63</v>
      </c>
      <c r="I820" t="s">
        <v>64</v>
      </c>
      <c r="J820" t="s">
        <v>65</v>
      </c>
      <c r="K820" t="s">
        <v>28</v>
      </c>
      <c r="L820" t="s">
        <v>91</v>
      </c>
      <c r="M820" t="s">
        <v>2529</v>
      </c>
      <c r="N820" t="s">
        <v>50</v>
      </c>
      <c r="O820">
        <v>8</v>
      </c>
      <c r="P820">
        <v>1981.04</v>
      </c>
      <c r="Q820" s="11">
        <v>-0.14000000000000001</v>
      </c>
      <c r="R820">
        <v>12678.66</v>
      </c>
      <c r="S820">
        <v>10088.65</v>
      </c>
      <c r="T820">
        <v>2590.0100000000002</v>
      </c>
      <c r="U820" t="s">
        <v>32</v>
      </c>
      <c r="V820" t="s">
        <v>33</v>
      </c>
      <c r="X820" s="8" t="str">
        <f>IF(C820&gt;=B820,"Valid", "Invalid-Date")</f>
        <v>Valid</v>
      </c>
      <c r="Y820" s="8" t="str">
        <f t="shared" si="205"/>
        <v>Invalid-Discount</v>
      </c>
      <c r="Z820" s="8" t="str">
        <f t="shared" si="206"/>
        <v>Pass</v>
      </c>
      <c r="AA820" s="8" t="str">
        <f t="shared" si="207"/>
        <v>Pass</v>
      </c>
      <c r="AB820" s="8" t="str">
        <f>TEXT(B820,"mmmm")</f>
        <v>September</v>
      </c>
      <c r="AC820" s="8" t="str">
        <f>TEXT(B820,"yyyy")</f>
        <v>2024</v>
      </c>
      <c r="AE820">
        <f t="shared" si="208"/>
        <v>15848.32</v>
      </c>
      <c r="AF820" s="11">
        <f t="shared" si="209"/>
        <v>18067.084800000001</v>
      </c>
      <c r="AG820">
        <f t="shared" si="210"/>
        <v>5759.67</v>
      </c>
      <c r="AH820" s="11">
        <f t="shared" si="211"/>
        <v>0.36342464059281993</v>
      </c>
      <c r="AI820" s="9">
        <f t="shared" si="212"/>
        <v>0.36342464059281993</v>
      </c>
      <c r="AJ820">
        <f t="shared" si="213"/>
        <v>12678.66</v>
      </c>
      <c r="AK820">
        <f t="shared" si="214"/>
        <v>1</v>
      </c>
      <c r="AL820">
        <f t="shared" si="215"/>
        <v>0</v>
      </c>
      <c r="AM820">
        <f t="shared" si="216"/>
        <v>0</v>
      </c>
      <c r="AN820">
        <f t="shared" si="217"/>
        <v>0</v>
      </c>
      <c r="AO820">
        <f t="shared" si="218"/>
        <v>0</v>
      </c>
      <c r="AP820">
        <f t="shared" si="219"/>
        <v>0</v>
      </c>
      <c r="AQ820">
        <f t="shared" si="220"/>
        <v>0</v>
      </c>
    </row>
    <row r="821" spans="1:43">
      <c r="A821" t="s">
        <v>2530</v>
      </c>
      <c r="B821" s="5">
        <v>45504</v>
      </c>
      <c r="C821" s="5">
        <v>45504</v>
      </c>
      <c r="D821" s="13">
        <f t="shared" si="204"/>
        <v>0</v>
      </c>
      <c r="E821" t="s">
        <v>2531</v>
      </c>
      <c r="F821" t="s">
        <v>23</v>
      </c>
      <c r="G821" t="s">
        <v>95</v>
      </c>
      <c r="H821" t="s">
        <v>54</v>
      </c>
      <c r="I821" t="s">
        <v>185</v>
      </c>
      <c r="J821" t="s">
        <v>186</v>
      </c>
      <c r="K821" t="s">
        <v>74</v>
      </c>
      <c r="L821" t="s">
        <v>274</v>
      </c>
      <c r="M821" t="s">
        <v>2532</v>
      </c>
      <c r="N821" t="s">
        <v>59</v>
      </c>
      <c r="O821">
        <v>8</v>
      </c>
      <c r="P821">
        <v>4246.01</v>
      </c>
      <c r="Q821" s="11">
        <v>0</v>
      </c>
      <c r="R821">
        <v>33968.080000000002</v>
      </c>
      <c r="S821">
        <v>26902.44</v>
      </c>
      <c r="T821">
        <v>7065.64</v>
      </c>
      <c r="U821" t="s">
        <v>155</v>
      </c>
      <c r="V821" t="s">
        <v>68</v>
      </c>
      <c r="X821" s="8" t="str">
        <f>IF(C821&gt;=B821,"Valid", "Invalid-Date")</f>
        <v>Valid</v>
      </c>
      <c r="Y821" s="8" t="str">
        <f t="shared" si="205"/>
        <v>Valid</v>
      </c>
      <c r="Z821" s="8" t="str">
        <f t="shared" si="206"/>
        <v>Pass</v>
      </c>
      <c r="AA821" s="8" t="str">
        <f t="shared" si="207"/>
        <v>Pass</v>
      </c>
      <c r="AB821" s="8" t="str">
        <f>TEXT(B821,"mmmm")</f>
        <v>July</v>
      </c>
      <c r="AC821" s="8" t="str">
        <f>TEXT(B821,"yyyy")</f>
        <v>2024</v>
      </c>
      <c r="AE821">
        <f t="shared" si="208"/>
        <v>33968.080000000002</v>
      </c>
      <c r="AF821" s="11">
        <f t="shared" si="209"/>
        <v>33968.080000000002</v>
      </c>
      <c r="AG821">
        <f t="shared" si="210"/>
        <v>7065.6400000000031</v>
      </c>
      <c r="AH821" s="11">
        <f t="shared" si="211"/>
        <v>0.20800822419165294</v>
      </c>
      <c r="AI821" s="9">
        <f t="shared" si="212"/>
        <v>0.20800822419165294</v>
      </c>
      <c r="AJ821">
        <f t="shared" si="213"/>
        <v>0</v>
      </c>
      <c r="AK821">
        <f t="shared" si="214"/>
        <v>0</v>
      </c>
      <c r="AL821">
        <f t="shared" si="215"/>
        <v>33968.080000000002</v>
      </c>
      <c r="AM821">
        <f t="shared" si="216"/>
        <v>1</v>
      </c>
      <c r="AN821">
        <f t="shared" si="217"/>
        <v>33968.080000000002</v>
      </c>
      <c r="AO821">
        <f t="shared" si="218"/>
        <v>1</v>
      </c>
      <c r="AP821">
        <f t="shared" si="219"/>
        <v>0</v>
      </c>
      <c r="AQ821">
        <f t="shared" si="220"/>
        <v>0</v>
      </c>
    </row>
    <row r="822" spans="1:43">
      <c r="A822" t="s">
        <v>2533</v>
      </c>
      <c r="B822" s="5">
        <v>45694</v>
      </c>
      <c r="C822" s="5">
        <v>45698</v>
      </c>
      <c r="D822" s="13">
        <f t="shared" si="204"/>
        <v>4</v>
      </c>
      <c r="E822" t="s">
        <v>2534</v>
      </c>
      <c r="F822" t="s">
        <v>62</v>
      </c>
      <c r="G822" t="s">
        <v>95</v>
      </c>
      <c r="H822" t="s">
        <v>25</v>
      </c>
      <c r="I822" t="s">
        <v>136</v>
      </c>
      <c r="J822" t="s">
        <v>137</v>
      </c>
      <c r="K822" t="s">
        <v>41</v>
      </c>
      <c r="L822" t="s">
        <v>158</v>
      </c>
      <c r="M822" t="s">
        <v>2535</v>
      </c>
      <c r="N822" t="s">
        <v>59</v>
      </c>
      <c r="O822">
        <v>2</v>
      </c>
      <c r="P822">
        <v>319.57</v>
      </c>
      <c r="Q822" s="11">
        <v>0.2</v>
      </c>
      <c r="R822">
        <v>511.31</v>
      </c>
      <c r="S822">
        <v>436.43</v>
      </c>
      <c r="T822">
        <v>74.88</v>
      </c>
      <c r="U822" t="s">
        <v>32</v>
      </c>
      <c r="V822" t="s">
        <v>33</v>
      </c>
      <c r="X822" s="8" t="str">
        <f>IF(C822&gt;=B822,"Valid", "Invalid-Date")</f>
        <v>Valid</v>
      </c>
      <c r="Y822" s="8" t="str">
        <f t="shared" si="205"/>
        <v>Valid</v>
      </c>
      <c r="Z822" s="8" t="str">
        <f t="shared" si="206"/>
        <v>Pass</v>
      </c>
      <c r="AA822" s="8" t="str">
        <f t="shared" si="207"/>
        <v>Pass</v>
      </c>
      <c r="AB822" s="8" t="str">
        <f>TEXT(B822,"mmmm")</f>
        <v>February</v>
      </c>
      <c r="AC822" s="8" t="str">
        <f>TEXT(B822,"yyyy")</f>
        <v>2025</v>
      </c>
      <c r="AE822">
        <f t="shared" si="208"/>
        <v>639.14</v>
      </c>
      <c r="AF822" s="11">
        <f t="shared" si="209"/>
        <v>511.31200000000001</v>
      </c>
      <c r="AG822">
        <f t="shared" si="210"/>
        <v>202.70999999999998</v>
      </c>
      <c r="AH822" s="11">
        <f t="shared" si="211"/>
        <v>0.31716055950183059</v>
      </c>
      <c r="AI822" s="9">
        <f t="shared" si="212"/>
        <v>0.31716055950183059</v>
      </c>
      <c r="AJ822">
        <f t="shared" si="213"/>
        <v>511.31</v>
      </c>
      <c r="AK822">
        <f t="shared" si="214"/>
        <v>1</v>
      </c>
      <c r="AL822">
        <f t="shared" si="215"/>
        <v>0</v>
      </c>
      <c r="AM822">
        <f t="shared" si="216"/>
        <v>0</v>
      </c>
      <c r="AN822">
        <f t="shared" si="217"/>
        <v>0</v>
      </c>
      <c r="AO822">
        <f t="shared" si="218"/>
        <v>0</v>
      </c>
      <c r="AP822">
        <f t="shared" si="219"/>
        <v>0</v>
      </c>
      <c r="AQ822">
        <f t="shared" si="220"/>
        <v>0</v>
      </c>
    </row>
    <row r="823" spans="1:43">
      <c r="A823" t="s">
        <v>2536</v>
      </c>
      <c r="B823" s="5">
        <v>45476</v>
      </c>
      <c r="C823" s="5">
        <v>45479</v>
      </c>
      <c r="D823" s="13">
        <f t="shared" si="204"/>
        <v>3</v>
      </c>
      <c r="E823" t="s">
        <v>2537</v>
      </c>
      <c r="F823" t="s">
        <v>128</v>
      </c>
      <c r="G823" t="s">
        <v>90</v>
      </c>
      <c r="H823" t="s">
        <v>54</v>
      </c>
      <c r="I823" t="s">
        <v>175</v>
      </c>
      <c r="J823" t="s">
        <v>176</v>
      </c>
      <c r="K823" t="s">
        <v>74</v>
      </c>
      <c r="L823" t="s">
        <v>75</v>
      </c>
      <c r="M823" t="s">
        <v>2538</v>
      </c>
      <c r="N823" t="s">
        <v>50</v>
      </c>
      <c r="O823">
        <v>7</v>
      </c>
      <c r="P823">
        <v>1942.49</v>
      </c>
      <c r="Q823" s="11">
        <v>0.2</v>
      </c>
      <c r="R823">
        <v>10877.94</v>
      </c>
      <c r="S823">
        <v>9110.14</v>
      </c>
      <c r="T823">
        <v>1767.8</v>
      </c>
      <c r="U823" t="s">
        <v>32</v>
      </c>
      <c r="V823" t="s">
        <v>33</v>
      </c>
      <c r="X823" s="8" t="str">
        <f>IF(C823&gt;=B823,"Valid", "Invalid-Date")</f>
        <v>Valid</v>
      </c>
      <c r="Y823" s="8" t="str">
        <f t="shared" si="205"/>
        <v>Valid</v>
      </c>
      <c r="Z823" s="8" t="str">
        <f t="shared" si="206"/>
        <v>Pass</v>
      </c>
      <c r="AA823" s="8" t="str">
        <f t="shared" si="207"/>
        <v>Pass</v>
      </c>
      <c r="AB823" s="8" t="str">
        <f>TEXT(B823,"mmmm")</f>
        <v>July</v>
      </c>
      <c r="AC823" s="8" t="str">
        <f>TEXT(B823,"yyyy")</f>
        <v>2024</v>
      </c>
      <c r="AE823">
        <f t="shared" si="208"/>
        <v>13597.43</v>
      </c>
      <c r="AF823" s="11">
        <f t="shared" si="209"/>
        <v>10877.944000000001</v>
      </c>
      <c r="AG823">
        <f t="shared" si="210"/>
        <v>4487.2900000000009</v>
      </c>
      <c r="AH823" s="11">
        <f t="shared" si="211"/>
        <v>0.33001015633101261</v>
      </c>
      <c r="AI823" s="9">
        <f t="shared" si="212"/>
        <v>0.33001015633101261</v>
      </c>
      <c r="AJ823">
        <f t="shared" si="213"/>
        <v>10877.94</v>
      </c>
      <c r="AK823">
        <f t="shared" si="214"/>
        <v>1</v>
      </c>
      <c r="AL823">
        <f t="shared" si="215"/>
        <v>0</v>
      </c>
      <c r="AM823">
        <f t="shared" si="216"/>
        <v>0</v>
      </c>
      <c r="AN823">
        <f t="shared" si="217"/>
        <v>0</v>
      </c>
      <c r="AO823">
        <f t="shared" si="218"/>
        <v>0</v>
      </c>
      <c r="AP823">
        <f t="shared" si="219"/>
        <v>0</v>
      </c>
      <c r="AQ823">
        <f t="shared" si="220"/>
        <v>0</v>
      </c>
    </row>
    <row r="824" spans="1:43">
      <c r="A824" t="s">
        <v>2539</v>
      </c>
      <c r="B824" s="5">
        <v>45636</v>
      </c>
      <c r="C824" s="5">
        <v>45514</v>
      </c>
      <c r="D824" s="13">
        <f t="shared" si="204"/>
        <v>-122</v>
      </c>
      <c r="E824" t="s">
        <v>2540</v>
      </c>
      <c r="F824" t="s">
        <v>36</v>
      </c>
      <c r="G824" t="s">
        <v>90</v>
      </c>
      <c r="H824" t="s">
        <v>38</v>
      </c>
      <c r="I824" t="s">
        <v>166</v>
      </c>
      <c r="J824" t="s">
        <v>167</v>
      </c>
      <c r="K824" t="s">
        <v>41</v>
      </c>
      <c r="L824" t="s">
        <v>57</v>
      </c>
      <c r="M824" t="s">
        <v>2541</v>
      </c>
      <c r="N824" t="s">
        <v>31</v>
      </c>
      <c r="O824">
        <v>4</v>
      </c>
      <c r="P824">
        <v>3202.04</v>
      </c>
      <c r="Q824" s="11">
        <v>0.2</v>
      </c>
      <c r="R824">
        <v>10246.530000000001</v>
      </c>
      <c r="S824">
        <v>8634.42</v>
      </c>
      <c r="T824">
        <v>1612.11</v>
      </c>
      <c r="U824" t="s">
        <v>111</v>
      </c>
      <c r="V824" t="s">
        <v>103</v>
      </c>
      <c r="X824" s="8" t="str">
        <f>IF(C824&gt;=B824,"Valid", "Invalid-Date")</f>
        <v>Invalid-Date</v>
      </c>
      <c r="Y824" s="8" t="str">
        <f t="shared" si="205"/>
        <v>Valid</v>
      </c>
      <c r="Z824" s="8" t="str">
        <f t="shared" si="206"/>
        <v>Pass</v>
      </c>
      <c r="AA824" s="8" t="str">
        <f t="shared" si="207"/>
        <v>Pass</v>
      </c>
      <c r="AB824" s="8" t="str">
        <f>TEXT(B824,"mmmm")</f>
        <v>December</v>
      </c>
      <c r="AC824" s="8" t="str">
        <f>TEXT(B824,"yyyy")</f>
        <v>2024</v>
      </c>
      <c r="AE824">
        <f t="shared" si="208"/>
        <v>12808.16</v>
      </c>
      <c r="AF824" s="11">
        <f t="shared" si="209"/>
        <v>10246.528</v>
      </c>
      <c r="AG824">
        <f t="shared" si="210"/>
        <v>4173.74</v>
      </c>
      <c r="AH824" s="11">
        <f t="shared" si="211"/>
        <v>0.32586569811745009</v>
      </c>
      <c r="AI824" s="9">
        <f t="shared" si="212"/>
        <v>0.32586569811745009</v>
      </c>
      <c r="AJ824">
        <f t="shared" si="213"/>
        <v>0</v>
      </c>
      <c r="AK824">
        <f t="shared" si="214"/>
        <v>0</v>
      </c>
      <c r="AL824">
        <f t="shared" si="215"/>
        <v>0</v>
      </c>
      <c r="AM824">
        <f t="shared" si="216"/>
        <v>0</v>
      </c>
      <c r="AN824">
        <f t="shared" si="217"/>
        <v>0</v>
      </c>
      <c r="AO824">
        <f t="shared" si="218"/>
        <v>0</v>
      </c>
      <c r="AP824">
        <f t="shared" si="219"/>
        <v>10246.530000000001</v>
      </c>
      <c r="AQ824">
        <f t="shared" si="220"/>
        <v>1</v>
      </c>
    </row>
    <row r="825" spans="1:43">
      <c r="A825" t="s">
        <v>2542</v>
      </c>
      <c r="B825" s="5">
        <v>45663</v>
      </c>
      <c r="C825" s="5">
        <v>45992</v>
      </c>
      <c r="D825" s="13">
        <f t="shared" si="204"/>
        <v>329</v>
      </c>
      <c r="E825" t="s">
        <v>2543</v>
      </c>
      <c r="F825" t="s">
        <v>36</v>
      </c>
      <c r="G825" t="s">
        <v>95</v>
      </c>
      <c r="H825" t="s">
        <v>63</v>
      </c>
      <c r="I825" t="s">
        <v>190</v>
      </c>
      <c r="J825" t="s">
        <v>191</v>
      </c>
      <c r="K825" t="s">
        <v>28</v>
      </c>
      <c r="L825" t="s">
        <v>29</v>
      </c>
      <c r="M825" t="s">
        <v>2544</v>
      </c>
      <c r="N825" t="s">
        <v>44</v>
      </c>
      <c r="O825">
        <v>3</v>
      </c>
      <c r="P825">
        <v>668.33</v>
      </c>
      <c r="Q825" s="11">
        <v>0.15</v>
      </c>
      <c r="R825">
        <v>1704.24</v>
      </c>
      <c r="S825">
        <v>957.55</v>
      </c>
      <c r="T825">
        <v>746.69</v>
      </c>
      <c r="U825" t="s">
        <v>32</v>
      </c>
      <c r="V825" t="s">
        <v>33</v>
      </c>
      <c r="X825" s="8" t="str">
        <f>IF(C825&gt;=B825,"Valid", "Invalid-Date")</f>
        <v>Valid</v>
      </c>
      <c r="Y825" s="8" t="str">
        <f t="shared" si="205"/>
        <v>Valid</v>
      </c>
      <c r="Z825" s="8" t="str">
        <f t="shared" si="206"/>
        <v>Pass</v>
      </c>
      <c r="AA825" s="8" t="str">
        <f t="shared" si="207"/>
        <v>Pass</v>
      </c>
      <c r="AB825" s="8" t="str">
        <f>TEXT(B825,"mmmm")</f>
        <v>January</v>
      </c>
      <c r="AC825" s="8" t="str">
        <f>TEXT(B825,"yyyy")</f>
        <v>2025</v>
      </c>
      <c r="AE825">
        <f t="shared" si="208"/>
        <v>2004.9900000000002</v>
      </c>
      <c r="AF825" s="11">
        <f t="shared" si="209"/>
        <v>1704.2415000000001</v>
      </c>
      <c r="AG825">
        <f t="shared" si="210"/>
        <v>1047.4400000000003</v>
      </c>
      <c r="AH825" s="11">
        <f t="shared" si="211"/>
        <v>0.52241657065621283</v>
      </c>
      <c r="AI825" s="9">
        <f t="shared" si="212"/>
        <v>0.52241657065621283</v>
      </c>
      <c r="AJ825">
        <f t="shared" si="213"/>
        <v>1704.24</v>
      </c>
      <c r="AK825">
        <f t="shared" si="214"/>
        <v>1</v>
      </c>
      <c r="AL825">
        <f t="shared" si="215"/>
        <v>0</v>
      </c>
      <c r="AM825">
        <f t="shared" si="216"/>
        <v>0</v>
      </c>
      <c r="AN825">
        <f t="shared" si="217"/>
        <v>0</v>
      </c>
      <c r="AO825">
        <f t="shared" si="218"/>
        <v>0</v>
      </c>
      <c r="AP825">
        <f t="shared" si="219"/>
        <v>0</v>
      </c>
      <c r="AQ825">
        <f t="shared" si="220"/>
        <v>0</v>
      </c>
    </row>
    <row r="826" spans="1:43">
      <c r="A826" t="s">
        <v>2545</v>
      </c>
      <c r="B826" s="5">
        <v>45737</v>
      </c>
      <c r="C826" s="5">
        <v>45738</v>
      </c>
      <c r="D826" s="13">
        <f t="shared" si="204"/>
        <v>1</v>
      </c>
      <c r="E826" t="s">
        <v>2546</v>
      </c>
      <c r="F826" t="s">
        <v>114</v>
      </c>
      <c r="G826" t="s">
        <v>24</v>
      </c>
      <c r="H826" t="s">
        <v>63</v>
      </c>
      <c r="I826" t="s">
        <v>190</v>
      </c>
      <c r="J826" t="s">
        <v>191</v>
      </c>
      <c r="K826" t="s">
        <v>28</v>
      </c>
      <c r="L826" t="s">
        <v>29</v>
      </c>
      <c r="M826" t="s">
        <v>2547</v>
      </c>
      <c r="N826" t="s">
        <v>50</v>
      </c>
      <c r="O826">
        <v>8</v>
      </c>
      <c r="P826">
        <v>4436.74</v>
      </c>
      <c r="Q826" s="11">
        <v>0.05</v>
      </c>
      <c r="R826">
        <v>33719.22</v>
      </c>
      <c r="S826">
        <v>28924.43</v>
      </c>
      <c r="T826">
        <v>4794.79</v>
      </c>
      <c r="U826" t="s">
        <v>32</v>
      </c>
      <c r="V826" t="s">
        <v>33</v>
      </c>
      <c r="X826" s="8" t="str">
        <f>IF(C826&gt;=B826,"Valid", "Invalid-Date")</f>
        <v>Valid</v>
      </c>
      <c r="Y826" s="8" t="str">
        <f t="shared" si="205"/>
        <v>Valid</v>
      </c>
      <c r="Z826" s="8" t="str">
        <f t="shared" si="206"/>
        <v>Pass</v>
      </c>
      <c r="AA826" s="8" t="str">
        <f t="shared" si="207"/>
        <v>Pass</v>
      </c>
      <c r="AB826" s="8" t="str">
        <f>TEXT(B826,"mmmm")</f>
        <v>March</v>
      </c>
      <c r="AC826" s="8" t="str">
        <f>TEXT(B826,"yyyy")</f>
        <v>2025</v>
      </c>
      <c r="AE826">
        <f t="shared" si="208"/>
        <v>35493.919999999998</v>
      </c>
      <c r="AF826" s="11">
        <f t="shared" si="209"/>
        <v>33719.223999999995</v>
      </c>
      <c r="AG826">
        <f t="shared" si="210"/>
        <v>6569.489999999998</v>
      </c>
      <c r="AH826" s="11">
        <f t="shared" si="211"/>
        <v>0.18508775587480894</v>
      </c>
      <c r="AI826" s="9">
        <f t="shared" si="212"/>
        <v>0.18508775587480894</v>
      </c>
      <c r="AJ826">
        <f t="shared" si="213"/>
        <v>33719.22</v>
      </c>
      <c r="AK826">
        <f t="shared" si="214"/>
        <v>1</v>
      </c>
      <c r="AL826">
        <f t="shared" si="215"/>
        <v>0</v>
      </c>
      <c r="AM826">
        <f t="shared" si="216"/>
        <v>0</v>
      </c>
      <c r="AN826">
        <f t="shared" si="217"/>
        <v>0</v>
      </c>
      <c r="AO826">
        <f t="shared" si="218"/>
        <v>0</v>
      </c>
      <c r="AP826">
        <f t="shared" si="219"/>
        <v>0</v>
      </c>
      <c r="AQ826">
        <f t="shared" si="220"/>
        <v>0</v>
      </c>
    </row>
    <row r="827" spans="1:43">
      <c r="A827" t="s">
        <v>2548</v>
      </c>
      <c r="B827" s="5">
        <v>45763</v>
      </c>
      <c r="C827" s="5">
        <v>45764</v>
      </c>
      <c r="D827" s="13">
        <f t="shared" si="204"/>
        <v>1</v>
      </c>
      <c r="E827" t="s">
        <v>2549</v>
      </c>
      <c r="F827" t="s">
        <v>71</v>
      </c>
      <c r="G827" t="s">
        <v>37</v>
      </c>
      <c r="H827" t="s">
        <v>25</v>
      </c>
      <c r="I827" t="s">
        <v>136</v>
      </c>
      <c r="J827" t="s">
        <v>137</v>
      </c>
      <c r="K827" t="s">
        <v>74</v>
      </c>
      <c r="L827" t="s">
        <v>274</v>
      </c>
      <c r="M827" t="s">
        <v>2550</v>
      </c>
      <c r="N827" t="s">
        <v>50</v>
      </c>
      <c r="O827">
        <v>1</v>
      </c>
      <c r="P827">
        <v>2720.17</v>
      </c>
      <c r="Q827" s="11">
        <v>0</v>
      </c>
      <c r="R827">
        <v>2720.17</v>
      </c>
      <c r="S827">
        <v>1834.23</v>
      </c>
      <c r="T827">
        <v>885.94</v>
      </c>
      <c r="U827" t="s">
        <v>32</v>
      </c>
      <c r="V827" t="s">
        <v>33</v>
      </c>
      <c r="X827" s="8" t="str">
        <f>IF(C827&gt;=B827,"Valid", "Invalid-Date")</f>
        <v>Valid</v>
      </c>
      <c r="Y827" s="8" t="str">
        <f t="shared" si="205"/>
        <v>Valid</v>
      </c>
      <c r="Z827" s="8" t="str">
        <f t="shared" si="206"/>
        <v>Pass</v>
      </c>
      <c r="AA827" s="8" t="str">
        <f t="shared" si="207"/>
        <v>Pass</v>
      </c>
      <c r="AB827" s="8" t="str">
        <f>TEXT(B827,"mmmm")</f>
        <v>April</v>
      </c>
      <c r="AC827" s="8" t="str">
        <f>TEXT(B827,"yyyy")</f>
        <v>2025</v>
      </c>
      <c r="AE827">
        <f t="shared" si="208"/>
        <v>2720.17</v>
      </c>
      <c r="AF827" s="11">
        <f t="shared" si="209"/>
        <v>2720.17</v>
      </c>
      <c r="AG827">
        <f t="shared" si="210"/>
        <v>885.94</v>
      </c>
      <c r="AH827" s="11">
        <f t="shared" si="211"/>
        <v>0.3256928794891496</v>
      </c>
      <c r="AI827" s="9">
        <f t="shared" si="212"/>
        <v>0.3256928794891496</v>
      </c>
      <c r="AJ827">
        <f t="shared" si="213"/>
        <v>2720.17</v>
      </c>
      <c r="AK827">
        <f t="shared" si="214"/>
        <v>1</v>
      </c>
      <c r="AL827">
        <f t="shared" si="215"/>
        <v>0</v>
      </c>
      <c r="AM827">
        <f t="shared" si="216"/>
        <v>0</v>
      </c>
      <c r="AN827">
        <f t="shared" si="217"/>
        <v>0</v>
      </c>
      <c r="AO827">
        <f t="shared" si="218"/>
        <v>0</v>
      </c>
      <c r="AP827">
        <f t="shared" si="219"/>
        <v>0</v>
      </c>
      <c r="AQ827">
        <f t="shared" si="220"/>
        <v>0</v>
      </c>
    </row>
    <row r="828" spans="1:43">
      <c r="A828" t="s">
        <v>2551</v>
      </c>
      <c r="B828" s="5">
        <v>45879</v>
      </c>
      <c r="C828" s="5">
        <v>45883</v>
      </c>
      <c r="D828" s="13">
        <f t="shared" si="204"/>
        <v>4</v>
      </c>
      <c r="E828" t="s">
        <v>2552</v>
      </c>
      <c r="F828" t="s">
        <v>89</v>
      </c>
      <c r="G828" t="s">
        <v>24</v>
      </c>
      <c r="H828" t="s">
        <v>63</v>
      </c>
      <c r="I828" t="s">
        <v>26</v>
      </c>
      <c r="J828" t="s">
        <v>109</v>
      </c>
      <c r="K828" t="s">
        <v>74</v>
      </c>
      <c r="L828" t="s">
        <v>75</v>
      </c>
      <c r="M828" t="s">
        <v>2553</v>
      </c>
      <c r="N828" t="s">
        <v>59</v>
      </c>
      <c r="O828">
        <v>5</v>
      </c>
      <c r="P828">
        <v>2190.14</v>
      </c>
      <c r="Q828" s="11">
        <v>0.25</v>
      </c>
      <c r="R828">
        <v>8213.02</v>
      </c>
      <c r="S828">
        <v>5569.3</v>
      </c>
      <c r="T828">
        <v>2643.72</v>
      </c>
      <c r="U828" t="s">
        <v>32</v>
      </c>
      <c r="V828" t="s">
        <v>33</v>
      </c>
      <c r="X828" s="8" t="str">
        <f>IF(C828&gt;=B828,"Valid", "Invalid-Date")</f>
        <v>Valid</v>
      </c>
      <c r="Y828" s="8" t="str">
        <f t="shared" si="205"/>
        <v>Valid</v>
      </c>
      <c r="Z828" s="8" t="str">
        <f t="shared" si="206"/>
        <v>Pass</v>
      </c>
      <c r="AA828" s="8" t="str">
        <f t="shared" si="207"/>
        <v>Pass</v>
      </c>
      <c r="AB828" s="8" t="str">
        <f>TEXT(B828,"mmmm")</f>
        <v>August</v>
      </c>
      <c r="AC828" s="8" t="str">
        <f>TEXT(B828,"yyyy")</f>
        <v>2025</v>
      </c>
      <c r="AE828">
        <f t="shared" si="208"/>
        <v>10950.699999999999</v>
      </c>
      <c r="AF828" s="11">
        <f t="shared" si="209"/>
        <v>8213.0249999999996</v>
      </c>
      <c r="AG828">
        <f t="shared" si="210"/>
        <v>5381.3999999999987</v>
      </c>
      <c r="AH828" s="11">
        <f t="shared" si="211"/>
        <v>0.49142063977645256</v>
      </c>
      <c r="AI828" s="9">
        <f t="shared" si="212"/>
        <v>0.49142063977645256</v>
      </c>
      <c r="AJ828">
        <f t="shared" si="213"/>
        <v>8213.02</v>
      </c>
      <c r="AK828">
        <f t="shared" si="214"/>
        <v>1</v>
      </c>
      <c r="AL828">
        <f t="shared" si="215"/>
        <v>0</v>
      </c>
      <c r="AM828">
        <f t="shared" si="216"/>
        <v>0</v>
      </c>
      <c r="AN828">
        <f t="shared" si="217"/>
        <v>0</v>
      </c>
      <c r="AO828">
        <f t="shared" si="218"/>
        <v>0</v>
      </c>
      <c r="AP828">
        <f t="shared" si="219"/>
        <v>0</v>
      </c>
      <c r="AQ828">
        <f t="shared" si="220"/>
        <v>0</v>
      </c>
    </row>
    <row r="829" spans="1:43">
      <c r="A829" t="s">
        <v>2554</v>
      </c>
      <c r="B829" s="5">
        <v>45620</v>
      </c>
      <c r="C829" s="5">
        <v>45627</v>
      </c>
      <c r="D829" s="13">
        <f t="shared" si="204"/>
        <v>7</v>
      </c>
      <c r="E829" t="s">
        <v>2555</v>
      </c>
      <c r="F829" t="s">
        <v>114</v>
      </c>
      <c r="G829" t="s">
        <v>95</v>
      </c>
      <c r="H829" t="s">
        <v>54</v>
      </c>
      <c r="I829" t="s">
        <v>247</v>
      </c>
      <c r="J829" t="s">
        <v>248</v>
      </c>
      <c r="K829" t="s">
        <v>28</v>
      </c>
      <c r="L829" t="s">
        <v>29</v>
      </c>
      <c r="M829" t="s">
        <v>2556</v>
      </c>
      <c r="N829" t="s">
        <v>44</v>
      </c>
      <c r="O829">
        <v>1</v>
      </c>
      <c r="P829">
        <v>844.89</v>
      </c>
      <c r="Q829" s="11">
        <v>0.25</v>
      </c>
      <c r="R829">
        <v>633.66999999999996</v>
      </c>
      <c r="S829">
        <v>520.47</v>
      </c>
      <c r="T829">
        <v>113.2</v>
      </c>
      <c r="U829" t="s">
        <v>32</v>
      </c>
      <c r="V829" t="s">
        <v>68</v>
      </c>
      <c r="X829" s="8" t="str">
        <f>IF(C829&gt;=B829,"Valid", "Invalid-Date")</f>
        <v>Valid</v>
      </c>
      <c r="Y829" s="8" t="str">
        <f t="shared" si="205"/>
        <v>Valid</v>
      </c>
      <c r="Z829" s="8" t="str">
        <f t="shared" si="206"/>
        <v>Pass</v>
      </c>
      <c r="AA829" s="8" t="str">
        <f t="shared" si="207"/>
        <v>Pass</v>
      </c>
      <c r="AB829" s="8" t="str">
        <f>TEXT(B829,"mmmm")</f>
        <v>November</v>
      </c>
      <c r="AC829" s="8" t="str">
        <f>TEXT(B829,"yyyy")</f>
        <v>2024</v>
      </c>
      <c r="AE829">
        <f t="shared" si="208"/>
        <v>844.89</v>
      </c>
      <c r="AF829" s="11">
        <f t="shared" si="209"/>
        <v>633.66750000000002</v>
      </c>
      <c r="AG829">
        <f t="shared" si="210"/>
        <v>324.41999999999996</v>
      </c>
      <c r="AH829" s="11">
        <f t="shared" si="211"/>
        <v>0.38397897951212578</v>
      </c>
      <c r="AI829" s="9">
        <f t="shared" si="212"/>
        <v>0.38397897951212578</v>
      </c>
      <c r="AJ829">
        <f t="shared" si="213"/>
        <v>0</v>
      </c>
      <c r="AK829">
        <f t="shared" si="214"/>
        <v>0</v>
      </c>
      <c r="AL829">
        <f t="shared" si="215"/>
        <v>633.66999999999996</v>
      </c>
      <c r="AM829">
        <f t="shared" si="216"/>
        <v>1</v>
      </c>
      <c r="AN829">
        <f t="shared" si="217"/>
        <v>0</v>
      </c>
      <c r="AO829">
        <f t="shared" si="218"/>
        <v>0</v>
      </c>
      <c r="AP829">
        <f t="shared" si="219"/>
        <v>0</v>
      </c>
      <c r="AQ829">
        <f t="shared" si="220"/>
        <v>0</v>
      </c>
    </row>
    <row r="830" spans="1:43">
      <c r="A830" t="s">
        <v>2557</v>
      </c>
      <c r="B830" s="5">
        <v>45940</v>
      </c>
      <c r="C830" s="5">
        <v>45941</v>
      </c>
      <c r="D830" s="13">
        <f t="shared" si="204"/>
        <v>1</v>
      </c>
      <c r="E830" t="s">
        <v>2558</v>
      </c>
      <c r="F830" t="s">
        <v>23</v>
      </c>
      <c r="G830" t="s">
        <v>90</v>
      </c>
      <c r="H830" t="s">
        <v>38</v>
      </c>
      <c r="I830" t="s">
        <v>39</v>
      </c>
      <c r="J830" t="s">
        <v>40</v>
      </c>
      <c r="K830" t="s">
        <v>41</v>
      </c>
      <c r="L830" t="s">
        <v>66</v>
      </c>
      <c r="M830" t="s">
        <v>2559</v>
      </c>
      <c r="N830" t="s">
        <v>31</v>
      </c>
      <c r="O830">
        <v>7</v>
      </c>
      <c r="P830">
        <v>3791.96</v>
      </c>
      <c r="Q830" s="11">
        <v>0.05</v>
      </c>
      <c r="R830">
        <v>25216.53</v>
      </c>
      <c r="S830">
        <v>14216.94</v>
      </c>
      <c r="T830">
        <v>10999.59</v>
      </c>
      <c r="U830" t="s">
        <v>155</v>
      </c>
      <c r="V830" t="s">
        <v>68</v>
      </c>
      <c r="X830" s="8" t="str">
        <f>IF(C830&gt;=B830,"Valid", "Invalid-Date")</f>
        <v>Valid</v>
      </c>
      <c r="Y830" s="8" t="str">
        <f t="shared" si="205"/>
        <v>Valid</v>
      </c>
      <c r="Z830" s="8" t="str">
        <f t="shared" si="206"/>
        <v>Pass</v>
      </c>
      <c r="AA830" s="8" t="str">
        <f t="shared" si="207"/>
        <v>Pass</v>
      </c>
      <c r="AB830" s="8" t="str">
        <f>TEXT(B830,"mmmm")</f>
        <v>October</v>
      </c>
      <c r="AC830" s="8" t="str">
        <f>TEXT(B830,"yyyy")</f>
        <v>2025</v>
      </c>
      <c r="AE830">
        <f t="shared" si="208"/>
        <v>26543.72</v>
      </c>
      <c r="AF830" s="11">
        <f t="shared" si="209"/>
        <v>25216.534</v>
      </c>
      <c r="AG830">
        <f t="shared" si="210"/>
        <v>12326.78</v>
      </c>
      <c r="AH830" s="11">
        <f t="shared" si="211"/>
        <v>0.46439534473690952</v>
      </c>
      <c r="AI830" s="9">
        <f t="shared" si="212"/>
        <v>0.46439534473690952</v>
      </c>
      <c r="AJ830">
        <f t="shared" si="213"/>
        <v>0</v>
      </c>
      <c r="AK830">
        <f t="shared" si="214"/>
        <v>0</v>
      </c>
      <c r="AL830">
        <f t="shared" si="215"/>
        <v>25216.53</v>
      </c>
      <c r="AM830">
        <f t="shared" si="216"/>
        <v>1</v>
      </c>
      <c r="AN830">
        <f t="shared" si="217"/>
        <v>25216.53</v>
      </c>
      <c r="AO830">
        <f t="shared" si="218"/>
        <v>1</v>
      </c>
      <c r="AP830">
        <f t="shared" si="219"/>
        <v>0</v>
      </c>
      <c r="AQ830">
        <f t="shared" si="220"/>
        <v>0</v>
      </c>
    </row>
    <row r="831" spans="1:43">
      <c r="A831" t="s">
        <v>2560</v>
      </c>
      <c r="B831" s="5">
        <v>45348</v>
      </c>
      <c r="C831" s="5">
        <v>45350</v>
      </c>
      <c r="D831" s="13">
        <f t="shared" si="204"/>
        <v>2</v>
      </c>
      <c r="E831" t="s">
        <v>2561</v>
      </c>
      <c r="F831" t="s">
        <v>89</v>
      </c>
      <c r="G831" t="s">
        <v>37</v>
      </c>
      <c r="H831" t="s">
        <v>63</v>
      </c>
      <c r="I831" t="s">
        <v>190</v>
      </c>
      <c r="J831" t="s">
        <v>191</v>
      </c>
      <c r="K831" t="s">
        <v>41</v>
      </c>
      <c r="L831" t="s">
        <v>57</v>
      </c>
      <c r="M831" t="s">
        <v>2562</v>
      </c>
      <c r="N831" t="s">
        <v>31</v>
      </c>
      <c r="O831">
        <v>7</v>
      </c>
      <c r="P831">
        <v>1035.1400000000001</v>
      </c>
      <c r="Q831" s="11">
        <v>0.1</v>
      </c>
      <c r="R831">
        <v>6521.38</v>
      </c>
      <c r="S831">
        <v>4511.1000000000004</v>
      </c>
      <c r="T831">
        <v>2010.28</v>
      </c>
      <c r="U831" t="s">
        <v>32</v>
      </c>
      <c r="V831" t="s">
        <v>33</v>
      </c>
      <c r="X831" s="8" t="str">
        <f>IF(C831&gt;=B831,"Valid", "Invalid-Date")</f>
        <v>Valid</v>
      </c>
      <c r="Y831" s="8" t="str">
        <f t="shared" si="205"/>
        <v>Valid</v>
      </c>
      <c r="Z831" s="8" t="str">
        <f t="shared" si="206"/>
        <v>Pass</v>
      </c>
      <c r="AA831" s="8" t="str">
        <f t="shared" si="207"/>
        <v>Pass</v>
      </c>
      <c r="AB831" s="8" t="str">
        <f>TEXT(B831,"mmmm")</f>
        <v>February</v>
      </c>
      <c r="AC831" s="8" t="str">
        <f>TEXT(B831,"yyyy")</f>
        <v>2024</v>
      </c>
      <c r="AE831">
        <f t="shared" si="208"/>
        <v>7245.9800000000005</v>
      </c>
      <c r="AF831" s="11">
        <f t="shared" si="209"/>
        <v>6521.3820000000005</v>
      </c>
      <c r="AG831">
        <f t="shared" si="210"/>
        <v>2734.88</v>
      </c>
      <c r="AH831" s="11">
        <f t="shared" si="211"/>
        <v>0.37743410829177004</v>
      </c>
      <c r="AI831" s="9">
        <f t="shared" si="212"/>
        <v>0.37743410829177004</v>
      </c>
      <c r="AJ831">
        <f t="shared" si="213"/>
        <v>6521.38</v>
      </c>
      <c r="AK831">
        <f t="shared" si="214"/>
        <v>1</v>
      </c>
      <c r="AL831">
        <f t="shared" si="215"/>
        <v>0</v>
      </c>
      <c r="AM831">
        <f t="shared" si="216"/>
        <v>0</v>
      </c>
      <c r="AN831">
        <f t="shared" si="217"/>
        <v>0</v>
      </c>
      <c r="AO831">
        <f t="shared" si="218"/>
        <v>0</v>
      </c>
      <c r="AP831">
        <f t="shared" si="219"/>
        <v>0</v>
      </c>
      <c r="AQ831">
        <f t="shared" si="220"/>
        <v>0</v>
      </c>
    </row>
    <row r="832" spans="1:43">
      <c r="A832" t="s">
        <v>2563</v>
      </c>
      <c r="B832" s="5">
        <v>45853</v>
      </c>
      <c r="C832" s="5">
        <v>45856</v>
      </c>
      <c r="D832" s="13">
        <f t="shared" si="204"/>
        <v>3</v>
      </c>
      <c r="E832" t="s">
        <v>2564</v>
      </c>
      <c r="F832" t="s">
        <v>89</v>
      </c>
      <c r="G832" t="s">
        <v>37</v>
      </c>
      <c r="H832" t="s">
        <v>2785</v>
      </c>
      <c r="I832" t="s">
        <v>247</v>
      </c>
      <c r="J832" t="s">
        <v>248</v>
      </c>
      <c r="K832" t="s">
        <v>74</v>
      </c>
      <c r="L832" t="s">
        <v>274</v>
      </c>
      <c r="M832" t="s">
        <v>2565</v>
      </c>
      <c r="N832" t="s">
        <v>50</v>
      </c>
      <c r="O832">
        <v>6</v>
      </c>
      <c r="P832">
        <v>2382.88</v>
      </c>
      <c r="Q832" s="11">
        <v>0.1</v>
      </c>
      <c r="R832">
        <v>12867.55</v>
      </c>
      <c r="S832">
        <v>10068.94</v>
      </c>
      <c r="T832">
        <v>2798.61</v>
      </c>
      <c r="U832" t="s">
        <v>32</v>
      </c>
      <c r="V832" t="s">
        <v>33</v>
      </c>
      <c r="X832" s="8" t="str">
        <f>IF(C832&gt;=B832,"Valid", "Invalid-Date")</f>
        <v>Valid</v>
      </c>
      <c r="Y832" s="8" t="str">
        <f t="shared" si="205"/>
        <v>Valid</v>
      </c>
      <c r="Z832" s="8" t="str">
        <f t="shared" si="206"/>
        <v>Pass</v>
      </c>
      <c r="AA832" s="8" t="str">
        <f t="shared" si="207"/>
        <v>Flagged</v>
      </c>
      <c r="AB832" s="8" t="str">
        <f>TEXT(B832,"mmmm")</f>
        <v>July</v>
      </c>
      <c r="AC832" s="8" t="str">
        <f>TEXT(B832,"yyyy")</f>
        <v>2025</v>
      </c>
      <c r="AE832">
        <f t="shared" si="208"/>
        <v>14297.28</v>
      </c>
      <c r="AF832" s="11">
        <f t="shared" si="209"/>
        <v>12867.552000000001</v>
      </c>
      <c r="AG832">
        <f t="shared" si="210"/>
        <v>4228.34</v>
      </c>
      <c r="AH832" s="11">
        <f t="shared" si="211"/>
        <v>0.2957443653618031</v>
      </c>
      <c r="AI832" s="9">
        <f t="shared" si="212"/>
        <v>0.2957443653618031</v>
      </c>
      <c r="AJ832">
        <f t="shared" si="213"/>
        <v>12867.55</v>
      </c>
      <c r="AK832">
        <f t="shared" si="214"/>
        <v>1</v>
      </c>
      <c r="AL832">
        <f t="shared" si="215"/>
        <v>0</v>
      </c>
      <c r="AM832">
        <f t="shared" si="216"/>
        <v>0</v>
      </c>
      <c r="AN832">
        <f t="shared" si="217"/>
        <v>0</v>
      </c>
      <c r="AO832">
        <f t="shared" si="218"/>
        <v>0</v>
      </c>
      <c r="AP832">
        <f t="shared" si="219"/>
        <v>0</v>
      </c>
      <c r="AQ832">
        <f t="shared" si="220"/>
        <v>0</v>
      </c>
    </row>
    <row r="833" spans="1:43">
      <c r="A833" t="s">
        <v>2566</v>
      </c>
      <c r="B833" s="5">
        <v>45720</v>
      </c>
      <c r="C833" s="5">
        <v>45750</v>
      </c>
      <c r="D833" s="13">
        <f t="shared" si="204"/>
        <v>30</v>
      </c>
      <c r="E833" t="s">
        <v>2567</v>
      </c>
      <c r="F833" t="s">
        <v>162</v>
      </c>
      <c r="G833" t="s">
        <v>95</v>
      </c>
      <c r="H833" t="s">
        <v>2785</v>
      </c>
      <c r="I833" t="s">
        <v>236</v>
      </c>
      <c r="J833" t="s">
        <v>237</v>
      </c>
      <c r="K833" t="s">
        <v>41</v>
      </c>
      <c r="L833" t="s">
        <v>66</v>
      </c>
      <c r="M833" t="s">
        <v>2568</v>
      </c>
      <c r="N833" t="s">
        <v>50</v>
      </c>
      <c r="O833">
        <v>9</v>
      </c>
      <c r="P833">
        <v>3462.7</v>
      </c>
      <c r="Q833" s="11">
        <v>0.15</v>
      </c>
      <c r="R833">
        <v>26489.65</v>
      </c>
      <c r="S833">
        <v>15818.46</v>
      </c>
      <c r="T833">
        <v>10671.19</v>
      </c>
      <c r="U833" t="s">
        <v>155</v>
      </c>
      <c r="V833" t="s">
        <v>103</v>
      </c>
      <c r="X833" s="8" t="str">
        <f>IF(C833&gt;=B833,"Valid", "Invalid-Date")</f>
        <v>Valid</v>
      </c>
      <c r="Y833" s="8" t="str">
        <f t="shared" si="205"/>
        <v>Valid</v>
      </c>
      <c r="Z833" s="8" t="str">
        <f t="shared" si="206"/>
        <v>Pass</v>
      </c>
      <c r="AA833" s="8" t="str">
        <f t="shared" si="207"/>
        <v>Flagged</v>
      </c>
      <c r="AB833" s="8" t="str">
        <f>TEXT(B833,"mmmm")</f>
        <v>March</v>
      </c>
      <c r="AC833" s="8" t="str">
        <f>TEXT(B833,"yyyy")</f>
        <v>2025</v>
      </c>
      <c r="AE833">
        <f t="shared" si="208"/>
        <v>31164.3</v>
      </c>
      <c r="AF833" s="11">
        <f t="shared" si="209"/>
        <v>26489.654999999999</v>
      </c>
      <c r="AG833">
        <f t="shared" si="210"/>
        <v>15345.84</v>
      </c>
      <c r="AH833" s="11">
        <f t="shared" si="211"/>
        <v>0.49241728516283056</v>
      </c>
      <c r="AI833" s="9">
        <f t="shared" si="212"/>
        <v>0.49241728516283056</v>
      </c>
      <c r="AJ833">
        <f t="shared" si="213"/>
        <v>0</v>
      </c>
      <c r="AK833">
        <f t="shared" si="214"/>
        <v>0</v>
      </c>
      <c r="AL833">
        <f t="shared" si="215"/>
        <v>0</v>
      </c>
      <c r="AM833">
        <f t="shared" si="216"/>
        <v>0</v>
      </c>
      <c r="AN833">
        <f t="shared" si="217"/>
        <v>26489.65</v>
      </c>
      <c r="AO833">
        <f t="shared" si="218"/>
        <v>1</v>
      </c>
      <c r="AP833">
        <f t="shared" si="219"/>
        <v>26489.65</v>
      </c>
      <c r="AQ833">
        <f t="shared" si="220"/>
        <v>1</v>
      </c>
    </row>
    <row r="834" spans="1:43">
      <c r="A834" t="s">
        <v>2569</v>
      </c>
      <c r="B834" s="5">
        <v>45803</v>
      </c>
      <c r="C834" s="5">
        <v>45805</v>
      </c>
      <c r="D834" s="13">
        <f t="shared" si="204"/>
        <v>2</v>
      </c>
      <c r="E834" t="s">
        <v>2570</v>
      </c>
      <c r="F834" t="s">
        <v>264</v>
      </c>
      <c r="G834" t="s">
        <v>37</v>
      </c>
      <c r="H834" t="s">
        <v>54</v>
      </c>
      <c r="I834" t="s">
        <v>84</v>
      </c>
      <c r="J834" t="s">
        <v>85</v>
      </c>
      <c r="K834" t="s">
        <v>74</v>
      </c>
      <c r="L834" t="s">
        <v>171</v>
      </c>
      <c r="M834" t="s">
        <v>2571</v>
      </c>
      <c r="N834" t="s">
        <v>31</v>
      </c>
      <c r="O834">
        <v>9</v>
      </c>
      <c r="P834">
        <v>4302.0200000000004</v>
      </c>
      <c r="Q834" s="11">
        <v>0.05</v>
      </c>
      <c r="R834">
        <v>36782.269999999997</v>
      </c>
      <c r="S834">
        <v>25902.81</v>
      </c>
      <c r="T834">
        <v>10879.46</v>
      </c>
      <c r="U834" t="s">
        <v>32</v>
      </c>
      <c r="V834" t="s">
        <v>33</v>
      </c>
      <c r="X834" s="8" t="str">
        <f>IF(C834&gt;=B834,"Valid", "Invalid-Date")</f>
        <v>Valid</v>
      </c>
      <c r="Y834" s="8" t="str">
        <f t="shared" si="205"/>
        <v>Valid</v>
      </c>
      <c r="Z834" s="8" t="str">
        <f t="shared" si="206"/>
        <v>Pass</v>
      </c>
      <c r="AA834" s="8" t="str">
        <f t="shared" si="207"/>
        <v>Pass</v>
      </c>
      <c r="AB834" s="8" t="str">
        <f>TEXT(B834,"mmmm")</f>
        <v>May</v>
      </c>
      <c r="AC834" s="8" t="str">
        <f>TEXT(B834,"yyyy")</f>
        <v>2025</v>
      </c>
      <c r="AE834">
        <f t="shared" si="208"/>
        <v>38718.180000000008</v>
      </c>
      <c r="AF834" s="11">
        <f t="shared" si="209"/>
        <v>36782.271000000008</v>
      </c>
      <c r="AG834">
        <f t="shared" si="210"/>
        <v>12815.370000000006</v>
      </c>
      <c r="AH834" s="11">
        <f t="shared" si="211"/>
        <v>0.33099102282183729</v>
      </c>
      <c r="AI834" s="9">
        <f t="shared" si="212"/>
        <v>0.33099102282183729</v>
      </c>
      <c r="AJ834">
        <f t="shared" si="213"/>
        <v>36782.269999999997</v>
      </c>
      <c r="AK834">
        <f t="shared" si="214"/>
        <v>1</v>
      </c>
      <c r="AL834">
        <f t="shared" si="215"/>
        <v>0</v>
      </c>
      <c r="AM834">
        <f t="shared" si="216"/>
        <v>0</v>
      </c>
      <c r="AN834">
        <f t="shared" si="217"/>
        <v>0</v>
      </c>
      <c r="AO834">
        <f t="shared" si="218"/>
        <v>0</v>
      </c>
      <c r="AP834">
        <f t="shared" si="219"/>
        <v>0</v>
      </c>
      <c r="AQ834">
        <f t="shared" si="220"/>
        <v>0</v>
      </c>
    </row>
    <row r="835" spans="1:43">
      <c r="A835" t="s">
        <v>2572</v>
      </c>
      <c r="B835" s="5">
        <v>45447</v>
      </c>
      <c r="C835" s="5">
        <v>45388</v>
      </c>
      <c r="D835" s="13">
        <f t="shared" ref="D835:D898" si="221">C835-B835</f>
        <v>-59</v>
      </c>
      <c r="E835" t="s">
        <v>2573</v>
      </c>
      <c r="F835" t="s">
        <v>118</v>
      </c>
      <c r="G835" t="s">
        <v>95</v>
      </c>
      <c r="H835" t="s">
        <v>38</v>
      </c>
      <c r="I835" t="s">
        <v>99</v>
      </c>
      <c r="J835" t="s">
        <v>100</v>
      </c>
      <c r="K835" t="s">
        <v>41</v>
      </c>
      <c r="L835" t="s">
        <v>158</v>
      </c>
      <c r="M835" t="s">
        <v>2574</v>
      </c>
      <c r="N835" t="s">
        <v>50</v>
      </c>
      <c r="O835">
        <v>6</v>
      </c>
      <c r="P835">
        <v>3949.4</v>
      </c>
      <c r="Q835" s="11">
        <v>0</v>
      </c>
      <c r="R835">
        <v>23696.400000000001</v>
      </c>
      <c r="S835">
        <v>18109.77</v>
      </c>
      <c r="T835">
        <v>5586.63</v>
      </c>
      <c r="U835" t="s">
        <v>32</v>
      </c>
      <c r="V835" t="s">
        <v>33</v>
      </c>
      <c r="X835" s="8" t="str">
        <f>IF(C835&gt;=B835,"Valid", "Invalid-Date")</f>
        <v>Invalid-Date</v>
      </c>
      <c r="Y835" s="8" t="str">
        <f t="shared" ref="Y835:Y898" si="222">IF(OR(Q835&lt;0, Q835&gt;0.5), "Invalid-Discount", "Valid")</f>
        <v>Valid</v>
      </c>
      <c r="Z835" s="8" t="str">
        <f t="shared" ref="Z835:Z898" si="223">IF(N835="Unknown","Flagged","Pass")</f>
        <v>Pass</v>
      </c>
      <c r="AA835" s="8" t="str">
        <f t="shared" ref="AA835:AA898" si="224">IF(H835="Unknown","Flagged","Pass")</f>
        <v>Pass</v>
      </c>
      <c r="AB835" s="8" t="str">
        <f>TEXT(B835,"mmmm")</f>
        <v>June</v>
      </c>
      <c r="AC835" s="8" t="str">
        <f>TEXT(B835,"yyyy")</f>
        <v>2024</v>
      </c>
      <c r="AE835">
        <f t="shared" ref="AE835:AE898" si="225">O835*P835</f>
        <v>23696.400000000001</v>
      </c>
      <c r="AF835" s="11">
        <f t="shared" ref="AF835:AF898" si="226">AE835*(1-Q835)</f>
        <v>23696.400000000001</v>
      </c>
      <c r="AG835">
        <f t="shared" ref="AG835:AG898" si="227">AE835-S835</f>
        <v>5586.630000000001</v>
      </c>
      <c r="AH835" s="11">
        <f t="shared" ref="AH835:AH898" si="228">AG835/AE835</f>
        <v>0.23575859624246723</v>
      </c>
      <c r="AI835" s="9">
        <f t="shared" ref="AI835:AI898" si="229">AG835/AE835</f>
        <v>0.23575859624246723</v>
      </c>
      <c r="AJ835">
        <f t="shared" ref="AJ835:AJ898" si="230">SUMIFS(R835, V835, "Completed", U835, "Paid")</f>
        <v>23696.400000000001</v>
      </c>
      <c r="AK835">
        <f t="shared" ref="AK835:AK898" si="231">COUNTIFS(V835, "Completed", U835, "Paid")</f>
        <v>1</v>
      </c>
      <c r="AL835">
        <f t="shared" ref="AL835:AL898" si="232">SUMIFS(R835, V835, "Cancelled")</f>
        <v>0</v>
      </c>
      <c r="AM835">
        <f t="shared" ref="AM835:AM898" si="233">COUNTIFS(V835, "Cancelled")</f>
        <v>0</v>
      </c>
      <c r="AN835">
        <f t="shared" ref="AN835:AN898" si="234">SUMIFS(R835, U835, "Failed")</f>
        <v>0</v>
      </c>
      <c r="AO835">
        <f t="shared" ref="AO835:AO898" si="235">COUNTIFS(U835, "Failed")</f>
        <v>0</v>
      </c>
      <c r="AP835">
        <f t="shared" ref="AP835:AP898" si="236">SUMIFS(R835, V835, "Returned")</f>
        <v>0</v>
      </c>
      <c r="AQ835">
        <f t="shared" ref="AQ835:AQ898" si="237">COUNTIFS(V835, "Returned")</f>
        <v>0</v>
      </c>
    </row>
    <row r="836" spans="1:43">
      <c r="A836" t="s">
        <v>2575</v>
      </c>
      <c r="B836" s="5">
        <v>45583</v>
      </c>
      <c r="C836" s="5">
        <v>45587</v>
      </c>
      <c r="D836" s="13">
        <f t="shared" si="221"/>
        <v>4</v>
      </c>
      <c r="E836" t="s">
        <v>2576</v>
      </c>
      <c r="F836" t="s">
        <v>128</v>
      </c>
      <c r="G836" t="s">
        <v>95</v>
      </c>
      <c r="H836" t="s">
        <v>54</v>
      </c>
      <c r="I836" t="s">
        <v>55</v>
      </c>
      <c r="J836" t="s">
        <v>56</v>
      </c>
      <c r="K836" t="s">
        <v>28</v>
      </c>
      <c r="L836" t="s">
        <v>48</v>
      </c>
      <c r="M836" t="s">
        <v>2577</v>
      </c>
      <c r="N836" t="s">
        <v>50</v>
      </c>
      <c r="O836">
        <v>6</v>
      </c>
      <c r="P836">
        <v>674.61</v>
      </c>
      <c r="Q836" s="11">
        <v>0</v>
      </c>
      <c r="R836">
        <v>4047.66</v>
      </c>
      <c r="S836">
        <v>3078.93</v>
      </c>
      <c r="T836">
        <v>1279.79</v>
      </c>
      <c r="U836" t="s">
        <v>32</v>
      </c>
      <c r="V836" t="s">
        <v>33</v>
      </c>
      <c r="X836" s="8" t="str">
        <f>IF(C836&gt;=B836,"Valid", "Invalid-Date")</f>
        <v>Valid</v>
      </c>
      <c r="Y836" s="8" t="str">
        <f t="shared" si="222"/>
        <v>Valid</v>
      </c>
      <c r="Z836" s="8" t="str">
        <f t="shared" si="223"/>
        <v>Pass</v>
      </c>
      <c r="AA836" s="8" t="str">
        <f t="shared" si="224"/>
        <v>Pass</v>
      </c>
      <c r="AB836" s="8" t="str">
        <f>TEXT(B836,"mmmm")</f>
        <v>October</v>
      </c>
      <c r="AC836" s="8" t="str">
        <f>TEXT(B836,"yyyy")</f>
        <v>2024</v>
      </c>
      <c r="AE836">
        <f t="shared" si="225"/>
        <v>4047.66</v>
      </c>
      <c r="AF836" s="11">
        <f t="shared" si="226"/>
        <v>4047.66</v>
      </c>
      <c r="AG836">
        <f t="shared" si="227"/>
        <v>968.73</v>
      </c>
      <c r="AH836" s="11">
        <f t="shared" si="228"/>
        <v>0.23933087265234729</v>
      </c>
      <c r="AI836" s="9">
        <f t="shared" si="229"/>
        <v>0.23933087265234729</v>
      </c>
      <c r="AJ836">
        <f t="shared" si="230"/>
        <v>4047.66</v>
      </c>
      <c r="AK836">
        <f t="shared" si="231"/>
        <v>1</v>
      </c>
      <c r="AL836">
        <f t="shared" si="232"/>
        <v>0</v>
      </c>
      <c r="AM836">
        <f t="shared" si="233"/>
        <v>0</v>
      </c>
      <c r="AN836">
        <f t="shared" si="234"/>
        <v>0</v>
      </c>
      <c r="AO836">
        <f t="shared" si="235"/>
        <v>0</v>
      </c>
      <c r="AP836">
        <f t="shared" si="236"/>
        <v>0</v>
      </c>
      <c r="AQ836">
        <f t="shared" si="237"/>
        <v>0</v>
      </c>
    </row>
    <row r="837" spans="1:43">
      <c r="A837" t="s">
        <v>2578</v>
      </c>
      <c r="B837" s="5">
        <v>45926</v>
      </c>
      <c r="C837" s="5">
        <v>45934</v>
      </c>
      <c r="D837" s="13">
        <f t="shared" si="221"/>
        <v>8</v>
      </c>
      <c r="E837" t="s">
        <v>2579</v>
      </c>
      <c r="F837" t="s">
        <v>114</v>
      </c>
      <c r="G837" t="s">
        <v>37</v>
      </c>
      <c r="H837" t="s">
        <v>38</v>
      </c>
      <c r="I837" t="s">
        <v>166</v>
      </c>
      <c r="J837" t="s">
        <v>167</v>
      </c>
      <c r="K837" t="s">
        <v>74</v>
      </c>
      <c r="L837" t="s">
        <v>171</v>
      </c>
      <c r="M837" t="s">
        <v>2580</v>
      </c>
      <c r="N837" t="s">
        <v>31</v>
      </c>
      <c r="O837">
        <v>7</v>
      </c>
      <c r="P837">
        <v>1509.59</v>
      </c>
      <c r="Q837" s="11">
        <v>0.05</v>
      </c>
      <c r="R837">
        <v>10038.77</v>
      </c>
      <c r="S837">
        <v>5673.1</v>
      </c>
      <c r="T837">
        <v>4365.67</v>
      </c>
      <c r="U837" t="s">
        <v>32</v>
      </c>
      <c r="V837" t="s">
        <v>33</v>
      </c>
      <c r="X837" s="8" t="str">
        <f>IF(C837&gt;=B837,"Valid", "Invalid-Date")</f>
        <v>Valid</v>
      </c>
      <c r="Y837" s="8" t="str">
        <f t="shared" si="222"/>
        <v>Valid</v>
      </c>
      <c r="Z837" s="8" t="str">
        <f t="shared" si="223"/>
        <v>Pass</v>
      </c>
      <c r="AA837" s="8" t="str">
        <f t="shared" si="224"/>
        <v>Pass</v>
      </c>
      <c r="AB837" s="8" t="str">
        <f>TEXT(B837,"mmmm")</f>
        <v>September</v>
      </c>
      <c r="AC837" s="8" t="str">
        <f>TEXT(B837,"yyyy")</f>
        <v>2025</v>
      </c>
      <c r="AE837">
        <f t="shared" si="225"/>
        <v>10567.13</v>
      </c>
      <c r="AF837" s="11">
        <f t="shared" si="226"/>
        <v>10038.773499999999</v>
      </c>
      <c r="AG837">
        <f t="shared" si="227"/>
        <v>4894.0299999999988</v>
      </c>
      <c r="AH837" s="11">
        <f t="shared" si="228"/>
        <v>0.46313710534459207</v>
      </c>
      <c r="AI837" s="9">
        <f t="shared" si="229"/>
        <v>0.46313710534459207</v>
      </c>
      <c r="AJ837">
        <f t="shared" si="230"/>
        <v>10038.77</v>
      </c>
      <c r="AK837">
        <f t="shared" si="231"/>
        <v>1</v>
      </c>
      <c r="AL837">
        <f t="shared" si="232"/>
        <v>0</v>
      </c>
      <c r="AM837">
        <f t="shared" si="233"/>
        <v>0</v>
      </c>
      <c r="AN837">
        <f t="shared" si="234"/>
        <v>0</v>
      </c>
      <c r="AO837">
        <f t="shared" si="235"/>
        <v>0</v>
      </c>
      <c r="AP837">
        <f t="shared" si="236"/>
        <v>0</v>
      </c>
      <c r="AQ837">
        <f t="shared" si="237"/>
        <v>0</v>
      </c>
    </row>
    <row r="838" spans="1:43">
      <c r="A838" t="s">
        <v>2581</v>
      </c>
      <c r="B838" s="5">
        <v>45641</v>
      </c>
      <c r="C838" s="5">
        <v>45644</v>
      </c>
      <c r="D838" s="13">
        <f t="shared" si="221"/>
        <v>3</v>
      </c>
      <c r="E838" t="s">
        <v>2582</v>
      </c>
      <c r="F838" t="s">
        <v>47</v>
      </c>
      <c r="G838" t="s">
        <v>37</v>
      </c>
      <c r="H838" t="s">
        <v>25</v>
      </c>
      <c r="I838" t="s">
        <v>26</v>
      </c>
      <c r="J838" t="s">
        <v>27</v>
      </c>
      <c r="K838" t="s">
        <v>28</v>
      </c>
      <c r="L838" t="s">
        <v>91</v>
      </c>
      <c r="M838" t="s">
        <v>2583</v>
      </c>
      <c r="N838" t="s">
        <v>31</v>
      </c>
      <c r="O838">
        <v>2</v>
      </c>
      <c r="P838">
        <v>537.11</v>
      </c>
      <c r="Q838" s="11">
        <v>0</v>
      </c>
      <c r="R838">
        <v>1074.22</v>
      </c>
      <c r="S838">
        <v>850.86</v>
      </c>
      <c r="T838">
        <v>223.36</v>
      </c>
      <c r="U838" t="s">
        <v>32</v>
      </c>
      <c r="V838" t="s">
        <v>33</v>
      </c>
      <c r="X838" s="8" t="str">
        <f>IF(C838&gt;=B838,"Valid", "Invalid-Date")</f>
        <v>Valid</v>
      </c>
      <c r="Y838" s="8" t="str">
        <f t="shared" si="222"/>
        <v>Valid</v>
      </c>
      <c r="Z838" s="8" t="str">
        <f t="shared" si="223"/>
        <v>Pass</v>
      </c>
      <c r="AA838" s="8" t="str">
        <f t="shared" si="224"/>
        <v>Pass</v>
      </c>
      <c r="AB838" s="8" t="str">
        <f>TEXT(B838,"mmmm")</f>
        <v>December</v>
      </c>
      <c r="AC838" s="8" t="str">
        <f>TEXT(B838,"yyyy")</f>
        <v>2024</v>
      </c>
      <c r="AE838">
        <f t="shared" si="225"/>
        <v>1074.22</v>
      </c>
      <c r="AF838" s="11">
        <f t="shared" si="226"/>
        <v>1074.22</v>
      </c>
      <c r="AG838">
        <f t="shared" si="227"/>
        <v>223.36</v>
      </c>
      <c r="AH838" s="11">
        <f t="shared" si="228"/>
        <v>0.20792761259332354</v>
      </c>
      <c r="AI838" s="9">
        <f t="shared" si="229"/>
        <v>0.20792761259332354</v>
      </c>
      <c r="AJ838">
        <f t="shared" si="230"/>
        <v>1074.22</v>
      </c>
      <c r="AK838">
        <f t="shared" si="231"/>
        <v>1</v>
      </c>
      <c r="AL838">
        <f t="shared" si="232"/>
        <v>0</v>
      </c>
      <c r="AM838">
        <f t="shared" si="233"/>
        <v>0</v>
      </c>
      <c r="AN838">
        <f t="shared" si="234"/>
        <v>0</v>
      </c>
      <c r="AO838">
        <f t="shared" si="235"/>
        <v>0</v>
      </c>
      <c r="AP838">
        <f t="shared" si="236"/>
        <v>0</v>
      </c>
      <c r="AQ838">
        <f t="shared" si="237"/>
        <v>0</v>
      </c>
    </row>
    <row r="839" spans="1:43">
      <c r="A839" t="s">
        <v>2584</v>
      </c>
      <c r="B839" s="5">
        <v>45927</v>
      </c>
      <c r="C839" s="5">
        <v>45928</v>
      </c>
      <c r="D839" s="13">
        <f t="shared" si="221"/>
        <v>1</v>
      </c>
      <c r="E839" t="s">
        <v>2585</v>
      </c>
      <c r="F839" t="s">
        <v>23</v>
      </c>
      <c r="G839" t="s">
        <v>95</v>
      </c>
      <c r="H839" t="s">
        <v>63</v>
      </c>
      <c r="I839" t="s">
        <v>64</v>
      </c>
      <c r="J839" t="s">
        <v>65</v>
      </c>
      <c r="K839" t="s">
        <v>28</v>
      </c>
      <c r="L839" t="s">
        <v>29</v>
      </c>
      <c r="M839" t="s">
        <v>2586</v>
      </c>
      <c r="N839" t="s">
        <v>50</v>
      </c>
      <c r="O839">
        <v>3</v>
      </c>
      <c r="P839">
        <v>4177.63</v>
      </c>
      <c r="Q839" s="11">
        <v>0.25</v>
      </c>
      <c r="R839">
        <v>9399.67</v>
      </c>
      <c r="S839">
        <v>6540.37</v>
      </c>
      <c r="T839">
        <v>2859.3</v>
      </c>
      <c r="U839" t="s">
        <v>32</v>
      </c>
      <c r="V839" t="s">
        <v>33</v>
      </c>
      <c r="X839" s="8" t="str">
        <f>IF(C839&gt;=B839,"Valid", "Invalid-Date")</f>
        <v>Valid</v>
      </c>
      <c r="Y839" s="8" t="str">
        <f t="shared" si="222"/>
        <v>Valid</v>
      </c>
      <c r="Z839" s="8" t="str">
        <f t="shared" si="223"/>
        <v>Pass</v>
      </c>
      <c r="AA839" s="8" t="str">
        <f t="shared" si="224"/>
        <v>Pass</v>
      </c>
      <c r="AB839" s="8" t="str">
        <f>TEXT(B839,"mmmm")</f>
        <v>September</v>
      </c>
      <c r="AC839" s="8" t="str">
        <f>TEXT(B839,"yyyy")</f>
        <v>2025</v>
      </c>
      <c r="AE839">
        <f t="shared" si="225"/>
        <v>12532.89</v>
      </c>
      <c r="AF839" s="11">
        <f t="shared" si="226"/>
        <v>9399.6674999999996</v>
      </c>
      <c r="AG839">
        <f t="shared" si="227"/>
        <v>5992.5199999999995</v>
      </c>
      <c r="AH839" s="11">
        <f t="shared" si="228"/>
        <v>0.47814350879964634</v>
      </c>
      <c r="AI839" s="9">
        <f t="shared" si="229"/>
        <v>0.47814350879964634</v>
      </c>
      <c r="AJ839">
        <f t="shared" si="230"/>
        <v>9399.67</v>
      </c>
      <c r="AK839">
        <f t="shared" si="231"/>
        <v>1</v>
      </c>
      <c r="AL839">
        <f t="shared" si="232"/>
        <v>0</v>
      </c>
      <c r="AM839">
        <f t="shared" si="233"/>
        <v>0</v>
      </c>
      <c r="AN839">
        <f t="shared" si="234"/>
        <v>0</v>
      </c>
      <c r="AO839">
        <f t="shared" si="235"/>
        <v>0</v>
      </c>
      <c r="AP839">
        <f t="shared" si="236"/>
        <v>0</v>
      </c>
      <c r="AQ839">
        <f t="shared" si="237"/>
        <v>0</v>
      </c>
    </row>
    <row r="840" spans="1:43">
      <c r="A840" t="s">
        <v>2587</v>
      </c>
      <c r="B840" s="5">
        <v>45720</v>
      </c>
      <c r="C840" s="5">
        <v>45842</v>
      </c>
      <c r="D840" s="13">
        <f t="shared" si="221"/>
        <v>122</v>
      </c>
      <c r="E840" t="s">
        <v>2588</v>
      </c>
      <c r="F840" t="s">
        <v>62</v>
      </c>
      <c r="G840" t="s">
        <v>37</v>
      </c>
      <c r="H840" t="s">
        <v>63</v>
      </c>
      <c r="I840" t="s">
        <v>190</v>
      </c>
      <c r="J840" t="s">
        <v>191</v>
      </c>
      <c r="K840" t="s">
        <v>28</v>
      </c>
      <c r="L840" t="s">
        <v>29</v>
      </c>
      <c r="M840" t="s">
        <v>2589</v>
      </c>
      <c r="N840" t="s">
        <v>44</v>
      </c>
      <c r="O840">
        <v>1</v>
      </c>
      <c r="P840">
        <v>1470.57</v>
      </c>
      <c r="Q840" s="11">
        <v>0</v>
      </c>
      <c r="R840">
        <v>1470.57</v>
      </c>
      <c r="S840">
        <v>834.02</v>
      </c>
      <c r="T840">
        <v>636.54999999999995</v>
      </c>
      <c r="U840" t="s">
        <v>32</v>
      </c>
      <c r="V840" t="s">
        <v>103</v>
      </c>
      <c r="X840" s="8" t="str">
        <f>IF(C840&gt;=B840,"Valid", "Invalid-Date")</f>
        <v>Valid</v>
      </c>
      <c r="Y840" s="8" t="str">
        <f t="shared" si="222"/>
        <v>Valid</v>
      </c>
      <c r="Z840" s="8" t="str">
        <f t="shared" si="223"/>
        <v>Pass</v>
      </c>
      <c r="AA840" s="8" t="str">
        <f t="shared" si="224"/>
        <v>Pass</v>
      </c>
      <c r="AB840" s="8" t="str">
        <f>TEXT(B840,"mmmm")</f>
        <v>March</v>
      </c>
      <c r="AC840" s="8" t="str">
        <f>TEXT(B840,"yyyy")</f>
        <v>2025</v>
      </c>
      <c r="AE840">
        <f t="shared" si="225"/>
        <v>1470.57</v>
      </c>
      <c r="AF840" s="11">
        <f t="shared" si="226"/>
        <v>1470.57</v>
      </c>
      <c r="AG840">
        <f t="shared" si="227"/>
        <v>636.54999999999995</v>
      </c>
      <c r="AH840" s="11">
        <f t="shared" si="228"/>
        <v>0.43285936745615644</v>
      </c>
      <c r="AI840" s="9">
        <f t="shared" si="229"/>
        <v>0.43285936745615644</v>
      </c>
      <c r="AJ840">
        <f t="shared" si="230"/>
        <v>0</v>
      </c>
      <c r="AK840">
        <f t="shared" si="231"/>
        <v>0</v>
      </c>
      <c r="AL840">
        <f t="shared" si="232"/>
        <v>0</v>
      </c>
      <c r="AM840">
        <f t="shared" si="233"/>
        <v>0</v>
      </c>
      <c r="AN840">
        <f t="shared" si="234"/>
        <v>0</v>
      </c>
      <c r="AO840">
        <f t="shared" si="235"/>
        <v>0</v>
      </c>
      <c r="AP840">
        <f t="shared" si="236"/>
        <v>1470.57</v>
      </c>
      <c r="AQ840">
        <f t="shared" si="237"/>
        <v>1</v>
      </c>
    </row>
    <row r="841" spans="1:43">
      <c r="A841" t="s">
        <v>2590</v>
      </c>
      <c r="B841" s="5">
        <v>45555</v>
      </c>
      <c r="C841" s="5">
        <v>45557</v>
      </c>
      <c r="D841" s="13">
        <f t="shared" si="221"/>
        <v>2</v>
      </c>
      <c r="E841" t="s">
        <v>2591</v>
      </c>
      <c r="F841" t="s">
        <v>141</v>
      </c>
      <c r="G841" t="s">
        <v>95</v>
      </c>
      <c r="H841" t="s">
        <v>38</v>
      </c>
      <c r="I841" t="s">
        <v>39</v>
      </c>
      <c r="J841" t="s">
        <v>40</v>
      </c>
      <c r="K841" t="s">
        <v>74</v>
      </c>
      <c r="L841" t="s">
        <v>171</v>
      </c>
      <c r="M841" t="s">
        <v>2592</v>
      </c>
      <c r="N841" t="s">
        <v>59</v>
      </c>
      <c r="O841">
        <v>8</v>
      </c>
      <c r="P841">
        <v>531.42999999999995</v>
      </c>
      <c r="Q841" s="11">
        <v>0.1</v>
      </c>
      <c r="R841">
        <v>3826.3</v>
      </c>
      <c r="S841">
        <v>2194.12</v>
      </c>
      <c r="T841">
        <v>1632.18</v>
      </c>
      <c r="U841" t="s">
        <v>32</v>
      </c>
      <c r="V841" t="s">
        <v>33</v>
      </c>
      <c r="X841" s="8" t="str">
        <f>IF(C841&gt;=B841,"Valid", "Invalid-Date")</f>
        <v>Valid</v>
      </c>
      <c r="Y841" s="8" t="str">
        <f t="shared" si="222"/>
        <v>Valid</v>
      </c>
      <c r="Z841" s="8" t="str">
        <f t="shared" si="223"/>
        <v>Pass</v>
      </c>
      <c r="AA841" s="8" t="str">
        <f t="shared" si="224"/>
        <v>Pass</v>
      </c>
      <c r="AB841" s="8" t="str">
        <f>TEXT(B841,"mmmm")</f>
        <v>September</v>
      </c>
      <c r="AC841" s="8" t="str">
        <f>TEXT(B841,"yyyy")</f>
        <v>2024</v>
      </c>
      <c r="AE841">
        <f t="shared" si="225"/>
        <v>4251.4399999999996</v>
      </c>
      <c r="AF841" s="11">
        <f t="shared" si="226"/>
        <v>3826.2959999999998</v>
      </c>
      <c r="AG841">
        <f t="shared" si="227"/>
        <v>2057.3199999999997</v>
      </c>
      <c r="AH841" s="11">
        <f t="shared" si="228"/>
        <v>0.48391133357168392</v>
      </c>
      <c r="AI841" s="9">
        <f t="shared" si="229"/>
        <v>0.48391133357168392</v>
      </c>
      <c r="AJ841">
        <f t="shared" si="230"/>
        <v>3826.3</v>
      </c>
      <c r="AK841">
        <f t="shared" si="231"/>
        <v>1</v>
      </c>
      <c r="AL841">
        <f t="shared" si="232"/>
        <v>0</v>
      </c>
      <c r="AM841">
        <f t="shared" si="233"/>
        <v>0</v>
      </c>
      <c r="AN841">
        <f t="shared" si="234"/>
        <v>0</v>
      </c>
      <c r="AO841">
        <f t="shared" si="235"/>
        <v>0</v>
      </c>
      <c r="AP841">
        <f t="shared" si="236"/>
        <v>0</v>
      </c>
      <c r="AQ841">
        <f t="shared" si="237"/>
        <v>0</v>
      </c>
    </row>
    <row r="842" spans="1:43">
      <c r="A842" t="s">
        <v>2593</v>
      </c>
      <c r="B842" s="5">
        <v>45919</v>
      </c>
      <c r="C842" s="5">
        <v>45919</v>
      </c>
      <c r="D842" s="13">
        <f t="shared" si="221"/>
        <v>0</v>
      </c>
      <c r="E842" t="s">
        <v>2594</v>
      </c>
      <c r="F842" t="s">
        <v>79</v>
      </c>
      <c r="G842" t="s">
        <v>95</v>
      </c>
      <c r="H842" t="s">
        <v>25</v>
      </c>
      <c r="I842" t="s">
        <v>350</v>
      </c>
      <c r="J842" t="s">
        <v>351</v>
      </c>
      <c r="K842" t="s">
        <v>41</v>
      </c>
      <c r="L842" t="s">
        <v>66</v>
      </c>
      <c r="M842" t="s">
        <v>2595</v>
      </c>
      <c r="N842" t="s">
        <v>44</v>
      </c>
      <c r="O842">
        <v>4</v>
      </c>
      <c r="P842">
        <v>1584.11</v>
      </c>
      <c r="Q842" s="11">
        <v>0</v>
      </c>
      <c r="R842">
        <v>6336.44</v>
      </c>
      <c r="S842">
        <v>4680.68</v>
      </c>
      <c r="T842">
        <v>1655.76</v>
      </c>
      <c r="U842" t="s">
        <v>32</v>
      </c>
      <c r="V842" t="s">
        <v>33</v>
      </c>
      <c r="X842" s="8" t="str">
        <f>IF(C842&gt;=B842,"Valid", "Invalid-Date")</f>
        <v>Valid</v>
      </c>
      <c r="Y842" s="8" t="str">
        <f t="shared" si="222"/>
        <v>Valid</v>
      </c>
      <c r="Z842" s="8" t="str">
        <f t="shared" si="223"/>
        <v>Pass</v>
      </c>
      <c r="AA842" s="8" t="str">
        <f t="shared" si="224"/>
        <v>Pass</v>
      </c>
      <c r="AB842" s="8" t="str">
        <f>TEXT(B842,"mmmm")</f>
        <v>September</v>
      </c>
      <c r="AC842" s="8" t="str">
        <f>TEXT(B842,"yyyy")</f>
        <v>2025</v>
      </c>
      <c r="AE842">
        <f t="shared" si="225"/>
        <v>6336.44</v>
      </c>
      <c r="AF842" s="11">
        <f t="shared" si="226"/>
        <v>6336.44</v>
      </c>
      <c r="AG842">
        <f t="shared" si="227"/>
        <v>1655.7599999999993</v>
      </c>
      <c r="AH842" s="11">
        <f t="shared" si="228"/>
        <v>0.26130761121386764</v>
      </c>
      <c r="AI842" s="9">
        <f t="shared" si="229"/>
        <v>0.26130761121386764</v>
      </c>
      <c r="AJ842">
        <f t="shared" si="230"/>
        <v>6336.44</v>
      </c>
      <c r="AK842">
        <f t="shared" si="231"/>
        <v>1</v>
      </c>
      <c r="AL842">
        <f t="shared" si="232"/>
        <v>0</v>
      </c>
      <c r="AM842">
        <f t="shared" si="233"/>
        <v>0</v>
      </c>
      <c r="AN842">
        <f t="shared" si="234"/>
        <v>0</v>
      </c>
      <c r="AO842">
        <f t="shared" si="235"/>
        <v>0</v>
      </c>
      <c r="AP842">
        <f t="shared" si="236"/>
        <v>0</v>
      </c>
      <c r="AQ842">
        <f t="shared" si="237"/>
        <v>0</v>
      </c>
    </row>
    <row r="843" spans="1:43">
      <c r="A843" t="s">
        <v>2596</v>
      </c>
      <c r="B843" s="5">
        <v>45694</v>
      </c>
      <c r="C843" s="5">
        <v>45993</v>
      </c>
      <c r="D843" s="13">
        <f t="shared" si="221"/>
        <v>299</v>
      </c>
      <c r="E843" t="s">
        <v>2597</v>
      </c>
      <c r="F843" t="s">
        <v>62</v>
      </c>
      <c r="G843" t="s">
        <v>37</v>
      </c>
      <c r="H843" t="s">
        <v>38</v>
      </c>
      <c r="I843" t="s">
        <v>145</v>
      </c>
      <c r="J843" t="s">
        <v>146</v>
      </c>
      <c r="K843" t="s">
        <v>28</v>
      </c>
      <c r="L843" t="s">
        <v>48</v>
      </c>
      <c r="M843" t="s">
        <v>2598</v>
      </c>
      <c r="N843" t="s">
        <v>59</v>
      </c>
      <c r="O843">
        <v>9</v>
      </c>
      <c r="P843">
        <v>3237.16</v>
      </c>
      <c r="Q843" s="11">
        <v>0.25</v>
      </c>
      <c r="R843">
        <v>21850.83</v>
      </c>
      <c r="S843">
        <v>16600.13</v>
      </c>
      <c r="T843">
        <v>5250.7</v>
      </c>
      <c r="U843" t="s">
        <v>32</v>
      </c>
      <c r="V843" t="s">
        <v>33</v>
      </c>
      <c r="X843" s="8" t="str">
        <f>IF(C843&gt;=B843,"Valid", "Invalid-Date")</f>
        <v>Valid</v>
      </c>
      <c r="Y843" s="8" t="str">
        <f t="shared" si="222"/>
        <v>Valid</v>
      </c>
      <c r="Z843" s="8" t="str">
        <f t="shared" si="223"/>
        <v>Pass</v>
      </c>
      <c r="AA843" s="8" t="str">
        <f t="shared" si="224"/>
        <v>Pass</v>
      </c>
      <c r="AB843" s="8" t="str">
        <f>TEXT(B843,"mmmm")</f>
        <v>February</v>
      </c>
      <c r="AC843" s="8" t="str">
        <f>TEXT(B843,"yyyy")</f>
        <v>2025</v>
      </c>
      <c r="AE843">
        <f t="shared" si="225"/>
        <v>29134.44</v>
      </c>
      <c r="AF843" s="11">
        <f t="shared" si="226"/>
        <v>21850.829999999998</v>
      </c>
      <c r="AG843">
        <f t="shared" si="227"/>
        <v>12534.309999999998</v>
      </c>
      <c r="AH843" s="11">
        <f t="shared" si="228"/>
        <v>0.43022313111218197</v>
      </c>
      <c r="AI843" s="9">
        <f t="shared" si="229"/>
        <v>0.43022313111218197</v>
      </c>
      <c r="AJ843">
        <f t="shared" si="230"/>
        <v>21850.83</v>
      </c>
      <c r="AK843">
        <f t="shared" si="231"/>
        <v>1</v>
      </c>
      <c r="AL843">
        <f t="shared" si="232"/>
        <v>0</v>
      </c>
      <c r="AM843">
        <f t="shared" si="233"/>
        <v>0</v>
      </c>
      <c r="AN843">
        <f t="shared" si="234"/>
        <v>0</v>
      </c>
      <c r="AO843">
        <f t="shared" si="235"/>
        <v>0</v>
      </c>
      <c r="AP843">
        <f t="shared" si="236"/>
        <v>0</v>
      </c>
      <c r="AQ843">
        <f t="shared" si="237"/>
        <v>0</v>
      </c>
    </row>
    <row r="844" spans="1:43">
      <c r="A844" t="s">
        <v>2599</v>
      </c>
      <c r="B844" s="5">
        <v>45382</v>
      </c>
      <c r="C844" s="5">
        <v>45381</v>
      </c>
      <c r="D844" s="13">
        <f t="shared" si="221"/>
        <v>-1</v>
      </c>
      <c r="E844" t="s">
        <v>2600</v>
      </c>
      <c r="F844" t="s">
        <v>2601</v>
      </c>
      <c r="G844" t="s">
        <v>24</v>
      </c>
      <c r="H844" t="s">
        <v>25</v>
      </c>
      <c r="I844" t="s">
        <v>236</v>
      </c>
      <c r="J844" t="s">
        <v>237</v>
      </c>
      <c r="K844" t="s">
        <v>74</v>
      </c>
      <c r="L844" t="s">
        <v>274</v>
      </c>
      <c r="M844" t="s">
        <v>2602</v>
      </c>
      <c r="N844" t="s">
        <v>50</v>
      </c>
      <c r="O844">
        <v>4</v>
      </c>
      <c r="P844">
        <v>2192.08</v>
      </c>
      <c r="Q844" s="11">
        <v>0.15</v>
      </c>
      <c r="R844">
        <v>7453.07</v>
      </c>
      <c r="S844">
        <v>5133.78</v>
      </c>
      <c r="T844">
        <v>2319.29</v>
      </c>
      <c r="U844" t="s">
        <v>32</v>
      </c>
      <c r="V844" t="s">
        <v>103</v>
      </c>
      <c r="X844" s="8" t="str">
        <f>IF(C844&gt;=B844,"Valid", "Invalid-Date")</f>
        <v>Invalid-Date</v>
      </c>
      <c r="Y844" s="8" t="str">
        <f t="shared" si="222"/>
        <v>Valid</v>
      </c>
      <c r="Z844" s="8" t="str">
        <f t="shared" si="223"/>
        <v>Pass</v>
      </c>
      <c r="AA844" s="8" t="str">
        <f t="shared" si="224"/>
        <v>Pass</v>
      </c>
      <c r="AB844" s="8" t="str">
        <f>TEXT(B844,"mmmm")</f>
        <v>March</v>
      </c>
      <c r="AC844" s="8" t="str">
        <f>TEXT(B844,"yyyy")</f>
        <v>2024</v>
      </c>
      <c r="AE844">
        <f t="shared" si="225"/>
        <v>8768.32</v>
      </c>
      <c r="AF844" s="11">
        <f t="shared" si="226"/>
        <v>7453.0719999999992</v>
      </c>
      <c r="AG844">
        <f t="shared" si="227"/>
        <v>3634.54</v>
      </c>
      <c r="AH844" s="11">
        <f t="shared" si="228"/>
        <v>0.41450813838910988</v>
      </c>
      <c r="AI844" s="9">
        <f t="shared" si="229"/>
        <v>0.41450813838910988</v>
      </c>
      <c r="AJ844">
        <f t="shared" si="230"/>
        <v>0</v>
      </c>
      <c r="AK844">
        <f t="shared" si="231"/>
        <v>0</v>
      </c>
      <c r="AL844">
        <f t="shared" si="232"/>
        <v>0</v>
      </c>
      <c r="AM844">
        <f t="shared" si="233"/>
        <v>0</v>
      </c>
      <c r="AN844">
        <f t="shared" si="234"/>
        <v>0</v>
      </c>
      <c r="AO844">
        <f t="shared" si="235"/>
        <v>0</v>
      </c>
      <c r="AP844">
        <f t="shared" si="236"/>
        <v>7453.07</v>
      </c>
      <c r="AQ844">
        <f t="shared" si="237"/>
        <v>1</v>
      </c>
    </row>
    <row r="845" spans="1:43">
      <c r="A845" t="s">
        <v>2603</v>
      </c>
      <c r="B845" s="5">
        <v>45856</v>
      </c>
      <c r="C845" s="5">
        <v>45863</v>
      </c>
      <c r="D845" s="13">
        <f t="shared" si="221"/>
        <v>7</v>
      </c>
      <c r="E845" t="s">
        <v>2604</v>
      </c>
      <c r="F845" t="s">
        <v>114</v>
      </c>
      <c r="G845" t="s">
        <v>37</v>
      </c>
      <c r="H845" t="s">
        <v>25</v>
      </c>
      <c r="I845" t="s">
        <v>136</v>
      </c>
      <c r="J845" t="s">
        <v>137</v>
      </c>
      <c r="K845" t="s">
        <v>74</v>
      </c>
      <c r="L845" t="s">
        <v>171</v>
      </c>
      <c r="M845" t="s">
        <v>2605</v>
      </c>
      <c r="N845" t="s">
        <v>50</v>
      </c>
      <c r="O845">
        <v>9</v>
      </c>
      <c r="P845">
        <v>3989.52</v>
      </c>
      <c r="Q845" s="11">
        <v>-0.02</v>
      </c>
      <c r="R845">
        <v>35905.68</v>
      </c>
      <c r="S845">
        <v>23916.1</v>
      </c>
      <c r="T845">
        <v>11989.58</v>
      </c>
      <c r="U845" t="s">
        <v>32</v>
      </c>
      <c r="V845" t="s">
        <v>33</v>
      </c>
      <c r="X845" s="8" t="str">
        <f>IF(C845&gt;=B845,"Valid", "Invalid-Date")</f>
        <v>Valid</v>
      </c>
      <c r="Y845" s="8" t="str">
        <f t="shared" si="222"/>
        <v>Invalid-Discount</v>
      </c>
      <c r="Z845" s="8" t="str">
        <f t="shared" si="223"/>
        <v>Pass</v>
      </c>
      <c r="AA845" s="8" t="str">
        <f t="shared" si="224"/>
        <v>Pass</v>
      </c>
      <c r="AB845" s="8" t="str">
        <f>TEXT(B845,"mmmm")</f>
        <v>July</v>
      </c>
      <c r="AC845" s="8" t="str">
        <f>TEXT(B845,"yyyy")</f>
        <v>2025</v>
      </c>
      <c r="AE845">
        <f t="shared" si="225"/>
        <v>35905.68</v>
      </c>
      <c r="AF845" s="11">
        <f t="shared" si="226"/>
        <v>36623.793600000005</v>
      </c>
      <c r="AG845">
        <f t="shared" si="227"/>
        <v>11989.580000000002</v>
      </c>
      <c r="AH845" s="11">
        <f t="shared" si="228"/>
        <v>0.33391875602968674</v>
      </c>
      <c r="AI845" s="9">
        <f t="shared" si="229"/>
        <v>0.33391875602968674</v>
      </c>
      <c r="AJ845">
        <f t="shared" si="230"/>
        <v>35905.68</v>
      </c>
      <c r="AK845">
        <f t="shared" si="231"/>
        <v>1</v>
      </c>
      <c r="AL845">
        <f t="shared" si="232"/>
        <v>0</v>
      </c>
      <c r="AM845">
        <f t="shared" si="233"/>
        <v>0</v>
      </c>
      <c r="AN845">
        <f t="shared" si="234"/>
        <v>0</v>
      </c>
      <c r="AO845">
        <f t="shared" si="235"/>
        <v>0</v>
      </c>
      <c r="AP845">
        <f t="shared" si="236"/>
        <v>0</v>
      </c>
      <c r="AQ845">
        <f t="shared" si="237"/>
        <v>0</v>
      </c>
    </row>
    <row r="846" spans="1:43">
      <c r="A846" t="s">
        <v>2606</v>
      </c>
      <c r="B846" s="5">
        <v>45677</v>
      </c>
      <c r="C846" s="5">
        <v>45682</v>
      </c>
      <c r="D846" s="13">
        <f t="shared" si="221"/>
        <v>5</v>
      </c>
      <c r="E846" t="s">
        <v>2607</v>
      </c>
      <c r="F846" t="s">
        <v>89</v>
      </c>
      <c r="G846" t="s">
        <v>95</v>
      </c>
      <c r="H846" t="s">
        <v>63</v>
      </c>
      <c r="I846" t="s">
        <v>190</v>
      </c>
      <c r="J846" t="s">
        <v>191</v>
      </c>
      <c r="K846" t="s">
        <v>28</v>
      </c>
      <c r="L846" t="s">
        <v>48</v>
      </c>
      <c r="M846" t="s">
        <v>2608</v>
      </c>
      <c r="N846" t="s">
        <v>50</v>
      </c>
      <c r="O846">
        <v>1</v>
      </c>
      <c r="P846">
        <v>3515.15</v>
      </c>
      <c r="Q846" s="11">
        <v>0</v>
      </c>
      <c r="R846">
        <v>3515.15</v>
      </c>
      <c r="S846">
        <v>2216.34</v>
      </c>
      <c r="T846">
        <v>1298.81</v>
      </c>
      <c r="U846" t="s">
        <v>32</v>
      </c>
      <c r="V846" t="s">
        <v>33</v>
      </c>
      <c r="X846" s="8" t="str">
        <f>IF(C846&gt;=B846,"Valid", "Invalid-Date")</f>
        <v>Valid</v>
      </c>
      <c r="Y846" s="8" t="str">
        <f t="shared" si="222"/>
        <v>Valid</v>
      </c>
      <c r="Z846" s="8" t="str">
        <f t="shared" si="223"/>
        <v>Pass</v>
      </c>
      <c r="AA846" s="8" t="str">
        <f t="shared" si="224"/>
        <v>Pass</v>
      </c>
      <c r="AB846" s="8" t="str">
        <f>TEXT(B846,"mmmm")</f>
        <v>January</v>
      </c>
      <c r="AC846" s="8" t="str">
        <f>TEXT(B846,"yyyy")</f>
        <v>2025</v>
      </c>
      <c r="AE846">
        <f t="shared" si="225"/>
        <v>3515.15</v>
      </c>
      <c r="AF846" s="11">
        <f t="shared" si="226"/>
        <v>3515.15</v>
      </c>
      <c r="AG846">
        <f t="shared" si="227"/>
        <v>1298.81</v>
      </c>
      <c r="AH846" s="11">
        <f t="shared" si="228"/>
        <v>0.36948921098672882</v>
      </c>
      <c r="AI846" s="9">
        <f t="shared" si="229"/>
        <v>0.36948921098672882</v>
      </c>
      <c r="AJ846">
        <f t="shared" si="230"/>
        <v>3515.15</v>
      </c>
      <c r="AK846">
        <f t="shared" si="231"/>
        <v>1</v>
      </c>
      <c r="AL846">
        <f t="shared" si="232"/>
        <v>0</v>
      </c>
      <c r="AM846">
        <f t="shared" si="233"/>
        <v>0</v>
      </c>
      <c r="AN846">
        <f t="shared" si="234"/>
        <v>0</v>
      </c>
      <c r="AO846">
        <f t="shared" si="235"/>
        <v>0</v>
      </c>
      <c r="AP846">
        <f t="shared" si="236"/>
        <v>0</v>
      </c>
      <c r="AQ846">
        <f t="shared" si="237"/>
        <v>0</v>
      </c>
    </row>
    <row r="847" spans="1:43">
      <c r="A847" t="s">
        <v>2609</v>
      </c>
      <c r="B847" s="5">
        <v>45345</v>
      </c>
      <c r="C847" s="5">
        <v>45349</v>
      </c>
      <c r="D847" s="13">
        <f t="shared" si="221"/>
        <v>4</v>
      </c>
      <c r="E847" t="s">
        <v>592</v>
      </c>
      <c r="F847" t="s">
        <v>23</v>
      </c>
      <c r="G847" t="s">
        <v>24</v>
      </c>
      <c r="H847" t="s">
        <v>38</v>
      </c>
      <c r="I847" t="s">
        <v>39</v>
      </c>
      <c r="J847" t="s">
        <v>40</v>
      </c>
      <c r="K847" t="s">
        <v>41</v>
      </c>
      <c r="L847" t="s">
        <v>42</v>
      </c>
      <c r="M847" t="s">
        <v>2610</v>
      </c>
      <c r="N847" t="s">
        <v>50</v>
      </c>
      <c r="O847">
        <v>9</v>
      </c>
      <c r="P847">
        <v>3616.23</v>
      </c>
      <c r="Q847" s="11">
        <v>0.25</v>
      </c>
      <c r="R847">
        <v>24409.55</v>
      </c>
      <c r="S847">
        <v>17157.580000000002</v>
      </c>
      <c r="T847">
        <v>7251.97</v>
      </c>
      <c r="U847" t="s">
        <v>111</v>
      </c>
      <c r="V847" t="s">
        <v>103</v>
      </c>
      <c r="X847" s="8" t="str">
        <f>IF(C847&gt;=B847,"Valid", "Invalid-Date")</f>
        <v>Valid</v>
      </c>
      <c r="Y847" s="8" t="str">
        <f t="shared" si="222"/>
        <v>Valid</v>
      </c>
      <c r="Z847" s="8" t="str">
        <f t="shared" si="223"/>
        <v>Pass</v>
      </c>
      <c r="AA847" s="8" t="str">
        <f t="shared" si="224"/>
        <v>Pass</v>
      </c>
      <c r="AB847" s="8" t="str">
        <f>TEXT(B847,"mmmm")</f>
        <v>February</v>
      </c>
      <c r="AC847" s="8" t="str">
        <f>TEXT(B847,"yyyy")</f>
        <v>2024</v>
      </c>
      <c r="AE847">
        <f t="shared" si="225"/>
        <v>32546.07</v>
      </c>
      <c r="AF847" s="11">
        <f t="shared" si="226"/>
        <v>24409.552499999998</v>
      </c>
      <c r="AG847">
        <f t="shared" si="227"/>
        <v>15388.489999999998</v>
      </c>
      <c r="AH847" s="11">
        <f t="shared" si="228"/>
        <v>0.47282175697403706</v>
      </c>
      <c r="AI847" s="9">
        <f t="shared" si="229"/>
        <v>0.47282175697403706</v>
      </c>
      <c r="AJ847">
        <f t="shared" si="230"/>
        <v>0</v>
      </c>
      <c r="AK847">
        <f t="shared" si="231"/>
        <v>0</v>
      </c>
      <c r="AL847">
        <f t="shared" si="232"/>
        <v>0</v>
      </c>
      <c r="AM847">
        <f t="shared" si="233"/>
        <v>0</v>
      </c>
      <c r="AN847">
        <f t="shared" si="234"/>
        <v>0</v>
      </c>
      <c r="AO847">
        <f t="shared" si="235"/>
        <v>0</v>
      </c>
      <c r="AP847">
        <f t="shared" si="236"/>
        <v>24409.55</v>
      </c>
      <c r="AQ847">
        <f t="shared" si="237"/>
        <v>1</v>
      </c>
    </row>
    <row r="848" spans="1:43">
      <c r="A848" t="s">
        <v>2611</v>
      </c>
      <c r="B848" s="5">
        <v>45396</v>
      </c>
      <c r="C848" s="5">
        <v>45404</v>
      </c>
      <c r="D848" s="13">
        <f t="shared" si="221"/>
        <v>8</v>
      </c>
      <c r="E848" t="s">
        <v>2612</v>
      </c>
      <c r="F848" t="s">
        <v>114</v>
      </c>
      <c r="G848" t="s">
        <v>37</v>
      </c>
      <c r="H848" t="s">
        <v>63</v>
      </c>
      <c r="I848" t="s">
        <v>180</v>
      </c>
      <c r="J848" t="s">
        <v>181</v>
      </c>
      <c r="K848" t="s">
        <v>41</v>
      </c>
      <c r="L848" t="s">
        <v>158</v>
      </c>
      <c r="M848" t="s">
        <v>2613</v>
      </c>
      <c r="N848" t="s">
        <v>59</v>
      </c>
      <c r="O848">
        <v>2</v>
      </c>
      <c r="P848">
        <v>3977.52</v>
      </c>
      <c r="Q848" s="11">
        <v>0</v>
      </c>
      <c r="R848">
        <v>7955.04</v>
      </c>
      <c r="S848">
        <v>5580.68</v>
      </c>
      <c r="T848">
        <v>2374.36</v>
      </c>
      <c r="U848" t="s">
        <v>111</v>
      </c>
      <c r="V848" t="s">
        <v>103</v>
      </c>
      <c r="X848" s="8" t="str">
        <f>IF(C848&gt;=B848,"Valid", "Invalid-Date")</f>
        <v>Valid</v>
      </c>
      <c r="Y848" s="8" t="str">
        <f t="shared" si="222"/>
        <v>Valid</v>
      </c>
      <c r="Z848" s="8" t="str">
        <f t="shared" si="223"/>
        <v>Pass</v>
      </c>
      <c r="AA848" s="8" t="str">
        <f t="shared" si="224"/>
        <v>Pass</v>
      </c>
      <c r="AB848" s="8" t="str">
        <f>TEXT(B848,"mmmm")</f>
        <v>April</v>
      </c>
      <c r="AC848" s="8" t="str">
        <f>TEXT(B848,"yyyy")</f>
        <v>2024</v>
      </c>
      <c r="AE848">
        <f t="shared" si="225"/>
        <v>7955.04</v>
      </c>
      <c r="AF848" s="11">
        <f t="shared" si="226"/>
        <v>7955.04</v>
      </c>
      <c r="AG848">
        <f t="shared" si="227"/>
        <v>2374.3599999999997</v>
      </c>
      <c r="AH848" s="11">
        <f t="shared" si="228"/>
        <v>0.29847241497214339</v>
      </c>
      <c r="AI848" s="9">
        <f t="shared" si="229"/>
        <v>0.29847241497214339</v>
      </c>
      <c r="AJ848">
        <f t="shared" si="230"/>
        <v>0</v>
      </c>
      <c r="AK848">
        <f t="shared" si="231"/>
        <v>0</v>
      </c>
      <c r="AL848">
        <f t="shared" si="232"/>
        <v>0</v>
      </c>
      <c r="AM848">
        <f t="shared" si="233"/>
        <v>0</v>
      </c>
      <c r="AN848">
        <f t="shared" si="234"/>
        <v>0</v>
      </c>
      <c r="AO848">
        <f t="shared" si="235"/>
        <v>0</v>
      </c>
      <c r="AP848">
        <f t="shared" si="236"/>
        <v>7955.04</v>
      </c>
      <c r="AQ848">
        <f t="shared" si="237"/>
        <v>1</v>
      </c>
    </row>
    <row r="849" spans="1:43">
      <c r="A849" t="s">
        <v>2614</v>
      </c>
      <c r="B849" s="5">
        <v>45797</v>
      </c>
      <c r="C849" s="5">
        <v>45799</v>
      </c>
      <c r="D849" s="13">
        <f t="shared" si="221"/>
        <v>2</v>
      </c>
      <c r="E849" t="s">
        <v>2615</v>
      </c>
      <c r="F849" t="s">
        <v>162</v>
      </c>
      <c r="G849" t="s">
        <v>95</v>
      </c>
      <c r="H849" t="s">
        <v>38</v>
      </c>
      <c r="I849" t="s">
        <v>39</v>
      </c>
      <c r="J849" t="s">
        <v>40</v>
      </c>
      <c r="K849" t="s">
        <v>41</v>
      </c>
      <c r="L849" t="s">
        <v>42</v>
      </c>
      <c r="M849" t="s">
        <v>2616</v>
      </c>
      <c r="N849" t="s">
        <v>31</v>
      </c>
      <c r="O849">
        <v>2</v>
      </c>
      <c r="P849">
        <v>210.08</v>
      </c>
      <c r="Q849" s="11">
        <v>0.2</v>
      </c>
      <c r="R849">
        <v>336.13</v>
      </c>
      <c r="S849">
        <v>242.19</v>
      </c>
      <c r="T849">
        <v>93.94</v>
      </c>
      <c r="U849" t="s">
        <v>32</v>
      </c>
      <c r="V849" t="s">
        <v>33</v>
      </c>
      <c r="X849" s="8" t="str">
        <f>IF(C849&gt;=B849,"Valid", "Invalid-Date")</f>
        <v>Valid</v>
      </c>
      <c r="Y849" s="8" t="str">
        <f t="shared" si="222"/>
        <v>Valid</v>
      </c>
      <c r="Z849" s="8" t="str">
        <f t="shared" si="223"/>
        <v>Pass</v>
      </c>
      <c r="AA849" s="8" t="str">
        <f t="shared" si="224"/>
        <v>Pass</v>
      </c>
      <c r="AB849" s="8" t="str">
        <f>TEXT(B849,"mmmm")</f>
        <v>May</v>
      </c>
      <c r="AC849" s="8" t="str">
        <f>TEXT(B849,"yyyy")</f>
        <v>2025</v>
      </c>
      <c r="AE849">
        <f t="shared" si="225"/>
        <v>420.16</v>
      </c>
      <c r="AF849" s="11">
        <f t="shared" si="226"/>
        <v>336.12800000000004</v>
      </c>
      <c r="AG849">
        <f t="shared" si="227"/>
        <v>177.97000000000003</v>
      </c>
      <c r="AH849" s="11">
        <f t="shared" si="228"/>
        <v>0.42357673267326734</v>
      </c>
      <c r="AI849" s="9">
        <f t="shared" si="229"/>
        <v>0.42357673267326734</v>
      </c>
      <c r="AJ849">
        <f t="shared" si="230"/>
        <v>336.13</v>
      </c>
      <c r="AK849">
        <f t="shared" si="231"/>
        <v>1</v>
      </c>
      <c r="AL849">
        <f t="shared" si="232"/>
        <v>0</v>
      </c>
      <c r="AM849">
        <f t="shared" si="233"/>
        <v>0</v>
      </c>
      <c r="AN849">
        <f t="shared" si="234"/>
        <v>0</v>
      </c>
      <c r="AO849">
        <f t="shared" si="235"/>
        <v>0</v>
      </c>
      <c r="AP849">
        <f t="shared" si="236"/>
        <v>0</v>
      </c>
      <c r="AQ849">
        <f t="shared" si="237"/>
        <v>0</v>
      </c>
    </row>
    <row r="850" spans="1:43">
      <c r="A850" t="s">
        <v>2617</v>
      </c>
      <c r="B850" s="5">
        <v>45804</v>
      </c>
      <c r="C850" s="5">
        <v>45806</v>
      </c>
      <c r="D850" s="13">
        <f t="shared" si="221"/>
        <v>2</v>
      </c>
      <c r="E850" t="s">
        <v>2618</v>
      </c>
      <c r="F850" t="s">
        <v>118</v>
      </c>
      <c r="G850" t="s">
        <v>95</v>
      </c>
      <c r="H850" t="s">
        <v>54</v>
      </c>
      <c r="I850" t="s">
        <v>247</v>
      </c>
      <c r="J850" t="s">
        <v>248</v>
      </c>
      <c r="K850" t="s">
        <v>41</v>
      </c>
      <c r="L850" t="s">
        <v>57</v>
      </c>
      <c r="M850" t="s">
        <v>2619</v>
      </c>
      <c r="N850" t="s">
        <v>31</v>
      </c>
      <c r="O850">
        <v>1</v>
      </c>
      <c r="P850">
        <v>1744.35</v>
      </c>
      <c r="Q850" s="11">
        <v>0.25</v>
      </c>
      <c r="R850">
        <v>1308.26</v>
      </c>
      <c r="S850">
        <v>1083.56</v>
      </c>
      <c r="T850">
        <v>224.7</v>
      </c>
      <c r="U850" t="s">
        <v>32</v>
      </c>
      <c r="V850" t="s">
        <v>33</v>
      </c>
      <c r="X850" s="8" t="str">
        <f>IF(C850&gt;=B850,"Valid", "Invalid-Date")</f>
        <v>Valid</v>
      </c>
      <c r="Y850" s="8" t="str">
        <f t="shared" si="222"/>
        <v>Valid</v>
      </c>
      <c r="Z850" s="8" t="str">
        <f t="shared" si="223"/>
        <v>Pass</v>
      </c>
      <c r="AA850" s="8" t="str">
        <f t="shared" si="224"/>
        <v>Pass</v>
      </c>
      <c r="AB850" s="8" t="str">
        <f>TEXT(B850,"mmmm")</f>
        <v>May</v>
      </c>
      <c r="AC850" s="8" t="str">
        <f>TEXT(B850,"yyyy")</f>
        <v>2025</v>
      </c>
      <c r="AE850">
        <f t="shared" si="225"/>
        <v>1744.35</v>
      </c>
      <c r="AF850" s="11">
        <f t="shared" si="226"/>
        <v>1308.2624999999998</v>
      </c>
      <c r="AG850">
        <f t="shared" si="227"/>
        <v>660.79</v>
      </c>
      <c r="AH850" s="11">
        <f t="shared" si="228"/>
        <v>0.37881732450482986</v>
      </c>
      <c r="AI850" s="9">
        <f t="shared" si="229"/>
        <v>0.37881732450482986</v>
      </c>
      <c r="AJ850">
        <f t="shared" si="230"/>
        <v>1308.26</v>
      </c>
      <c r="AK850">
        <f t="shared" si="231"/>
        <v>1</v>
      </c>
      <c r="AL850">
        <f t="shared" si="232"/>
        <v>0</v>
      </c>
      <c r="AM850">
        <f t="shared" si="233"/>
        <v>0</v>
      </c>
      <c r="AN850">
        <f t="shared" si="234"/>
        <v>0</v>
      </c>
      <c r="AO850">
        <f t="shared" si="235"/>
        <v>0</v>
      </c>
      <c r="AP850">
        <f t="shared" si="236"/>
        <v>0</v>
      </c>
      <c r="AQ850">
        <f t="shared" si="237"/>
        <v>0</v>
      </c>
    </row>
    <row r="851" spans="1:43" s="15" customFormat="1">
      <c r="A851" s="15" t="s">
        <v>2620</v>
      </c>
      <c r="B851" s="16">
        <v>45357</v>
      </c>
      <c r="C851" s="16">
        <v>45363</v>
      </c>
      <c r="D851" s="17">
        <f t="shared" si="221"/>
        <v>6</v>
      </c>
      <c r="E851" s="15" t="s">
        <v>2621</v>
      </c>
      <c r="F851" s="15" t="s">
        <v>47</v>
      </c>
      <c r="G851" s="15" t="s">
        <v>95</v>
      </c>
      <c r="H851" s="15" t="s">
        <v>63</v>
      </c>
      <c r="I851" s="15" t="s">
        <v>180</v>
      </c>
      <c r="J851" s="15" t="s">
        <v>181</v>
      </c>
      <c r="K851" s="15" t="s">
        <v>41</v>
      </c>
      <c r="L851" s="15" t="s">
        <v>158</v>
      </c>
      <c r="M851" s="15" t="s">
        <v>2622</v>
      </c>
      <c r="N851" s="15" t="s">
        <v>59</v>
      </c>
      <c r="O851" s="15">
        <v>3</v>
      </c>
      <c r="P851" s="15">
        <v>679.63</v>
      </c>
      <c r="Q851" s="18">
        <v>0.2</v>
      </c>
      <c r="R851" s="15">
        <v>1631.11</v>
      </c>
      <c r="S851" s="15">
        <v>898.73</v>
      </c>
      <c r="T851" s="15">
        <v>396.58</v>
      </c>
      <c r="U851" s="15" t="s">
        <v>32</v>
      </c>
      <c r="V851" s="15" t="s">
        <v>33</v>
      </c>
      <c r="W851" s="25"/>
      <c r="X851" s="8" t="str">
        <f>IF(C851&gt;=B851,"Valid", "Invalid-Date")</f>
        <v>Valid</v>
      </c>
      <c r="Y851" s="8" t="str">
        <f t="shared" si="222"/>
        <v>Valid</v>
      </c>
      <c r="Z851" s="19" t="str">
        <f t="shared" si="223"/>
        <v>Pass</v>
      </c>
      <c r="AA851" s="19" t="str">
        <f t="shared" si="224"/>
        <v>Pass</v>
      </c>
      <c r="AB851" s="19" t="str">
        <f>TEXT(B851,"mmmm")</f>
        <v>March</v>
      </c>
      <c r="AC851" s="19" t="str">
        <f>TEXT(B851,"yyyy")</f>
        <v>2024</v>
      </c>
      <c r="AD851" s="20"/>
      <c r="AE851" s="15">
        <f t="shared" si="225"/>
        <v>2038.8899999999999</v>
      </c>
      <c r="AF851" s="11">
        <f t="shared" si="226"/>
        <v>1631.1120000000001</v>
      </c>
      <c r="AG851" s="15">
        <f t="shared" si="227"/>
        <v>1140.1599999999999</v>
      </c>
      <c r="AH851" s="18">
        <f t="shared" si="228"/>
        <v>0.55920623476499465</v>
      </c>
      <c r="AI851" s="21">
        <f t="shared" si="229"/>
        <v>0.55920623476499465</v>
      </c>
      <c r="AJ851">
        <f t="shared" si="230"/>
        <v>1631.11</v>
      </c>
      <c r="AK851">
        <f t="shared" si="231"/>
        <v>1</v>
      </c>
      <c r="AL851">
        <f t="shared" si="232"/>
        <v>0</v>
      </c>
      <c r="AM851">
        <f t="shared" si="233"/>
        <v>0</v>
      </c>
      <c r="AN851">
        <f t="shared" si="234"/>
        <v>0</v>
      </c>
      <c r="AO851">
        <f t="shared" si="235"/>
        <v>0</v>
      </c>
      <c r="AP851">
        <f t="shared" si="236"/>
        <v>0</v>
      </c>
      <c r="AQ851">
        <f t="shared" si="237"/>
        <v>0</v>
      </c>
    </row>
    <row r="852" spans="1:43">
      <c r="A852" t="s">
        <v>2623</v>
      </c>
      <c r="B852" s="5">
        <v>45473</v>
      </c>
      <c r="C852" s="5">
        <v>45358</v>
      </c>
      <c r="D852" s="13">
        <f t="shared" si="221"/>
        <v>-115</v>
      </c>
      <c r="E852" t="s">
        <v>2624</v>
      </c>
      <c r="F852" t="s">
        <v>114</v>
      </c>
      <c r="G852" t="s">
        <v>95</v>
      </c>
      <c r="H852" t="s">
        <v>38</v>
      </c>
      <c r="I852" t="s">
        <v>99</v>
      </c>
      <c r="J852" t="s">
        <v>100</v>
      </c>
      <c r="K852" t="s">
        <v>28</v>
      </c>
      <c r="L852" t="s">
        <v>29</v>
      </c>
      <c r="M852" t="s">
        <v>2625</v>
      </c>
      <c r="N852" t="s">
        <v>50</v>
      </c>
      <c r="O852">
        <v>6</v>
      </c>
      <c r="P852">
        <v>1211.01</v>
      </c>
      <c r="Q852" s="11">
        <v>0</v>
      </c>
      <c r="R852">
        <v>7266.06</v>
      </c>
      <c r="S852">
        <v>6216.89</v>
      </c>
      <c r="T852">
        <v>1049.17</v>
      </c>
      <c r="U852" t="s">
        <v>32</v>
      </c>
      <c r="V852" t="s">
        <v>33</v>
      </c>
      <c r="X852" s="8" t="str">
        <f>IF(C852&gt;=B852,"Valid", "Invalid-Date")</f>
        <v>Invalid-Date</v>
      </c>
      <c r="Y852" s="8" t="str">
        <f t="shared" si="222"/>
        <v>Valid</v>
      </c>
      <c r="Z852" s="8" t="str">
        <f t="shared" si="223"/>
        <v>Pass</v>
      </c>
      <c r="AA852" s="8" t="str">
        <f t="shared" si="224"/>
        <v>Pass</v>
      </c>
      <c r="AB852" s="8" t="str">
        <f>TEXT(B852,"mmmm")</f>
        <v>June</v>
      </c>
      <c r="AC852" s="8" t="str">
        <f>TEXT(B852,"yyyy")</f>
        <v>2024</v>
      </c>
      <c r="AE852">
        <f t="shared" si="225"/>
        <v>7266.0599999999995</v>
      </c>
      <c r="AF852" s="11">
        <f t="shared" si="226"/>
        <v>7266.0599999999995</v>
      </c>
      <c r="AG852">
        <f t="shared" si="227"/>
        <v>1049.1699999999992</v>
      </c>
      <c r="AH852" s="11">
        <f t="shared" si="228"/>
        <v>0.14439324750965438</v>
      </c>
      <c r="AI852" s="9">
        <f t="shared" si="229"/>
        <v>0.14439324750965438</v>
      </c>
      <c r="AJ852">
        <f t="shared" si="230"/>
        <v>7266.06</v>
      </c>
      <c r="AK852">
        <f t="shared" si="231"/>
        <v>1</v>
      </c>
      <c r="AL852">
        <f t="shared" si="232"/>
        <v>0</v>
      </c>
      <c r="AM852">
        <f t="shared" si="233"/>
        <v>0</v>
      </c>
      <c r="AN852">
        <f t="shared" si="234"/>
        <v>0</v>
      </c>
      <c r="AO852">
        <f t="shared" si="235"/>
        <v>0</v>
      </c>
      <c r="AP852">
        <f t="shared" si="236"/>
        <v>0</v>
      </c>
      <c r="AQ852">
        <f t="shared" si="237"/>
        <v>0</v>
      </c>
    </row>
    <row r="853" spans="1:43">
      <c r="A853" t="s">
        <v>2626</v>
      </c>
      <c r="B853" s="5">
        <v>45377</v>
      </c>
      <c r="C853" s="5">
        <v>45295</v>
      </c>
      <c r="D853" s="13">
        <f t="shared" si="221"/>
        <v>-82</v>
      </c>
      <c r="E853" t="s">
        <v>2627</v>
      </c>
      <c r="F853" t="s">
        <v>23</v>
      </c>
      <c r="G853" t="s">
        <v>37</v>
      </c>
      <c r="H853" t="s">
        <v>63</v>
      </c>
      <c r="I853" t="s">
        <v>180</v>
      </c>
      <c r="J853" t="s">
        <v>181</v>
      </c>
      <c r="K853" t="s">
        <v>74</v>
      </c>
      <c r="L853" t="s">
        <v>75</v>
      </c>
      <c r="M853" t="s">
        <v>2628</v>
      </c>
      <c r="N853" t="s">
        <v>50</v>
      </c>
      <c r="O853">
        <v>2</v>
      </c>
      <c r="P853">
        <v>1161.3</v>
      </c>
      <c r="Q853" s="11">
        <v>0.2</v>
      </c>
      <c r="R853">
        <v>1858.08</v>
      </c>
      <c r="S853">
        <v>1590.75</v>
      </c>
      <c r="T853">
        <v>267.33</v>
      </c>
      <c r="U853" t="s">
        <v>32</v>
      </c>
      <c r="V853" t="s">
        <v>33</v>
      </c>
      <c r="X853" s="8" t="str">
        <f>IF(C853&gt;=B853,"Valid", "Invalid-Date")</f>
        <v>Invalid-Date</v>
      </c>
      <c r="Y853" s="8" t="str">
        <f t="shared" si="222"/>
        <v>Valid</v>
      </c>
      <c r="Z853" s="8" t="str">
        <f t="shared" si="223"/>
        <v>Pass</v>
      </c>
      <c r="AA853" s="8" t="str">
        <f t="shared" si="224"/>
        <v>Pass</v>
      </c>
      <c r="AB853" s="8" t="str">
        <f>TEXT(B853,"mmmm")</f>
        <v>March</v>
      </c>
      <c r="AC853" s="8" t="str">
        <f>TEXT(B853,"yyyy")</f>
        <v>2024</v>
      </c>
      <c r="AE853">
        <f t="shared" si="225"/>
        <v>2322.6</v>
      </c>
      <c r="AF853" s="11">
        <f t="shared" si="226"/>
        <v>1858.08</v>
      </c>
      <c r="AG853">
        <f t="shared" si="227"/>
        <v>731.84999999999991</v>
      </c>
      <c r="AH853" s="11">
        <f t="shared" si="228"/>
        <v>0.31509945750452079</v>
      </c>
      <c r="AI853" s="9">
        <f t="shared" si="229"/>
        <v>0.31509945750452079</v>
      </c>
      <c r="AJ853">
        <f t="shared" si="230"/>
        <v>1858.08</v>
      </c>
      <c r="AK853">
        <f t="shared" si="231"/>
        <v>1</v>
      </c>
      <c r="AL853">
        <f t="shared" si="232"/>
        <v>0</v>
      </c>
      <c r="AM853">
        <f t="shared" si="233"/>
        <v>0</v>
      </c>
      <c r="AN853">
        <f t="shared" si="234"/>
        <v>0</v>
      </c>
      <c r="AO853">
        <f t="shared" si="235"/>
        <v>0</v>
      </c>
      <c r="AP853">
        <f t="shared" si="236"/>
        <v>0</v>
      </c>
      <c r="AQ853">
        <f t="shared" si="237"/>
        <v>0</v>
      </c>
    </row>
    <row r="854" spans="1:43">
      <c r="A854" t="s">
        <v>2629</v>
      </c>
      <c r="B854" s="5">
        <v>45383</v>
      </c>
      <c r="C854" s="5">
        <v>45390</v>
      </c>
      <c r="D854" s="13">
        <f t="shared" si="221"/>
        <v>7</v>
      </c>
      <c r="E854" t="s">
        <v>2630</v>
      </c>
      <c r="F854" t="s">
        <v>62</v>
      </c>
      <c r="G854" t="s">
        <v>24</v>
      </c>
      <c r="H854" t="s">
        <v>38</v>
      </c>
      <c r="I854" t="s">
        <v>166</v>
      </c>
      <c r="J854" t="s">
        <v>167</v>
      </c>
      <c r="K854" t="s">
        <v>41</v>
      </c>
      <c r="L854" t="s">
        <v>42</v>
      </c>
      <c r="M854" t="s">
        <v>2631</v>
      </c>
      <c r="N854" t="s">
        <v>31</v>
      </c>
      <c r="O854">
        <v>7</v>
      </c>
      <c r="P854">
        <v>4205.3500000000004</v>
      </c>
      <c r="Q854" s="11">
        <v>0.15</v>
      </c>
      <c r="R854">
        <v>25021.83</v>
      </c>
      <c r="S854">
        <v>15544.44</v>
      </c>
      <c r="T854">
        <v>9477.39</v>
      </c>
      <c r="U854" t="s">
        <v>111</v>
      </c>
      <c r="V854" t="s">
        <v>68</v>
      </c>
      <c r="X854" s="8" t="str">
        <f>IF(C854&gt;=B854,"Valid", "Invalid-Date")</f>
        <v>Valid</v>
      </c>
      <c r="Y854" s="8" t="str">
        <f t="shared" si="222"/>
        <v>Valid</v>
      </c>
      <c r="Z854" s="8" t="str">
        <f t="shared" si="223"/>
        <v>Pass</v>
      </c>
      <c r="AA854" s="8" t="str">
        <f t="shared" si="224"/>
        <v>Pass</v>
      </c>
      <c r="AB854" s="8" t="str">
        <f>TEXT(B854,"mmmm")</f>
        <v>April</v>
      </c>
      <c r="AC854" s="8" t="str">
        <f>TEXT(B854,"yyyy")</f>
        <v>2024</v>
      </c>
      <c r="AE854">
        <f t="shared" si="225"/>
        <v>29437.450000000004</v>
      </c>
      <c r="AF854" s="11">
        <f t="shared" si="226"/>
        <v>25021.832500000004</v>
      </c>
      <c r="AG854">
        <f t="shared" si="227"/>
        <v>13893.010000000004</v>
      </c>
      <c r="AH854" s="11">
        <f t="shared" si="228"/>
        <v>0.47195018590265125</v>
      </c>
      <c r="AI854" s="9">
        <f t="shared" si="229"/>
        <v>0.47195018590265125</v>
      </c>
      <c r="AJ854">
        <f t="shared" si="230"/>
        <v>0</v>
      </c>
      <c r="AK854">
        <f t="shared" si="231"/>
        <v>0</v>
      </c>
      <c r="AL854">
        <f t="shared" si="232"/>
        <v>25021.83</v>
      </c>
      <c r="AM854">
        <f t="shared" si="233"/>
        <v>1</v>
      </c>
      <c r="AN854">
        <f t="shared" si="234"/>
        <v>0</v>
      </c>
      <c r="AO854">
        <f t="shared" si="235"/>
        <v>0</v>
      </c>
      <c r="AP854">
        <f t="shared" si="236"/>
        <v>0</v>
      </c>
      <c r="AQ854">
        <f t="shared" si="237"/>
        <v>0</v>
      </c>
    </row>
    <row r="855" spans="1:43">
      <c r="A855" t="s">
        <v>2632</v>
      </c>
      <c r="B855" s="5">
        <v>45793</v>
      </c>
      <c r="C855" s="5">
        <v>45799</v>
      </c>
      <c r="D855" s="13">
        <f t="shared" si="221"/>
        <v>6</v>
      </c>
      <c r="E855" t="s">
        <v>2633</v>
      </c>
      <c r="F855" t="s">
        <v>53</v>
      </c>
      <c r="G855" t="s">
        <v>90</v>
      </c>
      <c r="H855" t="s">
        <v>54</v>
      </c>
      <c r="I855" t="s">
        <v>247</v>
      </c>
      <c r="J855" t="s">
        <v>248</v>
      </c>
      <c r="K855" t="s">
        <v>74</v>
      </c>
      <c r="L855" t="s">
        <v>75</v>
      </c>
      <c r="M855" t="s">
        <v>2634</v>
      </c>
      <c r="N855" t="s">
        <v>44</v>
      </c>
      <c r="O855">
        <v>8</v>
      </c>
      <c r="P855">
        <v>579.79999999999995</v>
      </c>
      <c r="Q855" s="11">
        <v>0.2</v>
      </c>
      <c r="R855">
        <v>3710.72</v>
      </c>
      <c r="S855">
        <v>3115.29</v>
      </c>
      <c r="T855">
        <v>595.42999999999995</v>
      </c>
      <c r="U855" t="s">
        <v>32</v>
      </c>
      <c r="V855" t="s">
        <v>33</v>
      </c>
      <c r="X855" s="8" t="str">
        <f>IF(C855&gt;=B855,"Valid", "Invalid-Date")</f>
        <v>Valid</v>
      </c>
      <c r="Y855" s="8" t="str">
        <f t="shared" si="222"/>
        <v>Valid</v>
      </c>
      <c r="Z855" s="8" t="str">
        <f t="shared" si="223"/>
        <v>Pass</v>
      </c>
      <c r="AA855" s="8" t="str">
        <f t="shared" si="224"/>
        <v>Pass</v>
      </c>
      <c r="AB855" s="8" t="str">
        <f>TEXT(B855,"mmmm")</f>
        <v>May</v>
      </c>
      <c r="AC855" s="8" t="str">
        <f>TEXT(B855,"yyyy")</f>
        <v>2025</v>
      </c>
      <c r="AE855">
        <f t="shared" si="225"/>
        <v>4638.3999999999996</v>
      </c>
      <c r="AF855" s="11">
        <f t="shared" si="226"/>
        <v>3710.72</v>
      </c>
      <c r="AG855">
        <f t="shared" si="227"/>
        <v>1523.1099999999997</v>
      </c>
      <c r="AH855" s="11">
        <f t="shared" si="228"/>
        <v>0.32836969644705066</v>
      </c>
      <c r="AI855" s="9">
        <f t="shared" si="229"/>
        <v>0.32836969644705066</v>
      </c>
      <c r="AJ855">
        <f t="shared" si="230"/>
        <v>3710.72</v>
      </c>
      <c r="AK855">
        <f t="shared" si="231"/>
        <v>1</v>
      </c>
      <c r="AL855">
        <f t="shared" si="232"/>
        <v>0</v>
      </c>
      <c r="AM855">
        <f t="shared" si="233"/>
        <v>0</v>
      </c>
      <c r="AN855">
        <f t="shared" si="234"/>
        <v>0</v>
      </c>
      <c r="AO855">
        <f t="shared" si="235"/>
        <v>0</v>
      </c>
      <c r="AP855">
        <f t="shared" si="236"/>
        <v>0</v>
      </c>
      <c r="AQ855">
        <f t="shared" si="237"/>
        <v>0</v>
      </c>
    </row>
    <row r="856" spans="1:43">
      <c r="A856" t="s">
        <v>2635</v>
      </c>
      <c r="B856" s="5">
        <v>45741</v>
      </c>
      <c r="C856" s="5">
        <v>45692</v>
      </c>
      <c r="D856" s="13">
        <f t="shared" si="221"/>
        <v>-49</v>
      </c>
      <c r="E856" t="s">
        <v>2636</v>
      </c>
      <c r="F856" t="s">
        <v>114</v>
      </c>
      <c r="G856" t="s">
        <v>24</v>
      </c>
      <c r="H856" t="s">
        <v>54</v>
      </c>
      <c r="I856" t="s">
        <v>175</v>
      </c>
      <c r="J856" t="s">
        <v>176</v>
      </c>
      <c r="K856" t="s">
        <v>41</v>
      </c>
      <c r="L856" t="s">
        <v>158</v>
      </c>
      <c r="M856" t="s">
        <v>2637</v>
      </c>
      <c r="N856" t="s">
        <v>31</v>
      </c>
      <c r="O856">
        <v>4</v>
      </c>
      <c r="P856">
        <v>2233.64</v>
      </c>
      <c r="Q856" s="11">
        <v>0.05</v>
      </c>
      <c r="R856">
        <v>8487.83</v>
      </c>
      <c r="S856">
        <v>5245.72</v>
      </c>
      <c r="T856">
        <v>3242.11</v>
      </c>
      <c r="U856" t="s">
        <v>32</v>
      </c>
      <c r="V856" t="s">
        <v>33</v>
      </c>
      <c r="X856" s="8" t="str">
        <f>IF(C856&gt;=B856,"Valid", "Invalid-Date")</f>
        <v>Invalid-Date</v>
      </c>
      <c r="Y856" s="8" t="str">
        <f t="shared" si="222"/>
        <v>Valid</v>
      </c>
      <c r="Z856" s="8" t="str">
        <f t="shared" si="223"/>
        <v>Pass</v>
      </c>
      <c r="AA856" s="8" t="str">
        <f t="shared" si="224"/>
        <v>Pass</v>
      </c>
      <c r="AB856" s="8" t="str">
        <f>TEXT(B856,"mmmm")</f>
        <v>March</v>
      </c>
      <c r="AC856" s="8" t="str">
        <f>TEXT(B856,"yyyy")</f>
        <v>2025</v>
      </c>
      <c r="AE856">
        <f t="shared" si="225"/>
        <v>8934.56</v>
      </c>
      <c r="AF856" s="11">
        <f t="shared" si="226"/>
        <v>8487.8319999999985</v>
      </c>
      <c r="AG856">
        <f t="shared" si="227"/>
        <v>3688.8399999999992</v>
      </c>
      <c r="AH856" s="11">
        <f t="shared" si="228"/>
        <v>0.41287315771565691</v>
      </c>
      <c r="AI856" s="9">
        <f t="shared" si="229"/>
        <v>0.41287315771565691</v>
      </c>
      <c r="AJ856">
        <f t="shared" si="230"/>
        <v>8487.83</v>
      </c>
      <c r="AK856">
        <f t="shared" si="231"/>
        <v>1</v>
      </c>
      <c r="AL856">
        <f t="shared" si="232"/>
        <v>0</v>
      </c>
      <c r="AM856">
        <f t="shared" si="233"/>
        <v>0</v>
      </c>
      <c r="AN856">
        <f t="shared" si="234"/>
        <v>0</v>
      </c>
      <c r="AO856">
        <f t="shared" si="235"/>
        <v>0</v>
      </c>
      <c r="AP856">
        <f t="shared" si="236"/>
        <v>0</v>
      </c>
      <c r="AQ856">
        <f t="shared" si="237"/>
        <v>0</v>
      </c>
    </row>
    <row r="857" spans="1:43">
      <c r="A857" t="s">
        <v>2638</v>
      </c>
      <c r="B857" s="5">
        <v>45498</v>
      </c>
      <c r="C857" s="5">
        <v>45330</v>
      </c>
      <c r="D857" s="13">
        <f t="shared" si="221"/>
        <v>-168</v>
      </c>
      <c r="E857" t="s">
        <v>1121</v>
      </c>
      <c r="F857" t="s">
        <v>118</v>
      </c>
      <c r="G857" t="s">
        <v>24</v>
      </c>
      <c r="H857" t="s">
        <v>25</v>
      </c>
      <c r="I857" t="s">
        <v>26</v>
      </c>
      <c r="J857" t="s">
        <v>27</v>
      </c>
      <c r="K857" t="s">
        <v>28</v>
      </c>
      <c r="L857" t="s">
        <v>91</v>
      </c>
      <c r="M857" t="s">
        <v>2639</v>
      </c>
      <c r="N857" t="s">
        <v>31</v>
      </c>
      <c r="O857">
        <v>2</v>
      </c>
      <c r="P857">
        <v>2073.5300000000002</v>
      </c>
      <c r="Q857" s="11">
        <v>0.25</v>
      </c>
      <c r="R857">
        <v>3110.3</v>
      </c>
      <c r="S857">
        <v>2101.0300000000002</v>
      </c>
      <c r="T857">
        <v>1009.27</v>
      </c>
      <c r="U857" t="s">
        <v>32</v>
      </c>
      <c r="V857" t="s">
        <v>33</v>
      </c>
      <c r="X857" s="8" t="str">
        <f>IF(C857&gt;=B857,"Valid", "Invalid-Date")</f>
        <v>Invalid-Date</v>
      </c>
      <c r="Y857" s="8" t="str">
        <f t="shared" si="222"/>
        <v>Valid</v>
      </c>
      <c r="Z857" s="8" t="str">
        <f t="shared" si="223"/>
        <v>Pass</v>
      </c>
      <c r="AA857" s="8" t="str">
        <f t="shared" si="224"/>
        <v>Pass</v>
      </c>
      <c r="AB857" s="8" t="str">
        <f>TEXT(B857,"mmmm")</f>
        <v>July</v>
      </c>
      <c r="AC857" s="8" t="str">
        <f>TEXT(B857,"yyyy")</f>
        <v>2024</v>
      </c>
      <c r="AE857">
        <f t="shared" si="225"/>
        <v>4147.0600000000004</v>
      </c>
      <c r="AF857" s="11">
        <f t="shared" si="226"/>
        <v>3110.2950000000001</v>
      </c>
      <c r="AG857">
        <f t="shared" si="227"/>
        <v>2046.0300000000002</v>
      </c>
      <c r="AH857" s="11">
        <f t="shared" si="228"/>
        <v>0.49336879620743368</v>
      </c>
      <c r="AI857" s="9">
        <f t="shared" si="229"/>
        <v>0.49336879620743368</v>
      </c>
      <c r="AJ857">
        <f t="shared" si="230"/>
        <v>3110.3</v>
      </c>
      <c r="AK857">
        <f t="shared" si="231"/>
        <v>1</v>
      </c>
      <c r="AL857">
        <f t="shared" si="232"/>
        <v>0</v>
      </c>
      <c r="AM857">
        <f t="shared" si="233"/>
        <v>0</v>
      </c>
      <c r="AN857">
        <f t="shared" si="234"/>
        <v>0</v>
      </c>
      <c r="AO857">
        <f t="shared" si="235"/>
        <v>0</v>
      </c>
      <c r="AP857">
        <f t="shared" si="236"/>
        <v>0</v>
      </c>
      <c r="AQ857">
        <f t="shared" si="237"/>
        <v>0</v>
      </c>
    </row>
    <row r="858" spans="1:43">
      <c r="A858" t="s">
        <v>2640</v>
      </c>
      <c r="B858" s="5">
        <v>45455</v>
      </c>
      <c r="C858" s="5">
        <v>45462</v>
      </c>
      <c r="D858" s="13">
        <f t="shared" si="221"/>
        <v>7</v>
      </c>
      <c r="E858" t="s">
        <v>1299</v>
      </c>
      <c r="F858" t="s">
        <v>141</v>
      </c>
      <c r="G858" t="s">
        <v>95</v>
      </c>
      <c r="H858" t="s">
        <v>54</v>
      </c>
      <c r="I858" t="s">
        <v>247</v>
      </c>
      <c r="J858" t="s">
        <v>248</v>
      </c>
      <c r="K858" t="s">
        <v>28</v>
      </c>
      <c r="L858" t="s">
        <v>124</v>
      </c>
      <c r="M858" t="s">
        <v>2641</v>
      </c>
      <c r="N858" t="s">
        <v>59</v>
      </c>
      <c r="O858">
        <v>4</v>
      </c>
      <c r="P858">
        <v>395.1</v>
      </c>
      <c r="Q858" s="11">
        <v>-0.16</v>
      </c>
      <c r="R858">
        <v>1185.3</v>
      </c>
      <c r="S858">
        <v>966.55</v>
      </c>
      <c r="T858">
        <v>218.75</v>
      </c>
      <c r="U858" t="s">
        <v>155</v>
      </c>
      <c r="V858" t="s">
        <v>68</v>
      </c>
      <c r="X858" s="8" t="str">
        <f>IF(C858&gt;=B858,"Valid", "Invalid-Date")</f>
        <v>Valid</v>
      </c>
      <c r="Y858" s="8" t="str">
        <f t="shared" si="222"/>
        <v>Invalid-Discount</v>
      </c>
      <c r="Z858" s="8" t="str">
        <f t="shared" si="223"/>
        <v>Pass</v>
      </c>
      <c r="AA858" s="8" t="str">
        <f t="shared" si="224"/>
        <v>Pass</v>
      </c>
      <c r="AB858" s="8" t="str">
        <f>TEXT(B858,"mmmm")</f>
        <v>June</v>
      </c>
      <c r="AC858" s="8" t="str">
        <f>TEXT(B858,"yyyy")</f>
        <v>2024</v>
      </c>
      <c r="AE858">
        <f t="shared" si="225"/>
        <v>1580.4</v>
      </c>
      <c r="AF858" s="11">
        <f t="shared" si="226"/>
        <v>1833.2639999999999</v>
      </c>
      <c r="AG858">
        <f t="shared" si="227"/>
        <v>613.85000000000014</v>
      </c>
      <c r="AH858" s="11">
        <f t="shared" si="228"/>
        <v>0.38841432548721849</v>
      </c>
      <c r="AI858" s="9">
        <f t="shared" si="229"/>
        <v>0.38841432548721849</v>
      </c>
      <c r="AJ858">
        <f t="shared" si="230"/>
        <v>0</v>
      </c>
      <c r="AK858">
        <f t="shared" si="231"/>
        <v>0</v>
      </c>
      <c r="AL858">
        <f t="shared" si="232"/>
        <v>1185.3</v>
      </c>
      <c r="AM858">
        <f t="shared" si="233"/>
        <v>1</v>
      </c>
      <c r="AN858">
        <f t="shared" si="234"/>
        <v>1185.3</v>
      </c>
      <c r="AO858">
        <f t="shared" si="235"/>
        <v>1</v>
      </c>
      <c r="AP858">
        <f t="shared" si="236"/>
        <v>0</v>
      </c>
      <c r="AQ858">
        <f t="shared" si="237"/>
        <v>0</v>
      </c>
    </row>
    <row r="859" spans="1:43">
      <c r="A859" t="s">
        <v>2642</v>
      </c>
      <c r="B859" s="5">
        <v>45447</v>
      </c>
      <c r="C859" s="5">
        <v>45447</v>
      </c>
      <c r="D859" s="13">
        <f t="shared" si="221"/>
        <v>0</v>
      </c>
      <c r="E859" t="s">
        <v>2148</v>
      </c>
      <c r="F859" t="s">
        <v>132</v>
      </c>
      <c r="G859" t="s">
        <v>95</v>
      </c>
      <c r="H859" t="s">
        <v>54</v>
      </c>
      <c r="I859" t="s">
        <v>185</v>
      </c>
      <c r="J859" t="s">
        <v>186</v>
      </c>
      <c r="K859" t="s">
        <v>28</v>
      </c>
      <c r="L859" t="s">
        <v>124</v>
      </c>
      <c r="M859" t="s">
        <v>2643</v>
      </c>
      <c r="N859" t="s">
        <v>50</v>
      </c>
      <c r="O859">
        <v>6</v>
      </c>
      <c r="P859">
        <v>2708.97</v>
      </c>
      <c r="Q859" s="11">
        <v>0.25</v>
      </c>
      <c r="R859">
        <v>12190.36</v>
      </c>
      <c r="S859">
        <v>10176.99</v>
      </c>
      <c r="T859">
        <v>2013.37</v>
      </c>
      <c r="U859" t="s">
        <v>32</v>
      </c>
      <c r="V859" t="s">
        <v>33</v>
      </c>
      <c r="X859" s="8" t="str">
        <f>IF(C859&gt;=B859,"Valid", "Invalid-Date")</f>
        <v>Valid</v>
      </c>
      <c r="Y859" s="8" t="str">
        <f t="shared" si="222"/>
        <v>Valid</v>
      </c>
      <c r="Z859" s="8" t="str">
        <f t="shared" si="223"/>
        <v>Pass</v>
      </c>
      <c r="AA859" s="8" t="str">
        <f t="shared" si="224"/>
        <v>Pass</v>
      </c>
      <c r="AB859" s="8" t="str">
        <f>TEXT(B859,"mmmm")</f>
        <v>June</v>
      </c>
      <c r="AC859" s="8" t="str">
        <f>TEXT(B859,"yyyy")</f>
        <v>2024</v>
      </c>
      <c r="AE859">
        <f t="shared" si="225"/>
        <v>16253.82</v>
      </c>
      <c r="AF859" s="11">
        <f t="shared" si="226"/>
        <v>12190.365</v>
      </c>
      <c r="AG859">
        <f t="shared" si="227"/>
        <v>6076.83</v>
      </c>
      <c r="AH859" s="11">
        <f t="shared" si="228"/>
        <v>0.37387088081447933</v>
      </c>
      <c r="AI859" s="9">
        <f t="shared" si="229"/>
        <v>0.37387088081447933</v>
      </c>
      <c r="AJ859">
        <f t="shared" si="230"/>
        <v>12190.36</v>
      </c>
      <c r="AK859">
        <f t="shared" si="231"/>
        <v>1</v>
      </c>
      <c r="AL859">
        <f t="shared" si="232"/>
        <v>0</v>
      </c>
      <c r="AM859">
        <f t="shared" si="233"/>
        <v>0</v>
      </c>
      <c r="AN859">
        <f t="shared" si="234"/>
        <v>0</v>
      </c>
      <c r="AO859">
        <f t="shared" si="235"/>
        <v>0</v>
      </c>
      <c r="AP859">
        <f t="shared" si="236"/>
        <v>0</v>
      </c>
      <c r="AQ859">
        <f t="shared" si="237"/>
        <v>0</v>
      </c>
    </row>
    <row r="860" spans="1:43">
      <c r="A860" t="s">
        <v>2644</v>
      </c>
      <c r="B860" s="5">
        <v>45327</v>
      </c>
      <c r="C860" s="5">
        <v>45540</v>
      </c>
      <c r="D860" s="13">
        <f t="shared" si="221"/>
        <v>213</v>
      </c>
      <c r="E860" t="s">
        <v>2645</v>
      </c>
      <c r="F860" t="s">
        <v>53</v>
      </c>
      <c r="G860" t="s">
        <v>24</v>
      </c>
      <c r="H860" t="s">
        <v>38</v>
      </c>
      <c r="I860" t="s">
        <v>39</v>
      </c>
      <c r="J860" t="s">
        <v>40</v>
      </c>
      <c r="K860" t="s">
        <v>74</v>
      </c>
      <c r="L860" t="s">
        <v>75</v>
      </c>
      <c r="M860" t="s">
        <v>2646</v>
      </c>
      <c r="N860" t="s">
        <v>31</v>
      </c>
      <c r="O860">
        <v>4</v>
      </c>
      <c r="P860">
        <v>2904.86</v>
      </c>
      <c r="Q860" s="11">
        <v>0</v>
      </c>
      <c r="R860">
        <v>11619.44</v>
      </c>
      <c r="S860">
        <v>7184.32</v>
      </c>
      <c r="T860">
        <v>4494.6400000000003</v>
      </c>
      <c r="U860" t="s">
        <v>32</v>
      </c>
      <c r="V860" t="s">
        <v>33</v>
      </c>
      <c r="X860" s="8" t="str">
        <f>IF(C860&gt;=B860,"Valid", "Invalid-Date")</f>
        <v>Valid</v>
      </c>
      <c r="Y860" s="8" t="str">
        <f t="shared" si="222"/>
        <v>Valid</v>
      </c>
      <c r="Z860" s="8" t="str">
        <f t="shared" si="223"/>
        <v>Pass</v>
      </c>
      <c r="AA860" s="8" t="str">
        <f t="shared" si="224"/>
        <v>Pass</v>
      </c>
      <c r="AB860" s="8" t="str">
        <f>TEXT(B860,"mmmm")</f>
        <v>February</v>
      </c>
      <c r="AC860" s="8" t="str">
        <f>TEXT(B860,"yyyy")</f>
        <v>2024</v>
      </c>
      <c r="AE860">
        <f t="shared" si="225"/>
        <v>11619.44</v>
      </c>
      <c r="AF860" s="11">
        <f t="shared" si="226"/>
        <v>11619.44</v>
      </c>
      <c r="AG860">
        <f t="shared" si="227"/>
        <v>4435.1200000000008</v>
      </c>
      <c r="AH860" s="11">
        <f t="shared" si="228"/>
        <v>0.3816982574031107</v>
      </c>
      <c r="AI860" s="9">
        <f t="shared" si="229"/>
        <v>0.3816982574031107</v>
      </c>
      <c r="AJ860">
        <f t="shared" si="230"/>
        <v>11619.44</v>
      </c>
      <c r="AK860">
        <f t="shared" si="231"/>
        <v>1</v>
      </c>
      <c r="AL860">
        <f t="shared" si="232"/>
        <v>0</v>
      </c>
      <c r="AM860">
        <f t="shared" si="233"/>
        <v>0</v>
      </c>
      <c r="AN860">
        <f t="shared" si="234"/>
        <v>0</v>
      </c>
      <c r="AO860">
        <f t="shared" si="235"/>
        <v>0</v>
      </c>
      <c r="AP860">
        <f t="shared" si="236"/>
        <v>0</v>
      </c>
      <c r="AQ860">
        <f t="shared" si="237"/>
        <v>0</v>
      </c>
    </row>
    <row r="861" spans="1:43">
      <c r="A861" t="s">
        <v>2647</v>
      </c>
      <c r="B861" s="5">
        <v>45592</v>
      </c>
      <c r="C861" s="5">
        <v>45302</v>
      </c>
      <c r="D861" s="13">
        <f t="shared" si="221"/>
        <v>-290</v>
      </c>
      <c r="E861" t="s">
        <v>2648</v>
      </c>
      <c r="F861" t="s">
        <v>89</v>
      </c>
      <c r="G861" t="s">
        <v>90</v>
      </c>
      <c r="H861" t="s">
        <v>54</v>
      </c>
      <c r="I861" t="s">
        <v>247</v>
      </c>
      <c r="J861" t="s">
        <v>248</v>
      </c>
      <c r="K861" t="s">
        <v>74</v>
      </c>
      <c r="L861" t="s">
        <v>171</v>
      </c>
      <c r="M861" t="s">
        <v>2649</v>
      </c>
      <c r="N861" t="s">
        <v>59</v>
      </c>
      <c r="O861">
        <v>6</v>
      </c>
      <c r="P861">
        <v>4399.2</v>
      </c>
      <c r="Q861" s="11">
        <v>0.05</v>
      </c>
      <c r="R861">
        <v>25075.439999999999</v>
      </c>
      <c r="S861">
        <v>16282.74</v>
      </c>
      <c r="T861">
        <v>8792.7000000000007</v>
      </c>
      <c r="U861" t="s">
        <v>32</v>
      </c>
      <c r="V861" t="s">
        <v>33</v>
      </c>
      <c r="X861" s="8" t="str">
        <f>IF(C861&gt;=B861,"Valid", "Invalid-Date")</f>
        <v>Invalid-Date</v>
      </c>
      <c r="Y861" s="8" t="str">
        <f t="shared" si="222"/>
        <v>Valid</v>
      </c>
      <c r="Z861" s="8" t="str">
        <f t="shared" si="223"/>
        <v>Pass</v>
      </c>
      <c r="AA861" s="8" t="str">
        <f t="shared" si="224"/>
        <v>Pass</v>
      </c>
      <c r="AB861" s="8" t="str">
        <f>TEXT(B861,"mmmm")</f>
        <v>October</v>
      </c>
      <c r="AC861" s="8" t="str">
        <f>TEXT(B861,"yyyy")</f>
        <v>2024</v>
      </c>
      <c r="AE861">
        <f t="shared" si="225"/>
        <v>26395.199999999997</v>
      </c>
      <c r="AF861" s="11">
        <f t="shared" si="226"/>
        <v>25075.439999999995</v>
      </c>
      <c r="AG861">
        <f t="shared" si="227"/>
        <v>10112.459999999997</v>
      </c>
      <c r="AH861" s="11">
        <f t="shared" si="228"/>
        <v>0.38311738497908704</v>
      </c>
      <c r="AI861" s="9">
        <f t="shared" si="229"/>
        <v>0.38311738497908704</v>
      </c>
      <c r="AJ861">
        <f t="shared" si="230"/>
        <v>25075.439999999999</v>
      </c>
      <c r="AK861">
        <f t="shared" si="231"/>
        <v>1</v>
      </c>
      <c r="AL861">
        <f t="shared" si="232"/>
        <v>0</v>
      </c>
      <c r="AM861">
        <f t="shared" si="233"/>
        <v>0</v>
      </c>
      <c r="AN861">
        <f t="shared" si="234"/>
        <v>0</v>
      </c>
      <c r="AO861">
        <f t="shared" si="235"/>
        <v>0</v>
      </c>
      <c r="AP861">
        <f t="shared" si="236"/>
        <v>0</v>
      </c>
      <c r="AQ861">
        <f t="shared" si="237"/>
        <v>0</v>
      </c>
    </row>
    <row r="862" spans="1:43">
      <c r="A862" t="s">
        <v>2650</v>
      </c>
      <c r="B862" s="5">
        <v>45324</v>
      </c>
      <c r="C862" s="5">
        <v>45384</v>
      </c>
      <c r="D862" s="13">
        <f t="shared" si="221"/>
        <v>60</v>
      </c>
      <c r="E862" t="s">
        <v>2651</v>
      </c>
      <c r="F862" t="s">
        <v>71</v>
      </c>
      <c r="G862" t="s">
        <v>95</v>
      </c>
      <c r="H862" t="s">
        <v>25</v>
      </c>
      <c r="I862" t="s">
        <v>136</v>
      </c>
      <c r="J862" t="s">
        <v>137</v>
      </c>
      <c r="K862" t="s">
        <v>28</v>
      </c>
      <c r="L862" t="s">
        <v>124</v>
      </c>
      <c r="M862" t="s">
        <v>2652</v>
      </c>
      <c r="N862" t="s">
        <v>31</v>
      </c>
      <c r="O862">
        <v>1</v>
      </c>
      <c r="P862">
        <v>4397.32</v>
      </c>
      <c r="Q862" s="11">
        <v>0.05</v>
      </c>
      <c r="R862">
        <v>4177.45</v>
      </c>
      <c r="S862">
        <v>2299.5</v>
      </c>
      <c r="T862">
        <v>1877.95</v>
      </c>
      <c r="U862" t="s">
        <v>32</v>
      </c>
      <c r="V862" t="s">
        <v>33</v>
      </c>
      <c r="X862" s="8" t="str">
        <f>IF(C862&gt;=B862,"Valid", "Invalid-Date")</f>
        <v>Valid</v>
      </c>
      <c r="Y862" s="8" t="str">
        <f t="shared" si="222"/>
        <v>Valid</v>
      </c>
      <c r="Z862" s="8" t="str">
        <f t="shared" si="223"/>
        <v>Pass</v>
      </c>
      <c r="AA862" s="8" t="str">
        <f t="shared" si="224"/>
        <v>Pass</v>
      </c>
      <c r="AB862" s="8" t="str">
        <f>TEXT(B862,"mmmm")</f>
        <v>February</v>
      </c>
      <c r="AC862" s="8" t="str">
        <f>TEXT(B862,"yyyy")</f>
        <v>2024</v>
      </c>
      <c r="AE862">
        <f t="shared" si="225"/>
        <v>4397.32</v>
      </c>
      <c r="AF862" s="11">
        <f t="shared" si="226"/>
        <v>4177.4539999999997</v>
      </c>
      <c r="AG862">
        <f t="shared" si="227"/>
        <v>2097.8199999999997</v>
      </c>
      <c r="AH862" s="11">
        <f t="shared" si="228"/>
        <v>0.47706785041798183</v>
      </c>
      <c r="AI862" s="9">
        <f t="shared" si="229"/>
        <v>0.47706785041798183</v>
      </c>
      <c r="AJ862">
        <f t="shared" si="230"/>
        <v>4177.45</v>
      </c>
      <c r="AK862">
        <f t="shared" si="231"/>
        <v>1</v>
      </c>
      <c r="AL862">
        <f t="shared" si="232"/>
        <v>0</v>
      </c>
      <c r="AM862">
        <f t="shared" si="233"/>
        <v>0</v>
      </c>
      <c r="AN862">
        <f t="shared" si="234"/>
        <v>0</v>
      </c>
      <c r="AO862">
        <f t="shared" si="235"/>
        <v>0</v>
      </c>
      <c r="AP862">
        <f t="shared" si="236"/>
        <v>0</v>
      </c>
      <c r="AQ862">
        <f t="shared" si="237"/>
        <v>0</v>
      </c>
    </row>
    <row r="863" spans="1:43">
      <c r="A863" t="s">
        <v>2653</v>
      </c>
      <c r="B863" s="5">
        <v>45724</v>
      </c>
      <c r="C863" s="5">
        <v>45903</v>
      </c>
      <c r="D863" s="13">
        <f t="shared" si="221"/>
        <v>179</v>
      </c>
      <c r="E863" t="s">
        <v>2654</v>
      </c>
      <c r="F863" t="s">
        <v>114</v>
      </c>
      <c r="G863" t="s">
        <v>95</v>
      </c>
      <c r="H863" t="s">
        <v>25</v>
      </c>
      <c r="I863" t="s">
        <v>350</v>
      </c>
      <c r="J863" t="s">
        <v>351</v>
      </c>
      <c r="K863" t="s">
        <v>41</v>
      </c>
      <c r="L863" t="s">
        <v>57</v>
      </c>
      <c r="M863" t="s">
        <v>2655</v>
      </c>
      <c r="N863" t="s">
        <v>44</v>
      </c>
      <c r="O863">
        <v>4</v>
      </c>
      <c r="P863">
        <v>3405.68</v>
      </c>
      <c r="Q863" s="11">
        <v>0.2</v>
      </c>
      <c r="R863">
        <v>10898.18</v>
      </c>
      <c r="S863">
        <v>6231.41</v>
      </c>
      <c r="T863">
        <v>4666.7700000000004</v>
      </c>
      <c r="U863" t="s">
        <v>32</v>
      </c>
      <c r="V863" t="s">
        <v>33</v>
      </c>
      <c r="X863" s="8" t="str">
        <f>IF(C863&gt;=B863,"Valid", "Invalid-Date")</f>
        <v>Valid</v>
      </c>
      <c r="Y863" s="8" t="str">
        <f t="shared" si="222"/>
        <v>Valid</v>
      </c>
      <c r="Z863" s="8" t="str">
        <f t="shared" si="223"/>
        <v>Pass</v>
      </c>
      <c r="AA863" s="8" t="str">
        <f t="shared" si="224"/>
        <v>Pass</v>
      </c>
      <c r="AB863" s="8" t="str">
        <f>TEXT(B863,"mmmm")</f>
        <v>March</v>
      </c>
      <c r="AC863" s="8" t="str">
        <f>TEXT(B863,"yyyy")</f>
        <v>2025</v>
      </c>
      <c r="AE863">
        <f t="shared" si="225"/>
        <v>13622.72</v>
      </c>
      <c r="AF863" s="11">
        <f t="shared" si="226"/>
        <v>10898.175999999999</v>
      </c>
      <c r="AG863">
        <f t="shared" si="227"/>
        <v>7391.3099999999995</v>
      </c>
      <c r="AH863" s="11">
        <f t="shared" si="228"/>
        <v>0.54257226163350636</v>
      </c>
      <c r="AI863" s="9">
        <f t="shared" si="229"/>
        <v>0.54257226163350636</v>
      </c>
      <c r="AJ863">
        <f t="shared" si="230"/>
        <v>10898.18</v>
      </c>
      <c r="AK863">
        <f t="shared" si="231"/>
        <v>1</v>
      </c>
      <c r="AL863">
        <f t="shared" si="232"/>
        <v>0</v>
      </c>
      <c r="AM863">
        <f t="shared" si="233"/>
        <v>0</v>
      </c>
      <c r="AN863">
        <f t="shared" si="234"/>
        <v>0</v>
      </c>
      <c r="AO863">
        <f t="shared" si="235"/>
        <v>0</v>
      </c>
      <c r="AP863">
        <f t="shared" si="236"/>
        <v>0</v>
      </c>
      <c r="AQ863">
        <f t="shared" si="237"/>
        <v>0</v>
      </c>
    </row>
    <row r="864" spans="1:43">
      <c r="A864" t="s">
        <v>2656</v>
      </c>
      <c r="B864" s="5">
        <v>45742</v>
      </c>
      <c r="C864" s="5">
        <v>45747</v>
      </c>
      <c r="D864" s="13">
        <f t="shared" si="221"/>
        <v>5</v>
      </c>
      <c r="E864" t="s">
        <v>2657</v>
      </c>
      <c r="F864" t="s">
        <v>114</v>
      </c>
      <c r="G864" t="s">
        <v>37</v>
      </c>
      <c r="H864" t="s">
        <v>38</v>
      </c>
      <c r="I864" t="s">
        <v>228</v>
      </c>
      <c r="J864" t="s">
        <v>229</v>
      </c>
      <c r="K864" t="s">
        <v>28</v>
      </c>
      <c r="L864" t="s">
        <v>153</v>
      </c>
      <c r="M864" t="s">
        <v>2658</v>
      </c>
      <c r="N864" t="s">
        <v>50</v>
      </c>
      <c r="O864">
        <v>5</v>
      </c>
      <c r="P864">
        <v>1395.14</v>
      </c>
      <c r="Q864" s="11">
        <v>0</v>
      </c>
      <c r="R864">
        <v>6975.7</v>
      </c>
      <c r="S864">
        <v>4797.88</v>
      </c>
      <c r="T864">
        <v>2177.8200000000002</v>
      </c>
      <c r="U864" t="s">
        <v>32</v>
      </c>
      <c r="V864" t="s">
        <v>68</v>
      </c>
      <c r="X864" s="8" t="str">
        <f>IF(C864&gt;=B864,"Valid", "Invalid-Date")</f>
        <v>Valid</v>
      </c>
      <c r="Y864" s="8" t="str">
        <f t="shared" si="222"/>
        <v>Valid</v>
      </c>
      <c r="Z864" s="8" t="str">
        <f t="shared" si="223"/>
        <v>Pass</v>
      </c>
      <c r="AA864" s="8" t="str">
        <f t="shared" si="224"/>
        <v>Pass</v>
      </c>
      <c r="AB864" s="8" t="str">
        <f>TEXT(B864,"mmmm")</f>
        <v>March</v>
      </c>
      <c r="AC864" s="8" t="str">
        <f>TEXT(B864,"yyyy")</f>
        <v>2025</v>
      </c>
      <c r="AE864">
        <f t="shared" si="225"/>
        <v>6975.7000000000007</v>
      </c>
      <c r="AF864" s="11">
        <f t="shared" si="226"/>
        <v>6975.7000000000007</v>
      </c>
      <c r="AG864">
        <f t="shared" si="227"/>
        <v>2177.8200000000006</v>
      </c>
      <c r="AH864" s="11">
        <f t="shared" si="228"/>
        <v>0.3122009260719355</v>
      </c>
      <c r="AI864" s="9">
        <f t="shared" si="229"/>
        <v>0.3122009260719355</v>
      </c>
      <c r="AJ864">
        <f t="shared" si="230"/>
        <v>0</v>
      </c>
      <c r="AK864">
        <f t="shared" si="231"/>
        <v>0</v>
      </c>
      <c r="AL864">
        <f t="shared" si="232"/>
        <v>6975.7</v>
      </c>
      <c r="AM864">
        <f t="shared" si="233"/>
        <v>1</v>
      </c>
      <c r="AN864">
        <f t="shared" si="234"/>
        <v>0</v>
      </c>
      <c r="AO864">
        <f t="shared" si="235"/>
        <v>0</v>
      </c>
      <c r="AP864">
        <f t="shared" si="236"/>
        <v>0</v>
      </c>
      <c r="AQ864">
        <f t="shared" si="237"/>
        <v>0</v>
      </c>
    </row>
    <row r="865" spans="1:43">
      <c r="A865" t="s">
        <v>2659</v>
      </c>
      <c r="B865" s="5">
        <v>45817</v>
      </c>
      <c r="C865" s="5">
        <v>45878</v>
      </c>
      <c r="D865" s="13">
        <f t="shared" si="221"/>
        <v>61</v>
      </c>
      <c r="E865" t="s">
        <v>2660</v>
      </c>
      <c r="F865" t="s">
        <v>128</v>
      </c>
      <c r="G865" t="s">
        <v>95</v>
      </c>
      <c r="H865" t="s">
        <v>63</v>
      </c>
      <c r="I865" t="s">
        <v>72</v>
      </c>
      <c r="J865" t="s">
        <v>73</v>
      </c>
      <c r="K865" t="s">
        <v>41</v>
      </c>
      <c r="L865" t="s">
        <v>57</v>
      </c>
      <c r="M865" t="s">
        <v>2661</v>
      </c>
      <c r="N865" t="s">
        <v>44</v>
      </c>
      <c r="O865">
        <v>3</v>
      </c>
      <c r="P865">
        <v>2937.23</v>
      </c>
      <c r="Q865" s="11">
        <v>0</v>
      </c>
      <c r="R865">
        <v>8811.69</v>
      </c>
      <c r="S865">
        <v>6765.91</v>
      </c>
      <c r="T865">
        <v>2045.78</v>
      </c>
      <c r="U865" t="s">
        <v>32</v>
      </c>
      <c r="V865" t="s">
        <v>33</v>
      </c>
      <c r="X865" s="8" t="str">
        <f>IF(C865&gt;=B865,"Valid", "Invalid-Date")</f>
        <v>Valid</v>
      </c>
      <c r="Y865" s="8" t="str">
        <f t="shared" si="222"/>
        <v>Valid</v>
      </c>
      <c r="Z865" s="8" t="str">
        <f t="shared" si="223"/>
        <v>Pass</v>
      </c>
      <c r="AA865" s="8" t="str">
        <f t="shared" si="224"/>
        <v>Pass</v>
      </c>
      <c r="AB865" s="8" t="str">
        <f>TEXT(B865,"mmmm")</f>
        <v>June</v>
      </c>
      <c r="AC865" s="8" t="str">
        <f>TEXT(B865,"yyyy")</f>
        <v>2025</v>
      </c>
      <c r="AE865">
        <f t="shared" si="225"/>
        <v>8811.69</v>
      </c>
      <c r="AF865" s="11">
        <f t="shared" si="226"/>
        <v>8811.69</v>
      </c>
      <c r="AG865">
        <f t="shared" si="227"/>
        <v>2045.7800000000007</v>
      </c>
      <c r="AH865" s="11">
        <f t="shared" si="228"/>
        <v>0.23216658779416893</v>
      </c>
      <c r="AI865" s="9">
        <f t="shared" si="229"/>
        <v>0.23216658779416893</v>
      </c>
      <c r="AJ865">
        <f t="shared" si="230"/>
        <v>8811.69</v>
      </c>
      <c r="AK865">
        <f t="shared" si="231"/>
        <v>1</v>
      </c>
      <c r="AL865">
        <f t="shared" si="232"/>
        <v>0</v>
      </c>
      <c r="AM865">
        <f t="shared" si="233"/>
        <v>0</v>
      </c>
      <c r="AN865">
        <f t="shared" si="234"/>
        <v>0</v>
      </c>
      <c r="AO865">
        <f t="shared" si="235"/>
        <v>0</v>
      </c>
      <c r="AP865">
        <f t="shared" si="236"/>
        <v>0</v>
      </c>
      <c r="AQ865">
        <f t="shared" si="237"/>
        <v>0</v>
      </c>
    </row>
    <row r="866" spans="1:43">
      <c r="A866" t="s">
        <v>2662</v>
      </c>
      <c r="B866" s="5">
        <v>45902</v>
      </c>
      <c r="C866" s="5">
        <v>45905</v>
      </c>
      <c r="D866" s="13">
        <f t="shared" si="221"/>
        <v>3</v>
      </c>
      <c r="E866" t="s">
        <v>2663</v>
      </c>
      <c r="F866" t="s">
        <v>71</v>
      </c>
      <c r="G866" t="s">
        <v>24</v>
      </c>
      <c r="H866" t="s">
        <v>54</v>
      </c>
      <c r="I866" t="s">
        <v>247</v>
      </c>
      <c r="J866" t="s">
        <v>248</v>
      </c>
      <c r="K866" t="s">
        <v>74</v>
      </c>
      <c r="L866" t="s">
        <v>171</v>
      </c>
      <c r="M866" t="s">
        <v>2664</v>
      </c>
      <c r="N866" t="s">
        <v>50</v>
      </c>
      <c r="O866">
        <v>5</v>
      </c>
      <c r="P866">
        <v>3406.87</v>
      </c>
      <c r="Q866" s="11">
        <v>0</v>
      </c>
      <c r="R866">
        <v>17034.349999999999</v>
      </c>
      <c r="S866">
        <v>14631.36</v>
      </c>
      <c r="T866">
        <v>2402.9899999999998</v>
      </c>
      <c r="U866" t="s">
        <v>32</v>
      </c>
      <c r="V866" t="s">
        <v>33</v>
      </c>
      <c r="X866" s="8" t="str">
        <f>IF(C866&gt;=B866,"Valid", "Invalid-Date")</f>
        <v>Valid</v>
      </c>
      <c r="Y866" s="8" t="str">
        <f t="shared" si="222"/>
        <v>Valid</v>
      </c>
      <c r="Z866" s="8" t="str">
        <f t="shared" si="223"/>
        <v>Pass</v>
      </c>
      <c r="AA866" s="8" t="str">
        <f t="shared" si="224"/>
        <v>Pass</v>
      </c>
      <c r="AB866" s="8" t="str">
        <f>TEXT(B866,"mmmm")</f>
        <v>September</v>
      </c>
      <c r="AC866" s="8" t="str">
        <f>TEXT(B866,"yyyy")</f>
        <v>2025</v>
      </c>
      <c r="AE866">
        <f t="shared" si="225"/>
        <v>17034.349999999999</v>
      </c>
      <c r="AF866" s="11">
        <f t="shared" si="226"/>
        <v>17034.349999999999</v>
      </c>
      <c r="AG866">
        <f t="shared" si="227"/>
        <v>2402.989999999998</v>
      </c>
      <c r="AH866" s="11">
        <f t="shared" si="228"/>
        <v>0.14106731398615141</v>
      </c>
      <c r="AI866" s="9">
        <f t="shared" si="229"/>
        <v>0.14106731398615141</v>
      </c>
      <c r="AJ866">
        <f t="shared" si="230"/>
        <v>17034.349999999999</v>
      </c>
      <c r="AK866">
        <f t="shared" si="231"/>
        <v>1</v>
      </c>
      <c r="AL866">
        <f t="shared" si="232"/>
        <v>0</v>
      </c>
      <c r="AM866">
        <f t="shared" si="233"/>
        <v>0</v>
      </c>
      <c r="AN866">
        <f t="shared" si="234"/>
        <v>0</v>
      </c>
      <c r="AO866">
        <f t="shared" si="235"/>
        <v>0</v>
      </c>
      <c r="AP866">
        <f t="shared" si="236"/>
        <v>0</v>
      </c>
      <c r="AQ866">
        <f t="shared" si="237"/>
        <v>0</v>
      </c>
    </row>
    <row r="867" spans="1:43">
      <c r="A867" t="s">
        <v>2665</v>
      </c>
      <c r="B867" s="5">
        <v>45694</v>
      </c>
      <c r="C867" s="5">
        <v>45702</v>
      </c>
      <c r="D867" s="13">
        <f t="shared" si="221"/>
        <v>8</v>
      </c>
      <c r="E867" t="s">
        <v>2666</v>
      </c>
      <c r="F867" t="s">
        <v>264</v>
      </c>
      <c r="G867" t="s">
        <v>24</v>
      </c>
      <c r="H867" t="s">
        <v>63</v>
      </c>
      <c r="I867" t="s">
        <v>64</v>
      </c>
      <c r="J867" t="s">
        <v>65</v>
      </c>
      <c r="K867" t="s">
        <v>28</v>
      </c>
      <c r="L867" t="s">
        <v>91</v>
      </c>
      <c r="M867" t="s">
        <v>2667</v>
      </c>
      <c r="N867" t="s">
        <v>31</v>
      </c>
      <c r="O867">
        <v>2</v>
      </c>
      <c r="P867">
        <v>3992.04</v>
      </c>
      <c r="Q867" s="11">
        <v>0</v>
      </c>
      <c r="R867">
        <v>7984.08</v>
      </c>
      <c r="S867">
        <v>5658.05</v>
      </c>
      <c r="T867">
        <v>2326.0300000000002</v>
      </c>
      <c r="U867" t="s">
        <v>32</v>
      </c>
      <c r="V867" t="s">
        <v>33</v>
      </c>
      <c r="X867" s="8" t="str">
        <f>IF(C867&gt;=B867,"Valid", "Invalid-Date")</f>
        <v>Valid</v>
      </c>
      <c r="Y867" s="8" t="str">
        <f t="shared" si="222"/>
        <v>Valid</v>
      </c>
      <c r="Z867" s="8" t="str">
        <f t="shared" si="223"/>
        <v>Pass</v>
      </c>
      <c r="AA867" s="8" t="str">
        <f t="shared" si="224"/>
        <v>Pass</v>
      </c>
      <c r="AB867" s="8" t="str">
        <f>TEXT(B867,"mmmm")</f>
        <v>February</v>
      </c>
      <c r="AC867" s="8" t="str">
        <f>TEXT(B867,"yyyy")</f>
        <v>2025</v>
      </c>
      <c r="AE867">
        <f t="shared" si="225"/>
        <v>7984.08</v>
      </c>
      <c r="AF867" s="11">
        <f t="shared" si="226"/>
        <v>7984.08</v>
      </c>
      <c r="AG867">
        <f t="shared" si="227"/>
        <v>2326.0299999999997</v>
      </c>
      <c r="AH867" s="11">
        <f t="shared" si="228"/>
        <v>0.29133350367230787</v>
      </c>
      <c r="AI867" s="9">
        <f t="shared" si="229"/>
        <v>0.29133350367230787</v>
      </c>
      <c r="AJ867">
        <f t="shared" si="230"/>
        <v>7984.08</v>
      </c>
      <c r="AK867">
        <f t="shared" si="231"/>
        <v>1</v>
      </c>
      <c r="AL867">
        <f t="shared" si="232"/>
        <v>0</v>
      </c>
      <c r="AM867">
        <f t="shared" si="233"/>
        <v>0</v>
      </c>
      <c r="AN867">
        <f t="shared" si="234"/>
        <v>0</v>
      </c>
      <c r="AO867">
        <f t="shared" si="235"/>
        <v>0</v>
      </c>
      <c r="AP867">
        <f t="shared" si="236"/>
        <v>0</v>
      </c>
      <c r="AQ867">
        <f t="shared" si="237"/>
        <v>0</v>
      </c>
    </row>
    <row r="868" spans="1:43">
      <c r="A868" t="s">
        <v>2668</v>
      </c>
      <c r="B868" s="5">
        <v>45714</v>
      </c>
      <c r="C868" s="5">
        <v>45811</v>
      </c>
      <c r="D868" s="13">
        <f t="shared" si="221"/>
        <v>97</v>
      </c>
      <c r="E868" t="s">
        <v>2669</v>
      </c>
      <c r="F868" t="s">
        <v>114</v>
      </c>
      <c r="G868" t="s">
        <v>24</v>
      </c>
      <c r="H868" t="s">
        <v>38</v>
      </c>
      <c r="I868" t="s">
        <v>145</v>
      </c>
      <c r="J868" t="s">
        <v>146</v>
      </c>
      <c r="K868" t="s">
        <v>41</v>
      </c>
      <c r="L868" t="s">
        <v>158</v>
      </c>
      <c r="M868" t="s">
        <v>2670</v>
      </c>
      <c r="N868" t="s">
        <v>50</v>
      </c>
      <c r="O868">
        <v>9</v>
      </c>
      <c r="P868">
        <v>3043.37</v>
      </c>
      <c r="Q868" s="11">
        <v>0.2</v>
      </c>
      <c r="R868">
        <v>21912.26</v>
      </c>
      <c r="S868">
        <v>16367.78</v>
      </c>
      <c r="T868">
        <v>5544.48</v>
      </c>
      <c r="U868" t="s">
        <v>111</v>
      </c>
      <c r="V868" t="s">
        <v>68</v>
      </c>
      <c r="X868" s="8" t="str">
        <f>IF(C868&gt;=B868,"Valid", "Invalid-Date")</f>
        <v>Valid</v>
      </c>
      <c r="Y868" s="8" t="str">
        <f t="shared" si="222"/>
        <v>Valid</v>
      </c>
      <c r="Z868" s="8" t="str">
        <f t="shared" si="223"/>
        <v>Pass</v>
      </c>
      <c r="AA868" s="8" t="str">
        <f t="shared" si="224"/>
        <v>Pass</v>
      </c>
      <c r="AB868" s="8" t="str">
        <f>TEXT(B868,"mmmm")</f>
        <v>February</v>
      </c>
      <c r="AC868" s="8" t="str">
        <f>TEXT(B868,"yyyy")</f>
        <v>2025</v>
      </c>
      <c r="AE868">
        <f t="shared" si="225"/>
        <v>27390.329999999998</v>
      </c>
      <c r="AF868" s="11">
        <f t="shared" si="226"/>
        <v>21912.263999999999</v>
      </c>
      <c r="AG868">
        <f t="shared" si="227"/>
        <v>11022.549999999997</v>
      </c>
      <c r="AH868" s="11">
        <f t="shared" si="228"/>
        <v>0.40242487038308766</v>
      </c>
      <c r="AI868" s="9">
        <f t="shared" si="229"/>
        <v>0.40242487038308766</v>
      </c>
      <c r="AJ868">
        <f t="shared" si="230"/>
        <v>0</v>
      </c>
      <c r="AK868">
        <f t="shared" si="231"/>
        <v>0</v>
      </c>
      <c r="AL868">
        <f t="shared" si="232"/>
        <v>21912.26</v>
      </c>
      <c r="AM868">
        <f t="shared" si="233"/>
        <v>1</v>
      </c>
      <c r="AN868">
        <f t="shared" si="234"/>
        <v>0</v>
      </c>
      <c r="AO868">
        <f t="shared" si="235"/>
        <v>0</v>
      </c>
      <c r="AP868">
        <f t="shared" si="236"/>
        <v>0</v>
      </c>
      <c r="AQ868">
        <f t="shared" si="237"/>
        <v>0</v>
      </c>
    </row>
    <row r="869" spans="1:43">
      <c r="A869" t="s">
        <v>2671</v>
      </c>
      <c r="B869" s="5">
        <v>45617</v>
      </c>
      <c r="C869" s="5">
        <v>45618</v>
      </c>
      <c r="D869" s="13">
        <f t="shared" si="221"/>
        <v>1</v>
      </c>
      <c r="E869" t="s">
        <v>2672</v>
      </c>
      <c r="F869" t="s">
        <v>118</v>
      </c>
      <c r="G869" t="s">
        <v>95</v>
      </c>
      <c r="H869" t="s">
        <v>54</v>
      </c>
      <c r="I869" t="s">
        <v>84</v>
      </c>
      <c r="J869" t="s">
        <v>85</v>
      </c>
      <c r="K869" t="s">
        <v>74</v>
      </c>
      <c r="L869" t="s">
        <v>75</v>
      </c>
      <c r="M869" t="s">
        <v>2673</v>
      </c>
      <c r="N869" t="s">
        <v>44</v>
      </c>
      <c r="O869">
        <v>6</v>
      </c>
      <c r="P869">
        <v>1043.49</v>
      </c>
      <c r="Q869" s="11">
        <v>0.25</v>
      </c>
      <c r="R869">
        <v>4695.7</v>
      </c>
      <c r="S869">
        <v>3871.69</v>
      </c>
      <c r="T869">
        <v>824.01</v>
      </c>
      <c r="U869" t="s">
        <v>155</v>
      </c>
      <c r="V869" t="s">
        <v>68</v>
      </c>
      <c r="X869" s="8" t="str">
        <f>IF(C869&gt;=B869,"Valid", "Invalid-Date")</f>
        <v>Valid</v>
      </c>
      <c r="Y869" s="8" t="str">
        <f t="shared" si="222"/>
        <v>Valid</v>
      </c>
      <c r="Z869" s="8" t="str">
        <f t="shared" si="223"/>
        <v>Pass</v>
      </c>
      <c r="AA869" s="8" t="str">
        <f t="shared" si="224"/>
        <v>Pass</v>
      </c>
      <c r="AB869" s="8" t="str">
        <f>TEXT(B869,"mmmm")</f>
        <v>November</v>
      </c>
      <c r="AC869" s="8" t="str">
        <f>TEXT(B869,"yyyy")</f>
        <v>2024</v>
      </c>
      <c r="AE869">
        <f t="shared" si="225"/>
        <v>6260.9400000000005</v>
      </c>
      <c r="AF869" s="11">
        <f t="shared" si="226"/>
        <v>4695.7049999999999</v>
      </c>
      <c r="AG869">
        <f t="shared" si="227"/>
        <v>2389.2500000000005</v>
      </c>
      <c r="AH869" s="11">
        <f t="shared" si="228"/>
        <v>0.38161202630914853</v>
      </c>
      <c r="AI869" s="9">
        <f t="shared" si="229"/>
        <v>0.38161202630914853</v>
      </c>
      <c r="AJ869">
        <f t="shared" si="230"/>
        <v>0</v>
      </c>
      <c r="AK869">
        <f t="shared" si="231"/>
        <v>0</v>
      </c>
      <c r="AL869">
        <f t="shared" si="232"/>
        <v>4695.7</v>
      </c>
      <c r="AM869">
        <f t="shared" si="233"/>
        <v>1</v>
      </c>
      <c r="AN869">
        <f t="shared" si="234"/>
        <v>4695.7</v>
      </c>
      <c r="AO869">
        <f t="shared" si="235"/>
        <v>1</v>
      </c>
      <c r="AP869">
        <f t="shared" si="236"/>
        <v>0</v>
      </c>
      <c r="AQ869">
        <f t="shared" si="237"/>
        <v>0</v>
      </c>
    </row>
    <row r="870" spans="1:43">
      <c r="A870" t="s">
        <v>2674</v>
      </c>
      <c r="B870" s="5">
        <v>45758</v>
      </c>
      <c r="C870" s="5">
        <v>45762</v>
      </c>
      <c r="D870" s="13">
        <f t="shared" si="221"/>
        <v>4</v>
      </c>
      <c r="E870" t="s">
        <v>2675</v>
      </c>
      <c r="F870" t="s">
        <v>71</v>
      </c>
      <c r="G870" t="s">
        <v>95</v>
      </c>
      <c r="H870" t="s">
        <v>54</v>
      </c>
      <c r="I870" t="s">
        <v>175</v>
      </c>
      <c r="J870" t="s">
        <v>176</v>
      </c>
      <c r="K870" t="s">
        <v>28</v>
      </c>
      <c r="L870" t="s">
        <v>124</v>
      </c>
      <c r="M870" t="s">
        <v>2676</v>
      </c>
      <c r="N870" t="s">
        <v>44</v>
      </c>
      <c r="O870">
        <v>9</v>
      </c>
      <c r="P870">
        <v>224.94</v>
      </c>
      <c r="Q870" s="11">
        <v>0.05</v>
      </c>
      <c r="R870">
        <v>1923.24</v>
      </c>
      <c r="S870">
        <v>1093.6600000000001</v>
      </c>
      <c r="T870">
        <v>829.58</v>
      </c>
      <c r="U870" t="s">
        <v>32</v>
      </c>
      <c r="V870" t="s">
        <v>33</v>
      </c>
      <c r="X870" s="8" t="str">
        <f>IF(C870&gt;=B870,"Valid", "Invalid-Date")</f>
        <v>Valid</v>
      </c>
      <c r="Y870" s="8" t="str">
        <f t="shared" si="222"/>
        <v>Valid</v>
      </c>
      <c r="Z870" s="8" t="str">
        <f t="shared" si="223"/>
        <v>Pass</v>
      </c>
      <c r="AA870" s="8" t="str">
        <f t="shared" si="224"/>
        <v>Pass</v>
      </c>
      <c r="AB870" s="8" t="str">
        <f>TEXT(B870,"mmmm")</f>
        <v>April</v>
      </c>
      <c r="AC870" s="8" t="str">
        <f>TEXT(B870,"yyyy")</f>
        <v>2025</v>
      </c>
      <c r="AE870">
        <f t="shared" si="225"/>
        <v>2024.46</v>
      </c>
      <c r="AF870" s="11">
        <f t="shared" si="226"/>
        <v>1923.2369999999999</v>
      </c>
      <c r="AG870">
        <f t="shared" si="227"/>
        <v>930.8</v>
      </c>
      <c r="AH870" s="11">
        <f t="shared" si="228"/>
        <v>0.45977692816849924</v>
      </c>
      <c r="AI870" s="9">
        <f t="shared" si="229"/>
        <v>0.45977692816849924</v>
      </c>
      <c r="AJ870">
        <f t="shared" si="230"/>
        <v>1923.24</v>
      </c>
      <c r="AK870">
        <f t="shared" si="231"/>
        <v>1</v>
      </c>
      <c r="AL870">
        <f t="shared" si="232"/>
        <v>0</v>
      </c>
      <c r="AM870">
        <f t="shared" si="233"/>
        <v>0</v>
      </c>
      <c r="AN870">
        <f t="shared" si="234"/>
        <v>0</v>
      </c>
      <c r="AO870">
        <f t="shared" si="235"/>
        <v>0</v>
      </c>
      <c r="AP870">
        <f t="shared" si="236"/>
        <v>0</v>
      </c>
      <c r="AQ870">
        <f t="shared" si="237"/>
        <v>0</v>
      </c>
    </row>
    <row r="871" spans="1:43">
      <c r="A871" t="s">
        <v>2677</v>
      </c>
      <c r="B871" s="5">
        <v>45811</v>
      </c>
      <c r="C871" s="5">
        <v>45723</v>
      </c>
      <c r="D871" s="13">
        <f t="shared" si="221"/>
        <v>-88</v>
      </c>
      <c r="E871" t="s">
        <v>2678</v>
      </c>
      <c r="F871" t="s">
        <v>141</v>
      </c>
      <c r="G871" t="s">
        <v>95</v>
      </c>
      <c r="H871" t="s">
        <v>2785</v>
      </c>
      <c r="I871" t="s">
        <v>350</v>
      </c>
      <c r="J871" t="s">
        <v>351</v>
      </c>
      <c r="K871" t="s">
        <v>41</v>
      </c>
      <c r="L871" t="s">
        <v>66</v>
      </c>
      <c r="M871" t="s">
        <v>1146</v>
      </c>
      <c r="N871" t="s">
        <v>44</v>
      </c>
      <c r="O871">
        <v>6</v>
      </c>
      <c r="P871">
        <v>796.65</v>
      </c>
      <c r="Q871" s="11">
        <v>0.1</v>
      </c>
      <c r="R871">
        <v>4301.91</v>
      </c>
      <c r="S871">
        <v>2374.4</v>
      </c>
      <c r="T871">
        <v>1927.51</v>
      </c>
      <c r="U871" t="s">
        <v>32</v>
      </c>
      <c r="V871" t="s">
        <v>33</v>
      </c>
      <c r="X871" s="8" t="str">
        <f>IF(C871&gt;=B871,"Valid", "Invalid-Date")</f>
        <v>Invalid-Date</v>
      </c>
      <c r="Y871" s="8" t="str">
        <f t="shared" si="222"/>
        <v>Valid</v>
      </c>
      <c r="Z871" s="8" t="str">
        <f t="shared" si="223"/>
        <v>Pass</v>
      </c>
      <c r="AA871" s="8" t="str">
        <f t="shared" si="224"/>
        <v>Flagged</v>
      </c>
      <c r="AB871" s="8" t="str">
        <f>TEXT(B871,"mmmm")</f>
        <v>June</v>
      </c>
      <c r="AC871" s="8" t="str">
        <f>TEXT(B871,"yyyy")</f>
        <v>2025</v>
      </c>
      <c r="AE871">
        <f t="shared" si="225"/>
        <v>4779.8999999999996</v>
      </c>
      <c r="AF871" s="11">
        <f t="shared" si="226"/>
        <v>4301.91</v>
      </c>
      <c r="AG871">
        <f t="shared" si="227"/>
        <v>2405.4999999999995</v>
      </c>
      <c r="AH871" s="11">
        <f t="shared" si="228"/>
        <v>0.50325320613401947</v>
      </c>
      <c r="AI871" s="9">
        <f t="shared" si="229"/>
        <v>0.50325320613401947</v>
      </c>
      <c r="AJ871">
        <f t="shared" si="230"/>
        <v>4301.91</v>
      </c>
      <c r="AK871">
        <f t="shared" si="231"/>
        <v>1</v>
      </c>
      <c r="AL871">
        <f t="shared" si="232"/>
        <v>0</v>
      </c>
      <c r="AM871">
        <f t="shared" si="233"/>
        <v>0</v>
      </c>
      <c r="AN871">
        <f t="shared" si="234"/>
        <v>0</v>
      </c>
      <c r="AO871">
        <f t="shared" si="235"/>
        <v>0</v>
      </c>
      <c r="AP871">
        <f t="shared" si="236"/>
        <v>0</v>
      </c>
      <c r="AQ871">
        <f t="shared" si="237"/>
        <v>0</v>
      </c>
    </row>
    <row r="872" spans="1:43">
      <c r="A872" t="s">
        <v>2679</v>
      </c>
      <c r="B872" s="5">
        <v>45814</v>
      </c>
      <c r="C872" s="5">
        <v>45844</v>
      </c>
      <c r="D872" s="13">
        <f t="shared" si="221"/>
        <v>30</v>
      </c>
      <c r="E872" t="s">
        <v>2680</v>
      </c>
      <c r="F872" t="s">
        <v>71</v>
      </c>
      <c r="G872" t="s">
        <v>90</v>
      </c>
      <c r="H872" t="s">
        <v>63</v>
      </c>
      <c r="I872" t="s">
        <v>190</v>
      </c>
      <c r="J872" t="s">
        <v>191</v>
      </c>
      <c r="K872" t="s">
        <v>41</v>
      </c>
      <c r="L872" t="s">
        <v>42</v>
      </c>
      <c r="M872" t="s">
        <v>2681</v>
      </c>
      <c r="N872" t="s">
        <v>59</v>
      </c>
      <c r="O872">
        <v>9</v>
      </c>
      <c r="P872">
        <v>2932.92</v>
      </c>
      <c r="Q872" s="11">
        <v>0.15</v>
      </c>
      <c r="R872">
        <v>22436.84</v>
      </c>
      <c r="S872">
        <v>17454.669999999998</v>
      </c>
      <c r="T872">
        <v>4982.17</v>
      </c>
      <c r="U872" t="s">
        <v>32</v>
      </c>
      <c r="V872" t="s">
        <v>68</v>
      </c>
      <c r="X872" s="8" t="str">
        <f>IF(C872&gt;=B872,"Valid", "Invalid-Date")</f>
        <v>Valid</v>
      </c>
      <c r="Y872" s="8" t="str">
        <f t="shared" si="222"/>
        <v>Valid</v>
      </c>
      <c r="Z872" s="8" t="str">
        <f t="shared" si="223"/>
        <v>Pass</v>
      </c>
      <c r="AA872" s="8" t="str">
        <f t="shared" si="224"/>
        <v>Pass</v>
      </c>
      <c r="AB872" s="8" t="str">
        <f>TEXT(B872,"mmmm")</f>
        <v>June</v>
      </c>
      <c r="AC872" s="8" t="str">
        <f>TEXT(B872,"yyyy")</f>
        <v>2025</v>
      </c>
      <c r="AE872">
        <f t="shared" si="225"/>
        <v>26396.28</v>
      </c>
      <c r="AF872" s="11">
        <f t="shared" si="226"/>
        <v>22436.838</v>
      </c>
      <c r="AG872">
        <f t="shared" si="227"/>
        <v>8941.61</v>
      </c>
      <c r="AH872" s="11">
        <f t="shared" si="228"/>
        <v>0.33874508074622639</v>
      </c>
      <c r="AI872" s="9">
        <f t="shared" si="229"/>
        <v>0.33874508074622639</v>
      </c>
      <c r="AJ872">
        <f t="shared" si="230"/>
        <v>0</v>
      </c>
      <c r="AK872">
        <f t="shared" si="231"/>
        <v>0</v>
      </c>
      <c r="AL872">
        <f t="shared" si="232"/>
        <v>22436.84</v>
      </c>
      <c r="AM872">
        <f t="shared" si="233"/>
        <v>1</v>
      </c>
      <c r="AN872">
        <f t="shared" si="234"/>
        <v>0</v>
      </c>
      <c r="AO872">
        <f t="shared" si="235"/>
        <v>0</v>
      </c>
      <c r="AP872">
        <f t="shared" si="236"/>
        <v>0</v>
      </c>
      <c r="AQ872">
        <f t="shared" si="237"/>
        <v>0</v>
      </c>
    </row>
    <row r="873" spans="1:43">
      <c r="A873" t="s">
        <v>2682</v>
      </c>
      <c r="B873" s="5">
        <v>45342</v>
      </c>
      <c r="C873" s="5">
        <v>45344</v>
      </c>
      <c r="D873" s="13">
        <f t="shared" si="221"/>
        <v>2</v>
      </c>
      <c r="E873" t="s">
        <v>2552</v>
      </c>
      <c r="F873" t="s">
        <v>79</v>
      </c>
      <c r="G873" t="s">
        <v>37</v>
      </c>
      <c r="H873" t="s">
        <v>54</v>
      </c>
      <c r="I873" t="s">
        <v>55</v>
      </c>
      <c r="J873" t="s">
        <v>56</v>
      </c>
      <c r="K873" t="s">
        <v>74</v>
      </c>
      <c r="L873" t="s">
        <v>75</v>
      </c>
      <c r="M873" t="s">
        <v>2683</v>
      </c>
      <c r="N873" t="s">
        <v>50</v>
      </c>
      <c r="O873">
        <v>9</v>
      </c>
      <c r="P873">
        <v>2186.23</v>
      </c>
      <c r="Q873" s="11">
        <v>0</v>
      </c>
      <c r="R873">
        <v>19676.07</v>
      </c>
      <c r="S873">
        <v>12458.62</v>
      </c>
      <c r="T873">
        <v>7217.45</v>
      </c>
      <c r="U873" t="s">
        <v>102</v>
      </c>
      <c r="V873" t="s">
        <v>68</v>
      </c>
      <c r="X873" s="8" t="str">
        <f>IF(C873&gt;=B873,"Valid", "Invalid-Date")</f>
        <v>Valid</v>
      </c>
      <c r="Y873" s="8" t="str">
        <f t="shared" si="222"/>
        <v>Valid</v>
      </c>
      <c r="Z873" s="8" t="str">
        <f t="shared" si="223"/>
        <v>Pass</v>
      </c>
      <c r="AA873" s="8" t="str">
        <f t="shared" si="224"/>
        <v>Pass</v>
      </c>
      <c r="AB873" s="8" t="str">
        <f>TEXT(B873,"mmmm")</f>
        <v>February</v>
      </c>
      <c r="AC873" s="8" t="str">
        <f>TEXT(B873,"yyyy")</f>
        <v>2024</v>
      </c>
      <c r="AE873">
        <f t="shared" si="225"/>
        <v>19676.07</v>
      </c>
      <c r="AF873" s="11">
        <f t="shared" si="226"/>
        <v>19676.07</v>
      </c>
      <c r="AG873">
        <f t="shared" si="227"/>
        <v>7217.4499999999989</v>
      </c>
      <c r="AH873" s="11">
        <f t="shared" si="228"/>
        <v>0.36681359641432454</v>
      </c>
      <c r="AI873" s="9">
        <f t="shared" si="229"/>
        <v>0.36681359641432454</v>
      </c>
      <c r="AJ873">
        <f t="shared" si="230"/>
        <v>0</v>
      </c>
      <c r="AK873">
        <f t="shared" si="231"/>
        <v>0</v>
      </c>
      <c r="AL873">
        <f t="shared" si="232"/>
        <v>19676.07</v>
      </c>
      <c r="AM873">
        <f t="shared" si="233"/>
        <v>1</v>
      </c>
      <c r="AN873">
        <f t="shared" si="234"/>
        <v>0</v>
      </c>
      <c r="AO873">
        <f t="shared" si="235"/>
        <v>0</v>
      </c>
      <c r="AP873">
        <f t="shared" si="236"/>
        <v>0</v>
      </c>
      <c r="AQ873">
        <f t="shared" si="237"/>
        <v>0</v>
      </c>
    </row>
    <row r="874" spans="1:43">
      <c r="A874" t="s">
        <v>2684</v>
      </c>
      <c r="B874" s="5">
        <v>45302</v>
      </c>
      <c r="C874" s="5">
        <v>45333</v>
      </c>
      <c r="D874" s="13">
        <f t="shared" si="221"/>
        <v>31</v>
      </c>
      <c r="E874" t="s">
        <v>1960</v>
      </c>
      <c r="F874" t="s">
        <v>23</v>
      </c>
      <c r="G874" t="s">
        <v>90</v>
      </c>
      <c r="H874" t="s">
        <v>38</v>
      </c>
      <c r="I874" t="s">
        <v>99</v>
      </c>
      <c r="J874" t="s">
        <v>100</v>
      </c>
      <c r="K874" t="s">
        <v>41</v>
      </c>
      <c r="L874" t="s">
        <v>57</v>
      </c>
      <c r="M874" t="s">
        <v>2685</v>
      </c>
      <c r="N874" t="s">
        <v>59</v>
      </c>
      <c r="O874">
        <v>5</v>
      </c>
      <c r="P874">
        <v>2212.02</v>
      </c>
      <c r="Q874" s="11">
        <v>0.2</v>
      </c>
      <c r="R874">
        <v>8848.08</v>
      </c>
      <c r="S874">
        <v>5691.56</v>
      </c>
      <c r="T874">
        <v>3156.52</v>
      </c>
      <c r="U874" t="s">
        <v>32</v>
      </c>
      <c r="V874" t="s">
        <v>33</v>
      </c>
      <c r="X874" s="8" t="str">
        <f>IF(C874&gt;=B874,"Valid", "Invalid-Date")</f>
        <v>Valid</v>
      </c>
      <c r="Y874" s="8" t="str">
        <f t="shared" si="222"/>
        <v>Valid</v>
      </c>
      <c r="Z874" s="8" t="str">
        <f t="shared" si="223"/>
        <v>Pass</v>
      </c>
      <c r="AA874" s="8" t="str">
        <f t="shared" si="224"/>
        <v>Pass</v>
      </c>
      <c r="AB874" s="8" t="str">
        <f>TEXT(B874,"mmmm")</f>
        <v>January</v>
      </c>
      <c r="AC874" s="8" t="str">
        <f>TEXT(B874,"yyyy")</f>
        <v>2024</v>
      </c>
      <c r="AE874">
        <f t="shared" si="225"/>
        <v>11060.1</v>
      </c>
      <c r="AF874" s="11">
        <f t="shared" si="226"/>
        <v>8848.08</v>
      </c>
      <c r="AG874">
        <f t="shared" si="227"/>
        <v>5368.54</v>
      </c>
      <c r="AH874" s="11">
        <f t="shared" si="228"/>
        <v>0.48539705789278575</v>
      </c>
      <c r="AI874" s="9">
        <f t="shared" si="229"/>
        <v>0.48539705789278575</v>
      </c>
      <c r="AJ874">
        <f t="shared" si="230"/>
        <v>8848.08</v>
      </c>
      <c r="AK874">
        <f t="shared" si="231"/>
        <v>1</v>
      </c>
      <c r="AL874">
        <f t="shared" si="232"/>
        <v>0</v>
      </c>
      <c r="AM874">
        <f t="shared" si="233"/>
        <v>0</v>
      </c>
      <c r="AN874">
        <f t="shared" si="234"/>
        <v>0</v>
      </c>
      <c r="AO874">
        <f t="shared" si="235"/>
        <v>0</v>
      </c>
      <c r="AP874">
        <f t="shared" si="236"/>
        <v>0</v>
      </c>
      <c r="AQ874">
        <f t="shared" si="237"/>
        <v>0</v>
      </c>
    </row>
    <row r="875" spans="1:43">
      <c r="A875" t="s">
        <v>2686</v>
      </c>
      <c r="B875" s="5">
        <v>45689</v>
      </c>
      <c r="C875" s="5">
        <v>45696</v>
      </c>
      <c r="D875" s="13">
        <f t="shared" si="221"/>
        <v>7</v>
      </c>
      <c r="E875" t="s">
        <v>2687</v>
      </c>
      <c r="F875" t="s">
        <v>89</v>
      </c>
      <c r="G875" t="s">
        <v>95</v>
      </c>
      <c r="H875" t="s">
        <v>63</v>
      </c>
      <c r="I875" t="s">
        <v>180</v>
      </c>
      <c r="J875" t="s">
        <v>181</v>
      </c>
      <c r="K875" t="s">
        <v>28</v>
      </c>
      <c r="L875" t="s">
        <v>124</v>
      </c>
      <c r="M875" t="s">
        <v>2688</v>
      </c>
      <c r="N875" t="s">
        <v>31</v>
      </c>
      <c r="O875">
        <v>8</v>
      </c>
      <c r="P875">
        <v>623.30999999999995</v>
      </c>
      <c r="Q875" s="11">
        <v>0.1</v>
      </c>
      <c r="R875">
        <v>4487.83</v>
      </c>
      <c r="S875">
        <v>2633.78</v>
      </c>
      <c r="T875">
        <v>1854.05</v>
      </c>
      <c r="U875" t="s">
        <v>32</v>
      </c>
      <c r="V875" t="s">
        <v>33</v>
      </c>
      <c r="X875" s="8" t="str">
        <f>IF(C875&gt;=B875,"Valid", "Invalid-Date")</f>
        <v>Valid</v>
      </c>
      <c r="Y875" s="8" t="str">
        <f t="shared" si="222"/>
        <v>Valid</v>
      </c>
      <c r="Z875" s="8" t="str">
        <f t="shared" si="223"/>
        <v>Pass</v>
      </c>
      <c r="AA875" s="8" t="str">
        <f t="shared" si="224"/>
        <v>Pass</v>
      </c>
      <c r="AB875" s="8" t="str">
        <f>TEXT(B875,"mmmm")</f>
        <v>February</v>
      </c>
      <c r="AC875" s="8" t="str">
        <f>TEXT(B875,"yyyy")</f>
        <v>2025</v>
      </c>
      <c r="AE875">
        <f t="shared" si="225"/>
        <v>4986.4799999999996</v>
      </c>
      <c r="AF875" s="11">
        <f t="shared" si="226"/>
        <v>4487.8319999999994</v>
      </c>
      <c r="AG875">
        <f t="shared" si="227"/>
        <v>2352.6999999999994</v>
      </c>
      <c r="AH875" s="11">
        <f t="shared" si="228"/>
        <v>0.47181578989587836</v>
      </c>
      <c r="AI875" s="9">
        <f t="shared" si="229"/>
        <v>0.47181578989587836</v>
      </c>
      <c r="AJ875">
        <f t="shared" si="230"/>
        <v>4487.83</v>
      </c>
      <c r="AK875">
        <f t="shared" si="231"/>
        <v>1</v>
      </c>
      <c r="AL875">
        <f t="shared" si="232"/>
        <v>0</v>
      </c>
      <c r="AM875">
        <f t="shared" si="233"/>
        <v>0</v>
      </c>
      <c r="AN875">
        <f t="shared" si="234"/>
        <v>0</v>
      </c>
      <c r="AO875">
        <f t="shared" si="235"/>
        <v>0</v>
      </c>
      <c r="AP875">
        <f t="shared" si="236"/>
        <v>0</v>
      </c>
      <c r="AQ875">
        <f t="shared" si="237"/>
        <v>0</v>
      </c>
    </row>
    <row r="876" spans="1:43">
      <c r="A876" t="s">
        <v>2689</v>
      </c>
      <c r="B876" s="5">
        <v>45853</v>
      </c>
      <c r="C876" s="5">
        <v>45854</v>
      </c>
      <c r="D876" s="13">
        <f t="shared" si="221"/>
        <v>1</v>
      </c>
      <c r="E876" t="s">
        <v>2690</v>
      </c>
      <c r="F876" t="s">
        <v>71</v>
      </c>
      <c r="G876" t="s">
        <v>37</v>
      </c>
      <c r="H876" t="s">
        <v>63</v>
      </c>
      <c r="I876" t="s">
        <v>64</v>
      </c>
      <c r="J876" t="s">
        <v>65</v>
      </c>
      <c r="K876" t="s">
        <v>28</v>
      </c>
      <c r="L876" t="s">
        <v>29</v>
      </c>
      <c r="M876" t="s">
        <v>2691</v>
      </c>
      <c r="N876" t="s">
        <v>59</v>
      </c>
      <c r="O876">
        <v>8</v>
      </c>
      <c r="P876">
        <v>3924.88</v>
      </c>
      <c r="Q876" s="11">
        <v>0.05</v>
      </c>
      <c r="R876">
        <v>29829.09</v>
      </c>
      <c r="S876">
        <v>20710.18</v>
      </c>
      <c r="T876">
        <v>9118.91</v>
      </c>
      <c r="U876" t="s">
        <v>32</v>
      </c>
      <c r="V876" t="s">
        <v>33</v>
      </c>
      <c r="X876" s="8" t="str">
        <f>IF(C876&gt;=B876,"Valid", "Invalid-Date")</f>
        <v>Valid</v>
      </c>
      <c r="Y876" s="8" t="str">
        <f t="shared" si="222"/>
        <v>Valid</v>
      </c>
      <c r="Z876" s="8" t="str">
        <f t="shared" si="223"/>
        <v>Pass</v>
      </c>
      <c r="AA876" s="8" t="str">
        <f t="shared" si="224"/>
        <v>Pass</v>
      </c>
      <c r="AB876" s="8" t="str">
        <f>TEXT(B876,"mmmm")</f>
        <v>July</v>
      </c>
      <c r="AC876" s="8" t="str">
        <f>TEXT(B876,"yyyy")</f>
        <v>2025</v>
      </c>
      <c r="AE876">
        <f t="shared" si="225"/>
        <v>31399.040000000001</v>
      </c>
      <c r="AF876" s="11">
        <f t="shared" si="226"/>
        <v>29829.088</v>
      </c>
      <c r="AG876">
        <f t="shared" si="227"/>
        <v>10688.86</v>
      </c>
      <c r="AH876" s="11">
        <f t="shared" si="228"/>
        <v>0.340419961884185</v>
      </c>
      <c r="AI876" s="9">
        <f t="shared" si="229"/>
        <v>0.340419961884185</v>
      </c>
      <c r="AJ876">
        <f t="shared" si="230"/>
        <v>29829.09</v>
      </c>
      <c r="AK876">
        <f t="shared" si="231"/>
        <v>1</v>
      </c>
      <c r="AL876">
        <f t="shared" si="232"/>
        <v>0</v>
      </c>
      <c r="AM876">
        <f t="shared" si="233"/>
        <v>0</v>
      </c>
      <c r="AN876">
        <f t="shared" si="234"/>
        <v>0</v>
      </c>
      <c r="AO876">
        <f t="shared" si="235"/>
        <v>0</v>
      </c>
      <c r="AP876">
        <f t="shared" si="236"/>
        <v>0</v>
      </c>
      <c r="AQ876">
        <f t="shared" si="237"/>
        <v>0</v>
      </c>
    </row>
    <row r="877" spans="1:43">
      <c r="A877" t="s">
        <v>2692</v>
      </c>
      <c r="B877" s="5">
        <v>45514</v>
      </c>
      <c r="C877" s="5">
        <v>45604</v>
      </c>
      <c r="D877" s="13">
        <f t="shared" si="221"/>
        <v>90</v>
      </c>
      <c r="E877" t="s">
        <v>2693</v>
      </c>
      <c r="F877" t="s">
        <v>36</v>
      </c>
      <c r="G877" t="s">
        <v>90</v>
      </c>
      <c r="H877" t="s">
        <v>63</v>
      </c>
      <c r="I877" t="s">
        <v>64</v>
      </c>
      <c r="J877" t="s">
        <v>65</v>
      </c>
      <c r="K877" t="s">
        <v>74</v>
      </c>
      <c r="L877" t="s">
        <v>80</v>
      </c>
      <c r="M877" t="s">
        <v>2694</v>
      </c>
      <c r="N877" t="s">
        <v>50</v>
      </c>
      <c r="O877">
        <v>7</v>
      </c>
      <c r="P877">
        <v>3852.62</v>
      </c>
      <c r="Q877" s="11">
        <v>0.2</v>
      </c>
      <c r="R877">
        <v>21574.67</v>
      </c>
      <c r="S877">
        <v>14672.83</v>
      </c>
      <c r="T877">
        <v>6901.84</v>
      </c>
      <c r="U877" t="s">
        <v>32</v>
      </c>
      <c r="V877" t="s">
        <v>33</v>
      </c>
      <c r="X877" s="8" t="str">
        <f>IF(C877&gt;=B877,"Valid", "Invalid-Date")</f>
        <v>Valid</v>
      </c>
      <c r="Y877" s="8" t="str">
        <f t="shared" si="222"/>
        <v>Valid</v>
      </c>
      <c r="Z877" s="8" t="str">
        <f t="shared" si="223"/>
        <v>Pass</v>
      </c>
      <c r="AA877" s="8" t="str">
        <f t="shared" si="224"/>
        <v>Pass</v>
      </c>
      <c r="AB877" s="8" t="str">
        <f>TEXT(B877,"mmmm")</f>
        <v>August</v>
      </c>
      <c r="AC877" s="8" t="str">
        <f>TEXT(B877,"yyyy")</f>
        <v>2024</v>
      </c>
      <c r="AE877">
        <f t="shared" si="225"/>
        <v>26968.34</v>
      </c>
      <c r="AF877" s="11">
        <f t="shared" si="226"/>
        <v>21574.672000000002</v>
      </c>
      <c r="AG877">
        <f t="shared" si="227"/>
        <v>12295.51</v>
      </c>
      <c r="AH877" s="11">
        <f t="shared" si="228"/>
        <v>0.45592387221460423</v>
      </c>
      <c r="AI877" s="9">
        <f t="shared" si="229"/>
        <v>0.45592387221460423</v>
      </c>
      <c r="AJ877">
        <f t="shared" si="230"/>
        <v>21574.67</v>
      </c>
      <c r="AK877">
        <f t="shared" si="231"/>
        <v>1</v>
      </c>
      <c r="AL877">
        <f t="shared" si="232"/>
        <v>0</v>
      </c>
      <c r="AM877">
        <f t="shared" si="233"/>
        <v>0</v>
      </c>
      <c r="AN877">
        <f t="shared" si="234"/>
        <v>0</v>
      </c>
      <c r="AO877">
        <f t="shared" si="235"/>
        <v>0</v>
      </c>
      <c r="AP877">
        <f t="shared" si="236"/>
        <v>0</v>
      </c>
      <c r="AQ877">
        <f t="shared" si="237"/>
        <v>0</v>
      </c>
    </row>
    <row r="878" spans="1:43">
      <c r="A878" t="s">
        <v>2695</v>
      </c>
      <c r="B878" s="5">
        <v>45614</v>
      </c>
      <c r="C878" s="5">
        <v>45616</v>
      </c>
      <c r="D878" s="13">
        <f t="shared" si="221"/>
        <v>2</v>
      </c>
      <c r="E878" t="s">
        <v>2696</v>
      </c>
      <c r="F878" t="s">
        <v>114</v>
      </c>
      <c r="G878" t="s">
        <v>24</v>
      </c>
      <c r="H878" t="s">
        <v>63</v>
      </c>
      <c r="I878" t="s">
        <v>26</v>
      </c>
      <c r="J878" t="s">
        <v>109</v>
      </c>
      <c r="K878" t="s">
        <v>41</v>
      </c>
      <c r="L878" t="s">
        <v>66</v>
      </c>
      <c r="M878" t="s">
        <v>844</v>
      </c>
      <c r="N878" t="s">
        <v>50</v>
      </c>
      <c r="O878">
        <v>6</v>
      </c>
      <c r="P878">
        <v>3790.22</v>
      </c>
      <c r="Q878" s="11">
        <v>0</v>
      </c>
      <c r="R878">
        <v>22741.32</v>
      </c>
      <c r="S878">
        <v>16388.57</v>
      </c>
      <c r="T878">
        <v>6352.75</v>
      </c>
      <c r="U878" t="s">
        <v>32</v>
      </c>
      <c r="V878" t="s">
        <v>33</v>
      </c>
      <c r="X878" s="8" t="str">
        <f>IF(C878&gt;=B878,"Valid", "Invalid-Date")</f>
        <v>Valid</v>
      </c>
      <c r="Y878" s="8" t="str">
        <f t="shared" si="222"/>
        <v>Valid</v>
      </c>
      <c r="Z878" s="8" t="str">
        <f t="shared" si="223"/>
        <v>Pass</v>
      </c>
      <c r="AA878" s="8" t="str">
        <f t="shared" si="224"/>
        <v>Pass</v>
      </c>
      <c r="AB878" s="8" t="str">
        <f>TEXT(B878,"mmmm")</f>
        <v>November</v>
      </c>
      <c r="AC878" s="8" t="str">
        <f>TEXT(B878,"yyyy")</f>
        <v>2024</v>
      </c>
      <c r="AE878">
        <f t="shared" si="225"/>
        <v>22741.32</v>
      </c>
      <c r="AF878" s="11">
        <f t="shared" si="226"/>
        <v>22741.32</v>
      </c>
      <c r="AG878">
        <f t="shared" si="227"/>
        <v>6352.75</v>
      </c>
      <c r="AH878" s="11">
        <f t="shared" si="228"/>
        <v>0.27934834037777928</v>
      </c>
      <c r="AI878" s="9">
        <f t="shared" si="229"/>
        <v>0.27934834037777928</v>
      </c>
      <c r="AJ878">
        <f t="shared" si="230"/>
        <v>22741.32</v>
      </c>
      <c r="AK878">
        <f t="shared" si="231"/>
        <v>1</v>
      </c>
      <c r="AL878">
        <f t="shared" si="232"/>
        <v>0</v>
      </c>
      <c r="AM878">
        <f t="shared" si="233"/>
        <v>0</v>
      </c>
      <c r="AN878">
        <f t="shared" si="234"/>
        <v>0</v>
      </c>
      <c r="AO878">
        <f t="shared" si="235"/>
        <v>0</v>
      </c>
      <c r="AP878">
        <f t="shared" si="236"/>
        <v>0</v>
      </c>
      <c r="AQ878">
        <f t="shared" si="237"/>
        <v>0</v>
      </c>
    </row>
    <row r="879" spans="1:43">
      <c r="A879" t="s">
        <v>2697</v>
      </c>
      <c r="B879" s="5">
        <v>45895</v>
      </c>
      <c r="C879" s="5">
        <v>45725</v>
      </c>
      <c r="D879" s="13">
        <f t="shared" si="221"/>
        <v>-170</v>
      </c>
      <c r="E879" t="s">
        <v>2698</v>
      </c>
      <c r="F879" t="s">
        <v>128</v>
      </c>
      <c r="G879" t="s">
        <v>24</v>
      </c>
      <c r="H879" t="s">
        <v>63</v>
      </c>
      <c r="I879" t="s">
        <v>26</v>
      </c>
      <c r="J879" t="s">
        <v>109</v>
      </c>
      <c r="K879" t="s">
        <v>28</v>
      </c>
      <c r="L879" t="s">
        <v>124</v>
      </c>
      <c r="M879" t="s">
        <v>2699</v>
      </c>
      <c r="N879" t="s">
        <v>31</v>
      </c>
      <c r="O879">
        <v>6</v>
      </c>
      <c r="P879">
        <v>674.36</v>
      </c>
      <c r="Q879" s="11">
        <v>0.1</v>
      </c>
      <c r="R879">
        <v>3641.54</v>
      </c>
      <c r="S879">
        <v>2690.37</v>
      </c>
      <c r="T879">
        <v>951.17</v>
      </c>
      <c r="U879" t="s">
        <v>32</v>
      </c>
      <c r="V879" t="s">
        <v>33</v>
      </c>
      <c r="X879" s="8" t="str">
        <f>IF(C879&gt;=B879,"Valid", "Invalid-Date")</f>
        <v>Invalid-Date</v>
      </c>
      <c r="Y879" s="8" t="str">
        <f t="shared" si="222"/>
        <v>Valid</v>
      </c>
      <c r="Z879" s="8" t="str">
        <f t="shared" si="223"/>
        <v>Pass</v>
      </c>
      <c r="AA879" s="8" t="str">
        <f t="shared" si="224"/>
        <v>Pass</v>
      </c>
      <c r="AB879" s="8" t="str">
        <f>TEXT(B879,"mmmm")</f>
        <v>August</v>
      </c>
      <c r="AC879" s="8" t="str">
        <f>TEXT(B879,"yyyy")</f>
        <v>2025</v>
      </c>
      <c r="AE879">
        <f t="shared" si="225"/>
        <v>4046.16</v>
      </c>
      <c r="AF879" s="11">
        <f t="shared" si="226"/>
        <v>3641.5439999999999</v>
      </c>
      <c r="AG879">
        <f t="shared" si="227"/>
        <v>1355.79</v>
      </c>
      <c r="AH879" s="11">
        <f t="shared" si="228"/>
        <v>0.33508066907883033</v>
      </c>
      <c r="AI879" s="9">
        <f t="shared" si="229"/>
        <v>0.33508066907883033</v>
      </c>
      <c r="AJ879">
        <f t="shared" si="230"/>
        <v>3641.54</v>
      </c>
      <c r="AK879">
        <f t="shared" si="231"/>
        <v>1</v>
      </c>
      <c r="AL879">
        <f t="shared" si="232"/>
        <v>0</v>
      </c>
      <c r="AM879">
        <f t="shared" si="233"/>
        <v>0</v>
      </c>
      <c r="AN879">
        <f t="shared" si="234"/>
        <v>0</v>
      </c>
      <c r="AO879">
        <f t="shared" si="235"/>
        <v>0</v>
      </c>
      <c r="AP879">
        <f t="shared" si="236"/>
        <v>0</v>
      </c>
      <c r="AQ879">
        <f t="shared" si="237"/>
        <v>0</v>
      </c>
    </row>
    <row r="880" spans="1:43">
      <c r="A880" t="s">
        <v>2700</v>
      </c>
      <c r="B880" s="5">
        <v>45313</v>
      </c>
      <c r="C880" s="5">
        <v>45313</v>
      </c>
      <c r="D880" s="13">
        <f t="shared" si="221"/>
        <v>0</v>
      </c>
      <c r="E880" t="s">
        <v>2701</v>
      </c>
      <c r="F880" t="s">
        <v>23</v>
      </c>
      <c r="G880" t="s">
        <v>90</v>
      </c>
      <c r="H880" t="s">
        <v>38</v>
      </c>
      <c r="I880" t="s">
        <v>99</v>
      </c>
      <c r="J880" t="s">
        <v>100</v>
      </c>
      <c r="K880" t="s">
        <v>28</v>
      </c>
      <c r="L880" t="s">
        <v>29</v>
      </c>
      <c r="M880" t="s">
        <v>2702</v>
      </c>
      <c r="N880" t="s">
        <v>50</v>
      </c>
      <c r="O880">
        <v>8</v>
      </c>
      <c r="P880">
        <v>1557.21</v>
      </c>
      <c r="Q880" s="11">
        <v>0.05</v>
      </c>
      <c r="R880">
        <v>11834.8</v>
      </c>
      <c r="S880">
        <v>9322.36</v>
      </c>
      <c r="T880">
        <v>2512.44</v>
      </c>
      <c r="U880" t="s">
        <v>32</v>
      </c>
      <c r="V880" t="s">
        <v>33</v>
      </c>
      <c r="X880" s="8" t="str">
        <f>IF(C880&gt;=B880,"Valid", "Invalid-Date")</f>
        <v>Valid</v>
      </c>
      <c r="Y880" s="8" t="str">
        <f t="shared" si="222"/>
        <v>Valid</v>
      </c>
      <c r="Z880" s="8" t="str">
        <f t="shared" si="223"/>
        <v>Pass</v>
      </c>
      <c r="AA880" s="8" t="str">
        <f t="shared" si="224"/>
        <v>Pass</v>
      </c>
      <c r="AB880" s="8" t="str">
        <f>TEXT(B880,"mmmm")</f>
        <v>January</v>
      </c>
      <c r="AC880" s="8" t="str">
        <f>TEXT(B880,"yyyy")</f>
        <v>2024</v>
      </c>
      <c r="AE880">
        <f t="shared" si="225"/>
        <v>12457.68</v>
      </c>
      <c r="AF880" s="11">
        <f t="shared" si="226"/>
        <v>11834.796</v>
      </c>
      <c r="AG880">
        <f t="shared" si="227"/>
        <v>3135.3199999999997</v>
      </c>
      <c r="AH880" s="11">
        <f t="shared" si="228"/>
        <v>0.25167767995324969</v>
      </c>
      <c r="AI880" s="9">
        <f t="shared" si="229"/>
        <v>0.25167767995324969</v>
      </c>
      <c r="AJ880">
        <f t="shared" si="230"/>
        <v>11834.8</v>
      </c>
      <c r="AK880">
        <f t="shared" si="231"/>
        <v>1</v>
      </c>
      <c r="AL880">
        <f t="shared" si="232"/>
        <v>0</v>
      </c>
      <c r="AM880">
        <f t="shared" si="233"/>
        <v>0</v>
      </c>
      <c r="AN880">
        <f t="shared" si="234"/>
        <v>0</v>
      </c>
      <c r="AO880">
        <f t="shared" si="235"/>
        <v>0</v>
      </c>
      <c r="AP880">
        <f t="shared" si="236"/>
        <v>0</v>
      </c>
      <c r="AQ880">
        <f t="shared" si="237"/>
        <v>0</v>
      </c>
    </row>
    <row r="881" spans="1:43">
      <c r="A881" t="s">
        <v>2703</v>
      </c>
      <c r="B881" s="5">
        <v>45896</v>
      </c>
      <c r="C881" s="5">
        <v>45897</v>
      </c>
      <c r="D881" s="13">
        <f t="shared" si="221"/>
        <v>1</v>
      </c>
      <c r="E881" t="s">
        <v>2704</v>
      </c>
      <c r="F881" t="s">
        <v>62</v>
      </c>
      <c r="G881" t="s">
        <v>95</v>
      </c>
      <c r="H881" t="s">
        <v>25</v>
      </c>
      <c r="I881" t="s">
        <v>136</v>
      </c>
      <c r="J881" t="s">
        <v>137</v>
      </c>
      <c r="K881" t="s">
        <v>28</v>
      </c>
      <c r="L881" t="s">
        <v>48</v>
      </c>
      <c r="M881" t="s">
        <v>2705</v>
      </c>
      <c r="N881" t="s">
        <v>59</v>
      </c>
      <c r="O881">
        <v>6</v>
      </c>
      <c r="P881">
        <v>1182.03</v>
      </c>
      <c r="Q881" s="11">
        <v>0.15</v>
      </c>
      <c r="R881">
        <v>6028.35</v>
      </c>
      <c r="S881">
        <v>4433.63</v>
      </c>
      <c r="T881">
        <v>1594.72</v>
      </c>
      <c r="U881" t="s">
        <v>32</v>
      </c>
      <c r="V881" t="s">
        <v>33</v>
      </c>
      <c r="X881" s="8" t="str">
        <f>IF(C881&gt;=B881,"Valid", "Invalid-Date")</f>
        <v>Valid</v>
      </c>
      <c r="Y881" s="8" t="str">
        <f t="shared" si="222"/>
        <v>Valid</v>
      </c>
      <c r="Z881" s="8" t="str">
        <f t="shared" si="223"/>
        <v>Pass</v>
      </c>
      <c r="AA881" s="8" t="str">
        <f t="shared" si="224"/>
        <v>Pass</v>
      </c>
      <c r="AB881" s="8" t="str">
        <f>TEXT(B881,"mmmm")</f>
        <v>August</v>
      </c>
      <c r="AC881" s="8" t="str">
        <f>TEXT(B881,"yyyy")</f>
        <v>2025</v>
      </c>
      <c r="AE881">
        <f t="shared" si="225"/>
        <v>7092.18</v>
      </c>
      <c r="AF881" s="11">
        <f t="shared" si="226"/>
        <v>6028.3530000000001</v>
      </c>
      <c r="AG881">
        <f t="shared" si="227"/>
        <v>2658.55</v>
      </c>
      <c r="AH881" s="11">
        <f t="shared" si="228"/>
        <v>0.37485653212411418</v>
      </c>
      <c r="AI881" s="9">
        <f t="shared" si="229"/>
        <v>0.37485653212411418</v>
      </c>
      <c r="AJ881">
        <f t="shared" si="230"/>
        <v>6028.35</v>
      </c>
      <c r="AK881">
        <f t="shared" si="231"/>
        <v>1</v>
      </c>
      <c r="AL881">
        <f t="shared" si="232"/>
        <v>0</v>
      </c>
      <c r="AM881">
        <f t="shared" si="233"/>
        <v>0</v>
      </c>
      <c r="AN881">
        <f t="shared" si="234"/>
        <v>0</v>
      </c>
      <c r="AO881">
        <f t="shared" si="235"/>
        <v>0</v>
      </c>
      <c r="AP881">
        <f t="shared" si="236"/>
        <v>0</v>
      </c>
      <c r="AQ881">
        <f t="shared" si="237"/>
        <v>0</v>
      </c>
    </row>
    <row r="882" spans="1:43">
      <c r="A882" t="s">
        <v>2706</v>
      </c>
      <c r="B882" s="5">
        <v>45359</v>
      </c>
      <c r="C882" s="5">
        <v>45366</v>
      </c>
      <c r="D882" s="13">
        <f t="shared" si="221"/>
        <v>7</v>
      </c>
      <c r="E882" t="s">
        <v>2707</v>
      </c>
      <c r="F882" t="s">
        <v>128</v>
      </c>
      <c r="G882" t="s">
        <v>37</v>
      </c>
      <c r="H882" t="s">
        <v>2785</v>
      </c>
      <c r="I882" t="s">
        <v>122</v>
      </c>
      <c r="J882" t="s">
        <v>123</v>
      </c>
      <c r="K882" t="s">
        <v>41</v>
      </c>
      <c r="L882" t="s">
        <v>66</v>
      </c>
      <c r="M882" t="s">
        <v>2708</v>
      </c>
      <c r="N882" t="s">
        <v>50</v>
      </c>
      <c r="O882">
        <v>5</v>
      </c>
      <c r="P882">
        <v>3234.77</v>
      </c>
      <c r="Q882" s="11">
        <v>0</v>
      </c>
      <c r="R882">
        <v>16173.85</v>
      </c>
      <c r="S882">
        <v>13636.34</v>
      </c>
      <c r="T882">
        <v>2537.5100000000002</v>
      </c>
      <c r="U882" t="s">
        <v>32</v>
      </c>
      <c r="V882" t="s">
        <v>33</v>
      </c>
      <c r="X882" s="8" t="str">
        <f>IF(C882&gt;=B882,"Valid", "Invalid-Date")</f>
        <v>Valid</v>
      </c>
      <c r="Y882" s="8" t="str">
        <f t="shared" si="222"/>
        <v>Valid</v>
      </c>
      <c r="Z882" s="8" t="str">
        <f t="shared" si="223"/>
        <v>Pass</v>
      </c>
      <c r="AA882" s="8" t="str">
        <f t="shared" si="224"/>
        <v>Flagged</v>
      </c>
      <c r="AB882" s="8" t="str">
        <f>TEXT(B882,"mmmm")</f>
        <v>March</v>
      </c>
      <c r="AC882" s="8" t="str">
        <f>TEXT(B882,"yyyy")</f>
        <v>2024</v>
      </c>
      <c r="AE882">
        <f t="shared" si="225"/>
        <v>16173.85</v>
      </c>
      <c r="AF882" s="11">
        <f t="shared" si="226"/>
        <v>16173.85</v>
      </c>
      <c r="AG882">
        <f t="shared" si="227"/>
        <v>2537.5100000000002</v>
      </c>
      <c r="AH882" s="11">
        <f t="shared" si="228"/>
        <v>0.15688967067210344</v>
      </c>
      <c r="AI882" s="9">
        <f t="shared" si="229"/>
        <v>0.15688967067210344</v>
      </c>
      <c r="AJ882">
        <f t="shared" si="230"/>
        <v>16173.85</v>
      </c>
      <c r="AK882">
        <f t="shared" si="231"/>
        <v>1</v>
      </c>
      <c r="AL882">
        <f t="shared" si="232"/>
        <v>0</v>
      </c>
      <c r="AM882">
        <f t="shared" si="233"/>
        <v>0</v>
      </c>
      <c r="AN882">
        <f t="shared" si="234"/>
        <v>0</v>
      </c>
      <c r="AO882">
        <f t="shared" si="235"/>
        <v>0</v>
      </c>
      <c r="AP882">
        <f t="shared" si="236"/>
        <v>0</v>
      </c>
      <c r="AQ882">
        <f t="shared" si="237"/>
        <v>0</v>
      </c>
    </row>
    <row r="883" spans="1:43">
      <c r="A883" t="s">
        <v>2709</v>
      </c>
      <c r="B883" s="5">
        <v>45627</v>
      </c>
      <c r="C883" s="5">
        <v>45631</v>
      </c>
      <c r="D883" s="13">
        <f t="shared" si="221"/>
        <v>4</v>
      </c>
      <c r="E883" t="s">
        <v>2710</v>
      </c>
      <c r="F883" t="s">
        <v>62</v>
      </c>
      <c r="G883" t="s">
        <v>37</v>
      </c>
      <c r="H883" t="s">
        <v>54</v>
      </c>
      <c r="I883" t="s">
        <v>84</v>
      </c>
      <c r="J883" t="s">
        <v>85</v>
      </c>
      <c r="K883" t="s">
        <v>74</v>
      </c>
      <c r="L883" t="s">
        <v>80</v>
      </c>
      <c r="M883" t="s">
        <v>2711</v>
      </c>
      <c r="N883" t="s">
        <v>31</v>
      </c>
      <c r="O883">
        <v>9</v>
      </c>
      <c r="P883">
        <v>3726.75</v>
      </c>
      <c r="Q883" s="11">
        <v>0.25</v>
      </c>
      <c r="R883">
        <v>25155.56</v>
      </c>
      <c r="S883">
        <v>17592.689999999999</v>
      </c>
      <c r="T883">
        <v>7562.87</v>
      </c>
      <c r="U883" t="s">
        <v>32</v>
      </c>
      <c r="V883" t="s">
        <v>33</v>
      </c>
      <c r="X883" s="8" t="str">
        <f>IF(C883&gt;=B883,"Valid", "Invalid-Date")</f>
        <v>Valid</v>
      </c>
      <c r="Y883" s="8" t="str">
        <f t="shared" si="222"/>
        <v>Valid</v>
      </c>
      <c r="Z883" s="8" t="str">
        <f t="shared" si="223"/>
        <v>Pass</v>
      </c>
      <c r="AA883" s="8" t="str">
        <f t="shared" si="224"/>
        <v>Pass</v>
      </c>
      <c r="AB883" s="8" t="str">
        <f>TEXT(B883,"mmmm")</f>
        <v>December</v>
      </c>
      <c r="AC883" s="8" t="str">
        <f>TEXT(B883,"yyyy")</f>
        <v>2024</v>
      </c>
      <c r="AE883">
        <f t="shared" si="225"/>
        <v>33540.75</v>
      </c>
      <c r="AF883" s="11">
        <f t="shared" si="226"/>
        <v>25155.5625</v>
      </c>
      <c r="AG883">
        <f t="shared" si="227"/>
        <v>15948.060000000001</v>
      </c>
      <c r="AH883" s="11">
        <f t="shared" si="228"/>
        <v>0.47548310637060892</v>
      </c>
      <c r="AI883" s="9">
        <f t="shared" si="229"/>
        <v>0.47548310637060892</v>
      </c>
      <c r="AJ883">
        <f t="shared" si="230"/>
        <v>25155.56</v>
      </c>
      <c r="AK883">
        <f t="shared" si="231"/>
        <v>1</v>
      </c>
      <c r="AL883">
        <f t="shared" si="232"/>
        <v>0</v>
      </c>
      <c r="AM883">
        <f t="shared" si="233"/>
        <v>0</v>
      </c>
      <c r="AN883">
        <f t="shared" si="234"/>
        <v>0</v>
      </c>
      <c r="AO883">
        <f t="shared" si="235"/>
        <v>0</v>
      </c>
      <c r="AP883">
        <f t="shared" si="236"/>
        <v>0</v>
      </c>
      <c r="AQ883">
        <f t="shared" si="237"/>
        <v>0</v>
      </c>
    </row>
    <row r="884" spans="1:43">
      <c r="A884" t="s">
        <v>2712</v>
      </c>
      <c r="B884" s="5">
        <v>45690</v>
      </c>
      <c r="C884" s="5">
        <v>45932</v>
      </c>
      <c r="D884" s="13">
        <f t="shared" si="221"/>
        <v>242</v>
      </c>
      <c r="E884" t="s">
        <v>2713</v>
      </c>
      <c r="F884" t="s">
        <v>132</v>
      </c>
      <c r="G884" t="s">
        <v>90</v>
      </c>
      <c r="H884" t="s">
        <v>38</v>
      </c>
      <c r="I884" t="s">
        <v>145</v>
      </c>
      <c r="J884" t="s">
        <v>146</v>
      </c>
      <c r="K884" t="s">
        <v>74</v>
      </c>
      <c r="L884" t="s">
        <v>75</v>
      </c>
      <c r="M884" t="s">
        <v>2714</v>
      </c>
      <c r="N884" t="s">
        <v>59</v>
      </c>
      <c r="O884">
        <v>4</v>
      </c>
      <c r="P884">
        <v>1912.45</v>
      </c>
      <c r="Q884" s="11">
        <v>0</v>
      </c>
      <c r="R884">
        <v>7649.8</v>
      </c>
      <c r="S884">
        <v>4894.53</v>
      </c>
      <c r="T884">
        <v>2755.27</v>
      </c>
      <c r="U884" t="s">
        <v>111</v>
      </c>
      <c r="V884" t="s">
        <v>103</v>
      </c>
      <c r="X884" s="8" t="str">
        <f>IF(C884&gt;=B884,"Valid", "Invalid-Date")</f>
        <v>Valid</v>
      </c>
      <c r="Y884" s="8" t="str">
        <f t="shared" si="222"/>
        <v>Valid</v>
      </c>
      <c r="Z884" s="8" t="str">
        <f t="shared" si="223"/>
        <v>Pass</v>
      </c>
      <c r="AA884" s="8" t="str">
        <f t="shared" si="224"/>
        <v>Pass</v>
      </c>
      <c r="AB884" s="8" t="str">
        <f>TEXT(B884,"mmmm")</f>
        <v>February</v>
      </c>
      <c r="AC884" s="8" t="str">
        <f>TEXT(B884,"yyyy")</f>
        <v>2025</v>
      </c>
      <c r="AE884">
        <f t="shared" si="225"/>
        <v>7649.8</v>
      </c>
      <c r="AF884" s="11">
        <f t="shared" si="226"/>
        <v>7649.8</v>
      </c>
      <c r="AG884">
        <f t="shared" si="227"/>
        <v>2755.2700000000004</v>
      </c>
      <c r="AH884" s="11">
        <f t="shared" si="228"/>
        <v>0.36017542942299152</v>
      </c>
      <c r="AI884" s="9">
        <f t="shared" si="229"/>
        <v>0.36017542942299152</v>
      </c>
      <c r="AJ884">
        <f t="shared" si="230"/>
        <v>0</v>
      </c>
      <c r="AK884">
        <f t="shared" si="231"/>
        <v>0</v>
      </c>
      <c r="AL884">
        <f t="shared" si="232"/>
        <v>0</v>
      </c>
      <c r="AM884">
        <f t="shared" si="233"/>
        <v>0</v>
      </c>
      <c r="AN884">
        <f t="shared" si="234"/>
        <v>0</v>
      </c>
      <c r="AO884">
        <f t="shared" si="235"/>
        <v>0</v>
      </c>
      <c r="AP884">
        <f t="shared" si="236"/>
        <v>7649.8</v>
      </c>
      <c r="AQ884">
        <f t="shared" si="237"/>
        <v>1</v>
      </c>
    </row>
    <row r="885" spans="1:43">
      <c r="A885" t="s">
        <v>2715</v>
      </c>
      <c r="B885" s="5">
        <v>45775</v>
      </c>
      <c r="C885" s="5">
        <v>45662</v>
      </c>
      <c r="D885" s="13">
        <f t="shared" si="221"/>
        <v>-113</v>
      </c>
      <c r="E885" t="s">
        <v>2716</v>
      </c>
      <c r="F885" t="s">
        <v>128</v>
      </c>
      <c r="G885" t="s">
        <v>37</v>
      </c>
      <c r="H885" t="s">
        <v>63</v>
      </c>
      <c r="I885" t="s">
        <v>190</v>
      </c>
      <c r="J885" t="s">
        <v>191</v>
      </c>
      <c r="K885" t="s">
        <v>28</v>
      </c>
      <c r="L885" t="s">
        <v>124</v>
      </c>
      <c r="M885" t="s">
        <v>2717</v>
      </c>
      <c r="N885" t="s">
        <v>44</v>
      </c>
      <c r="O885">
        <v>1</v>
      </c>
      <c r="P885">
        <v>1620.87</v>
      </c>
      <c r="Q885" s="11">
        <v>0</v>
      </c>
      <c r="R885">
        <v>1620.87</v>
      </c>
      <c r="S885">
        <v>1103.6099999999999</v>
      </c>
      <c r="T885">
        <v>517.26</v>
      </c>
      <c r="U885" t="s">
        <v>32</v>
      </c>
      <c r="V885" t="s">
        <v>33</v>
      </c>
      <c r="X885" s="8" t="str">
        <f>IF(C885&gt;=B885,"Valid", "Invalid-Date")</f>
        <v>Invalid-Date</v>
      </c>
      <c r="Y885" s="8" t="str">
        <f t="shared" si="222"/>
        <v>Valid</v>
      </c>
      <c r="Z885" s="8" t="str">
        <f t="shared" si="223"/>
        <v>Pass</v>
      </c>
      <c r="AA885" s="8" t="str">
        <f t="shared" si="224"/>
        <v>Pass</v>
      </c>
      <c r="AB885" s="8" t="str">
        <f>TEXT(B885,"mmmm")</f>
        <v>April</v>
      </c>
      <c r="AC885" s="8" t="str">
        <f>TEXT(B885,"yyyy")</f>
        <v>2025</v>
      </c>
      <c r="AE885">
        <f t="shared" si="225"/>
        <v>1620.87</v>
      </c>
      <c r="AF885" s="11">
        <f t="shared" si="226"/>
        <v>1620.87</v>
      </c>
      <c r="AG885">
        <f t="shared" si="227"/>
        <v>517.26</v>
      </c>
      <c r="AH885" s="11">
        <f t="shared" si="228"/>
        <v>0.31912491439782342</v>
      </c>
      <c r="AI885" s="9">
        <f t="shared" si="229"/>
        <v>0.31912491439782342</v>
      </c>
      <c r="AJ885">
        <f t="shared" si="230"/>
        <v>1620.87</v>
      </c>
      <c r="AK885">
        <f t="shared" si="231"/>
        <v>1</v>
      </c>
      <c r="AL885">
        <f t="shared" si="232"/>
        <v>0</v>
      </c>
      <c r="AM885">
        <f t="shared" si="233"/>
        <v>0</v>
      </c>
      <c r="AN885">
        <f t="shared" si="234"/>
        <v>0</v>
      </c>
      <c r="AO885">
        <f t="shared" si="235"/>
        <v>0</v>
      </c>
      <c r="AP885">
        <f t="shared" si="236"/>
        <v>0</v>
      </c>
      <c r="AQ885">
        <f t="shared" si="237"/>
        <v>0</v>
      </c>
    </row>
    <row r="886" spans="1:43">
      <c r="A886" t="s">
        <v>2718</v>
      </c>
      <c r="B886" s="5">
        <v>45675</v>
      </c>
      <c r="C886" s="5">
        <v>45682</v>
      </c>
      <c r="D886" s="13">
        <f t="shared" si="221"/>
        <v>7</v>
      </c>
      <c r="E886" t="s">
        <v>2719</v>
      </c>
      <c r="F886" t="s">
        <v>79</v>
      </c>
      <c r="G886" t="s">
        <v>95</v>
      </c>
      <c r="H886" t="s">
        <v>54</v>
      </c>
      <c r="I886" t="s">
        <v>175</v>
      </c>
      <c r="J886" t="s">
        <v>176</v>
      </c>
      <c r="K886" t="s">
        <v>28</v>
      </c>
      <c r="L886" t="s">
        <v>124</v>
      </c>
      <c r="M886" t="s">
        <v>2720</v>
      </c>
      <c r="N886" t="s">
        <v>44</v>
      </c>
      <c r="O886">
        <v>2</v>
      </c>
      <c r="P886">
        <v>2098.54</v>
      </c>
      <c r="Q886" s="11">
        <v>0.15</v>
      </c>
      <c r="R886">
        <v>3567.52</v>
      </c>
      <c r="S886">
        <v>2411.8000000000002</v>
      </c>
      <c r="T886">
        <v>1155.72</v>
      </c>
      <c r="U886" t="s">
        <v>32</v>
      </c>
      <c r="V886" t="s">
        <v>33</v>
      </c>
      <c r="X886" s="8" t="str">
        <f>IF(C886&gt;=B886,"Valid", "Invalid-Date")</f>
        <v>Valid</v>
      </c>
      <c r="Y886" s="8" t="str">
        <f t="shared" si="222"/>
        <v>Valid</v>
      </c>
      <c r="Z886" s="8" t="str">
        <f t="shared" si="223"/>
        <v>Pass</v>
      </c>
      <c r="AA886" s="8" t="str">
        <f t="shared" si="224"/>
        <v>Pass</v>
      </c>
      <c r="AB886" s="8" t="str">
        <f>TEXT(B886,"mmmm")</f>
        <v>January</v>
      </c>
      <c r="AC886" s="8" t="str">
        <f>TEXT(B886,"yyyy")</f>
        <v>2025</v>
      </c>
      <c r="AE886">
        <f t="shared" si="225"/>
        <v>4197.08</v>
      </c>
      <c r="AF886" s="11">
        <f t="shared" si="226"/>
        <v>3567.518</v>
      </c>
      <c r="AG886">
        <f t="shared" si="227"/>
        <v>1785.2799999999997</v>
      </c>
      <c r="AH886" s="11">
        <f t="shared" si="228"/>
        <v>0.42536239480781873</v>
      </c>
      <c r="AI886" s="9">
        <f t="shared" si="229"/>
        <v>0.42536239480781873</v>
      </c>
      <c r="AJ886">
        <f t="shared" si="230"/>
        <v>3567.52</v>
      </c>
      <c r="AK886">
        <f t="shared" si="231"/>
        <v>1</v>
      </c>
      <c r="AL886">
        <f t="shared" si="232"/>
        <v>0</v>
      </c>
      <c r="AM886">
        <f t="shared" si="233"/>
        <v>0</v>
      </c>
      <c r="AN886">
        <f t="shared" si="234"/>
        <v>0</v>
      </c>
      <c r="AO886">
        <f t="shared" si="235"/>
        <v>0</v>
      </c>
      <c r="AP886">
        <f t="shared" si="236"/>
        <v>0</v>
      </c>
      <c r="AQ886">
        <f t="shared" si="237"/>
        <v>0</v>
      </c>
    </row>
    <row r="887" spans="1:43">
      <c r="A887" t="s">
        <v>2721</v>
      </c>
      <c r="B887" s="5">
        <v>45296</v>
      </c>
      <c r="C887" s="5">
        <v>45413</v>
      </c>
      <c r="D887" s="13">
        <f t="shared" si="221"/>
        <v>117</v>
      </c>
      <c r="E887" t="s">
        <v>2722</v>
      </c>
      <c r="F887" t="s">
        <v>162</v>
      </c>
      <c r="G887" t="s">
        <v>24</v>
      </c>
      <c r="H887" t="s">
        <v>25</v>
      </c>
      <c r="I887" t="s">
        <v>26</v>
      </c>
      <c r="J887" t="s">
        <v>27</v>
      </c>
      <c r="K887" t="s">
        <v>41</v>
      </c>
      <c r="L887" t="s">
        <v>42</v>
      </c>
      <c r="M887" t="s">
        <v>2723</v>
      </c>
      <c r="N887" t="s">
        <v>59</v>
      </c>
      <c r="O887">
        <v>1</v>
      </c>
      <c r="P887">
        <v>2167.08</v>
      </c>
      <c r="Q887" s="11">
        <v>0.25</v>
      </c>
      <c r="R887">
        <v>1625.31</v>
      </c>
      <c r="S887">
        <v>1157.8900000000001</v>
      </c>
      <c r="T887">
        <v>467.42</v>
      </c>
      <c r="U887" t="s">
        <v>32</v>
      </c>
      <c r="V887" t="s">
        <v>33</v>
      </c>
      <c r="X887" s="8" t="str">
        <f>IF(C887&gt;=B887,"Valid", "Invalid-Date")</f>
        <v>Valid</v>
      </c>
      <c r="Y887" s="8" t="str">
        <f t="shared" si="222"/>
        <v>Valid</v>
      </c>
      <c r="Z887" s="8" t="str">
        <f t="shared" si="223"/>
        <v>Pass</v>
      </c>
      <c r="AA887" s="8" t="str">
        <f t="shared" si="224"/>
        <v>Pass</v>
      </c>
      <c r="AB887" s="8" t="str">
        <f>TEXT(B887,"mmmm")</f>
        <v>January</v>
      </c>
      <c r="AC887" s="8" t="str">
        <f>TEXT(B887,"yyyy")</f>
        <v>2024</v>
      </c>
      <c r="AE887">
        <f t="shared" si="225"/>
        <v>2167.08</v>
      </c>
      <c r="AF887" s="11">
        <f t="shared" si="226"/>
        <v>1625.31</v>
      </c>
      <c r="AG887">
        <f t="shared" si="227"/>
        <v>1009.1899999999998</v>
      </c>
      <c r="AH887" s="11">
        <f t="shared" si="228"/>
        <v>0.46569116045554382</v>
      </c>
      <c r="AI887" s="9">
        <f t="shared" si="229"/>
        <v>0.46569116045554382</v>
      </c>
      <c r="AJ887">
        <f t="shared" si="230"/>
        <v>1625.31</v>
      </c>
      <c r="AK887">
        <f t="shared" si="231"/>
        <v>1</v>
      </c>
      <c r="AL887">
        <f t="shared" si="232"/>
        <v>0</v>
      </c>
      <c r="AM887">
        <f t="shared" si="233"/>
        <v>0</v>
      </c>
      <c r="AN887">
        <f t="shared" si="234"/>
        <v>0</v>
      </c>
      <c r="AO887">
        <f t="shared" si="235"/>
        <v>0</v>
      </c>
      <c r="AP887">
        <f t="shared" si="236"/>
        <v>0</v>
      </c>
      <c r="AQ887">
        <f t="shared" si="237"/>
        <v>0</v>
      </c>
    </row>
    <row r="888" spans="1:43">
      <c r="A888" t="s">
        <v>2724</v>
      </c>
      <c r="B888" s="5">
        <v>45773</v>
      </c>
      <c r="C888" s="5">
        <v>45780</v>
      </c>
      <c r="D888" s="13">
        <f t="shared" si="221"/>
        <v>7</v>
      </c>
      <c r="E888" t="s">
        <v>2725</v>
      </c>
      <c r="F888" t="s">
        <v>53</v>
      </c>
      <c r="G888" t="s">
        <v>95</v>
      </c>
      <c r="H888" t="s">
        <v>54</v>
      </c>
      <c r="I888" t="s">
        <v>247</v>
      </c>
      <c r="J888" t="s">
        <v>248</v>
      </c>
      <c r="K888" t="s">
        <v>74</v>
      </c>
      <c r="L888" t="s">
        <v>75</v>
      </c>
      <c r="M888" t="s">
        <v>2726</v>
      </c>
      <c r="N888" t="s">
        <v>50</v>
      </c>
      <c r="O888">
        <v>7</v>
      </c>
      <c r="P888">
        <v>3989.9</v>
      </c>
      <c r="Q888" s="11">
        <v>0.15</v>
      </c>
      <c r="R888">
        <v>23739.9</v>
      </c>
      <c r="S888">
        <v>17716.52</v>
      </c>
      <c r="T888">
        <v>6023.38</v>
      </c>
      <c r="U888" t="s">
        <v>32</v>
      </c>
      <c r="V888" t="s">
        <v>68</v>
      </c>
      <c r="X888" s="8" t="str">
        <f>IF(C888&gt;=B888,"Valid", "Invalid-Date")</f>
        <v>Valid</v>
      </c>
      <c r="Y888" s="8" t="str">
        <f t="shared" si="222"/>
        <v>Valid</v>
      </c>
      <c r="Z888" s="8" t="str">
        <f t="shared" si="223"/>
        <v>Pass</v>
      </c>
      <c r="AA888" s="8" t="str">
        <f t="shared" si="224"/>
        <v>Pass</v>
      </c>
      <c r="AB888" s="8" t="str">
        <f>TEXT(B888,"mmmm")</f>
        <v>April</v>
      </c>
      <c r="AC888" s="8" t="str">
        <f>TEXT(B888,"yyyy")</f>
        <v>2025</v>
      </c>
      <c r="AE888">
        <f t="shared" si="225"/>
        <v>27929.3</v>
      </c>
      <c r="AF888" s="11">
        <f t="shared" si="226"/>
        <v>23739.904999999999</v>
      </c>
      <c r="AG888">
        <f t="shared" si="227"/>
        <v>10212.779999999999</v>
      </c>
      <c r="AH888" s="11">
        <f t="shared" si="228"/>
        <v>0.36566544811362972</v>
      </c>
      <c r="AI888" s="9">
        <f t="shared" si="229"/>
        <v>0.36566544811362972</v>
      </c>
      <c r="AJ888">
        <f t="shared" si="230"/>
        <v>0</v>
      </c>
      <c r="AK888">
        <f t="shared" si="231"/>
        <v>0</v>
      </c>
      <c r="AL888">
        <f t="shared" si="232"/>
        <v>23739.9</v>
      </c>
      <c r="AM888">
        <f t="shared" si="233"/>
        <v>1</v>
      </c>
      <c r="AN888">
        <f t="shared" si="234"/>
        <v>0</v>
      </c>
      <c r="AO888">
        <f t="shared" si="235"/>
        <v>0</v>
      </c>
      <c r="AP888">
        <f t="shared" si="236"/>
        <v>0</v>
      </c>
      <c r="AQ888">
        <f t="shared" si="237"/>
        <v>0</v>
      </c>
    </row>
    <row r="889" spans="1:43">
      <c r="A889" t="s">
        <v>2727</v>
      </c>
      <c r="B889" s="5">
        <v>45455</v>
      </c>
      <c r="C889" s="5">
        <v>45461</v>
      </c>
      <c r="D889" s="13">
        <f t="shared" si="221"/>
        <v>6</v>
      </c>
      <c r="E889" t="s">
        <v>2728</v>
      </c>
      <c r="F889" t="s">
        <v>128</v>
      </c>
      <c r="G889" t="s">
        <v>37</v>
      </c>
      <c r="H889" t="s">
        <v>54</v>
      </c>
      <c r="I889" t="s">
        <v>84</v>
      </c>
      <c r="J889" t="s">
        <v>85</v>
      </c>
      <c r="K889" t="s">
        <v>28</v>
      </c>
      <c r="L889" t="s">
        <v>48</v>
      </c>
      <c r="M889" t="s">
        <v>2729</v>
      </c>
      <c r="N889" t="s">
        <v>59</v>
      </c>
      <c r="O889">
        <v>4</v>
      </c>
      <c r="P889">
        <v>4176.13</v>
      </c>
      <c r="Q889" s="11">
        <v>0</v>
      </c>
      <c r="R889">
        <v>16704.52</v>
      </c>
      <c r="S889">
        <v>10158.280000000001</v>
      </c>
      <c r="T889">
        <v>6546.24</v>
      </c>
      <c r="U889" t="s">
        <v>32</v>
      </c>
      <c r="V889" t="s">
        <v>33</v>
      </c>
      <c r="X889" s="8" t="str">
        <f>IF(C889&gt;=B889,"Valid", "Invalid-Date")</f>
        <v>Valid</v>
      </c>
      <c r="Y889" s="8" t="str">
        <f t="shared" si="222"/>
        <v>Valid</v>
      </c>
      <c r="Z889" s="8" t="str">
        <f t="shared" si="223"/>
        <v>Pass</v>
      </c>
      <c r="AA889" s="8" t="str">
        <f t="shared" si="224"/>
        <v>Pass</v>
      </c>
      <c r="AB889" s="8" t="str">
        <f>TEXT(B889,"mmmm")</f>
        <v>June</v>
      </c>
      <c r="AC889" s="8" t="str">
        <f>TEXT(B889,"yyyy")</f>
        <v>2024</v>
      </c>
      <c r="AE889">
        <f t="shared" si="225"/>
        <v>16704.52</v>
      </c>
      <c r="AF889" s="11">
        <f t="shared" si="226"/>
        <v>16704.52</v>
      </c>
      <c r="AG889">
        <f t="shared" si="227"/>
        <v>6546.24</v>
      </c>
      <c r="AH889" s="11">
        <f t="shared" si="228"/>
        <v>0.39188435225914897</v>
      </c>
      <c r="AI889" s="9">
        <f t="shared" si="229"/>
        <v>0.39188435225914897</v>
      </c>
      <c r="AJ889">
        <f t="shared" si="230"/>
        <v>16704.52</v>
      </c>
      <c r="AK889">
        <f t="shared" si="231"/>
        <v>1</v>
      </c>
      <c r="AL889">
        <f t="shared" si="232"/>
        <v>0</v>
      </c>
      <c r="AM889">
        <f t="shared" si="233"/>
        <v>0</v>
      </c>
      <c r="AN889">
        <f t="shared" si="234"/>
        <v>0</v>
      </c>
      <c r="AO889">
        <f t="shared" si="235"/>
        <v>0</v>
      </c>
      <c r="AP889">
        <f t="shared" si="236"/>
        <v>0</v>
      </c>
      <c r="AQ889">
        <f t="shared" si="237"/>
        <v>0</v>
      </c>
    </row>
    <row r="890" spans="1:43">
      <c r="A890" t="s">
        <v>2730</v>
      </c>
      <c r="B890" s="5">
        <v>45875</v>
      </c>
      <c r="C890" s="5">
        <v>45876</v>
      </c>
      <c r="D890" s="13">
        <f t="shared" si="221"/>
        <v>1</v>
      </c>
      <c r="E890" t="s">
        <v>2731</v>
      </c>
      <c r="F890" t="s">
        <v>118</v>
      </c>
      <c r="G890" t="s">
        <v>37</v>
      </c>
      <c r="H890" t="s">
        <v>63</v>
      </c>
      <c r="I890" t="s">
        <v>64</v>
      </c>
      <c r="J890" t="s">
        <v>65</v>
      </c>
      <c r="K890" t="s">
        <v>28</v>
      </c>
      <c r="L890" t="s">
        <v>48</v>
      </c>
      <c r="M890" t="s">
        <v>2732</v>
      </c>
      <c r="N890" t="s">
        <v>59</v>
      </c>
      <c r="O890">
        <v>4</v>
      </c>
      <c r="P890">
        <v>3523.64</v>
      </c>
      <c r="Q890" s="11">
        <v>0.1</v>
      </c>
      <c r="R890">
        <v>12685.1</v>
      </c>
      <c r="S890">
        <v>10779.56</v>
      </c>
      <c r="T890">
        <v>1905.54</v>
      </c>
      <c r="U890" t="s">
        <v>102</v>
      </c>
      <c r="V890" t="s">
        <v>68</v>
      </c>
      <c r="X890" s="8" t="str">
        <f>IF(C890&gt;=B890,"Valid", "Invalid-Date")</f>
        <v>Valid</v>
      </c>
      <c r="Y890" s="8" t="str">
        <f t="shared" si="222"/>
        <v>Valid</v>
      </c>
      <c r="Z890" s="8" t="str">
        <f t="shared" si="223"/>
        <v>Pass</v>
      </c>
      <c r="AA890" s="8" t="str">
        <f t="shared" si="224"/>
        <v>Pass</v>
      </c>
      <c r="AB890" s="8" t="str">
        <f>TEXT(B890,"mmmm")</f>
        <v>August</v>
      </c>
      <c r="AC890" s="8" t="str">
        <f>TEXT(B890,"yyyy")</f>
        <v>2025</v>
      </c>
      <c r="AE890">
        <f t="shared" si="225"/>
        <v>14094.56</v>
      </c>
      <c r="AF890" s="11">
        <f t="shared" si="226"/>
        <v>12685.103999999999</v>
      </c>
      <c r="AG890">
        <f t="shared" si="227"/>
        <v>3315</v>
      </c>
      <c r="AH890" s="11">
        <f t="shared" si="228"/>
        <v>0.23519712569956069</v>
      </c>
      <c r="AI890" s="9">
        <f t="shared" si="229"/>
        <v>0.23519712569956069</v>
      </c>
      <c r="AJ890">
        <f t="shared" si="230"/>
        <v>0</v>
      </c>
      <c r="AK890">
        <f t="shared" si="231"/>
        <v>0</v>
      </c>
      <c r="AL890">
        <f t="shared" si="232"/>
        <v>12685.1</v>
      </c>
      <c r="AM890">
        <f t="shared" si="233"/>
        <v>1</v>
      </c>
      <c r="AN890">
        <f t="shared" si="234"/>
        <v>0</v>
      </c>
      <c r="AO890">
        <f t="shared" si="235"/>
        <v>0</v>
      </c>
      <c r="AP890">
        <f t="shared" si="236"/>
        <v>0</v>
      </c>
      <c r="AQ890">
        <f t="shared" si="237"/>
        <v>0</v>
      </c>
    </row>
    <row r="891" spans="1:43">
      <c r="A891" t="s">
        <v>2733</v>
      </c>
      <c r="B891" s="5">
        <v>45726</v>
      </c>
      <c r="C891" s="5">
        <v>45964</v>
      </c>
      <c r="D891" s="13">
        <f t="shared" si="221"/>
        <v>238</v>
      </c>
      <c r="E891" t="s">
        <v>882</v>
      </c>
      <c r="F891" t="s">
        <v>89</v>
      </c>
      <c r="G891" t="s">
        <v>95</v>
      </c>
      <c r="H891" t="s">
        <v>63</v>
      </c>
      <c r="I891" t="s">
        <v>72</v>
      </c>
      <c r="J891" t="s">
        <v>73</v>
      </c>
      <c r="K891" t="s">
        <v>28</v>
      </c>
      <c r="L891" t="s">
        <v>124</v>
      </c>
      <c r="M891" t="s">
        <v>2734</v>
      </c>
      <c r="N891" t="s">
        <v>50</v>
      </c>
      <c r="O891">
        <v>2</v>
      </c>
      <c r="P891">
        <v>3922.08</v>
      </c>
      <c r="Q891" s="11">
        <v>0.25</v>
      </c>
      <c r="R891">
        <v>5883.12</v>
      </c>
      <c r="S891">
        <v>4647.91</v>
      </c>
      <c r="T891">
        <v>1235.21</v>
      </c>
      <c r="U891" t="s">
        <v>32</v>
      </c>
      <c r="V891" t="s">
        <v>103</v>
      </c>
      <c r="X891" s="8" t="str">
        <f>IF(C891&gt;=B891,"Valid", "Invalid-Date")</f>
        <v>Valid</v>
      </c>
      <c r="Y891" s="8" t="str">
        <f t="shared" si="222"/>
        <v>Valid</v>
      </c>
      <c r="Z891" s="8" t="str">
        <f t="shared" si="223"/>
        <v>Pass</v>
      </c>
      <c r="AA891" s="8" t="str">
        <f t="shared" si="224"/>
        <v>Pass</v>
      </c>
      <c r="AB891" s="8" t="str">
        <f>TEXT(B891,"mmmm")</f>
        <v>March</v>
      </c>
      <c r="AC891" s="8" t="str">
        <f>TEXT(B891,"yyyy")</f>
        <v>2025</v>
      </c>
      <c r="AE891">
        <f t="shared" si="225"/>
        <v>7844.16</v>
      </c>
      <c r="AF891" s="11">
        <f t="shared" si="226"/>
        <v>5883.12</v>
      </c>
      <c r="AG891">
        <f t="shared" si="227"/>
        <v>3196.25</v>
      </c>
      <c r="AH891" s="11">
        <f t="shared" si="228"/>
        <v>0.40746874107616365</v>
      </c>
      <c r="AI891" s="9">
        <f t="shared" si="229"/>
        <v>0.40746874107616365</v>
      </c>
      <c r="AJ891">
        <f t="shared" si="230"/>
        <v>0</v>
      </c>
      <c r="AK891">
        <f t="shared" si="231"/>
        <v>0</v>
      </c>
      <c r="AL891">
        <f t="shared" si="232"/>
        <v>0</v>
      </c>
      <c r="AM891">
        <f t="shared" si="233"/>
        <v>0</v>
      </c>
      <c r="AN891">
        <f t="shared" si="234"/>
        <v>0</v>
      </c>
      <c r="AO891">
        <f t="shared" si="235"/>
        <v>0</v>
      </c>
      <c r="AP891">
        <f t="shared" si="236"/>
        <v>5883.12</v>
      </c>
      <c r="AQ891">
        <f t="shared" si="237"/>
        <v>1</v>
      </c>
    </row>
    <row r="892" spans="1:43">
      <c r="A892" t="s">
        <v>2735</v>
      </c>
      <c r="B892" s="5">
        <v>45427</v>
      </c>
      <c r="C892" s="5">
        <v>45433</v>
      </c>
      <c r="D892" s="13">
        <f t="shared" si="221"/>
        <v>6</v>
      </c>
      <c r="E892" t="s">
        <v>2736</v>
      </c>
      <c r="F892" t="s">
        <v>23</v>
      </c>
      <c r="G892" t="s">
        <v>24</v>
      </c>
      <c r="H892" t="s">
        <v>63</v>
      </c>
      <c r="I892" t="s">
        <v>190</v>
      </c>
      <c r="J892" t="s">
        <v>191</v>
      </c>
      <c r="K892" t="s">
        <v>28</v>
      </c>
      <c r="L892" t="s">
        <v>124</v>
      </c>
      <c r="M892" t="s">
        <v>2737</v>
      </c>
      <c r="N892" t="s">
        <v>59</v>
      </c>
      <c r="O892">
        <v>6</v>
      </c>
      <c r="P892">
        <v>2909.56</v>
      </c>
      <c r="Q892" s="11">
        <v>0.2</v>
      </c>
      <c r="R892">
        <v>13965.89</v>
      </c>
      <c r="S892">
        <v>11646.12</v>
      </c>
      <c r="T892">
        <v>2319.77</v>
      </c>
      <c r="U892" t="s">
        <v>32</v>
      </c>
      <c r="V892" t="s">
        <v>33</v>
      </c>
      <c r="X892" s="8" t="str">
        <f>IF(C892&gt;=B892,"Valid", "Invalid-Date")</f>
        <v>Valid</v>
      </c>
      <c r="Y892" s="8" t="str">
        <f t="shared" si="222"/>
        <v>Valid</v>
      </c>
      <c r="Z892" s="8" t="str">
        <f t="shared" si="223"/>
        <v>Pass</v>
      </c>
      <c r="AA892" s="8" t="str">
        <f t="shared" si="224"/>
        <v>Pass</v>
      </c>
      <c r="AB892" s="8" t="str">
        <f>TEXT(B892,"mmmm")</f>
        <v>May</v>
      </c>
      <c r="AC892" s="8" t="str">
        <f>TEXT(B892,"yyyy")</f>
        <v>2024</v>
      </c>
      <c r="AE892">
        <f t="shared" si="225"/>
        <v>17457.36</v>
      </c>
      <c r="AF892" s="11">
        <f t="shared" si="226"/>
        <v>13965.888000000001</v>
      </c>
      <c r="AG892">
        <f t="shared" si="227"/>
        <v>5811.24</v>
      </c>
      <c r="AH892" s="11">
        <f t="shared" si="228"/>
        <v>0.33288194778591951</v>
      </c>
      <c r="AI892" s="9">
        <f t="shared" si="229"/>
        <v>0.33288194778591951</v>
      </c>
      <c r="AJ892">
        <f t="shared" si="230"/>
        <v>13965.89</v>
      </c>
      <c r="AK892">
        <f t="shared" si="231"/>
        <v>1</v>
      </c>
      <c r="AL892">
        <f t="shared" si="232"/>
        <v>0</v>
      </c>
      <c r="AM892">
        <f t="shared" si="233"/>
        <v>0</v>
      </c>
      <c r="AN892">
        <f t="shared" si="234"/>
        <v>0</v>
      </c>
      <c r="AO892">
        <f t="shared" si="235"/>
        <v>0</v>
      </c>
      <c r="AP892">
        <f t="shared" si="236"/>
        <v>0</v>
      </c>
      <c r="AQ892">
        <f t="shared" si="237"/>
        <v>0</v>
      </c>
    </row>
    <row r="893" spans="1:43">
      <c r="A893" t="s">
        <v>2738</v>
      </c>
      <c r="B893" s="5">
        <v>45573</v>
      </c>
      <c r="C893" s="5">
        <v>45574</v>
      </c>
      <c r="D893" s="13">
        <f t="shared" si="221"/>
        <v>1</v>
      </c>
      <c r="E893" t="s">
        <v>2739</v>
      </c>
      <c r="F893" t="s">
        <v>264</v>
      </c>
      <c r="G893" t="s">
        <v>90</v>
      </c>
      <c r="H893" t="s">
        <v>54</v>
      </c>
      <c r="I893" t="s">
        <v>247</v>
      </c>
      <c r="J893" t="s">
        <v>248</v>
      </c>
      <c r="K893" t="s">
        <v>74</v>
      </c>
      <c r="L893" t="s">
        <v>274</v>
      </c>
      <c r="M893" t="s">
        <v>2740</v>
      </c>
      <c r="N893" t="s">
        <v>44</v>
      </c>
      <c r="O893">
        <v>5</v>
      </c>
      <c r="P893">
        <v>2407.9699999999998</v>
      </c>
      <c r="Q893" s="11">
        <v>0.1</v>
      </c>
      <c r="R893">
        <v>10835.86</v>
      </c>
      <c r="S893">
        <v>6419.92</v>
      </c>
      <c r="T893">
        <v>4415.9399999999996</v>
      </c>
      <c r="U893" t="s">
        <v>155</v>
      </c>
      <c r="V893" t="s">
        <v>68</v>
      </c>
      <c r="X893" s="8" t="str">
        <f>IF(C893&gt;=B893,"Valid", "Invalid-Date")</f>
        <v>Valid</v>
      </c>
      <c r="Y893" s="8" t="str">
        <f t="shared" si="222"/>
        <v>Valid</v>
      </c>
      <c r="Z893" s="8" t="str">
        <f t="shared" si="223"/>
        <v>Pass</v>
      </c>
      <c r="AA893" s="8" t="str">
        <f t="shared" si="224"/>
        <v>Pass</v>
      </c>
      <c r="AB893" s="8" t="str">
        <f>TEXT(B893,"mmmm")</f>
        <v>October</v>
      </c>
      <c r="AC893" s="8" t="str">
        <f>TEXT(B893,"yyyy")</f>
        <v>2024</v>
      </c>
      <c r="AE893">
        <f t="shared" si="225"/>
        <v>12039.849999999999</v>
      </c>
      <c r="AF893" s="11">
        <f t="shared" si="226"/>
        <v>10835.865</v>
      </c>
      <c r="AG893">
        <f t="shared" si="227"/>
        <v>5619.9299999999985</v>
      </c>
      <c r="AH893" s="11">
        <f t="shared" si="228"/>
        <v>0.46677741001756662</v>
      </c>
      <c r="AI893" s="9">
        <f t="shared" si="229"/>
        <v>0.46677741001756662</v>
      </c>
      <c r="AJ893">
        <f t="shared" si="230"/>
        <v>0</v>
      </c>
      <c r="AK893">
        <f t="shared" si="231"/>
        <v>0</v>
      </c>
      <c r="AL893">
        <f t="shared" si="232"/>
        <v>10835.86</v>
      </c>
      <c r="AM893">
        <f t="shared" si="233"/>
        <v>1</v>
      </c>
      <c r="AN893">
        <f t="shared" si="234"/>
        <v>10835.86</v>
      </c>
      <c r="AO893">
        <f t="shared" si="235"/>
        <v>1</v>
      </c>
      <c r="AP893">
        <f t="shared" si="236"/>
        <v>0</v>
      </c>
      <c r="AQ893">
        <f t="shared" si="237"/>
        <v>0</v>
      </c>
    </row>
    <row r="894" spans="1:43">
      <c r="A894" t="s">
        <v>2741</v>
      </c>
      <c r="B894" s="5">
        <v>45995</v>
      </c>
      <c r="C894" s="5">
        <v>45765</v>
      </c>
      <c r="D894" s="13">
        <f t="shared" si="221"/>
        <v>-230</v>
      </c>
      <c r="E894" t="s">
        <v>2742</v>
      </c>
      <c r="F894" t="s">
        <v>47</v>
      </c>
      <c r="G894" t="s">
        <v>37</v>
      </c>
      <c r="H894" t="s">
        <v>38</v>
      </c>
      <c r="I894" t="s">
        <v>228</v>
      </c>
      <c r="J894" t="s">
        <v>229</v>
      </c>
      <c r="K894" t="s">
        <v>74</v>
      </c>
      <c r="L894" t="s">
        <v>80</v>
      </c>
      <c r="M894" t="s">
        <v>2743</v>
      </c>
      <c r="N894" t="s">
        <v>44</v>
      </c>
      <c r="O894">
        <v>1</v>
      </c>
      <c r="P894">
        <v>726.89</v>
      </c>
      <c r="Q894" s="11">
        <v>0.2</v>
      </c>
      <c r="R894">
        <v>581.51</v>
      </c>
      <c r="S894">
        <v>423.86</v>
      </c>
      <c r="T894">
        <v>157.65</v>
      </c>
      <c r="U894" t="s">
        <v>32</v>
      </c>
      <c r="V894" t="s">
        <v>33</v>
      </c>
      <c r="X894" s="8" t="str">
        <f>IF(C894&gt;=B894,"Valid", "Invalid-Date")</f>
        <v>Invalid-Date</v>
      </c>
      <c r="Y894" s="8" t="str">
        <f t="shared" si="222"/>
        <v>Valid</v>
      </c>
      <c r="Z894" s="8" t="str">
        <f t="shared" si="223"/>
        <v>Pass</v>
      </c>
      <c r="AA894" s="8" t="str">
        <f t="shared" si="224"/>
        <v>Pass</v>
      </c>
      <c r="AB894" s="8" t="str">
        <f>TEXT(B894,"mmmm")</f>
        <v>December</v>
      </c>
      <c r="AC894" s="8" t="str">
        <f>TEXT(B894,"yyyy")</f>
        <v>2025</v>
      </c>
      <c r="AE894">
        <f t="shared" si="225"/>
        <v>726.89</v>
      </c>
      <c r="AF894" s="11">
        <f t="shared" si="226"/>
        <v>581.51200000000006</v>
      </c>
      <c r="AG894">
        <f t="shared" si="227"/>
        <v>303.02999999999997</v>
      </c>
      <c r="AH894" s="11">
        <f t="shared" si="228"/>
        <v>0.41688563606597967</v>
      </c>
      <c r="AI894" s="9">
        <f t="shared" si="229"/>
        <v>0.41688563606597967</v>
      </c>
      <c r="AJ894">
        <f t="shared" si="230"/>
        <v>581.51</v>
      </c>
      <c r="AK894">
        <f t="shared" si="231"/>
        <v>1</v>
      </c>
      <c r="AL894">
        <f t="shared" si="232"/>
        <v>0</v>
      </c>
      <c r="AM894">
        <f t="shared" si="233"/>
        <v>0</v>
      </c>
      <c r="AN894">
        <f t="shared" si="234"/>
        <v>0</v>
      </c>
      <c r="AO894">
        <f t="shared" si="235"/>
        <v>0</v>
      </c>
      <c r="AP894">
        <f t="shared" si="236"/>
        <v>0</v>
      </c>
      <c r="AQ894">
        <f t="shared" si="237"/>
        <v>0</v>
      </c>
    </row>
    <row r="895" spans="1:43">
      <c r="A895" t="s">
        <v>2744</v>
      </c>
      <c r="B895" s="5">
        <v>45449</v>
      </c>
      <c r="C895" s="5">
        <v>45510</v>
      </c>
      <c r="D895" s="13">
        <f t="shared" si="221"/>
        <v>61</v>
      </c>
      <c r="E895" t="s">
        <v>2745</v>
      </c>
      <c r="F895" t="s">
        <v>128</v>
      </c>
      <c r="G895" t="s">
        <v>90</v>
      </c>
      <c r="H895" t="s">
        <v>54</v>
      </c>
      <c r="I895" t="s">
        <v>175</v>
      </c>
      <c r="J895" t="s">
        <v>176</v>
      </c>
      <c r="K895" t="s">
        <v>41</v>
      </c>
      <c r="L895" t="s">
        <v>42</v>
      </c>
      <c r="M895" t="s">
        <v>2746</v>
      </c>
      <c r="N895" t="s">
        <v>31</v>
      </c>
      <c r="O895">
        <v>3</v>
      </c>
      <c r="P895">
        <v>395.49</v>
      </c>
      <c r="Q895" s="11">
        <v>0.05</v>
      </c>
      <c r="R895">
        <v>1127.1500000000001</v>
      </c>
      <c r="S895">
        <v>845.62</v>
      </c>
      <c r="T895">
        <v>281.52999999999997</v>
      </c>
      <c r="U895" t="s">
        <v>32</v>
      </c>
      <c r="V895" t="s">
        <v>103</v>
      </c>
      <c r="X895" s="8" t="str">
        <f>IF(C895&gt;=B895,"Valid", "Invalid-Date")</f>
        <v>Valid</v>
      </c>
      <c r="Y895" s="8" t="str">
        <f t="shared" si="222"/>
        <v>Valid</v>
      </c>
      <c r="Z895" s="8" t="str">
        <f t="shared" si="223"/>
        <v>Pass</v>
      </c>
      <c r="AA895" s="8" t="str">
        <f t="shared" si="224"/>
        <v>Pass</v>
      </c>
      <c r="AB895" s="8" t="str">
        <f>TEXT(B895,"mmmm")</f>
        <v>June</v>
      </c>
      <c r="AC895" s="8" t="str">
        <f>TEXT(B895,"yyyy")</f>
        <v>2024</v>
      </c>
      <c r="AE895">
        <f t="shared" si="225"/>
        <v>1186.47</v>
      </c>
      <c r="AF895" s="11">
        <f t="shared" si="226"/>
        <v>1127.1465000000001</v>
      </c>
      <c r="AG895">
        <f t="shared" si="227"/>
        <v>340.85</v>
      </c>
      <c r="AH895" s="11">
        <f t="shared" si="228"/>
        <v>0.28728075720414342</v>
      </c>
      <c r="AI895" s="9">
        <f t="shared" si="229"/>
        <v>0.28728075720414342</v>
      </c>
      <c r="AJ895">
        <f t="shared" si="230"/>
        <v>0</v>
      </c>
      <c r="AK895">
        <f t="shared" si="231"/>
        <v>0</v>
      </c>
      <c r="AL895">
        <f t="shared" si="232"/>
        <v>0</v>
      </c>
      <c r="AM895">
        <f t="shared" si="233"/>
        <v>0</v>
      </c>
      <c r="AN895">
        <f t="shared" si="234"/>
        <v>0</v>
      </c>
      <c r="AO895">
        <f t="shared" si="235"/>
        <v>0</v>
      </c>
      <c r="AP895">
        <f t="shared" si="236"/>
        <v>1127.1500000000001</v>
      </c>
      <c r="AQ895">
        <f t="shared" si="237"/>
        <v>1</v>
      </c>
    </row>
    <row r="896" spans="1:43">
      <c r="A896" t="s">
        <v>2747</v>
      </c>
      <c r="B896" s="5">
        <v>45344</v>
      </c>
      <c r="C896" s="5">
        <v>45351</v>
      </c>
      <c r="D896" s="13">
        <f t="shared" si="221"/>
        <v>7</v>
      </c>
      <c r="E896" t="s">
        <v>2748</v>
      </c>
      <c r="F896" t="s">
        <v>47</v>
      </c>
      <c r="G896" t="s">
        <v>95</v>
      </c>
      <c r="H896" t="s">
        <v>54</v>
      </c>
      <c r="I896" t="s">
        <v>55</v>
      </c>
      <c r="J896" t="s">
        <v>56</v>
      </c>
      <c r="K896" t="s">
        <v>41</v>
      </c>
      <c r="L896" t="s">
        <v>42</v>
      </c>
      <c r="M896" t="s">
        <v>2749</v>
      </c>
      <c r="N896" t="s">
        <v>50</v>
      </c>
      <c r="O896">
        <v>6</v>
      </c>
      <c r="P896">
        <v>4254.05</v>
      </c>
      <c r="Q896" s="11">
        <v>0</v>
      </c>
      <c r="R896">
        <v>25524.3</v>
      </c>
      <c r="S896">
        <v>16711.93</v>
      </c>
      <c r="T896">
        <v>8812.3700000000008</v>
      </c>
      <c r="U896" t="s">
        <v>32</v>
      </c>
      <c r="V896" t="s">
        <v>33</v>
      </c>
      <c r="X896" s="8" t="str">
        <f>IF(C896&gt;=B896,"Valid", "Invalid-Date")</f>
        <v>Valid</v>
      </c>
      <c r="Y896" s="8" t="str">
        <f t="shared" si="222"/>
        <v>Valid</v>
      </c>
      <c r="Z896" s="8" t="str">
        <f t="shared" si="223"/>
        <v>Pass</v>
      </c>
      <c r="AA896" s="8" t="str">
        <f t="shared" si="224"/>
        <v>Pass</v>
      </c>
      <c r="AB896" s="8" t="str">
        <f>TEXT(B896,"mmmm")</f>
        <v>February</v>
      </c>
      <c r="AC896" s="8" t="str">
        <f>TEXT(B896,"yyyy")</f>
        <v>2024</v>
      </c>
      <c r="AE896">
        <f t="shared" si="225"/>
        <v>25524.300000000003</v>
      </c>
      <c r="AF896" s="11">
        <f t="shared" si="226"/>
        <v>25524.300000000003</v>
      </c>
      <c r="AG896">
        <f t="shared" si="227"/>
        <v>8812.3700000000026</v>
      </c>
      <c r="AH896" s="11">
        <f t="shared" si="228"/>
        <v>0.34525413037771857</v>
      </c>
      <c r="AI896" s="9">
        <f t="shared" si="229"/>
        <v>0.34525413037771857</v>
      </c>
      <c r="AJ896">
        <f t="shared" si="230"/>
        <v>25524.3</v>
      </c>
      <c r="AK896">
        <f t="shared" si="231"/>
        <v>1</v>
      </c>
      <c r="AL896">
        <f t="shared" si="232"/>
        <v>0</v>
      </c>
      <c r="AM896">
        <f t="shared" si="233"/>
        <v>0</v>
      </c>
      <c r="AN896">
        <f t="shared" si="234"/>
        <v>0</v>
      </c>
      <c r="AO896">
        <f t="shared" si="235"/>
        <v>0</v>
      </c>
      <c r="AP896">
        <f t="shared" si="236"/>
        <v>0</v>
      </c>
      <c r="AQ896">
        <f t="shared" si="237"/>
        <v>0</v>
      </c>
    </row>
    <row r="897" spans="1:43">
      <c r="A897" t="s">
        <v>2750</v>
      </c>
      <c r="B897" s="5">
        <v>45601</v>
      </c>
      <c r="C897" s="5">
        <v>45576</v>
      </c>
      <c r="D897" s="13">
        <f t="shared" si="221"/>
        <v>-25</v>
      </c>
      <c r="E897" t="s">
        <v>2751</v>
      </c>
      <c r="F897" t="s">
        <v>53</v>
      </c>
      <c r="G897" t="s">
        <v>24</v>
      </c>
      <c r="H897" t="s">
        <v>54</v>
      </c>
      <c r="I897" t="s">
        <v>185</v>
      </c>
      <c r="J897" t="s">
        <v>186</v>
      </c>
      <c r="K897" t="s">
        <v>41</v>
      </c>
      <c r="L897" t="s">
        <v>66</v>
      </c>
      <c r="M897" t="s">
        <v>2752</v>
      </c>
      <c r="N897" t="s">
        <v>44</v>
      </c>
      <c r="O897">
        <v>4</v>
      </c>
      <c r="P897">
        <v>711.18</v>
      </c>
      <c r="Q897" s="11">
        <v>0.15</v>
      </c>
      <c r="R897">
        <v>2418.0100000000002</v>
      </c>
      <c r="S897">
        <v>1441.89</v>
      </c>
      <c r="T897">
        <v>976.12</v>
      </c>
      <c r="U897" t="s">
        <v>111</v>
      </c>
      <c r="V897" t="s">
        <v>103</v>
      </c>
      <c r="X897" s="8" t="str">
        <f>IF(C897&gt;=B897,"Valid", "Invalid-Date")</f>
        <v>Invalid-Date</v>
      </c>
      <c r="Y897" s="8" t="str">
        <f t="shared" si="222"/>
        <v>Valid</v>
      </c>
      <c r="Z897" s="8" t="str">
        <f t="shared" si="223"/>
        <v>Pass</v>
      </c>
      <c r="AA897" s="8" t="str">
        <f t="shared" si="224"/>
        <v>Pass</v>
      </c>
      <c r="AB897" s="8" t="str">
        <f>TEXT(B897,"mmmm")</f>
        <v>November</v>
      </c>
      <c r="AC897" s="8" t="str">
        <f>TEXT(B897,"yyyy")</f>
        <v>2024</v>
      </c>
      <c r="AE897">
        <f t="shared" si="225"/>
        <v>2844.72</v>
      </c>
      <c r="AF897" s="11">
        <f t="shared" si="226"/>
        <v>2418.0119999999997</v>
      </c>
      <c r="AG897">
        <f t="shared" si="227"/>
        <v>1402.8299999999997</v>
      </c>
      <c r="AH897" s="11">
        <f t="shared" si="228"/>
        <v>0.49313464945583391</v>
      </c>
      <c r="AI897" s="9">
        <f t="shared" si="229"/>
        <v>0.49313464945583391</v>
      </c>
      <c r="AJ897">
        <f t="shared" si="230"/>
        <v>0</v>
      </c>
      <c r="AK897">
        <f t="shared" si="231"/>
        <v>0</v>
      </c>
      <c r="AL897">
        <f t="shared" si="232"/>
        <v>0</v>
      </c>
      <c r="AM897">
        <f t="shared" si="233"/>
        <v>0</v>
      </c>
      <c r="AN897">
        <f t="shared" si="234"/>
        <v>0</v>
      </c>
      <c r="AO897">
        <f t="shared" si="235"/>
        <v>0</v>
      </c>
      <c r="AP897">
        <f t="shared" si="236"/>
        <v>2418.0100000000002</v>
      </c>
      <c r="AQ897">
        <f t="shared" si="237"/>
        <v>1</v>
      </c>
    </row>
    <row r="898" spans="1:43">
      <c r="A898" t="s">
        <v>2753</v>
      </c>
      <c r="B898" s="5">
        <v>45650</v>
      </c>
      <c r="C898" s="5">
        <v>45651</v>
      </c>
      <c r="D898" s="13">
        <f t="shared" si="221"/>
        <v>1</v>
      </c>
      <c r="E898" t="s">
        <v>2754</v>
      </c>
      <c r="F898" t="s">
        <v>62</v>
      </c>
      <c r="G898" t="s">
        <v>37</v>
      </c>
      <c r="H898" t="s">
        <v>54</v>
      </c>
      <c r="I898" t="s">
        <v>247</v>
      </c>
      <c r="J898" t="s">
        <v>248</v>
      </c>
      <c r="K898" t="s">
        <v>74</v>
      </c>
      <c r="L898" t="s">
        <v>80</v>
      </c>
      <c r="M898" t="s">
        <v>2755</v>
      </c>
      <c r="N898" t="s">
        <v>31</v>
      </c>
      <c r="O898">
        <v>1</v>
      </c>
      <c r="P898">
        <v>3693.03</v>
      </c>
      <c r="Q898" s="11">
        <v>0.05</v>
      </c>
      <c r="R898">
        <v>3508.38</v>
      </c>
      <c r="S898">
        <v>2828.06</v>
      </c>
      <c r="T898">
        <v>680.32</v>
      </c>
      <c r="U898" t="s">
        <v>155</v>
      </c>
      <c r="V898" t="s">
        <v>103</v>
      </c>
      <c r="X898" s="8" t="str">
        <f>IF(C898&gt;=B898,"Valid", "Invalid-Date")</f>
        <v>Valid</v>
      </c>
      <c r="Y898" s="8" t="str">
        <f t="shared" si="222"/>
        <v>Valid</v>
      </c>
      <c r="Z898" s="8" t="str">
        <f t="shared" si="223"/>
        <v>Pass</v>
      </c>
      <c r="AA898" s="8" t="str">
        <f t="shared" si="224"/>
        <v>Pass</v>
      </c>
      <c r="AB898" s="8" t="str">
        <f>TEXT(B898,"mmmm")</f>
        <v>December</v>
      </c>
      <c r="AC898" s="8" t="str">
        <f>TEXT(B898,"yyyy")</f>
        <v>2024</v>
      </c>
      <c r="AE898">
        <f t="shared" si="225"/>
        <v>3693.03</v>
      </c>
      <c r="AF898" s="11">
        <f t="shared" si="226"/>
        <v>3508.3784999999998</v>
      </c>
      <c r="AG898">
        <f t="shared" si="227"/>
        <v>864.97000000000025</v>
      </c>
      <c r="AH898" s="11">
        <f t="shared" si="228"/>
        <v>0.23421688965429477</v>
      </c>
      <c r="AI898" s="9">
        <f t="shared" si="229"/>
        <v>0.23421688965429477</v>
      </c>
      <c r="AJ898">
        <f t="shared" si="230"/>
        <v>0</v>
      </c>
      <c r="AK898">
        <f t="shared" si="231"/>
        <v>0</v>
      </c>
      <c r="AL898">
        <f t="shared" si="232"/>
        <v>0</v>
      </c>
      <c r="AM898">
        <f t="shared" si="233"/>
        <v>0</v>
      </c>
      <c r="AN898">
        <f t="shared" si="234"/>
        <v>3508.38</v>
      </c>
      <c r="AO898">
        <f t="shared" si="235"/>
        <v>1</v>
      </c>
      <c r="AP898">
        <f t="shared" si="236"/>
        <v>3508.38</v>
      </c>
      <c r="AQ898">
        <f t="shared" si="237"/>
        <v>1</v>
      </c>
    </row>
    <row r="899" spans="1:43">
      <c r="A899" t="s">
        <v>2756</v>
      </c>
      <c r="B899" s="5">
        <v>45776</v>
      </c>
      <c r="C899" s="5">
        <v>45721</v>
      </c>
      <c r="D899" s="13">
        <f t="shared" ref="D899:D933" si="238">C899-B899</f>
        <v>-55</v>
      </c>
      <c r="E899" t="s">
        <v>2121</v>
      </c>
      <c r="F899" t="s">
        <v>141</v>
      </c>
      <c r="G899" t="s">
        <v>90</v>
      </c>
      <c r="H899" t="s">
        <v>25</v>
      </c>
      <c r="I899" t="s">
        <v>236</v>
      </c>
      <c r="J899" t="s">
        <v>237</v>
      </c>
      <c r="K899" t="s">
        <v>28</v>
      </c>
      <c r="L899" t="s">
        <v>29</v>
      </c>
      <c r="M899" t="s">
        <v>2757</v>
      </c>
      <c r="N899" t="s">
        <v>50</v>
      </c>
      <c r="O899">
        <v>4</v>
      </c>
      <c r="P899">
        <v>1786.65</v>
      </c>
      <c r="Q899" s="11">
        <v>0.05</v>
      </c>
      <c r="R899">
        <v>6789.27</v>
      </c>
      <c r="S899">
        <v>5626.43</v>
      </c>
      <c r="T899">
        <v>1162.8399999999999</v>
      </c>
      <c r="U899" t="s">
        <v>32</v>
      </c>
      <c r="V899" t="s">
        <v>33</v>
      </c>
      <c r="X899" s="8" t="str">
        <f>IF(C899&gt;=B899,"Valid", "Invalid-Date")</f>
        <v>Invalid-Date</v>
      </c>
      <c r="Y899" s="8" t="str">
        <f t="shared" ref="Y899:Y933" si="239">IF(OR(Q899&lt;0, Q899&gt;0.5), "Invalid-Discount", "Valid")</f>
        <v>Valid</v>
      </c>
      <c r="Z899" s="8" t="str">
        <f t="shared" ref="Z899:Z933" si="240">IF(N899="Unknown","Flagged","Pass")</f>
        <v>Pass</v>
      </c>
      <c r="AA899" s="8" t="str">
        <f t="shared" ref="AA899:AA933" si="241">IF(H899="Unknown","Flagged","Pass")</f>
        <v>Pass</v>
      </c>
      <c r="AB899" s="8" t="str">
        <f>TEXT(B899,"mmmm")</f>
        <v>April</v>
      </c>
      <c r="AC899" s="8" t="str">
        <f>TEXT(B899,"yyyy")</f>
        <v>2025</v>
      </c>
      <c r="AE899">
        <f t="shared" ref="AE899:AE933" si="242">O899*P899</f>
        <v>7146.6</v>
      </c>
      <c r="AF899" s="11">
        <f t="shared" ref="AF899:AF933" si="243">AE899*(1-Q899)</f>
        <v>6789.27</v>
      </c>
      <c r="AG899">
        <f t="shared" ref="AG899:AG933" si="244">AE899-S899</f>
        <v>1520.17</v>
      </c>
      <c r="AH899" s="11">
        <f t="shared" ref="AH899:AH933" si="245">AG899/AE899</f>
        <v>0.21271233873450313</v>
      </c>
      <c r="AI899" s="9">
        <f t="shared" ref="AI899:AI933" si="246">AG899/AE899</f>
        <v>0.21271233873450313</v>
      </c>
      <c r="AJ899">
        <f t="shared" ref="AJ899:AJ933" si="247">SUMIFS(R899, V899, "Completed", U899, "Paid")</f>
        <v>6789.27</v>
      </c>
      <c r="AK899">
        <f t="shared" ref="AK899:AK933" si="248">COUNTIFS(V899, "Completed", U899, "Paid")</f>
        <v>1</v>
      </c>
      <c r="AL899">
        <f t="shared" ref="AL899:AL933" si="249">SUMIFS(R899, V899, "Cancelled")</f>
        <v>0</v>
      </c>
      <c r="AM899">
        <f t="shared" ref="AM899:AM933" si="250">COUNTIFS(V899, "Cancelled")</f>
        <v>0</v>
      </c>
      <c r="AN899">
        <f t="shared" ref="AN899:AN933" si="251">SUMIFS(R899, U899, "Failed")</f>
        <v>0</v>
      </c>
      <c r="AO899">
        <f t="shared" ref="AO899:AO933" si="252">COUNTIFS(U899, "Failed")</f>
        <v>0</v>
      </c>
      <c r="AP899">
        <f t="shared" ref="AP899:AP933" si="253">SUMIFS(R899, V899, "Returned")</f>
        <v>0</v>
      </c>
      <c r="AQ899">
        <f t="shared" ref="AQ899:AQ933" si="254">COUNTIFS(V899, "Returned")</f>
        <v>0</v>
      </c>
    </row>
    <row r="900" spans="1:43">
      <c r="A900" t="s">
        <v>2758</v>
      </c>
      <c r="B900" s="5">
        <v>45445</v>
      </c>
      <c r="C900" s="5">
        <v>45510</v>
      </c>
      <c r="D900" s="13">
        <f t="shared" si="238"/>
        <v>65</v>
      </c>
      <c r="E900" t="s">
        <v>2759</v>
      </c>
      <c r="F900" t="s">
        <v>71</v>
      </c>
      <c r="G900" t="s">
        <v>24</v>
      </c>
      <c r="H900" t="s">
        <v>25</v>
      </c>
      <c r="I900" t="s">
        <v>350</v>
      </c>
      <c r="J900" t="s">
        <v>351</v>
      </c>
      <c r="K900" t="s">
        <v>41</v>
      </c>
      <c r="L900" t="s">
        <v>42</v>
      </c>
      <c r="M900" t="s">
        <v>2760</v>
      </c>
      <c r="N900" t="s">
        <v>50</v>
      </c>
      <c r="O900">
        <v>4</v>
      </c>
      <c r="P900">
        <v>1536.7</v>
      </c>
      <c r="Q900" s="11">
        <v>0.2</v>
      </c>
      <c r="R900">
        <v>4917.4399999999996</v>
      </c>
      <c r="S900">
        <v>3846.77</v>
      </c>
      <c r="T900">
        <v>1070.67</v>
      </c>
      <c r="U900" t="s">
        <v>32</v>
      </c>
      <c r="V900" t="s">
        <v>33</v>
      </c>
      <c r="X900" s="8" t="str">
        <f>IF(C900&gt;=B900,"Valid", "Invalid-Date")</f>
        <v>Valid</v>
      </c>
      <c r="Y900" s="8" t="str">
        <f t="shared" si="239"/>
        <v>Valid</v>
      </c>
      <c r="Z900" s="8" t="str">
        <f t="shared" si="240"/>
        <v>Pass</v>
      </c>
      <c r="AA900" s="8" t="str">
        <f t="shared" si="241"/>
        <v>Pass</v>
      </c>
      <c r="AB900" s="8" t="str">
        <f>TEXT(B900,"mmmm")</f>
        <v>June</v>
      </c>
      <c r="AC900" s="8" t="str">
        <f>TEXT(B900,"yyyy")</f>
        <v>2024</v>
      </c>
      <c r="AE900">
        <f t="shared" si="242"/>
        <v>6146.8</v>
      </c>
      <c r="AF900" s="11">
        <f t="shared" si="243"/>
        <v>4917.4400000000005</v>
      </c>
      <c r="AG900">
        <f t="shared" si="244"/>
        <v>2300.0300000000002</v>
      </c>
      <c r="AH900" s="11">
        <f t="shared" si="245"/>
        <v>0.37418331489555545</v>
      </c>
      <c r="AI900" s="9">
        <f t="shared" si="246"/>
        <v>0.37418331489555545</v>
      </c>
      <c r="AJ900">
        <f t="shared" si="247"/>
        <v>4917.4399999999996</v>
      </c>
      <c r="AK900">
        <f t="shared" si="248"/>
        <v>1</v>
      </c>
      <c r="AL900">
        <f t="shared" si="249"/>
        <v>0</v>
      </c>
      <c r="AM900">
        <f t="shared" si="250"/>
        <v>0</v>
      </c>
      <c r="AN900">
        <f t="shared" si="251"/>
        <v>0</v>
      </c>
      <c r="AO900">
        <f t="shared" si="252"/>
        <v>0</v>
      </c>
      <c r="AP900">
        <f t="shared" si="253"/>
        <v>0</v>
      </c>
      <c r="AQ900">
        <f t="shared" si="254"/>
        <v>0</v>
      </c>
    </row>
    <row r="901" spans="1:43">
      <c r="A901" t="s">
        <v>2761</v>
      </c>
      <c r="B901" s="5">
        <v>45804</v>
      </c>
      <c r="C901" s="5">
        <v>45722</v>
      </c>
      <c r="D901" s="13">
        <f t="shared" si="238"/>
        <v>-82</v>
      </c>
      <c r="E901" t="s">
        <v>2762</v>
      </c>
      <c r="F901" t="s">
        <v>23</v>
      </c>
      <c r="G901" t="s">
        <v>24</v>
      </c>
      <c r="H901" t="s">
        <v>25</v>
      </c>
      <c r="I901" t="s">
        <v>122</v>
      </c>
      <c r="J901" t="s">
        <v>123</v>
      </c>
      <c r="K901" t="s">
        <v>41</v>
      </c>
      <c r="L901" t="s">
        <v>66</v>
      </c>
      <c r="M901" t="s">
        <v>2763</v>
      </c>
      <c r="N901" t="s">
        <v>50</v>
      </c>
      <c r="O901">
        <v>5</v>
      </c>
      <c r="P901">
        <v>881.08</v>
      </c>
      <c r="Q901" s="11">
        <v>0.25</v>
      </c>
      <c r="R901">
        <v>3304.05</v>
      </c>
      <c r="S901">
        <v>2279.41</v>
      </c>
      <c r="T901">
        <v>1024.6400000000001</v>
      </c>
      <c r="U901" t="s">
        <v>155</v>
      </c>
      <c r="V901" t="s">
        <v>68</v>
      </c>
      <c r="X901" s="8" t="str">
        <f>IF(C901&gt;=B901,"Valid", "Invalid-Date")</f>
        <v>Invalid-Date</v>
      </c>
      <c r="Y901" s="8" t="str">
        <f t="shared" si="239"/>
        <v>Valid</v>
      </c>
      <c r="Z901" s="8" t="str">
        <f t="shared" si="240"/>
        <v>Pass</v>
      </c>
      <c r="AA901" s="8" t="str">
        <f t="shared" si="241"/>
        <v>Pass</v>
      </c>
      <c r="AB901" s="8" t="str">
        <f>TEXT(B901,"mmmm")</f>
        <v>May</v>
      </c>
      <c r="AC901" s="8" t="str">
        <f>TEXT(B901,"yyyy")</f>
        <v>2025</v>
      </c>
      <c r="AE901">
        <f t="shared" si="242"/>
        <v>4405.4000000000005</v>
      </c>
      <c r="AF901" s="11">
        <f t="shared" si="243"/>
        <v>3304.05</v>
      </c>
      <c r="AG901">
        <f t="shared" si="244"/>
        <v>2125.9900000000007</v>
      </c>
      <c r="AH901" s="11">
        <f t="shared" si="245"/>
        <v>0.4825872792481955</v>
      </c>
      <c r="AI901" s="9">
        <f t="shared" si="246"/>
        <v>0.4825872792481955</v>
      </c>
      <c r="AJ901">
        <f t="shared" si="247"/>
        <v>0</v>
      </c>
      <c r="AK901">
        <f t="shared" si="248"/>
        <v>0</v>
      </c>
      <c r="AL901">
        <f t="shared" si="249"/>
        <v>3304.05</v>
      </c>
      <c r="AM901">
        <f t="shared" si="250"/>
        <v>1</v>
      </c>
      <c r="AN901">
        <f t="shared" si="251"/>
        <v>3304.05</v>
      </c>
      <c r="AO901">
        <f t="shared" si="252"/>
        <v>1</v>
      </c>
      <c r="AP901">
        <f t="shared" si="253"/>
        <v>0</v>
      </c>
      <c r="AQ901">
        <f t="shared" si="254"/>
        <v>0</v>
      </c>
    </row>
    <row r="902" spans="1:43" s="15" customFormat="1">
      <c r="A902" s="15" t="s">
        <v>1604</v>
      </c>
      <c r="B902" s="16">
        <v>45295</v>
      </c>
      <c r="C902" s="16">
        <v>45539</v>
      </c>
      <c r="D902" s="17">
        <f t="shared" si="238"/>
        <v>244</v>
      </c>
      <c r="E902" s="15" t="s">
        <v>1605</v>
      </c>
      <c r="F902" s="15" t="s">
        <v>114</v>
      </c>
      <c r="G902" s="15" t="s">
        <v>37</v>
      </c>
      <c r="H902" s="15" t="s">
        <v>38</v>
      </c>
      <c r="I902" s="15" t="s">
        <v>39</v>
      </c>
      <c r="J902" s="15" t="s">
        <v>40</v>
      </c>
      <c r="K902" s="15" t="s">
        <v>74</v>
      </c>
      <c r="L902" s="15" t="s">
        <v>80</v>
      </c>
      <c r="M902" s="15" t="s">
        <v>1606</v>
      </c>
      <c r="N902" s="15" t="s">
        <v>31</v>
      </c>
      <c r="O902" s="15">
        <v>6</v>
      </c>
      <c r="P902" s="15">
        <v>826.93</v>
      </c>
      <c r="Q902" s="18">
        <v>0.1</v>
      </c>
      <c r="R902" s="15">
        <v>4465.42</v>
      </c>
      <c r="S902" s="15">
        <v>3377.1</v>
      </c>
      <c r="T902" s="15">
        <v>1088.32</v>
      </c>
      <c r="U902" s="15" t="s">
        <v>32</v>
      </c>
      <c r="V902" s="15" t="s">
        <v>33</v>
      </c>
      <c r="W902" s="25"/>
      <c r="X902" s="8" t="str">
        <f>IF(C902&gt;=B902,"Valid", "Invalid-Date")</f>
        <v>Valid</v>
      </c>
      <c r="Y902" s="8" t="str">
        <f t="shared" si="239"/>
        <v>Valid</v>
      </c>
      <c r="Z902" s="19" t="str">
        <f t="shared" si="240"/>
        <v>Pass</v>
      </c>
      <c r="AA902" s="19" t="str">
        <f t="shared" si="241"/>
        <v>Pass</v>
      </c>
      <c r="AB902" s="19" t="str">
        <f>TEXT(B902,"mmmm")</f>
        <v>January</v>
      </c>
      <c r="AC902" s="19" t="str">
        <f>TEXT(B902,"yyyy")</f>
        <v>2024</v>
      </c>
      <c r="AD902" s="20"/>
      <c r="AE902" s="15">
        <f t="shared" si="242"/>
        <v>4961.58</v>
      </c>
      <c r="AF902" s="11">
        <f t="shared" si="243"/>
        <v>4465.4220000000005</v>
      </c>
      <c r="AG902" s="15">
        <f t="shared" si="244"/>
        <v>1584.48</v>
      </c>
      <c r="AH902" s="18">
        <f t="shared" si="245"/>
        <v>0.31934988451259477</v>
      </c>
      <c r="AI902" s="21">
        <f t="shared" si="246"/>
        <v>0.31934988451259477</v>
      </c>
      <c r="AJ902">
        <f t="shared" si="247"/>
        <v>4465.42</v>
      </c>
      <c r="AK902">
        <f t="shared" si="248"/>
        <v>1</v>
      </c>
      <c r="AL902">
        <f t="shared" si="249"/>
        <v>0</v>
      </c>
      <c r="AM902">
        <f t="shared" si="250"/>
        <v>0</v>
      </c>
      <c r="AN902">
        <f t="shared" si="251"/>
        <v>0</v>
      </c>
      <c r="AO902">
        <f t="shared" si="252"/>
        <v>0</v>
      </c>
      <c r="AP902">
        <f t="shared" si="253"/>
        <v>0</v>
      </c>
      <c r="AQ902">
        <f t="shared" si="254"/>
        <v>0</v>
      </c>
    </row>
    <row r="903" spans="1:43" s="15" customFormat="1">
      <c r="A903" s="15" t="s">
        <v>1887</v>
      </c>
      <c r="B903" s="16">
        <v>45521</v>
      </c>
      <c r="C903" s="16">
        <v>45528</v>
      </c>
      <c r="D903" s="17">
        <f t="shared" si="238"/>
        <v>7</v>
      </c>
      <c r="E903" s="15" t="s">
        <v>1888</v>
      </c>
      <c r="F903" s="15" t="s">
        <v>62</v>
      </c>
      <c r="G903" s="15" t="s">
        <v>90</v>
      </c>
      <c r="H903" s="15" t="s">
        <v>38</v>
      </c>
      <c r="I903" s="15" t="s">
        <v>99</v>
      </c>
      <c r="J903" s="15" t="s">
        <v>100</v>
      </c>
      <c r="K903" s="15" t="s">
        <v>74</v>
      </c>
      <c r="L903" s="15" t="s">
        <v>80</v>
      </c>
      <c r="M903" s="15" t="s">
        <v>1889</v>
      </c>
      <c r="N903" s="15" t="s">
        <v>44</v>
      </c>
      <c r="O903" s="15">
        <v>3</v>
      </c>
      <c r="P903" s="15">
        <v>1490.69</v>
      </c>
      <c r="Q903" s="18">
        <v>0.25</v>
      </c>
      <c r="R903" s="15">
        <v>3354.05</v>
      </c>
      <c r="S903" s="15">
        <v>2672.67</v>
      </c>
      <c r="T903" s="15">
        <v>681.38</v>
      </c>
      <c r="U903" s="15" t="s">
        <v>32</v>
      </c>
      <c r="V903" s="15" t="s">
        <v>33</v>
      </c>
      <c r="W903" s="25"/>
      <c r="X903" s="8" t="str">
        <f>IF(C903&gt;=B903,"Valid", "Invalid-Date")</f>
        <v>Valid</v>
      </c>
      <c r="Y903" s="8" t="str">
        <f t="shared" si="239"/>
        <v>Valid</v>
      </c>
      <c r="Z903" s="19" t="str">
        <f t="shared" si="240"/>
        <v>Pass</v>
      </c>
      <c r="AA903" s="19" t="str">
        <f t="shared" si="241"/>
        <v>Pass</v>
      </c>
      <c r="AB903" s="19" t="str">
        <f>TEXT(B903,"mmmm")</f>
        <v>August</v>
      </c>
      <c r="AC903" s="19" t="str">
        <f>TEXT(B903,"yyyy")</f>
        <v>2024</v>
      </c>
      <c r="AD903" s="20"/>
      <c r="AE903" s="15">
        <f t="shared" si="242"/>
        <v>4472.07</v>
      </c>
      <c r="AF903" s="11">
        <f t="shared" si="243"/>
        <v>3354.0524999999998</v>
      </c>
      <c r="AG903" s="15">
        <f t="shared" si="244"/>
        <v>1799.3999999999996</v>
      </c>
      <c r="AH903" s="18">
        <f t="shared" si="245"/>
        <v>0.40236400593013966</v>
      </c>
      <c r="AI903" s="21">
        <f t="shared" si="246"/>
        <v>0.40236400593013966</v>
      </c>
      <c r="AJ903">
        <f t="shared" si="247"/>
        <v>3354.05</v>
      </c>
      <c r="AK903">
        <f t="shared" si="248"/>
        <v>1</v>
      </c>
      <c r="AL903">
        <f t="shared" si="249"/>
        <v>0</v>
      </c>
      <c r="AM903">
        <f t="shared" si="250"/>
        <v>0</v>
      </c>
      <c r="AN903">
        <f t="shared" si="251"/>
        <v>0</v>
      </c>
      <c r="AO903">
        <f t="shared" si="252"/>
        <v>0</v>
      </c>
      <c r="AP903">
        <f t="shared" si="253"/>
        <v>0</v>
      </c>
      <c r="AQ903">
        <f t="shared" si="254"/>
        <v>0</v>
      </c>
    </row>
    <row r="904" spans="1:43" s="15" customFormat="1">
      <c r="A904" s="15" t="s">
        <v>2165</v>
      </c>
      <c r="B904" s="16">
        <v>45870</v>
      </c>
      <c r="C904" s="16">
        <v>45878</v>
      </c>
      <c r="D904" s="17">
        <f t="shared" si="238"/>
        <v>8</v>
      </c>
      <c r="E904" s="15" t="s">
        <v>1136</v>
      </c>
      <c r="F904" s="15" t="s">
        <v>47</v>
      </c>
      <c r="G904" s="15" t="s">
        <v>24</v>
      </c>
      <c r="H904" s="15" t="s">
        <v>54</v>
      </c>
      <c r="I904" s="15" t="s">
        <v>84</v>
      </c>
      <c r="J904" s="15" t="s">
        <v>85</v>
      </c>
      <c r="K904" s="15" t="s">
        <v>28</v>
      </c>
      <c r="L904" s="15" t="s">
        <v>124</v>
      </c>
      <c r="M904" s="15" t="s">
        <v>2166</v>
      </c>
      <c r="N904" s="15" t="s">
        <v>50</v>
      </c>
      <c r="O904" s="15">
        <v>5</v>
      </c>
      <c r="P904" s="15">
        <v>2736.24</v>
      </c>
      <c r="Q904" s="18">
        <v>0.15</v>
      </c>
      <c r="R904" s="15">
        <v>11629.02</v>
      </c>
      <c r="S904" s="15">
        <v>9627.2099999999991</v>
      </c>
      <c r="T904" s="15">
        <v>2001.81</v>
      </c>
      <c r="U904" s="15" t="s">
        <v>32</v>
      </c>
      <c r="V904" s="15" t="s">
        <v>33</v>
      </c>
      <c r="W904" s="25"/>
      <c r="X904" s="8" t="str">
        <f>IF(C904&gt;=B904,"Valid", "Invalid-Date")</f>
        <v>Valid</v>
      </c>
      <c r="Y904" s="8" t="str">
        <f t="shared" si="239"/>
        <v>Valid</v>
      </c>
      <c r="Z904" s="19" t="str">
        <f t="shared" si="240"/>
        <v>Pass</v>
      </c>
      <c r="AA904" s="19" t="str">
        <f t="shared" si="241"/>
        <v>Pass</v>
      </c>
      <c r="AB904" s="19" t="str">
        <f>TEXT(B904,"mmmm")</f>
        <v>August</v>
      </c>
      <c r="AC904" s="19" t="str">
        <f>TEXT(B904,"yyyy")</f>
        <v>2025</v>
      </c>
      <c r="AD904" s="20"/>
      <c r="AE904" s="15">
        <f t="shared" si="242"/>
        <v>13681.199999999999</v>
      </c>
      <c r="AF904" s="11">
        <f t="shared" si="243"/>
        <v>11629.019999999999</v>
      </c>
      <c r="AG904" s="15">
        <f t="shared" si="244"/>
        <v>4053.99</v>
      </c>
      <c r="AH904" s="18">
        <f t="shared" si="245"/>
        <v>0.29631830541180598</v>
      </c>
      <c r="AI904" s="21">
        <f t="shared" si="246"/>
        <v>0.29631830541180598</v>
      </c>
      <c r="AJ904">
        <f t="shared" si="247"/>
        <v>11629.02</v>
      </c>
      <c r="AK904">
        <f t="shared" si="248"/>
        <v>1</v>
      </c>
      <c r="AL904">
        <f t="shared" si="249"/>
        <v>0</v>
      </c>
      <c r="AM904">
        <f t="shared" si="250"/>
        <v>0</v>
      </c>
      <c r="AN904">
        <f t="shared" si="251"/>
        <v>0</v>
      </c>
      <c r="AO904">
        <f t="shared" si="252"/>
        <v>0</v>
      </c>
      <c r="AP904">
        <f t="shared" si="253"/>
        <v>0</v>
      </c>
      <c r="AQ904">
        <f t="shared" si="254"/>
        <v>0</v>
      </c>
    </row>
    <row r="905" spans="1:43" s="15" customFormat="1">
      <c r="A905" s="15" t="s">
        <v>2194</v>
      </c>
      <c r="B905" s="16">
        <v>45364</v>
      </c>
      <c r="C905" s="16">
        <v>45371</v>
      </c>
      <c r="D905" s="17">
        <f t="shared" si="238"/>
        <v>7</v>
      </c>
      <c r="E905" s="15" t="s">
        <v>2195</v>
      </c>
      <c r="F905" s="15" t="s">
        <v>114</v>
      </c>
      <c r="G905" s="15" t="s">
        <v>95</v>
      </c>
      <c r="H905" s="15" t="s">
        <v>54</v>
      </c>
      <c r="I905" s="15" t="s">
        <v>247</v>
      </c>
      <c r="J905" s="15" t="s">
        <v>248</v>
      </c>
      <c r="K905" s="15" t="s">
        <v>41</v>
      </c>
      <c r="L905" s="15" t="s">
        <v>158</v>
      </c>
      <c r="M905" s="15" t="s">
        <v>2196</v>
      </c>
      <c r="N905" s="15" t="s">
        <v>2785</v>
      </c>
      <c r="O905" s="15">
        <v>1</v>
      </c>
      <c r="P905" s="15">
        <v>2825.63</v>
      </c>
      <c r="Q905" s="18">
        <v>0.15</v>
      </c>
      <c r="R905" s="15">
        <v>2401.79</v>
      </c>
      <c r="S905" s="15">
        <v>1820.34</v>
      </c>
      <c r="T905" s="15">
        <v>581.45000000000005</v>
      </c>
      <c r="U905" s="15" t="s">
        <v>32</v>
      </c>
      <c r="V905" s="15" t="s">
        <v>33</v>
      </c>
      <c r="W905" s="25"/>
      <c r="X905" s="8" t="str">
        <f>IF(C905&gt;=B905,"Valid", "Invalid-Date")</f>
        <v>Valid</v>
      </c>
      <c r="Y905" s="8" t="str">
        <f t="shared" si="239"/>
        <v>Valid</v>
      </c>
      <c r="Z905" s="19" t="str">
        <f t="shared" si="240"/>
        <v>Flagged</v>
      </c>
      <c r="AA905" s="19" t="str">
        <f t="shared" si="241"/>
        <v>Pass</v>
      </c>
      <c r="AB905" s="19" t="str">
        <f>TEXT(B905,"mmmm")</f>
        <v>March</v>
      </c>
      <c r="AC905" s="19" t="str">
        <f>TEXT(B905,"yyyy")</f>
        <v>2024</v>
      </c>
      <c r="AD905" s="20"/>
      <c r="AE905" s="15">
        <f t="shared" si="242"/>
        <v>2825.63</v>
      </c>
      <c r="AF905" s="11">
        <f t="shared" si="243"/>
        <v>2401.7855</v>
      </c>
      <c r="AG905" s="15">
        <f t="shared" si="244"/>
        <v>1005.2900000000002</v>
      </c>
      <c r="AH905" s="18">
        <f t="shared" si="245"/>
        <v>0.35577552616584623</v>
      </c>
      <c r="AI905" s="21">
        <f t="shared" si="246"/>
        <v>0.35577552616584623</v>
      </c>
      <c r="AJ905">
        <f t="shared" si="247"/>
        <v>2401.79</v>
      </c>
      <c r="AK905">
        <f t="shared" si="248"/>
        <v>1</v>
      </c>
      <c r="AL905">
        <f t="shared" si="249"/>
        <v>0</v>
      </c>
      <c r="AM905">
        <f t="shared" si="250"/>
        <v>0</v>
      </c>
      <c r="AN905">
        <f t="shared" si="251"/>
        <v>0</v>
      </c>
      <c r="AO905">
        <f t="shared" si="252"/>
        <v>0</v>
      </c>
      <c r="AP905">
        <f t="shared" si="253"/>
        <v>0</v>
      </c>
      <c r="AQ905">
        <f t="shared" si="254"/>
        <v>0</v>
      </c>
    </row>
    <row r="906" spans="1:43" s="15" customFormat="1">
      <c r="A906" s="15" t="s">
        <v>934</v>
      </c>
      <c r="B906" s="16">
        <v>45313</v>
      </c>
      <c r="C906" s="16">
        <v>45314</v>
      </c>
      <c r="D906" s="17">
        <f t="shared" si="238"/>
        <v>1</v>
      </c>
      <c r="E906" s="15" t="s">
        <v>935</v>
      </c>
      <c r="F906" s="15" t="s">
        <v>128</v>
      </c>
      <c r="G906" s="15" t="s">
        <v>37</v>
      </c>
      <c r="H906" s="15" t="s">
        <v>2785</v>
      </c>
      <c r="I906" s="15" t="s">
        <v>166</v>
      </c>
      <c r="J906" s="15" t="s">
        <v>167</v>
      </c>
      <c r="K906" s="15" t="s">
        <v>41</v>
      </c>
      <c r="L906" s="15" t="s">
        <v>66</v>
      </c>
      <c r="M906" s="15" t="s">
        <v>936</v>
      </c>
      <c r="N906" s="15" t="s">
        <v>31</v>
      </c>
      <c r="O906" s="15">
        <v>6</v>
      </c>
      <c r="P906" s="15">
        <v>3391.53</v>
      </c>
      <c r="Q906" s="18">
        <v>-0.14000000000000001</v>
      </c>
      <c r="R906" s="15">
        <v>15261.89</v>
      </c>
      <c r="S906" s="15">
        <v>8413.5300000000007</v>
      </c>
      <c r="T906" s="15">
        <v>6848.36</v>
      </c>
      <c r="U906" s="15" t="s">
        <v>32</v>
      </c>
      <c r="V906" s="15" t="s">
        <v>33</v>
      </c>
      <c r="W906" s="25"/>
      <c r="X906" s="8" t="str">
        <f>IF(C906&gt;=B906,"Valid", "Invalid-Date")</f>
        <v>Valid</v>
      </c>
      <c r="Y906" s="8" t="str">
        <f t="shared" si="239"/>
        <v>Invalid-Discount</v>
      </c>
      <c r="Z906" s="19" t="str">
        <f t="shared" si="240"/>
        <v>Pass</v>
      </c>
      <c r="AA906" s="19" t="str">
        <f t="shared" si="241"/>
        <v>Flagged</v>
      </c>
      <c r="AB906" s="19" t="str">
        <f>TEXT(B906,"mmmm")</f>
        <v>January</v>
      </c>
      <c r="AC906" s="19" t="str">
        <f>TEXT(B906,"yyyy")</f>
        <v>2024</v>
      </c>
      <c r="AD906" s="20"/>
      <c r="AE906" s="15">
        <f t="shared" si="242"/>
        <v>20349.18</v>
      </c>
      <c r="AF906" s="11">
        <f t="shared" si="243"/>
        <v>23198.065200000005</v>
      </c>
      <c r="AG906" s="15">
        <f t="shared" si="244"/>
        <v>11935.65</v>
      </c>
      <c r="AH906" s="18">
        <f t="shared" si="245"/>
        <v>0.58654206213714755</v>
      </c>
      <c r="AI906" s="21">
        <f t="shared" si="246"/>
        <v>0.58654206213714755</v>
      </c>
      <c r="AJ906">
        <f t="shared" si="247"/>
        <v>15261.89</v>
      </c>
      <c r="AK906">
        <f t="shared" si="248"/>
        <v>1</v>
      </c>
      <c r="AL906">
        <f t="shared" si="249"/>
        <v>0</v>
      </c>
      <c r="AM906">
        <f t="shared" si="250"/>
        <v>0</v>
      </c>
      <c r="AN906">
        <f t="shared" si="251"/>
        <v>0</v>
      </c>
      <c r="AO906">
        <f t="shared" si="252"/>
        <v>0</v>
      </c>
      <c r="AP906">
        <f t="shared" si="253"/>
        <v>0</v>
      </c>
      <c r="AQ906">
        <f t="shared" si="254"/>
        <v>0</v>
      </c>
    </row>
    <row r="907" spans="1:43" s="15" customFormat="1">
      <c r="A907" s="15" t="s">
        <v>1986</v>
      </c>
      <c r="B907" s="16">
        <v>45762</v>
      </c>
      <c r="C907" s="16">
        <v>45763</v>
      </c>
      <c r="D907" s="17">
        <f t="shared" si="238"/>
        <v>1</v>
      </c>
      <c r="E907" s="15" t="s">
        <v>1987</v>
      </c>
      <c r="F907" s="15" t="s">
        <v>132</v>
      </c>
      <c r="G907" s="15" t="s">
        <v>37</v>
      </c>
      <c r="H907" s="15" t="s">
        <v>54</v>
      </c>
      <c r="I907" s="15" t="s">
        <v>175</v>
      </c>
      <c r="J907" s="15" t="s">
        <v>176</v>
      </c>
      <c r="K907" s="15" t="s">
        <v>41</v>
      </c>
      <c r="L907" s="15" t="s">
        <v>57</v>
      </c>
      <c r="M907" s="15" t="s">
        <v>1988</v>
      </c>
      <c r="N907" s="15" t="s">
        <v>50</v>
      </c>
      <c r="O907" s="15">
        <v>5</v>
      </c>
      <c r="P907" s="15">
        <v>2850.53</v>
      </c>
      <c r="Q907" s="18">
        <v>0</v>
      </c>
      <c r="R907" s="15">
        <v>14252.65</v>
      </c>
      <c r="S907" s="15">
        <v>11558.31</v>
      </c>
      <c r="T907" s="15">
        <v>2694.34</v>
      </c>
      <c r="U907" s="15" t="s">
        <v>32</v>
      </c>
      <c r="V907" s="15" t="s">
        <v>33</v>
      </c>
      <c r="W907" s="25"/>
      <c r="X907" s="8" t="str">
        <f>IF(C907&gt;=B907,"Valid", "Invalid-Date")</f>
        <v>Valid</v>
      </c>
      <c r="Y907" s="8" t="str">
        <f t="shared" si="239"/>
        <v>Valid</v>
      </c>
      <c r="Z907" s="19" t="str">
        <f t="shared" si="240"/>
        <v>Pass</v>
      </c>
      <c r="AA907" s="19" t="str">
        <f t="shared" si="241"/>
        <v>Pass</v>
      </c>
      <c r="AB907" s="19" t="str">
        <f>TEXT(B907,"mmmm")</f>
        <v>April</v>
      </c>
      <c r="AC907" s="19" t="str">
        <f>TEXT(B907,"yyyy")</f>
        <v>2025</v>
      </c>
      <c r="AD907" s="20"/>
      <c r="AE907" s="15">
        <f t="shared" si="242"/>
        <v>14252.650000000001</v>
      </c>
      <c r="AF907" s="11">
        <f t="shared" si="243"/>
        <v>14252.650000000001</v>
      </c>
      <c r="AG907" s="15">
        <f t="shared" si="244"/>
        <v>2694.340000000002</v>
      </c>
      <c r="AH907" s="18">
        <f t="shared" si="245"/>
        <v>0.18904133617257154</v>
      </c>
      <c r="AI907" s="21">
        <f t="shared" si="246"/>
        <v>0.18904133617257154</v>
      </c>
      <c r="AJ907">
        <f t="shared" si="247"/>
        <v>14252.65</v>
      </c>
      <c r="AK907">
        <f t="shared" si="248"/>
        <v>1</v>
      </c>
      <c r="AL907">
        <f t="shared" si="249"/>
        <v>0</v>
      </c>
      <c r="AM907">
        <f t="shared" si="250"/>
        <v>0</v>
      </c>
      <c r="AN907">
        <f t="shared" si="251"/>
        <v>0</v>
      </c>
      <c r="AO907">
        <f t="shared" si="252"/>
        <v>0</v>
      </c>
      <c r="AP907">
        <f t="shared" si="253"/>
        <v>0</v>
      </c>
      <c r="AQ907">
        <f t="shared" si="254"/>
        <v>0</v>
      </c>
    </row>
    <row r="908" spans="1:43" s="15" customFormat="1">
      <c r="A908" s="15" t="s">
        <v>2267</v>
      </c>
      <c r="B908" s="16">
        <v>45794</v>
      </c>
      <c r="C908" s="16">
        <v>45802</v>
      </c>
      <c r="D908" s="17">
        <f t="shared" si="238"/>
        <v>8</v>
      </c>
      <c r="E908" s="15" t="s">
        <v>2268</v>
      </c>
      <c r="F908" s="15" t="s">
        <v>62</v>
      </c>
      <c r="G908" s="15" t="s">
        <v>90</v>
      </c>
      <c r="H908" s="15" t="s">
        <v>54</v>
      </c>
      <c r="I908" s="15" t="s">
        <v>247</v>
      </c>
      <c r="J908" s="15" t="s">
        <v>248</v>
      </c>
      <c r="K908" s="15" t="s">
        <v>74</v>
      </c>
      <c r="L908" s="15" t="s">
        <v>274</v>
      </c>
      <c r="M908" s="15" t="s">
        <v>2269</v>
      </c>
      <c r="N908" s="15" t="s">
        <v>44</v>
      </c>
      <c r="O908" s="15">
        <v>6</v>
      </c>
      <c r="P908" s="15">
        <v>1810.63</v>
      </c>
      <c r="Q908" s="18">
        <v>0.15</v>
      </c>
      <c r="R908" s="15">
        <v>9234.2099999999991</v>
      </c>
      <c r="S908" s="15">
        <v>5516.52</v>
      </c>
      <c r="T908" s="15">
        <v>3717.69</v>
      </c>
      <c r="U908" s="15" t="s">
        <v>32</v>
      </c>
      <c r="V908" s="15" t="s">
        <v>33</v>
      </c>
      <c r="W908" s="25"/>
      <c r="X908" s="8" t="str">
        <f>IF(C908&gt;=B908,"Valid", "Invalid-Date")</f>
        <v>Valid</v>
      </c>
      <c r="Y908" s="8" t="str">
        <f t="shared" si="239"/>
        <v>Valid</v>
      </c>
      <c r="Z908" s="19" t="str">
        <f t="shared" si="240"/>
        <v>Pass</v>
      </c>
      <c r="AA908" s="19" t="str">
        <f t="shared" si="241"/>
        <v>Pass</v>
      </c>
      <c r="AB908" s="19" t="str">
        <f>TEXT(B908,"mmmm")</f>
        <v>May</v>
      </c>
      <c r="AC908" s="19" t="str">
        <f>TEXT(B908,"yyyy")</f>
        <v>2025</v>
      </c>
      <c r="AD908" s="20"/>
      <c r="AE908" s="15">
        <f t="shared" si="242"/>
        <v>10863.78</v>
      </c>
      <c r="AF908" s="11">
        <f t="shared" si="243"/>
        <v>9234.2129999999997</v>
      </c>
      <c r="AG908" s="15">
        <f t="shared" si="244"/>
        <v>5347.26</v>
      </c>
      <c r="AH908" s="18">
        <f t="shared" si="245"/>
        <v>0.49220989379387287</v>
      </c>
      <c r="AI908" s="21">
        <f t="shared" si="246"/>
        <v>0.49220989379387287</v>
      </c>
      <c r="AJ908">
        <f t="shared" si="247"/>
        <v>9234.2099999999991</v>
      </c>
      <c r="AK908">
        <f t="shared" si="248"/>
        <v>1</v>
      </c>
      <c r="AL908">
        <f t="shared" si="249"/>
        <v>0</v>
      </c>
      <c r="AM908">
        <f t="shared" si="250"/>
        <v>0</v>
      </c>
      <c r="AN908">
        <f t="shared" si="251"/>
        <v>0</v>
      </c>
      <c r="AO908">
        <f t="shared" si="252"/>
        <v>0</v>
      </c>
      <c r="AP908">
        <f t="shared" si="253"/>
        <v>0</v>
      </c>
      <c r="AQ908">
        <f t="shared" si="254"/>
        <v>0</v>
      </c>
    </row>
    <row r="909" spans="1:43" s="15" customFormat="1">
      <c r="A909" s="15" t="s">
        <v>508</v>
      </c>
      <c r="B909" s="16">
        <v>45639</v>
      </c>
      <c r="C909" s="16">
        <v>45644</v>
      </c>
      <c r="D909" s="17">
        <f t="shared" si="238"/>
        <v>5</v>
      </c>
      <c r="E909" s="15" t="s">
        <v>509</v>
      </c>
      <c r="F909" s="15" t="s">
        <v>23</v>
      </c>
      <c r="G909" s="15" t="s">
        <v>24</v>
      </c>
      <c r="H909" s="15" t="s">
        <v>63</v>
      </c>
      <c r="I909" s="15" t="s">
        <v>190</v>
      </c>
      <c r="J909" s="15" t="s">
        <v>191</v>
      </c>
      <c r="K909" s="15" t="s">
        <v>74</v>
      </c>
      <c r="L909" s="15" t="s">
        <v>171</v>
      </c>
      <c r="M909" s="15" t="s">
        <v>510</v>
      </c>
      <c r="N909" s="15" t="s">
        <v>31</v>
      </c>
      <c r="O909" s="15">
        <v>8</v>
      </c>
      <c r="P909" s="15">
        <v>3372.15</v>
      </c>
      <c r="Q909" s="18">
        <v>0.15</v>
      </c>
      <c r="R909" s="15">
        <v>22930.62</v>
      </c>
      <c r="S909" s="15">
        <v>16875.55</v>
      </c>
      <c r="T909" s="15">
        <v>6055.07</v>
      </c>
      <c r="U909" s="15" t="s">
        <v>32</v>
      </c>
      <c r="V909" s="15" t="s">
        <v>33</v>
      </c>
      <c r="W909" s="25"/>
      <c r="X909" s="8" t="str">
        <f>IF(C909&gt;=B909,"Valid", "Invalid-Date")</f>
        <v>Valid</v>
      </c>
      <c r="Y909" s="8" t="str">
        <f t="shared" si="239"/>
        <v>Valid</v>
      </c>
      <c r="Z909" s="19" t="str">
        <f t="shared" si="240"/>
        <v>Pass</v>
      </c>
      <c r="AA909" s="19" t="str">
        <f t="shared" si="241"/>
        <v>Pass</v>
      </c>
      <c r="AB909" s="19" t="str">
        <f>TEXT(B909,"mmmm")</f>
        <v>December</v>
      </c>
      <c r="AC909" s="19" t="str">
        <f>TEXT(B909,"yyyy")</f>
        <v>2024</v>
      </c>
      <c r="AD909" s="20"/>
      <c r="AE909" s="15">
        <f t="shared" si="242"/>
        <v>26977.200000000001</v>
      </c>
      <c r="AF909" s="11">
        <f t="shared" si="243"/>
        <v>22930.62</v>
      </c>
      <c r="AG909" s="15">
        <f t="shared" si="244"/>
        <v>10101.650000000001</v>
      </c>
      <c r="AH909" s="18">
        <f t="shared" si="245"/>
        <v>0.37445138857998611</v>
      </c>
      <c r="AI909" s="21">
        <f t="shared" si="246"/>
        <v>0.37445138857998611</v>
      </c>
      <c r="AJ909">
        <f t="shared" si="247"/>
        <v>22930.62</v>
      </c>
      <c r="AK909">
        <f t="shared" si="248"/>
        <v>1</v>
      </c>
      <c r="AL909">
        <f t="shared" si="249"/>
        <v>0</v>
      </c>
      <c r="AM909">
        <f t="shared" si="250"/>
        <v>0</v>
      </c>
      <c r="AN909">
        <f t="shared" si="251"/>
        <v>0</v>
      </c>
      <c r="AO909">
        <f t="shared" si="252"/>
        <v>0</v>
      </c>
      <c r="AP909">
        <f t="shared" si="253"/>
        <v>0</v>
      </c>
      <c r="AQ909">
        <f t="shared" si="254"/>
        <v>0</v>
      </c>
    </row>
    <row r="910" spans="1:43" s="15" customFormat="1">
      <c r="A910" s="15" t="s">
        <v>2238</v>
      </c>
      <c r="B910" s="16">
        <v>45908</v>
      </c>
      <c r="C910" s="16">
        <v>45909</v>
      </c>
      <c r="D910" s="17">
        <f t="shared" si="238"/>
        <v>1</v>
      </c>
      <c r="E910" s="15" t="s">
        <v>144</v>
      </c>
      <c r="F910" s="15" t="s">
        <v>264</v>
      </c>
      <c r="G910" s="15" t="s">
        <v>90</v>
      </c>
      <c r="H910" s="15" t="s">
        <v>63</v>
      </c>
      <c r="I910" s="15" t="s">
        <v>180</v>
      </c>
      <c r="J910" s="15" t="s">
        <v>181</v>
      </c>
      <c r="K910" s="15" t="s">
        <v>28</v>
      </c>
      <c r="L910" s="15" t="s">
        <v>48</v>
      </c>
      <c r="M910" s="15" t="s">
        <v>2239</v>
      </c>
      <c r="N910" s="15" t="s">
        <v>44</v>
      </c>
      <c r="O910" s="15">
        <v>2</v>
      </c>
      <c r="P910" s="15">
        <v>2372.41</v>
      </c>
      <c r="Q910" s="18">
        <v>0.2</v>
      </c>
      <c r="R910" s="15">
        <v>3795.86</v>
      </c>
      <c r="S910" s="15">
        <v>2264.92</v>
      </c>
      <c r="T910" s="15">
        <v>1530.94</v>
      </c>
      <c r="U910" s="15" t="s">
        <v>32</v>
      </c>
      <c r="V910" s="15" t="s">
        <v>33</v>
      </c>
      <c r="W910" s="25"/>
      <c r="X910" s="8" t="str">
        <f>IF(C910&gt;=B910,"Valid", "Invalid-Date")</f>
        <v>Valid</v>
      </c>
      <c r="Y910" s="8" t="str">
        <f t="shared" si="239"/>
        <v>Valid</v>
      </c>
      <c r="Z910" s="19" t="str">
        <f t="shared" si="240"/>
        <v>Pass</v>
      </c>
      <c r="AA910" s="19" t="str">
        <f t="shared" si="241"/>
        <v>Pass</v>
      </c>
      <c r="AB910" s="19" t="str">
        <f>TEXT(B910,"mmmm")</f>
        <v>September</v>
      </c>
      <c r="AC910" s="19" t="str">
        <f>TEXT(B910,"yyyy")</f>
        <v>2025</v>
      </c>
      <c r="AD910" s="20"/>
      <c r="AE910" s="15">
        <f t="shared" si="242"/>
        <v>4744.82</v>
      </c>
      <c r="AF910" s="11">
        <f t="shared" si="243"/>
        <v>3795.8559999999998</v>
      </c>
      <c r="AG910" s="15">
        <f t="shared" si="244"/>
        <v>2479.8999999999996</v>
      </c>
      <c r="AH910" s="18">
        <f t="shared" si="245"/>
        <v>0.52265417866220421</v>
      </c>
      <c r="AI910" s="21">
        <f t="shared" si="246"/>
        <v>0.52265417866220421</v>
      </c>
      <c r="AJ910">
        <f t="shared" si="247"/>
        <v>3795.86</v>
      </c>
      <c r="AK910">
        <f t="shared" si="248"/>
        <v>1</v>
      </c>
      <c r="AL910">
        <f t="shared" si="249"/>
        <v>0</v>
      </c>
      <c r="AM910">
        <f t="shared" si="250"/>
        <v>0</v>
      </c>
      <c r="AN910">
        <f t="shared" si="251"/>
        <v>0</v>
      </c>
      <c r="AO910">
        <f t="shared" si="252"/>
        <v>0</v>
      </c>
      <c r="AP910">
        <f t="shared" si="253"/>
        <v>0</v>
      </c>
      <c r="AQ910">
        <f t="shared" si="254"/>
        <v>0</v>
      </c>
    </row>
    <row r="911" spans="1:43" s="15" customFormat="1">
      <c r="A911" s="15" t="s">
        <v>1298</v>
      </c>
      <c r="B911" s="16">
        <v>45771</v>
      </c>
      <c r="C911" s="16">
        <v>45776</v>
      </c>
      <c r="D911" s="17">
        <f t="shared" si="238"/>
        <v>5</v>
      </c>
      <c r="E911" s="15" t="s">
        <v>1299</v>
      </c>
      <c r="F911" s="15" t="s">
        <v>162</v>
      </c>
      <c r="G911" s="15" t="s">
        <v>37</v>
      </c>
      <c r="H911" s="15" t="s">
        <v>54</v>
      </c>
      <c r="I911" s="15" t="s">
        <v>84</v>
      </c>
      <c r="J911" s="15" t="s">
        <v>85</v>
      </c>
      <c r="K911" s="15" t="s">
        <v>28</v>
      </c>
      <c r="L911" s="15" t="s">
        <v>29</v>
      </c>
      <c r="M911" s="15" t="s">
        <v>1300</v>
      </c>
      <c r="N911" s="15" t="s">
        <v>44</v>
      </c>
      <c r="O911" s="15">
        <v>1</v>
      </c>
      <c r="P911" s="15">
        <v>4358.5</v>
      </c>
      <c r="Q911" s="18">
        <v>0.25</v>
      </c>
      <c r="R911" s="15">
        <v>3268.88</v>
      </c>
      <c r="S911" s="15">
        <v>1993.74</v>
      </c>
      <c r="T911" s="15">
        <v>1275.1400000000001</v>
      </c>
      <c r="U911" s="15" t="s">
        <v>32</v>
      </c>
      <c r="V911" s="15" t="s">
        <v>33</v>
      </c>
      <c r="W911" s="25"/>
      <c r="X911" s="8" t="str">
        <f>IF(C911&gt;=B911,"Valid", "Invalid-Date")</f>
        <v>Valid</v>
      </c>
      <c r="Y911" s="8" t="str">
        <f t="shared" si="239"/>
        <v>Valid</v>
      </c>
      <c r="Z911" s="19" t="str">
        <f t="shared" si="240"/>
        <v>Pass</v>
      </c>
      <c r="AA911" s="19" t="str">
        <f t="shared" si="241"/>
        <v>Pass</v>
      </c>
      <c r="AB911" s="19" t="str">
        <f>TEXT(B911,"mmmm")</f>
        <v>April</v>
      </c>
      <c r="AC911" s="19" t="str">
        <f>TEXT(B911,"yyyy")</f>
        <v>2025</v>
      </c>
      <c r="AD911" s="20"/>
      <c r="AE911" s="15">
        <f t="shared" si="242"/>
        <v>4358.5</v>
      </c>
      <c r="AF911" s="11">
        <f t="shared" si="243"/>
        <v>3268.875</v>
      </c>
      <c r="AG911" s="15">
        <f t="shared" si="244"/>
        <v>2364.7600000000002</v>
      </c>
      <c r="AH911" s="18">
        <f t="shared" si="245"/>
        <v>0.54256280830560977</v>
      </c>
      <c r="AI911" s="21">
        <f t="shared" si="246"/>
        <v>0.54256280830560977</v>
      </c>
      <c r="AJ911">
        <f t="shared" si="247"/>
        <v>3268.88</v>
      </c>
      <c r="AK911">
        <f t="shared" si="248"/>
        <v>1</v>
      </c>
      <c r="AL911">
        <f t="shared" si="249"/>
        <v>0</v>
      </c>
      <c r="AM911">
        <f t="shared" si="250"/>
        <v>0</v>
      </c>
      <c r="AN911">
        <f t="shared" si="251"/>
        <v>0</v>
      </c>
      <c r="AO911">
        <f t="shared" si="252"/>
        <v>0</v>
      </c>
      <c r="AP911">
        <f t="shared" si="253"/>
        <v>0</v>
      </c>
      <c r="AQ911">
        <f t="shared" si="254"/>
        <v>0</v>
      </c>
    </row>
    <row r="912" spans="1:43" s="15" customFormat="1">
      <c r="A912" s="15" t="s">
        <v>478</v>
      </c>
      <c r="B912" s="16">
        <v>45436</v>
      </c>
      <c r="C912" s="16">
        <v>45437</v>
      </c>
      <c r="D912" s="17">
        <f t="shared" si="238"/>
        <v>1</v>
      </c>
      <c r="E912" s="15" t="s">
        <v>479</v>
      </c>
      <c r="F912" s="15" t="s">
        <v>132</v>
      </c>
      <c r="G912" s="15" t="s">
        <v>37</v>
      </c>
      <c r="H912" s="15" t="s">
        <v>25</v>
      </c>
      <c r="I912" s="15" t="s">
        <v>122</v>
      </c>
      <c r="J912" s="15" t="s">
        <v>123</v>
      </c>
      <c r="K912" s="15" t="s">
        <v>74</v>
      </c>
      <c r="L912" s="15" t="s">
        <v>80</v>
      </c>
      <c r="M912" s="15" t="s">
        <v>480</v>
      </c>
      <c r="N912" s="15" t="s">
        <v>44</v>
      </c>
      <c r="O912" s="15">
        <v>1</v>
      </c>
      <c r="P912" s="15">
        <v>634.13</v>
      </c>
      <c r="Q912" s="18">
        <v>0</v>
      </c>
      <c r="R912" s="15">
        <v>634.13</v>
      </c>
      <c r="S912" s="15">
        <v>453.35</v>
      </c>
      <c r="T912" s="15">
        <v>180.78</v>
      </c>
      <c r="U912" s="15" t="s">
        <v>102</v>
      </c>
      <c r="V912" s="15" t="s">
        <v>68</v>
      </c>
      <c r="W912" s="25"/>
      <c r="X912" s="8" t="str">
        <f>IF(C912&gt;=B912,"Valid", "Invalid-Date")</f>
        <v>Valid</v>
      </c>
      <c r="Y912" s="8" t="str">
        <f t="shared" si="239"/>
        <v>Valid</v>
      </c>
      <c r="Z912" s="19" t="str">
        <f t="shared" si="240"/>
        <v>Pass</v>
      </c>
      <c r="AA912" s="19" t="str">
        <f t="shared" si="241"/>
        <v>Pass</v>
      </c>
      <c r="AB912" s="19" t="str">
        <f>TEXT(B912,"mmmm")</f>
        <v>May</v>
      </c>
      <c r="AC912" s="19" t="str">
        <f>TEXT(B912,"yyyy")</f>
        <v>2024</v>
      </c>
      <c r="AD912" s="20"/>
      <c r="AE912" s="15">
        <f t="shared" si="242"/>
        <v>634.13</v>
      </c>
      <c r="AF912" s="11">
        <f t="shared" si="243"/>
        <v>634.13</v>
      </c>
      <c r="AG912" s="15">
        <f t="shared" si="244"/>
        <v>180.77999999999997</v>
      </c>
      <c r="AH912" s="18">
        <f t="shared" si="245"/>
        <v>0.28508350022865969</v>
      </c>
      <c r="AI912" s="21">
        <f t="shared" si="246"/>
        <v>0.28508350022865969</v>
      </c>
      <c r="AJ912">
        <f t="shared" si="247"/>
        <v>0</v>
      </c>
      <c r="AK912">
        <f t="shared" si="248"/>
        <v>0</v>
      </c>
      <c r="AL912">
        <f t="shared" si="249"/>
        <v>634.13</v>
      </c>
      <c r="AM912">
        <f t="shared" si="250"/>
        <v>1</v>
      </c>
      <c r="AN912">
        <f t="shared" si="251"/>
        <v>0</v>
      </c>
      <c r="AO912">
        <f t="shared" si="252"/>
        <v>0</v>
      </c>
      <c r="AP912">
        <f t="shared" si="253"/>
        <v>0</v>
      </c>
      <c r="AQ912">
        <f t="shared" si="254"/>
        <v>0</v>
      </c>
    </row>
    <row r="913" spans="1:43" s="15" customFormat="1">
      <c r="A913" s="15" t="s">
        <v>857</v>
      </c>
      <c r="B913" s="16">
        <v>45343</v>
      </c>
      <c r="C913" s="16">
        <v>45349</v>
      </c>
      <c r="D913" s="17">
        <f t="shared" si="238"/>
        <v>6</v>
      </c>
      <c r="E913" s="15" t="s">
        <v>858</v>
      </c>
      <c r="F913" s="15" t="s">
        <v>53</v>
      </c>
      <c r="G913" s="15" t="s">
        <v>37</v>
      </c>
      <c r="H913" s="15" t="s">
        <v>38</v>
      </c>
      <c r="I913" s="15" t="s">
        <v>99</v>
      </c>
      <c r="J913" s="15" t="s">
        <v>100</v>
      </c>
      <c r="K913" s="15" t="s">
        <v>41</v>
      </c>
      <c r="L913" s="15" t="s">
        <v>57</v>
      </c>
      <c r="M913" s="15" t="s">
        <v>859</v>
      </c>
      <c r="N913" s="15" t="s">
        <v>59</v>
      </c>
      <c r="O913" s="15">
        <v>5</v>
      </c>
      <c r="P913" s="15">
        <v>3373.86</v>
      </c>
      <c r="Q913" s="18">
        <v>0.15</v>
      </c>
      <c r="R913" s="15">
        <v>14338.9</v>
      </c>
      <c r="S913" s="15">
        <v>11897.65</v>
      </c>
      <c r="T913" s="15">
        <v>2441.25</v>
      </c>
      <c r="U913" s="15" t="s">
        <v>111</v>
      </c>
      <c r="V913" s="15" t="s">
        <v>103</v>
      </c>
      <c r="W913" s="25"/>
      <c r="X913" s="8" t="str">
        <f>IF(C913&gt;=B913,"Valid", "Invalid-Date")</f>
        <v>Valid</v>
      </c>
      <c r="Y913" s="8" t="str">
        <f t="shared" si="239"/>
        <v>Valid</v>
      </c>
      <c r="Z913" s="19" t="str">
        <f t="shared" si="240"/>
        <v>Pass</v>
      </c>
      <c r="AA913" s="19" t="str">
        <f t="shared" si="241"/>
        <v>Pass</v>
      </c>
      <c r="AB913" s="19" t="str">
        <f>TEXT(B913,"mmmm")</f>
        <v>February</v>
      </c>
      <c r="AC913" s="19" t="str">
        <f>TEXT(B913,"yyyy")</f>
        <v>2024</v>
      </c>
      <c r="AD913" s="20"/>
      <c r="AE913" s="15">
        <f t="shared" si="242"/>
        <v>16869.3</v>
      </c>
      <c r="AF913" s="11">
        <f t="shared" si="243"/>
        <v>14338.904999999999</v>
      </c>
      <c r="AG913" s="15">
        <f t="shared" si="244"/>
        <v>4971.6499999999996</v>
      </c>
      <c r="AH913" s="18">
        <f t="shared" si="245"/>
        <v>0.29471584475941504</v>
      </c>
      <c r="AI913" s="21">
        <f t="shared" si="246"/>
        <v>0.29471584475941504</v>
      </c>
      <c r="AJ913">
        <f t="shared" si="247"/>
        <v>0</v>
      </c>
      <c r="AK913">
        <f t="shared" si="248"/>
        <v>0</v>
      </c>
      <c r="AL913">
        <f t="shared" si="249"/>
        <v>0</v>
      </c>
      <c r="AM913">
        <f t="shared" si="250"/>
        <v>0</v>
      </c>
      <c r="AN913">
        <f t="shared" si="251"/>
        <v>0</v>
      </c>
      <c r="AO913">
        <f t="shared" si="252"/>
        <v>0</v>
      </c>
      <c r="AP913">
        <f t="shared" si="253"/>
        <v>14338.9</v>
      </c>
      <c r="AQ913">
        <f t="shared" si="254"/>
        <v>1</v>
      </c>
    </row>
    <row r="914" spans="1:43" s="15" customFormat="1">
      <c r="A914" s="15" t="s">
        <v>1233</v>
      </c>
      <c r="B914" s="16">
        <v>45801</v>
      </c>
      <c r="C914" s="16">
        <v>45807</v>
      </c>
      <c r="D914" s="17">
        <f t="shared" si="238"/>
        <v>6</v>
      </c>
      <c r="E914" s="15" t="s">
        <v>1234</v>
      </c>
      <c r="F914" s="15" t="s">
        <v>264</v>
      </c>
      <c r="G914" s="15" t="s">
        <v>37</v>
      </c>
      <c r="H914" s="15" t="s">
        <v>38</v>
      </c>
      <c r="I914" s="15" t="s">
        <v>39</v>
      </c>
      <c r="J914" s="15" t="s">
        <v>40</v>
      </c>
      <c r="K914" s="15" t="s">
        <v>28</v>
      </c>
      <c r="L914" s="15" t="s">
        <v>124</v>
      </c>
      <c r="M914" s="15" t="s">
        <v>1235</v>
      </c>
      <c r="N914" s="15" t="s">
        <v>44</v>
      </c>
      <c r="O914" s="15">
        <v>1</v>
      </c>
      <c r="P914" s="15">
        <v>2564.7399999999998</v>
      </c>
      <c r="Q914" s="18">
        <v>0</v>
      </c>
      <c r="R914" s="15">
        <v>2564.7399999999998</v>
      </c>
      <c r="S914" s="15">
        <v>1754.58</v>
      </c>
      <c r="T914" s="15">
        <v>810.16</v>
      </c>
      <c r="U914" s="15" t="s">
        <v>32</v>
      </c>
      <c r="V914" s="15" t="s">
        <v>33</v>
      </c>
      <c r="W914" s="25"/>
      <c r="X914" s="8" t="str">
        <f>IF(C914&gt;=B914,"Valid", "Invalid-Date")</f>
        <v>Valid</v>
      </c>
      <c r="Y914" s="8" t="str">
        <f t="shared" si="239"/>
        <v>Valid</v>
      </c>
      <c r="Z914" s="19" t="str">
        <f t="shared" si="240"/>
        <v>Pass</v>
      </c>
      <c r="AA914" s="19" t="str">
        <f t="shared" si="241"/>
        <v>Pass</v>
      </c>
      <c r="AB914" s="19" t="str">
        <f>TEXT(B914,"mmmm")</f>
        <v>May</v>
      </c>
      <c r="AC914" s="19" t="str">
        <f>TEXT(B914,"yyyy")</f>
        <v>2025</v>
      </c>
      <c r="AD914" s="20"/>
      <c r="AE914" s="15">
        <f t="shared" si="242"/>
        <v>2564.7399999999998</v>
      </c>
      <c r="AF914" s="11">
        <f t="shared" si="243"/>
        <v>2564.7399999999998</v>
      </c>
      <c r="AG914" s="15">
        <f t="shared" si="244"/>
        <v>810.15999999999985</v>
      </c>
      <c r="AH914" s="18">
        <f t="shared" si="245"/>
        <v>0.31588387126960232</v>
      </c>
      <c r="AI914" s="21">
        <f t="shared" si="246"/>
        <v>0.31588387126960232</v>
      </c>
      <c r="AJ914">
        <f t="shared" si="247"/>
        <v>2564.7399999999998</v>
      </c>
      <c r="AK914">
        <f t="shared" si="248"/>
        <v>1</v>
      </c>
      <c r="AL914">
        <f t="shared" si="249"/>
        <v>0</v>
      </c>
      <c r="AM914">
        <f t="shared" si="250"/>
        <v>0</v>
      </c>
      <c r="AN914">
        <f t="shared" si="251"/>
        <v>0</v>
      </c>
      <c r="AO914">
        <f t="shared" si="252"/>
        <v>0</v>
      </c>
      <c r="AP914">
        <f t="shared" si="253"/>
        <v>0</v>
      </c>
      <c r="AQ914">
        <f t="shared" si="254"/>
        <v>0</v>
      </c>
    </row>
    <row r="915" spans="1:43" s="15" customFormat="1">
      <c r="A915" s="15" t="s">
        <v>945</v>
      </c>
      <c r="B915" s="16">
        <v>45649</v>
      </c>
      <c r="C915" s="16">
        <v>45652</v>
      </c>
      <c r="D915" s="17">
        <f t="shared" si="238"/>
        <v>3</v>
      </c>
      <c r="E915" s="15" t="s">
        <v>946</v>
      </c>
      <c r="F915" s="15" t="s">
        <v>89</v>
      </c>
      <c r="G915" s="15" t="s">
        <v>24</v>
      </c>
      <c r="H915" s="15" t="s">
        <v>54</v>
      </c>
      <c r="I915" s="15" t="s">
        <v>175</v>
      </c>
      <c r="J915" s="15" t="s">
        <v>176</v>
      </c>
      <c r="K915" s="15" t="s">
        <v>74</v>
      </c>
      <c r="L915" s="15" t="s">
        <v>80</v>
      </c>
      <c r="M915" s="15" t="s">
        <v>947</v>
      </c>
      <c r="N915" s="15" t="s">
        <v>59</v>
      </c>
      <c r="O915" s="15">
        <v>9</v>
      </c>
      <c r="P915" s="15">
        <v>993.67</v>
      </c>
      <c r="Q915" s="18">
        <v>0</v>
      </c>
      <c r="R915" s="15">
        <v>8943.0300000000007</v>
      </c>
      <c r="S915" s="15">
        <v>5165.38</v>
      </c>
      <c r="T915" s="15">
        <v>3777.65</v>
      </c>
      <c r="U915" s="15" t="s">
        <v>32</v>
      </c>
      <c r="V915" s="15" t="s">
        <v>33</v>
      </c>
      <c r="W915" s="25"/>
      <c r="X915" s="8" t="str">
        <f>IF(C915&gt;=B915,"Valid", "Invalid-Date")</f>
        <v>Valid</v>
      </c>
      <c r="Y915" s="8" t="str">
        <f t="shared" si="239"/>
        <v>Valid</v>
      </c>
      <c r="Z915" s="19" t="str">
        <f t="shared" si="240"/>
        <v>Pass</v>
      </c>
      <c r="AA915" s="19" t="str">
        <f t="shared" si="241"/>
        <v>Pass</v>
      </c>
      <c r="AB915" s="19" t="str">
        <f>TEXT(B915,"mmmm")</f>
        <v>December</v>
      </c>
      <c r="AC915" s="19" t="str">
        <f>TEXT(B915,"yyyy")</f>
        <v>2024</v>
      </c>
      <c r="AD915" s="20"/>
      <c r="AE915" s="15">
        <f t="shared" si="242"/>
        <v>8943.0299999999988</v>
      </c>
      <c r="AF915" s="11">
        <f t="shared" si="243"/>
        <v>8943.0299999999988</v>
      </c>
      <c r="AG915" s="15">
        <f t="shared" si="244"/>
        <v>3777.6499999999987</v>
      </c>
      <c r="AH915" s="18">
        <f t="shared" si="245"/>
        <v>0.42241276167026154</v>
      </c>
      <c r="AI915" s="21">
        <f t="shared" si="246"/>
        <v>0.42241276167026154</v>
      </c>
      <c r="AJ915">
        <f t="shared" si="247"/>
        <v>8943.0300000000007</v>
      </c>
      <c r="AK915">
        <f t="shared" si="248"/>
        <v>1</v>
      </c>
      <c r="AL915">
        <f t="shared" si="249"/>
        <v>0</v>
      </c>
      <c r="AM915">
        <f t="shared" si="250"/>
        <v>0</v>
      </c>
      <c r="AN915">
        <f t="shared" si="251"/>
        <v>0</v>
      </c>
      <c r="AO915">
        <f t="shared" si="252"/>
        <v>0</v>
      </c>
      <c r="AP915">
        <f t="shared" si="253"/>
        <v>0</v>
      </c>
      <c r="AQ915">
        <f t="shared" si="254"/>
        <v>0</v>
      </c>
    </row>
    <row r="916" spans="1:43" s="15" customFormat="1">
      <c r="A916" s="15" t="s">
        <v>2218</v>
      </c>
      <c r="B916" s="16">
        <v>45332</v>
      </c>
      <c r="C916" s="16">
        <v>45340</v>
      </c>
      <c r="D916" s="17">
        <f t="shared" si="238"/>
        <v>8</v>
      </c>
      <c r="E916" s="15" t="s">
        <v>2219</v>
      </c>
      <c r="F916" s="15" t="s">
        <v>47</v>
      </c>
      <c r="G916" s="15" t="s">
        <v>95</v>
      </c>
      <c r="H916" s="15" t="s">
        <v>63</v>
      </c>
      <c r="I916" s="15" t="s">
        <v>72</v>
      </c>
      <c r="J916" s="15" t="s">
        <v>73</v>
      </c>
      <c r="K916" s="15" t="s">
        <v>41</v>
      </c>
      <c r="L916" s="15" t="s">
        <v>66</v>
      </c>
      <c r="M916" s="15" t="s">
        <v>2220</v>
      </c>
      <c r="N916" s="15" t="s">
        <v>50</v>
      </c>
      <c r="O916" s="15">
        <v>7</v>
      </c>
      <c r="P916" s="15">
        <v>1382.86</v>
      </c>
      <c r="Q916" s="18">
        <v>0</v>
      </c>
      <c r="R916" s="15">
        <v>9680.02</v>
      </c>
      <c r="S916" s="15">
        <v>6876.66</v>
      </c>
      <c r="T916" s="15">
        <v>2803.36</v>
      </c>
      <c r="U916" s="15" t="s">
        <v>32</v>
      </c>
      <c r="V916" s="15" t="s">
        <v>33</v>
      </c>
      <c r="W916" s="25"/>
      <c r="X916" s="8" t="str">
        <f>IF(C916&gt;=B916,"Valid", "Invalid-Date")</f>
        <v>Valid</v>
      </c>
      <c r="Y916" s="8" t="str">
        <f t="shared" si="239"/>
        <v>Valid</v>
      </c>
      <c r="Z916" s="19" t="str">
        <f t="shared" si="240"/>
        <v>Pass</v>
      </c>
      <c r="AA916" s="19" t="str">
        <f t="shared" si="241"/>
        <v>Pass</v>
      </c>
      <c r="AB916" s="19" t="str">
        <f>TEXT(B916,"mmmm")</f>
        <v>February</v>
      </c>
      <c r="AC916" s="19" t="str">
        <f>TEXT(B916,"yyyy")</f>
        <v>2024</v>
      </c>
      <c r="AD916" s="20"/>
      <c r="AE916" s="15">
        <f t="shared" si="242"/>
        <v>9680.0199999999986</v>
      </c>
      <c r="AF916" s="11">
        <f t="shared" si="243"/>
        <v>9680.0199999999986</v>
      </c>
      <c r="AG916" s="15">
        <f t="shared" si="244"/>
        <v>2803.3599999999988</v>
      </c>
      <c r="AH916" s="18">
        <f t="shared" si="245"/>
        <v>0.28960270743242256</v>
      </c>
      <c r="AI916" s="21">
        <f t="shared" si="246"/>
        <v>0.28960270743242256</v>
      </c>
      <c r="AJ916">
        <f t="shared" si="247"/>
        <v>9680.02</v>
      </c>
      <c r="AK916">
        <f t="shared" si="248"/>
        <v>1</v>
      </c>
      <c r="AL916">
        <f t="shared" si="249"/>
        <v>0</v>
      </c>
      <c r="AM916">
        <f t="shared" si="250"/>
        <v>0</v>
      </c>
      <c r="AN916">
        <f t="shared" si="251"/>
        <v>0</v>
      </c>
      <c r="AO916">
        <f t="shared" si="252"/>
        <v>0</v>
      </c>
      <c r="AP916">
        <f t="shared" si="253"/>
        <v>0</v>
      </c>
      <c r="AQ916">
        <f t="shared" si="254"/>
        <v>0</v>
      </c>
    </row>
    <row r="917" spans="1:43" s="15" customFormat="1">
      <c r="A917" s="15" t="s">
        <v>1744</v>
      </c>
      <c r="B917" s="16">
        <v>45971</v>
      </c>
      <c r="C917" s="16">
        <v>45943</v>
      </c>
      <c r="D917" s="17">
        <f t="shared" si="238"/>
        <v>-28</v>
      </c>
      <c r="E917" s="15" t="s">
        <v>1745</v>
      </c>
      <c r="F917" s="15" t="s">
        <v>36</v>
      </c>
      <c r="G917" s="15" t="s">
        <v>90</v>
      </c>
      <c r="H917" s="15" t="s">
        <v>54</v>
      </c>
      <c r="I917" s="15" t="s">
        <v>55</v>
      </c>
      <c r="J917" s="15" t="s">
        <v>56</v>
      </c>
      <c r="K917" s="15" t="s">
        <v>28</v>
      </c>
      <c r="L917" s="15" t="s">
        <v>48</v>
      </c>
      <c r="M917" s="15" t="s">
        <v>1746</v>
      </c>
      <c r="N917" s="15" t="s">
        <v>31</v>
      </c>
      <c r="O917" s="15">
        <v>3</v>
      </c>
      <c r="P917" s="15">
        <v>3804.27</v>
      </c>
      <c r="Q917" s="18">
        <v>0.1</v>
      </c>
      <c r="R917" s="15">
        <v>10271.530000000001</v>
      </c>
      <c r="S917" s="15">
        <v>8272.24</v>
      </c>
      <c r="T917" s="15">
        <v>1999.29</v>
      </c>
      <c r="U917" s="15" t="s">
        <v>32</v>
      </c>
      <c r="V917" s="15" t="s">
        <v>33</v>
      </c>
      <c r="W917" s="25"/>
      <c r="X917" s="8" t="str">
        <f>IF(C917&gt;=B917,"Valid", "Invalid-Date")</f>
        <v>Invalid-Date</v>
      </c>
      <c r="Y917" s="8" t="str">
        <f t="shared" si="239"/>
        <v>Valid</v>
      </c>
      <c r="Z917" s="19" t="str">
        <f t="shared" si="240"/>
        <v>Pass</v>
      </c>
      <c r="AA917" s="19" t="str">
        <f t="shared" si="241"/>
        <v>Pass</v>
      </c>
      <c r="AB917" s="19" t="str">
        <f>TEXT(B917,"mmmm")</f>
        <v>November</v>
      </c>
      <c r="AC917" s="19" t="str">
        <f>TEXT(B917,"yyyy")</f>
        <v>2025</v>
      </c>
      <c r="AD917" s="20"/>
      <c r="AE917" s="15">
        <f t="shared" si="242"/>
        <v>11412.81</v>
      </c>
      <c r="AF917" s="11">
        <f t="shared" si="243"/>
        <v>10271.529</v>
      </c>
      <c r="AG917" s="15">
        <f t="shared" si="244"/>
        <v>3140.5699999999997</v>
      </c>
      <c r="AH917" s="18">
        <f t="shared" si="245"/>
        <v>0.2751793817648765</v>
      </c>
      <c r="AI917" s="21">
        <f t="shared" si="246"/>
        <v>0.2751793817648765</v>
      </c>
      <c r="AJ917">
        <f t="shared" si="247"/>
        <v>10271.530000000001</v>
      </c>
      <c r="AK917">
        <f t="shared" si="248"/>
        <v>1</v>
      </c>
      <c r="AL917">
        <f t="shared" si="249"/>
        <v>0</v>
      </c>
      <c r="AM917">
        <f t="shared" si="250"/>
        <v>0</v>
      </c>
      <c r="AN917">
        <f t="shared" si="251"/>
        <v>0</v>
      </c>
      <c r="AO917">
        <f t="shared" si="252"/>
        <v>0</v>
      </c>
      <c r="AP917">
        <f t="shared" si="253"/>
        <v>0</v>
      </c>
      <c r="AQ917">
        <f t="shared" si="254"/>
        <v>0</v>
      </c>
    </row>
    <row r="918" spans="1:43" s="15" customFormat="1">
      <c r="A918" s="15" t="s">
        <v>2620</v>
      </c>
      <c r="B918" s="16">
        <v>45357</v>
      </c>
      <c r="C918" s="16">
        <v>45363</v>
      </c>
      <c r="D918" s="17">
        <f t="shared" si="238"/>
        <v>6</v>
      </c>
      <c r="E918" s="15" t="s">
        <v>2621</v>
      </c>
      <c r="F918" s="15" t="s">
        <v>47</v>
      </c>
      <c r="G918" s="15" t="s">
        <v>95</v>
      </c>
      <c r="H918" s="15" t="s">
        <v>63</v>
      </c>
      <c r="I918" s="15" t="s">
        <v>180</v>
      </c>
      <c r="J918" s="15" t="s">
        <v>181</v>
      </c>
      <c r="K918" s="15" t="s">
        <v>41</v>
      </c>
      <c r="L918" s="15" t="s">
        <v>158</v>
      </c>
      <c r="M918" s="15" t="s">
        <v>2622</v>
      </c>
      <c r="N918" s="15" t="s">
        <v>59</v>
      </c>
      <c r="O918" s="15">
        <v>3</v>
      </c>
      <c r="P918" s="15">
        <v>679.63</v>
      </c>
      <c r="Q918" s="18">
        <v>0.2</v>
      </c>
      <c r="R918" s="15">
        <v>1631.11</v>
      </c>
      <c r="S918" s="15">
        <v>898.73</v>
      </c>
      <c r="T918" s="15">
        <v>396.58</v>
      </c>
      <c r="U918" s="15" t="s">
        <v>32</v>
      </c>
      <c r="V918" s="15" t="s">
        <v>33</v>
      </c>
      <c r="W918" s="25"/>
      <c r="X918" s="8" t="str">
        <f>IF(C918&gt;=B918,"Valid", "Invalid-Date")</f>
        <v>Valid</v>
      </c>
      <c r="Y918" s="8" t="str">
        <f t="shared" si="239"/>
        <v>Valid</v>
      </c>
      <c r="Z918" s="19" t="str">
        <f t="shared" si="240"/>
        <v>Pass</v>
      </c>
      <c r="AA918" s="19" t="str">
        <f t="shared" si="241"/>
        <v>Pass</v>
      </c>
      <c r="AB918" s="19" t="str">
        <f>TEXT(B918,"mmmm")</f>
        <v>March</v>
      </c>
      <c r="AC918" s="19" t="str">
        <f>TEXT(B918,"yyyy")</f>
        <v>2024</v>
      </c>
      <c r="AD918" s="20"/>
      <c r="AE918" s="15">
        <f t="shared" si="242"/>
        <v>2038.8899999999999</v>
      </c>
      <c r="AF918" s="11">
        <f t="shared" si="243"/>
        <v>1631.1120000000001</v>
      </c>
      <c r="AG918" s="15">
        <f t="shared" si="244"/>
        <v>1140.1599999999999</v>
      </c>
      <c r="AH918" s="18">
        <f t="shared" si="245"/>
        <v>0.55920623476499465</v>
      </c>
      <c r="AI918" s="21">
        <f t="shared" si="246"/>
        <v>0.55920623476499465</v>
      </c>
      <c r="AJ918">
        <f t="shared" si="247"/>
        <v>1631.11</v>
      </c>
      <c r="AK918">
        <f t="shared" si="248"/>
        <v>1</v>
      </c>
      <c r="AL918">
        <f t="shared" si="249"/>
        <v>0</v>
      </c>
      <c r="AM918">
        <f t="shared" si="250"/>
        <v>0</v>
      </c>
      <c r="AN918">
        <f t="shared" si="251"/>
        <v>0</v>
      </c>
      <c r="AO918">
        <f t="shared" si="252"/>
        <v>0</v>
      </c>
      <c r="AP918">
        <f t="shared" si="253"/>
        <v>0</v>
      </c>
      <c r="AQ918">
        <f t="shared" si="254"/>
        <v>0</v>
      </c>
    </row>
    <row r="919" spans="1:43" s="15" customFormat="1">
      <c r="A919" s="15" t="s">
        <v>490</v>
      </c>
      <c r="B919" s="16">
        <v>45687</v>
      </c>
      <c r="C919" s="16">
        <v>45683</v>
      </c>
      <c r="D919" s="17">
        <f t="shared" si="238"/>
        <v>-4</v>
      </c>
      <c r="E919" s="15" t="s">
        <v>491</v>
      </c>
      <c r="F919" s="15" t="s">
        <v>114</v>
      </c>
      <c r="G919" s="15" t="s">
        <v>90</v>
      </c>
      <c r="H919" s="15" t="s">
        <v>63</v>
      </c>
      <c r="I919" s="15" t="s">
        <v>72</v>
      </c>
      <c r="J919" s="15" t="s">
        <v>73</v>
      </c>
      <c r="K919" s="15" t="s">
        <v>28</v>
      </c>
      <c r="L919" s="15" t="s">
        <v>124</v>
      </c>
      <c r="M919" s="15" t="s">
        <v>492</v>
      </c>
      <c r="N919" s="15" t="s">
        <v>31</v>
      </c>
      <c r="O919" s="15">
        <v>2</v>
      </c>
      <c r="P919" s="15">
        <v>3039.3</v>
      </c>
      <c r="Q919" s="18">
        <v>0.05</v>
      </c>
      <c r="R919" s="15">
        <v>5774.67</v>
      </c>
      <c r="S919" s="15">
        <v>3518.36</v>
      </c>
      <c r="T919" s="15">
        <v>2256.31</v>
      </c>
      <c r="U919" s="15" t="s">
        <v>32</v>
      </c>
      <c r="V919" s="15" t="s">
        <v>33</v>
      </c>
      <c r="W919" s="25"/>
      <c r="X919" s="8" t="str">
        <f>IF(C919&gt;=B919,"Valid", "Invalid-Date")</f>
        <v>Invalid-Date</v>
      </c>
      <c r="Y919" s="8" t="str">
        <f t="shared" si="239"/>
        <v>Valid</v>
      </c>
      <c r="Z919" s="19" t="str">
        <f t="shared" si="240"/>
        <v>Pass</v>
      </c>
      <c r="AA919" s="19" t="str">
        <f t="shared" si="241"/>
        <v>Pass</v>
      </c>
      <c r="AB919" s="19" t="str">
        <f>TEXT(B919,"mmmm")</f>
        <v>January</v>
      </c>
      <c r="AC919" s="19" t="str">
        <f>TEXT(B919,"yyyy")</f>
        <v>2025</v>
      </c>
      <c r="AD919" s="20"/>
      <c r="AE919" s="15">
        <f t="shared" si="242"/>
        <v>6078.6</v>
      </c>
      <c r="AF919" s="11">
        <f t="shared" si="243"/>
        <v>5774.67</v>
      </c>
      <c r="AG919" s="15">
        <f t="shared" si="244"/>
        <v>2560.2400000000002</v>
      </c>
      <c r="AH919" s="18">
        <f t="shared" si="245"/>
        <v>0.42118908959299839</v>
      </c>
      <c r="AI919" s="21">
        <f t="shared" si="246"/>
        <v>0.42118908959299839</v>
      </c>
      <c r="AJ919">
        <f t="shared" si="247"/>
        <v>5774.67</v>
      </c>
      <c r="AK919">
        <f t="shared" si="248"/>
        <v>1</v>
      </c>
      <c r="AL919">
        <f t="shared" si="249"/>
        <v>0</v>
      </c>
      <c r="AM919">
        <f t="shared" si="250"/>
        <v>0</v>
      </c>
      <c r="AN919">
        <f t="shared" si="251"/>
        <v>0</v>
      </c>
      <c r="AO919">
        <f t="shared" si="252"/>
        <v>0</v>
      </c>
      <c r="AP919">
        <f t="shared" si="253"/>
        <v>0</v>
      </c>
      <c r="AQ919">
        <f t="shared" si="254"/>
        <v>0</v>
      </c>
    </row>
    <row r="920" spans="1:43" s="15" customFormat="1">
      <c r="A920" s="15" t="s">
        <v>2112</v>
      </c>
      <c r="B920" s="16">
        <v>45970</v>
      </c>
      <c r="C920" s="16">
        <v>45918</v>
      </c>
      <c r="D920" s="17">
        <f t="shared" si="238"/>
        <v>-52</v>
      </c>
      <c r="E920" s="15" t="s">
        <v>2113</v>
      </c>
      <c r="F920" s="15" t="s">
        <v>118</v>
      </c>
      <c r="G920" s="15" t="s">
        <v>37</v>
      </c>
      <c r="H920" s="15" t="s">
        <v>25</v>
      </c>
      <c r="I920" s="15" t="s">
        <v>350</v>
      </c>
      <c r="J920" s="15" t="s">
        <v>351</v>
      </c>
      <c r="K920" s="15" t="s">
        <v>74</v>
      </c>
      <c r="L920" s="15" t="s">
        <v>171</v>
      </c>
      <c r="M920" s="15" t="s">
        <v>2114</v>
      </c>
      <c r="N920" s="15" t="s">
        <v>44</v>
      </c>
      <c r="O920" s="15">
        <v>7</v>
      </c>
      <c r="P920" s="15">
        <v>3411.21</v>
      </c>
      <c r="Q920" s="18">
        <v>0.15</v>
      </c>
      <c r="R920" s="15">
        <v>20296.7</v>
      </c>
      <c r="S920" s="15">
        <v>14920.87</v>
      </c>
      <c r="T920" s="15">
        <v>5375.83</v>
      </c>
      <c r="U920" s="15" t="s">
        <v>32</v>
      </c>
      <c r="V920" s="15" t="s">
        <v>33</v>
      </c>
      <c r="W920" s="25"/>
      <c r="X920" s="8" t="str">
        <f>IF(C920&gt;=B920,"Valid", "Invalid-Date")</f>
        <v>Invalid-Date</v>
      </c>
      <c r="Y920" s="8" t="str">
        <f t="shared" si="239"/>
        <v>Valid</v>
      </c>
      <c r="Z920" s="19" t="str">
        <f t="shared" si="240"/>
        <v>Pass</v>
      </c>
      <c r="AA920" s="19" t="str">
        <f t="shared" si="241"/>
        <v>Pass</v>
      </c>
      <c r="AB920" s="19" t="str">
        <f>TEXT(B920,"mmmm")</f>
        <v>November</v>
      </c>
      <c r="AC920" s="19" t="str">
        <f>TEXT(B920,"yyyy")</f>
        <v>2025</v>
      </c>
      <c r="AD920" s="20"/>
      <c r="AE920" s="15">
        <f t="shared" si="242"/>
        <v>23878.47</v>
      </c>
      <c r="AF920" s="11">
        <f t="shared" si="243"/>
        <v>20296.699499999999</v>
      </c>
      <c r="AG920" s="15">
        <f t="shared" si="244"/>
        <v>8957.6</v>
      </c>
      <c r="AH920" s="18">
        <f t="shared" si="245"/>
        <v>0.3751329126196109</v>
      </c>
      <c r="AI920" s="21">
        <f t="shared" si="246"/>
        <v>0.3751329126196109</v>
      </c>
      <c r="AJ920">
        <f t="shared" si="247"/>
        <v>20296.7</v>
      </c>
      <c r="AK920">
        <f t="shared" si="248"/>
        <v>1</v>
      </c>
      <c r="AL920">
        <f t="shared" si="249"/>
        <v>0</v>
      </c>
      <c r="AM920">
        <f t="shared" si="250"/>
        <v>0</v>
      </c>
      <c r="AN920">
        <f t="shared" si="251"/>
        <v>0</v>
      </c>
      <c r="AO920">
        <f t="shared" si="252"/>
        <v>0</v>
      </c>
      <c r="AP920">
        <f t="shared" si="253"/>
        <v>0</v>
      </c>
      <c r="AQ920">
        <f t="shared" si="254"/>
        <v>0</v>
      </c>
    </row>
    <row r="921" spans="1:43" s="15" customFormat="1">
      <c r="A921" s="15" t="s">
        <v>77</v>
      </c>
      <c r="B921" s="16">
        <v>45934</v>
      </c>
      <c r="C921" s="16">
        <v>45763</v>
      </c>
      <c r="D921" s="17">
        <f t="shared" si="238"/>
        <v>-171</v>
      </c>
      <c r="E921" s="15" t="s">
        <v>78</v>
      </c>
      <c r="F921" s="15" t="s">
        <v>79</v>
      </c>
      <c r="G921" s="15" t="s">
        <v>24</v>
      </c>
      <c r="H921" s="15" t="s">
        <v>38</v>
      </c>
      <c r="I921" s="15" t="s">
        <v>39</v>
      </c>
      <c r="J921" s="15" t="s">
        <v>40</v>
      </c>
      <c r="K921" s="15" t="s">
        <v>74</v>
      </c>
      <c r="L921" s="15" t="s">
        <v>80</v>
      </c>
      <c r="M921" s="15" t="s">
        <v>81</v>
      </c>
      <c r="N921" s="15" t="s">
        <v>59</v>
      </c>
      <c r="O921" s="15">
        <v>4</v>
      </c>
      <c r="P921" s="15">
        <v>1719.87</v>
      </c>
      <c r="Q921" s="18">
        <v>0.15</v>
      </c>
      <c r="R921" s="15">
        <v>5847.56</v>
      </c>
      <c r="S921" s="15">
        <v>4727.25</v>
      </c>
      <c r="T921" s="15">
        <v>1120.31</v>
      </c>
      <c r="U921" s="15" t="s">
        <v>32</v>
      </c>
      <c r="V921" s="15" t="s">
        <v>33</v>
      </c>
      <c r="W921" s="25"/>
      <c r="X921" s="8" t="str">
        <f>IF(C921&gt;=B921,"Valid", "Invalid-Date")</f>
        <v>Invalid-Date</v>
      </c>
      <c r="Y921" s="8" t="str">
        <f t="shared" si="239"/>
        <v>Valid</v>
      </c>
      <c r="Z921" s="19" t="str">
        <f t="shared" si="240"/>
        <v>Pass</v>
      </c>
      <c r="AA921" s="19" t="str">
        <f t="shared" si="241"/>
        <v>Pass</v>
      </c>
      <c r="AB921" s="19" t="str">
        <f>TEXT(B921,"mmmm")</f>
        <v>October</v>
      </c>
      <c r="AC921" s="19" t="str">
        <f>TEXT(B921,"yyyy")</f>
        <v>2025</v>
      </c>
      <c r="AD921" s="20"/>
      <c r="AE921" s="15">
        <f t="shared" si="242"/>
        <v>6879.48</v>
      </c>
      <c r="AF921" s="11">
        <f t="shared" si="243"/>
        <v>5847.5579999999991</v>
      </c>
      <c r="AG921" s="15">
        <f t="shared" si="244"/>
        <v>2152.2299999999996</v>
      </c>
      <c r="AH921" s="18">
        <f t="shared" si="245"/>
        <v>0.3128477733782204</v>
      </c>
      <c r="AI921" s="21">
        <f t="shared" si="246"/>
        <v>0.3128477733782204</v>
      </c>
      <c r="AJ921">
        <f t="shared" si="247"/>
        <v>5847.56</v>
      </c>
      <c r="AK921">
        <f t="shared" si="248"/>
        <v>1</v>
      </c>
      <c r="AL921">
        <f t="shared" si="249"/>
        <v>0</v>
      </c>
      <c r="AM921">
        <f t="shared" si="250"/>
        <v>0</v>
      </c>
      <c r="AN921">
        <f t="shared" si="251"/>
        <v>0</v>
      </c>
      <c r="AO921">
        <f t="shared" si="252"/>
        <v>0</v>
      </c>
      <c r="AP921">
        <f t="shared" si="253"/>
        <v>0</v>
      </c>
      <c r="AQ921">
        <f t="shared" si="254"/>
        <v>0</v>
      </c>
    </row>
    <row r="922" spans="1:43" s="15" customFormat="1">
      <c r="A922" s="15" t="s">
        <v>1097</v>
      </c>
      <c r="B922" s="16">
        <v>45630</v>
      </c>
      <c r="C922" s="16">
        <v>45455</v>
      </c>
      <c r="D922" s="17">
        <f t="shared" si="238"/>
        <v>-175</v>
      </c>
      <c r="E922" s="15" t="s">
        <v>1098</v>
      </c>
      <c r="F922" s="15" t="s">
        <v>132</v>
      </c>
      <c r="G922" s="15" t="s">
        <v>95</v>
      </c>
      <c r="H922" s="15" t="s">
        <v>38</v>
      </c>
      <c r="I922" s="15" t="s">
        <v>39</v>
      </c>
      <c r="J922" s="15" t="s">
        <v>40</v>
      </c>
      <c r="K922" s="15" t="s">
        <v>28</v>
      </c>
      <c r="L922" s="15" t="s">
        <v>153</v>
      </c>
      <c r="M922" s="15" t="s">
        <v>1099</v>
      </c>
      <c r="N922" s="15" t="s">
        <v>31</v>
      </c>
      <c r="O922" s="15">
        <v>4</v>
      </c>
      <c r="P922" s="15">
        <v>2685.66</v>
      </c>
      <c r="Q922" s="18">
        <v>0</v>
      </c>
      <c r="R922" s="15">
        <v>10989.89</v>
      </c>
      <c r="S922" s="15">
        <v>6477.37</v>
      </c>
      <c r="T922" s="15">
        <v>4265.2700000000004</v>
      </c>
      <c r="U922" s="15" t="s">
        <v>32</v>
      </c>
      <c r="V922" s="15" t="s">
        <v>33</v>
      </c>
      <c r="W922" s="25"/>
      <c r="X922" s="8" t="str">
        <f>IF(C922&gt;=B922,"Valid", "Invalid-Date")</f>
        <v>Invalid-Date</v>
      </c>
      <c r="Y922" s="8" t="str">
        <f t="shared" si="239"/>
        <v>Valid</v>
      </c>
      <c r="Z922" s="19" t="str">
        <f t="shared" si="240"/>
        <v>Pass</v>
      </c>
      <c r="AA922" s="19" t="str">
        <f t="shared" si="241"/>
        <v>Pass</v>
      </c>
      <c r="AB922" s="19" t="str">
        <f>TEXT(B922,"mmmm")</f>
        <v>December</v>
      </c>
      <c r="AC922" s="19" t="str">
        <f>TEXT(B922,"yyyy")</f>
        <v>2024</v>
      </c>
      <c r="AD922" s="20"/>
      <c r="AE922" s="15">
        <f t="shared" si="242"/>
        <v>10742.64</v>
      </c>
      <c r="AF922" s="11">
        <f t="shared" si="243"/>
        <v>10742.64</v>
      </c>
      <c r="AG922" s="15">
        <f t="shared" si="244"/>
        <v>4265.2699999999995</v>
      </c>
      <c r="AH922" s="18">
        <f t="shared" si="245"/>
        <v>0.39704113700170535</v>
      </c>
      <c r="AI922" s="21">
        <f t="shared" si="246"/>
        <v>0.39704113700170535</v>
      </c>
      <c r="AJ922">
        <f t="shared" si="247"/>
        <v>10989.89</v>
      </c>
      <c r="AK922">
        <f t="shared" si="248"/>
        <v>1</v>
      </c>
      <c r="AL922">
        <f t="shared" si="249"/>
        <v>0</v>
      </c>
      <c r="AM922">
        <f t="shared" si="250"/>
        <v>0</v>
      </c>
      <c r="AN922">
        <f t="shared" si="251"/>
        <v>0</v>
      </c>
      <c r="AO922">
        <f t="shared" si="252"/>
        <v>0</v>
      </c>
      <c r="AP922">
        <f t="shared" si="253"/>
        <v>0</v>
      </c>
      <c r="AQ922">
        <f t="shared" si="254"/>
        <v>0</v>
      </c>
    </row>
    <row r="923" spans="1:43" s="15" customFormat="1">
      <c r="A923" s="15" t="s">
        <v>380</v>
      </c>
      <c r="B923" s="16">
        <v>45893</v>
      </c>
      <c r="C923" s="16">
        <v>45898</v>
      </c>
      <c r="D923" s="17">
        <f t="shared" si="238"/>
        <v>5</v>
      </c>
      <c r="E923" s="15" t="s">
        <v>381</v>
      </c>
      <c r="F923" s="15" t="s">
        <v>128</v>
      </c>
      <c r="G923" s="15" t="s">
        <v>37</v>
      </c>
      <c r="H923" s="15" t="s">
        <v>38</v>
      </c>
      <c r="I923" s="15" t="s">
        <v>145</v>
      </c>
      <c r="J923" s="15" t="s">
        <v>146</v>
      </c>
      <c r="K923" s="15" t="s">
        <v>74</v>
      </c>
      <c r="L923" s="15" t="s">
        <v>80</v>
      </c>
      <c r="M923" s="15" t="s">
        <v>382</v>
      </c>
      <c r="N923" s="15" t="s">
        <v>50</v>
      </c>
      <c r="O923" s="15">
        <v>3</v>
      </c>
      <c r="P923" s="15">
        <v>3703.96</v>
      </c>
      <c r="Q923" s="18">
        <v>0.15</v>
      </c>
      <c r="R923" s="15">
        <v>9549.44</v>
      </c>
      <c r="S923" s="15">
        <v>5586.28</v>
      </c>
      <c r="T923" s="15">
        <v>3858.82</v>
      </c>
      <c r="U923" s="15" t="s">
        <v>32</v>
      </c>
      <c r="V923" s="15" t="s">
        <v>103</v>
      </c>
      <c r="W923" s="25"/>
      <c r="X923" s="8" t="str">
        <f>IF(C923&gt;=B923,"Valid", "Invalid-Date")</f>
        <v>Valid</v>
      </c>
      <c r="Y923" s="8" t="str">
        <f t="shared" si="239"/>
        <v>Valid</v>
      </c>
      <c r="Z923" s="19" t="str">
        <f t="shared" si="240"/>
        <v>Pass</v>
      </c>
      <c r="AA923" s="19" t="str">
        <f t="shared" si="241"/>
        <v>Pass</v>
      </c>
      <c r="AB923" s="19" t="str">
        <f>TEXT(B923,"mmmm")</f>
        <v>August</v>
      </c>
      <c r="AC923" s="19" t="str">
        <f>TEXT(B923,"yyyy")</f>
        <v>2025</v>
      </c>
      <c r="AD923" s="20"/>
      <c r="AE923" s="15">
        <f t="shared" si="242"/>
        <v>11111.880000000001</v>
      </c>
      <c r="AF923" s="11">
        <f t="shared" si="243"/>
        <v>9445.098</v>
      </c>
      <c r="AG923" s="15">
        <f t="shared" si="244"/>
        <v>5525.6000000000013</v>
      </c>
      <c r="AH923" s="18">
        <f t="shared" si="245"/>
        <v>0.49726958894444512</v>
      </c>
      <c r="AI923" s="21">
        <f t="shared" si="246"/>
        <v>0.49726958894444512</v>
      </c>
      <c r="AJ923">
        <f t="shared" si="247"/>
        <v>0</v>
      </c>
      <c r="AK923">
        <f t="shared" si="248"/>
        <v>0</v>
      </c>
      <c r="AL923">
        <f t="shared" si="249"/>
        <v>0</v>
      </c>
      <c r="AM923">
        <f t="shared" si="250"/>
        <v>0</v>
      </c>
      <c r="AN923">
        <f t="shared" si="251"/>
        <v>0</v>
      </c>
      <c r="AO923">
        <f t="shared" si="252"/>
        <v>0</v>
      </c>
      <c r="AP923">
        <f t="shared" si="253"/>
        <v>9549.44</v>
      </c>
      <c r="AQ923">
        <f t="shared" si="254"/>
        <v>1</v>
      </c>
    </row>
    <row r="924" spans="1:43" s="15" customFormat="1">
      <c r="A924" s="15" t="s">
        <v>1221</v>
      </c>
      <c r="B924" s="16">
        <v>45760</v>
      </c>
      <c r="C924" s="16">
        <v>45760</v>
      </c>
      <c r="D924" s="17">
        <f t="shared" si="238"/>
        <v>0</v>
      </c>
      <c r="E924" s="15" t="s">
        <v>1222</v>
      </c>
      <c r="F924" s="15" t="s">
        <v>132</v>
      </c>
      <c r="G924" s="15" t="s">
        <v>37</v>
      </c>
      <c r="H924" s="15" t="s">
        <v>25</v>
      </c>
      <c r="I924" s="15" t="s">
        <v>136</v>
      </c>
      <c r="J924" s="15" t="s">
        <v>137</v>
      </c>
      <c r="K924" s="15" t="s">
        <v>28</v>
      </c>
      <c r="L924" s="15" t="s">
        <v>124</v>
      </c>
      <c r="M924" s="15" t="s">
        <v>1223</v>
      </c>
      <c r="N924" s="15" t="s">
        <v>31</v>
      </c>
      <c r="O924" s="15">
        <v>9</v>
      </c>
      <c r="P924" s="15">
        <v>1118.68</v>
      </c>
      <c r="Q924" s="18">
        <v>0</v>
      </c>
      <c r="R924" s="15">
        <v>10348.43</v>
      </c>
      <c r="S924" s="15">
        <v>8595.3700000000008</v>
      </c>
      <c r="T924" s="15">
        <v>1472.75</v>
      </c>
      <c r="U924" s="15" t="s">
        <v>32</v>
      </c>
      <c r="V924" s="15" t="s">
        <v>103</v>
      </c>
      <c r="W924" s="25"/>
      <c r="X924" s="8" t="str">
        <f>IF(C924&gt;=B924,"Valid", "Invalid-Date")</f>
        <v>Valid</v>
      </c>
      <c r="Y924" s="8" t="str">
        <f t="shared" si="239"/>
        <v>Valid</v>
      </c>
      <c r="Z924" s="19" t="str">
        <f t="shared" si="240"/>
        <v>Pass</v>
      </c>
      <c r="AA924" s="19" t="str">
        <f t="shared" si="241"/>
        <v>Pass</v>
      </c>
      <c r="AB924" s="19" t="str">
        <f>TEXT(B924,"mmmm")</f>
        <v>April</v>
      </c>
      <c r="AC924" s="19" t="str">
        <f>TEXT(B924,"yyyy")</f>
        <v>2025</v>
      </c>
      <c r="AD924" s="20"/>
      <c r="AE924" s="15">
        <f t="shared" si="242"/>
        <v>10068.120000000001</v>
      </c>
      <c r="AF924" s="11">
        <f t="shared" si="243"/>
        <v>10068.120000000001</v>
      </c>
      <c r="AG924" s="15">
        <f t="shared" si="244"/>
        <v>1472.75</v>
      </c>
      <c r="AH924" s="18">
        <f t="shared" si="245"/>
        <v>0.14627855051389932</v>
      </c>
      <c r="AI924" s="21">
        <f t="shared" si="246"/>
        <v>0.14627855051389932</v>
      </c>
      <c r="AJ924">
        <f t="shared" si="247"/>
        <v>0</v>
      </c>
      <c r="AK924">
        <f t="shared" si="248"/>
        <v>0</v>
      </c>
      <c r="AL924">
        <f t="shared" si="249"/>
        <v>0</v>
      </c>
      <c r="AM924">
        <f t="shared" si="250"/>
        <v>0</v>
      </c>
      <c r="AN924">
        <f t="shared" si="251"/>
        <v>0</v>
      </c>
      <c r="AO924">
        <f t="shared" si="252"/>
        <v>0</v>
      </c>
      <c r="AP924">
        <f t="shared" si="253"/>
        <v>10348.43</v>
      </c>
      <c r="AQ924">
        <f t="shared" si="254"/>
        <v>1</v>
      </c>
    </row>
    <row r="925" spans="1:43" s="15" customFormat="1">
      <c r="A925" s="15" t="s">
        <v>779</v>
      </c>
      <c r="B925" s="16">
        <v>45698</v>
      </c>
      <c r="C925" s="16">
        <v>45879</v>
      </c>
      <c r="D925" s="17">
        <f t="shared" si="238"/>
        <v>181</v>
      </c>
      <c r="E925" s="15" t="s">
        <v>780</v>
      </c>
      <c r="F925" s="15" t="s">
        <v>47</v>
      </c>
      <c r="G925" s="15" t="s">
        <v>37</v>
      </c>
      <c r="H925" s="15" t="s">
        <v>25</v>
      </c>
      <c r="I925" s="15" t="s">
        <v>122</v>
      </c>
      <c r="J925" s="15" t="s">
        <v>123</v>
      </c>
      <c r="K925" s="15" t="s">
        <v>41</v>
      </c>
      <c r="L925" s="15" t="s">
        <v>57</v>
      </c>
      <c r="M925" s="15" t="s">
        <v>781</v>
      </c>
      <c r="N925" s="15" t="s">
        <v>59</v>
      </c>
      <c r="O925" s="15">
        <v>4</v>
      </c>
      <c r="P925" s="15">
        <v>3944.64</v>
      </c>
      <c r="Q925" s="18">
        <v>0.25</v>
      </c>
      <c r="R925" s="15">
        <v>12116.89</v>
      </c>
      <c r="S925" s="15">
        <v>6682.92</v>
      </c>
      <c r="T925" s="15">
        <v>5151</v>
      </c>
      <c r="U925" s="15" t="s">
        <v>32</v>
      </c>
      <c r="V925" s="15" t="s">
        <v>103</v>
      </c>
      <c r="W925" s="25"/>
      <c r="X925" s="8" t="str">
        <f>IF(C925&gt;=B925,"Valid", "Invalid-Date")</f>
        <v>Valid</v>
      </c>
      <c r="Y925" s="8" t="str">
        <f t="shared" si="239"/>
        <v>Valid</v>
      </c>
      <c r="Z925" s="19" t="str">
        <f t="shared" si="240"/>
        <v>Pass</v>
      </c>
      <c r="AA925" s="19" t="str">
        <f t="shared" si="241"/>
        <v>Pass</v>
      </c>
      <c r="AB925" s="19" t="str">
        <f>TEXT(B925,"mmmm")</f>
        <v>February</v>
      </c>
      <c r="AC925" s="19" t="str">
        <f>TEXT(B925,"yyyy")</f>
        <v>2025</v>
      </c>
      <c r="AD925" s="20"/>
      <c r="AE925" s="15">
        <f t="shared" si="242"/>
        <v>15778.56</v>
      </c>
      <c r="AF925" s="11">
        <f t="shared" si="243"/>
        <v>11833.92</v>
      </c>
      <c r="AG925" s="15">
        <f t="shared" si="244"/>
        <v>9095.64</v>
      </c>
      <c r="AH925" s="18">
        <f t="shared" si="245"/>
        <v>0.5764556461426138</v>
      </c>
      <c r="AI925" s="21">
        <f t="shared" si="246"/>
        <v>0.5764556461426138</v>
      </c>
      <c r="AJ925">
        <f t="shared" si="247"/>
        <v>0</v>
      </c>
      <c r="AK925">
        <f t="shared" si="248"/>
        <v>0</v>
      </c>
      <c r="AL925">
        <f t="shared" si="249"/>
        <v>0</v>
      </c>
      <c r="AM925">
        <f t="shared" si="250"/>
        <v>0</v>
      </c>
      <c r="AN925">
        <f t="shared" si="251"/>
        <v>0</v>
      </c>
      <c r="AO925">
        <f t="shared" si="252"/>
        <v>0</v>
      </c>
      <c r="AP925">
        <f t="shared" si="253"/>
        <v>12116.89</v>
      </c>
      <c r="AQ925">
        <f t="shared" si="254"/>
        <v>1</v>
      </c>
    </row>
    <row r="926" spans="1:43" s="15" customFormat="1">
      <c r="A926" s="15" t="s">
        <v>1047</v>
      </c>
      <c r="B926" s="16">
        <v>45795</v>
      </c>
      <c r="C926" s="16">
        <v>45797</v>
      </c>
      <c r="D926" s="17">
        <f t="shared" si="238"/>
        <v>2</v>
      </c>
      <c r="E926" s="15" t="s">
        <v>1048</v>
      </c>
      <c r="F926" s="15" t="s">
        <v>47</v>
      </c>
      <c r="G926" s="15" t="s">
        <v>90</v>
      </c>
      <c r="H926" s="15" t="s">
        <v>63</v>
      </c>
      <c r="I926" s="15" t="s">
        <v>72</v>
      </c>
      <c r="J926" s="15" t="s">
        <v>73</v>
      </c>
      <c r="K926" s="15" t="s">
        <v>28</v>
      </c>
      <c r="L926" s="15" t="s">
        <v>91</v>
      </c>
      <c r="M926" s="15" t="s">
        <v>1049</v>
      </c>
      <c r="N926" s="15" t="s">
        <v>59</v>
      </c>
      <c r="O926" s="15">
        <v>9</v>
      </c>
      <c r="P926" s="15">
        <v>847.76</v>
      </c>
      <c r="Q926" s="18">
        <v>0.15</v>
      </c>
      <c r="R926" s="15">
        <v>6589.37</v>
      </c>
      <c r="S926" s="15">
        <v>5376.17</v>
      </c>
      <c r="T926" s="15">
        <v>1109.19</v>
      </c>
      <c r="U926" s="15" t="s">
        <v>155</v>
      </c>
      <c r="V926" s="15" t="s">
        <v>33</v>
      </c>
      <c r="W926" s="25"/>
      <c r="X926" s="8" t="str">
        <f>IF(C926&gt;=B926,"Valid", "Invalid-Date")</f>
        <v>Valid</v>
      </c>
      <c r="Y926" s="8" t="str">
        <f t="shared" si="239"/>
        <v>Valid</v>
      </c>
      <c r="Z926" s="19" t="str">
        <f t="shared" si="240"/>
        <v>Pass</v>
      </c>
      <c r="AA926" s="19" t="str">
        <f t="shared" si="241"/>
        <v>Pass</v>
      </c>
      <c r="AB926" s="19" t="str">
        <f>TEXT(B926,"mmmm")</f>
        <v>May</v>
      </c>
      <c r="AC926" s="19" t="str">
        <f>TEXT(B926,"yyyy")</f>
        <v>2025</v>
      </c>
      <c r="AD926" s="20"/>
      <c r="AE926" s="15">
        <f t="shared" si="242"/>
        <v>7629.84</v>
      </c>
      <c r="AF926" s="11">
        <f t="shared" si="243"/>
        <v>6485.3639999999996</v>
      </c>
      <c r="AG926" s="15">
        <f t="shared" si="244"/>
        <v>2253.67</v>
      </c>
      <c r="AH926" s="18">
        <f t="shared" si="245"/>
        <v>0.29537578769672757</v>
      </c>
      <c r="AI926" s="21">
        <f t="shared" si="246"/>
        <v>0.29537578769672757</v>
      </c>
      <c r="AJ926">
        <f t="shared" si="247"/>
        <v>0</v>
      </c>
      <c r="AK926">
        <f t="shared" si="248"/>
        <v>0</v>
      </c>
      <c r="AL926">
        <f t="shared" si="249"/>
        <v>0</v>
      </c>
      <c r="AM926">
        <f t="shared" si="250"/>
        <v>0</v>
      </c>
      <c r="AN926">
        <f t="shared" si="251"/>
        <v>6589.37</v>
      </c>
      <c r="AO926">
        <f t="shared" si="252"/>
        <v>1</v>
      </c>
      <c r="AP926">
        <f t="shared" si="253"/>
        <v>0</v>
      </c>
      <c r="AQ926">
        <f t="shared" si="254"/>
        <v>0</v>
      </c>
    </row>
    <row r="927" spans="1:43" s="15" customFormat="1">
      <c r="A927" s="15" t="s">
        <v>618</v>
      </c>
      <c r="B927" s="16">
        <v>45907</v>
      </c>
      <c r="C927" s="16">
        <v>45915</v>
      </c>
      <c r="D927" s="17">
        <f t="shared" si="238"/>
        <v>8</v>
      </c>
      <c r="E927" s="15" t="s">
        <v>619</v>
      </c>
      <c r="F927" s="15" t="s">
        <v>141</v>
      </c>
      <c r="G927" s="15" t="s">
        <v>90</v>
      </c>
      <c r="H927" s="15" t="s">
        <v>38</v>
      </c>
      <c r="I927" s="15" t="s">
        <v>145</v>
      </c>
      <c r="J927" s="15" t="s">
        <v>146</v>
      </c>
      <c r="K927" s="15" t="s">
        <v>74</v>
      </c>
      <c r="L927" s="15" t="s">
        <v>80</v>
      </c>
      <c r="M927" s="15" t="s">
        <v>620</v>
      </c>
      <c r="N927" s="15" t="s">
        <v>59</v>
      </c>
      <c r="O927" s="15">
        <v>3</v>
      </c>
      <c r="P927" s="15">
        <v>1711.32</v>
      </c>
      <c r="Q927" s="18">
        <v>0</v>
      </c>
      <c r="R927" s="15">
        <v>5206.53</v>
      </c>
      <c r="S927" s="15">
        <v>3930</v>
      </c>
      <c r="T927" s="15">
        <v>1203.96</v>
      </c>
      <c r="U927" s="15" t="s">
        <v>32</v>
      </c>
      <c r="V927" s="15" t="s">
        <v>103</v>
      </c>
      <c r="W927" s="25"/>
      <c r="X927" s="8" t="str">
        <f>IF(C927&gt;=B927,"Valid", "Invalid-Date")</f>
        <v>Valid</v>
      </c>
      <c r="Y927" s="8" t="str">
        <f t="shared" si="239"/>
        <v>Valid</v>
      </c>
      <c r="Z927" s="19" t="str">
        <f t="shared" si="240"/>
        <v>Pass</v>
      </c>
      <c r="AA927" s="19" t="str">
        <f t="shared" si="241"/>
        <v>Pass</v>
      </c>
      <c r="AB927" s="19" t="str">
        <f>TEXT(B927,"mmmm")</f>
        <v>September</v>
      </c>
      <c r="AC927" s="19" t="str">
        <f>TEXT(B927,"yyyy")</f>
        <v>2025</v>
      </c>
      <c r="AD927" s="20"/>
      <c r="AE927" s="15">
        <f t="shared" si="242"/>
        <v>5133.96</v>
      </c>
      <c r="AF927" s="11">
        <f t="shared" si="243"/>
        <v>5133.96</v>
      </c>
      <c r="AG927" s="15">
        <f t="shared" si="244"/>
        <v>1203.96</v>
      </c>
      <c r="AH927" s="18">
        <f t="shared" si="245"/>
        <v>0.23450903396208775</v>
      </c>
      <c r="AI927" s="21">
        <f t="shared" si="246"/>
        <v>0.23450903396208775</v>
      </c>
      <c r="AJ927">
        <f t="shared" si="247"/>
        <v>0</v>
      </c>
      <c r="AK927">
        <f t="shared" si="248"/>
        <v>0</v>
      </c>
      <c r="AL927">
        <f t="shared" si="249"/>
        <v>0</v>
      </c>
      <c r="AM927">
        <f t="shared" si="250"/>
        <v>0</v>
      </c>
      <c r="AN927">
        <f t="shared" si="251"/>
        <v>0</v>
      </c>
      <c r="AO927">
        <f t="shared" si="252"/>
        <v>0</v>
      </c>
      <c r="AP927">
        <f t="shared" si="253"/>
        <v>5206.53</v>
      </c>
      <c r="AQ927">
        <f t="shared" si="254"/>
        <v>1</v>
      </c>
    </row>
    <row r="928" spans="1:43" s="15" customFormat="1">
      <c r="A928" s="15" t="s">
        <v>1370</v>
      </c>
      <c r="B928" s="16">
        <v>45342</v>
      </c>
      <c r="C928" s="16">
        <v>45349</v>
      </c>
      <c r="D928" s="17">
        <f t="shared" si="238"/>
        <v>7</v>
      </c>
      <c r="E928" s="15" t="s">
        <v>1371</v>
      </c>
      <c r="F928" s="15" t="s">
        <v>162</v>
      </c>
      <c r="G928" s="15" t="s">
        <v>24</v>
      </c>
      <c r="H928" s="15" t="s">
        <v>54</v>
      </c>
      <c r="I928" s="15" t="s">
        <v>185</v>
      </c>
      <c r="J928" s="15" t="s">
        <v>186</v>
      </c>
      <c r="K928" s="15" t="s">
        <v>74</v>
      </c>
      <c r="L928" s="15" t="s">
        <v>75</v>
      </c>
      <c r="M928" s="15" t="s">
        <v>1372</v>
      </c>
      <c r="N928" s="15" t="s">
        <v>50</v>
      </c>
      <c r="O928" s="15">
        <v>9</v>
      </c>
      <c r="P928" s="15">
        <v>3779.31</v>
      </c>
      <c r="Q928" s="18">
        <v>0.2</v>
      </c>
      <c r="R928" s="15">
        <v>27322.9</v>
      </c>
      <c r="S928" s="15">
        <v>17940.43</v>
      </c>
      <c r="T928" s="15">
        <v>9270.6</v>
      </c>
      <c r="U928" s="15" t="s">
        <v>32</v>
      </c>
      <c r="V928" s="15" t="s">
        <v>103</v>
      </c>
      <c r="W928" s="25"/>
      <c r="X928" s="8" t="str">
        <f>IF(C928&gt;=B928,"Valid", "Invalid-Date")</f>
        <v>Valid</v>
      </c>
      <c r="Y928" s="8" t="str">
        <f t="shared" si="239"/>
        <v>Valid</v>
      </c>
      <c r="Z928" s="19" t="str">
        <f t="shared" si="240"/>
        <v>Pass</v>
      </c>
      <c r="AA928" s="19" t="str">
        <f t="shared" si="241"/>
        <v>Pass</v>
      </c>
      <c r="AB928" s="19" t="str">
        <f>TEXT(B928,"mmmm")</f>
        <v>February</v>
      </c>
      <c r="AC928" s="19" t="str">
        <f>TEXT(B928,"yyyy")</f>
        <v>2024</v>
      </c>
      <c r="AD928" s="20"/>
      <c r="AE928" s="15">
        <f t="shared" si="242"/>
        <v>34013.79</v>
      </c>
      <c r="AF928" s="11">
        <f t="shared" si="243"/>
        <v>27211.032000000003</v>
      </c>
      <c r="AG928" s="15">
        <f t="shared" si="244"/>
        <v>16073.36</v>
      </c>
      <c r="AH928" s="18">
        <f t="shared" si="245"/>
        <v>0.47255421992080271</v>
      </c>
      <c r="AI928" s="21">
        <f t="shared" si="246"/>
        <v>0.47255421992080271</v>
      </c>
      <c r="AJ928">
        <f t="shared" si="247"/>
        <v>0</v>
      </c>
      <c r="AK928">
        <f t="shared" si="248"/>
        <v>0</v>
      </c>
      <c r="AL928">
        <f t="shared" si="249"/>
        <v>0</v>
      </c>
      <c r="AM928">
        <f t="shared" si="250"/>
        <v>0</v>
      </c>
      <c r="AN928">
        <f t="shared" si="251"/>
        <v>0</v>
      </c>
      <c r="AO928">
        <f t="shared" si="252"/>
        <v>0</v>
      </c>
      <c r="AP928">
        <f t="shared" si="253"/>
        <v>27322.9</v>
      </c>
      <c r="AQ928">
        <f t="shared" si="254"/>
        <v>1</v>
      </c>
    </row>
    <row r="929" spans="1:43" s="15" customFormat="1">
      <c r="A929" s="15" t="s">
        <v>1809</v>
      </c>
      <c r="B929" s="16">
        <v>45698</v>
      </c>
      <c r="C929" s="16">
        <v>45702</v>
      </c>
      <c r="D929" s="17">
        <f t="shared" si="238"/>
        <v>4</v>
      </c>
      <c r="E929" s="15" t="s">
        <v>1810</v>
      </c>
      <c r="F929" s="15" t="s">
        <v>114</v>
      </c>
      <c r="G929" s="15" t="s">
        <v>37</v>
      </c>
      <c r="H929" s="15" t="s">
        <v>25</v>
      </c>
      <c r="I929" s="15" t="s">
        <v>136</v>
      </c>
      <c r="J929" s="15" t="s">
        <v>137</v>
      </c>
      <c r="K929" s="15" t="s">
        <v>74</v>
      </c>
      <c r="L929" s="15" t="s">
        <v>171</v>
      </c>
      <c r="M929" s="15" t="s">
        <v>1811</v>
      </c>
      <c r="N929" s="15" t="s">
        <v>2785</v>
      </c>
      <c r="O929" s="15">
        <v>5</v>
      </c>
      <c r="P929" s="15">
        <v>4276.29</v>
      </c>
      <c r="Q929" s="18">
        <v>0</v>
      </c>
      <c r="R929" s="15">
        <v>21443.63</v>
      </c>
      <c r="S929" s="15">
        <v>13240.21</v>
      </c>
      <c r="T929" s="15">
        <v>8141.24</v>
      </c>
      <c r="U929" s="15" t="s">
        <v>155</v>
      </c>
      <c r="V929" s="15" t="s">
        <v>33</v>
      </c>
      <c r="W929" s="25"/>
      <c r="X929" s="8" t="str">
        <f>IF(C929&gt;=B929,"Valid", "Invalid-Date")</f>
        <v>Valid</v>
      </c>
      <c r="Y929" s="8" t="str">
        <f t="shared" si="239"/>
        <v>Valid</v>
      </c>
      <c r="Z929" s="19" t="str">
        <f t="shared" si="240"/>
        <v>Flagged</v>
      </c>
      <c r="AA929" s="19" t="str">
        <f t="shared" si="241"/>
        <v>Pass</v>
      </c>
      <c r="AB929" s="19" t="str">
        <f>TEXT(B929,"mmmm")</f>
        <v>February</v>
      </c>
      <c r="AC929" s="19" t="str">
        <f>TEXT(B929,"yyyy")</f>
        <v>2025</v>
      </c>
      <c r="AD929" s="20"/>
      <c r="AE929" s="15">
        <f t="shared" si="242"/>
        <v>21381.45</v>
      </c>
      <c r="AF929" s="11">
        <f t="shared" si="243"/>
        <v>21381.45</v>
      </c>
      <c r="AG929" s="15">
        <f t="shared" si="244"/>
        <v>8141.2400000000016</v>
      </c>
      <c r="AH929" s="18">
        <f t="shared" si="245"/>
        <v>0.38076182859441249</v>
      </c>
      <c r="AI929" s="21">
        <f t="shared" si="246"/>
        <v>0.38076182859441249</v>
      </c>
      <c r="AJ929">
        <f t="shared" si="247"/>
        <v>0</v>
      </c>
      <c r="AK929">
        <f t="shared" si="248"/>
        <v>0</v>
      </c>
      <c r="AL929">
        <f t="shared" si="249"/>
        <v>0</v>
      </c>
      <c r="AM929">
        <f t="shared" si="250"/>
        <v>0</v>
      </c>
      <c r="AN929">
        <f t="shared" si="251"/>
        <v>21443.63</v>
      </c>
      <c r="AO929">
        <f t="shared" si="252"/>
        <v>1</v>
      </c>
      <c r="AP929">
        <f t="shared" si="253"/>
        <v>0</v>
      </c>
      <c r="AQ929">
        <f t="shared" si="254"/>
        <v>0</v>
      </c>
    </row>
    <row r="930" spans="1:43" s="15" customFormat="1">
      <c r="A930" s="15" t="s">
        <v>535</v>
      </c>
      <c r="B930" s="16">
        <v>45381</v>
      </c>
      <c r="C930" s="16">
        <v>45377</v>
      </c>
      <c r="D930" s="17">
        <f t="shared" si="238"/>
        <v>-4</v>
      </c>
      <c r="E930" s="15" t="s">
        <v>536</v>
      </c>
      <c r="F930" s="15" t="s">
        <v>89</v>
      </c>
      <c r="G930" s="15" t="s">
        <v>95</v>
      </c>
      <c r="H930" s="15" t="s">
        <v>25</v>
      </c>
      <c r="I930" s="15" t="s">
        <v>26</v>
      </c>
      <c r="J930" s="15" t="s">
        <v>27</v>
      </c>
      <c r="K930" s="15" t="s">
        <v>74</v>
      </c>
      <c r="L930" s="15" t="s">
        <v>171</v>
      </c>
      <c r="M930" s="15" t="s">
        <v>537</v>
      </c>
      <c r="N930" s="15" t="s">
        <v>31</v>
      </c>
      <c r="O930" s="15">
        <v>5</v>
      </c>
      <c r="P930" s="15">
        <v>907.54</v>
      </c>
      <c r="Q930" s="18">
        <v>0.15</v>
      </c>
      <c r="R930" s="15">
        <v>4099.6899999999996</v>
      </c>
      <c r="S930" s="15">
        <v>2769.26</v>
      </c>
      <c r="T930" s="15">
        <v>1087.78</v>
      </c>
      <c r="U930" s="15" t="s">
        <v>32</v>
      </c>
      <c r="V930" s="15" t="s">
        <v>103</v>
      </c>
      <c r="W930" s="25"/>
      <c r="X930" s="8" t="str">
        <f>IF(C930&gt;=B930,"Valid", "Invalid-Date")</f>
        <v>Invalid-Date</v>
      </c>
      <c r="Y930" s="8" t="str">
        <f t="shared" si="239"/>
        <v>Valid</v>
      </c>
      <c r="Z930" s="19" t="str">
        <f t="shared" si="240"/>
        <v>Pass</v>
      </c>
      <c r="AA930" s="19" t="str">
        <f t="shared" si="241"/>
        <v>Pass</v>
      </c>
      <c r="AB930" s="19" t="str">
        <f>TEXT(B930,"mmmm")</f>
        <v>March</v>
      </c>
      <c r="AC930" s="19" t="str">
        <f>TEXT(B930,"yyyy")</f>
        <v>2024</v>
      </c>
      <c r="AD930" s="20"/>
      <c r="AE930" s="15">
        <f t="shared" si="242"/>
        <v>4537.7</v>
      </c>
      <c r="AF930" s="11">
        <f t="shared" si="243"/>
        <v>3857.0449999999996</v>
      </c>
      <c r="AG930" s="15">
        <f t="shared" si="244"/>
        <v>1768.4399999999996</v>
      </c>
      <c r="AH930" s="18">
        <f t="shared" si="245"/>
        <v>0.38972166516076417</v>
      </c>
      <c r="AI930" s="21">
        <f t="shared" si="246"/>
        <v>0.38972166516076417</v>
      </c>
      <c r="AJ930">
        <f t="shared" si="247"/>
        <v>0</v>
      </c>
      <c r="AK930">
        <f t="shared" si="248"/>
        <v>0</v>
      </c>
      <c r="AL930">
        <f t="shared" si="249"/>
        <v>0</v>
      </c>
      <c r="AM930">
        <f t="shared" si="250"/>
        <v>0</v>
      </c>
      <c r="AN930">
        <f t="shared" si="251"/>
        <v>0</v>
      </c>
      <c r="AO930">
        <f t="shared" si="252"/>
        <v>0</v>
      </c>
      <c r="AP930">
        <f t="shared" si="253"/>
        <v>4099.6899999999996</v>
      </c>
      <c r="AQ930">
        <f t="shared" si="254"/>
        <v>1</v>
      </c>
    </row>
    <row r="931" spans="1:43" s="15" customFormat="1">
      <c r="A931" s="15" t="s">
        <v>922</v>
      </c>
      <c r="B931" s="16">
        <v>45522</v>
      </c>
      <c r="C931" s="16">
        <v>45528</v>
      </c>
      <c r="D931" s="17">
        <f t="shared" si="238"/>
        <v>6</v>
      </c>
      <c r="E931" s="15" t="s">
        <v>923</v>
      </c>
      <c r="F931" s="15" t="s">
        <v>53</v>
      </c>
      <c r="G931" s="15" t="s">
        <v>24</v>
      </c>
      <c r="H931" s="15" t="s">
        <v>54</v>
      </c>
      <c r="I931" s="15" t="s">
        <v>84</v>
      </c>
      <c r="J931" s="15" t="s">
        <v>85</v>
      </c>
      <c r="K931" s="15" t="s">
        <v>41</v>
      </c>
      <c r="L931" s="15" t="s">
        <v>66</v>
      </c>
      <c r="M931" s="15" t="s">
        <v>924</v>
      </c>
      <c r="N931" s="15" t="s">
        <v>50</v>
      </c>
      <c r="O931" s="15">
        <v>7</v>
      </c>
      <c r="P931" s="15">
        <v>557.21</v>
      </c>
      <c r="Q931" s="18">
        <v>0.1</v>
      </c>
      <c r="R931" s="15">
        <v>3797.79</v>
      </c>
      <c r="S931" s="15">
        <v>2191.5</v>
      </c>
      <c r="T931" s="15">
        <v>1213.48</v>
      </c>
      <c r="U931" s="15" t="s">
        <v>32</v>
      </c>
      <c r="V931" s="15" t="s">
        <v>103</v>
      </c>
      <c r="W931" s="25"/>
      <c r="X931" s="8" t="str">
        <f>IF(C931&gt;=B931,"Valid", "Invalid-Date")</f>
        <v>Valid</v>
      </c>
      <c r="Y931" s="8" t="str">
        <f t="shared" si="239"/>
        <v>Valid</v>
      </c>
      <c r="Z931" s="19" t="str">
        <f t="shared" si="240"/>
        <v>Pass</v>
      </c>
      <c r="AA931" s="19" t="str">
        <f t="shared" si="241"/>
        <v>Pass</v>
      </c>
      <c r="AB931" s="19" t="str">
        <f>TEXT(B931,"mmmm")</f>
        <v>August</v>
      </c>
      <c r="AC931" s="19" t="str">
        <f>TEXT(B931,"yyyy")</f>
        <v>2024</v>
      </c>
      <c r="AD931" s="20"/>
      <c r="AE931" s="15">
        <f t="shared" si="242"/>
        <v>3900.4700000000003</v>
      </c>
      <c r="AF931" s="11">
        <f t="shared" si="243"/>
        <v>3510.4230000000002</v>
      </c>
      <c r="AG931" s="15">
        <f t="shared" si="244"/>
        <v>1708.9700000000003</v>
      </c>
      <c r="AH931" s="18">
        <f t="shared" si="245"/>
        <v>0.4381446338518179</v>
      </c>
      <c r="AI931" s="21">
        <f t="shared" si="246"/>
        <v>0.4381446338518179</v>
      </c>
      <c r="AJ931">
        <f t="shared" si="247"/>
        <v>0</v>
      </c>
      <c r="AK931">
        <f t="shared" si="248"/>
        <v>0</v>
      </c>
      <c r="AL931">
        <f t="shared" si="249"/>
        <v>0</v>
      </c>
      <c r="AM931">
        <f t="shared" si="250"/>
        <v>0</v>
      </c>
      <c r="AN931">
        <f t="shared" si="251"/>
        <v>0</v>
      </c>
      <c r="AO931">
        <f t="shared" si="252"/>
        <v>0</v>
      </c>
      <c r="AP931">
        <f t="shared" si="253"/>
        <v>3797.79</v>
      </c>
      <c r="AQ931">
        <f t="shared" si="254"/>
        <v>1</v>
      </c>
    </row>
    <row r="932" spans="1:43" s="15" customFormat="1">
      <c r="A932" s="15" t="s">
        <v>478</v>
      </c>
      <c r="B932" s="16">
        <v>45436</v>
      </c>
      <c r="C932" s="16">
        <v>45437</v>
      </c>
      <c r="D932" s="17">
        <f t="shared" si="238"/>
        <v>1</v>
      </c>
      <c r="E932" s="15" t="s">
        <v>479</v>
      </c>
      <c r="F932" s="15" t="s">
        <v>132</v>
      </c>
      <c r="G932" s="15" t="s">
        <v>37</v>
      </c>
      <c r="H932" s="15" t="s">
        <v>25</v>
      </c>
      <c r="I932" s="15" t="s">
        <v>122</v>
      </c>
      <c r="J932" s="15" t="s">
        <v>123</v>
      </c>
      <c r="K932" s="15" t="s">
        <v>74</v>
      </c>
      <c r="L932" s="15" t="s">
        <v>80</v>
      </c>
      <c r="M932" s="15" t="s">
        <v>480</v>
      </c>
      <c r="N932" s="15" t="s">
        <v>44</v>
      </c>
      <c r="O932" s="15">
        <v>1</v>
      </c>
      <c r="P932" s="15">
        <v>634.13</v>
      </c>
      <c r="Q932" s="18">
        <v>0</v>
      </c>
      <c r="R932" s="15">
        <v>808.67</v>
      </c>
      <c r="S932" s="15">
        <v>453.35</v>
      </c>
      <c r="T932" s="15">
        <v>180.78</v>
      </c>
      <c r="U932" s="15" t="s">
        <v>102</v>
      </c>
      <c r="V932" s="15" t="s">
        <v>103</v>
      </c>
      <c r="W932" s="25"/>
      <c r="X932" s="8" t="str">
        <f>IF(C932&gt;=B932,"Valid", "Invalid-Date")</f>
        <v>Valid</v>
      </c>
      <c r="Y932" s="8" t="str">
        <f t="shared" si="239"/>
        <v>Valid</v>
      </c>
      <c r="Z932" s="19" t="str">
        <f t="shared" si="240"/>
        <v>Pass</v>
      </c>
      <c r="AA932" s="19" t="str">
        <f t="shared" si="241"/>
        <v>Pass</v>
      </c>
      <c r="AB932" s="19" t="str">
        <f>TEXT(B932,"mmmm")</f>
        <v>May</v>
      </c>
      <c r="AC932" s="19" t="str">
        <f>TEXT(B932,"yyyy")</f>
        <v>2024</v>
      </c>
      <c r="AD932" s="20"/>
      <c r="AE932" s="15">
        <f t="shared" si="242"/>
        <v>634.13</v>
      </c>
      <c r="AF932" s="11">
        <f t="shared" si="243"/>
        <v>634.13</v>
      </c>
      <c r="AG932" s="15">
        <f t="shared" si="244"/>
        <v>180.77999999999997</v>
      </c>
      <c r="AH932" s="18">
        <f t="shared" si="245"/>
        <v>0.28508350022865969</v>
      </c>
      <c r="AI932" s="21">
        <f t="shared" si="246"/>
        <v>0.28508350022865969</v>
      </c>
      <c r="AJ932">
        <f t="shared" si="247"/>
        <v>0</v>
      </c>
      <c r="AK932">
        <f t="shared" si="248"/>
        <v>0</v>
      </c>
      <c r="AL932">
        <f t="shared" si="249"/>
        <v>0</v>
      </c>
      <c r="AM932">
        <f t="shared" si="250"/>
        <v>0</v>
      </c>
      <c r="AN932">
        <f t="shared" si="251"/>
        <v>0</v>
      </c>
      <c r="AO932">
        <f t="shared" si="252"/>
        <v>0</v>
      </c>
      <c r="AP932">
        <f t="shared" si="253"/>
        <v>808.67</v>
      </c>
      <c r="AQ932">
        <f t="shared" si="254"/>
        <v>1</v>
      </c>
    </row>
    <row r="933" spans="1:43" s="15" customFormat="1">
      <c r="A933" s="15" t="s">
        <v>1109</v>
      </c>
      <c r="B933" s="16">
        <v>45824</v>
      </c>
      <c r="C933" s="16">
        <v>45826</v>
      </c>
      <c r="D933" s="17">
        <f t="shared" si="238"/>
        <v>2</v>
      </c>
      <c r="E933" s="15" t="s">
        <v>1110</v>
      </c>
      <c r="F933" s="15" t="s">
        <v>118</v>
      </c>
      <c r="G933" s="15" t="s">
        <v>95</v>
      </c>
      <c r="H933" s="15" t="s">
        <v>63</v>
      </c>
      <c r="I933" s="15" t="s">
        <v>72</v>
      </c>
      <c r="J933" s="15" t="s">
        <v>73</v>
      </c>
      <c r="K933" s="15" t="s">
        <v>28</v>
      </c>
      <c r="L933" s="15" t="s">
        <v>29</v>
      </c>
      <c r="M933" s="15" t="s">
        <v>1111</v>
      </c>
      <c r="N933" s="15" t="s">
        <v>50</v>
      </c>
      <c r="O933" s="15">
        <v>3</v>
      </c>
      <c r="P933" s="15">
        <v>4289.37</v>
      </c>
      <c r="Q933" s="18">
        <v>0.1</v>
      </c>
      <c r="R933" s="15">
        <v>11778.71</v>
      </c>
      <c r="S933" s="15">
        <v>6829.43</v>
      </c>
      <c r="T933" s="15">
        <v>4751.87</v>
      </c>
      <c r="U933" s="15" t="s">
        <v>32</v>
      </c>
      <c r="V933" s="15" t="s">
        <v>103</v>
      </c>
      <c r="W933" s="25"/>
      <c r="X933" s="8" t="str">
        <f>IF(C933&gt;=B933,"Valid", "Invalid-Date")</f>
        <v>Valid</v>
      </c>
      <c r="Y933" s="8" t="str">
        <f t="shared" si="239"/>
        <v>Valid</v>
      </c>
      <c r="Z933" s="19" t="str">
        <f t="shared" si="240"/>
        <v>Pass</v>
      </c>
      <c r="AA933" s="19" t="str">
        <f t="shared" si="241"/>
        <v>Pass</v>
      </c>
      <c r="AB933" s="19" t="str">
        <f>TEXT(B933,"mmmm")</f>
        <v>June</v>
      </c>
      <c r="AC933" s="19" t="str">
        <f>TEXT(B933,"yyyy")</f>
        <v>2025</v>
      </c>
      <c r="AD933" s="20"/>
      <c r="AE933" s="15">
        <f t="shared" si="242"/>
        <v>12868.11</v>
      </c>
      <c r="AF933" s="11">
        <f t="shared" si="243"/>
        <v>11581.299000000001</v>
      </c>
      <c r="AG933" s="15">
        <f t="shared" si="244"/>
        <v>6038.68</v>
      </c>
      <c r="AH933" s="18">
        <f t="shared" si="245"/>
        <v>0.46927481968991563</v>
      </c>
      <c r="AI933" s="21">
        <f t="shared" si="246"/>
        <v>0.46927481968991563</v>
      </c>
      <c r="AJ933">
        <f t="shared" si="247"/>
        <v>0</v>
      </c>
      <c r="AK933">
        <f t="shared" si="248"/>
        <v>0</v>
      </c>
      <c r="AL933">
        <f t="shared" si="249"/>
        <v>0</v>
      </c>
      <c r="AM933">
        <f t="shared" si="250"/>
        <v>0</v>
      </c>
      <c r="AN933">
        <f t="shared" si="251"/>
        <v>0</v>
      </c>
      <c r="AO933">
        <f t="shared" si="252"/>
        <v>0</v>
      </c>
      <c r="AP933">
        <f t="shared" si="253"/>
        <v>11778.71</v>
      </c>
      <c r="AQ933">
        <f t="shared" si="254"/>
        <v>1</v>
      </c>
    </row>
  </sheetData>
  <conditionalFormatting sqref="A1:A1048576">
    <cfRule type="duplicateValues" dxfId="141" priority="10"/>
  </conditionalFormatting>
  <conditionalFormatting sqref="H1:H1048576">
    <cfRule type="containsText" dxfId="140" priority="9" operator="containsText" text="Unknown">
      <formula>NOT(ISERROR(SEARCH("Unknown",H1)))</formula>
    </cfRule>
  </conditionalFormatting>
  <conditionalFormatting sqref="N1:N1048576">
    <cfRule type="containsText" dxfId="139" priority="8" operator="containsText" text="Unknown">
      <formula>NOT(ISERROR(SEARCH("Unknown",N1)))</formula>
    </cfRule>
  </conditionalFormatting>
  <conditionalFormatting sqref="O1:P1048576 R1:R1048576">
    <cfRule type="expression" priority="3">
      <formula>"if(O2*P2) != R2"</formula>
    </cfRule>
  </conditionalFormatting>
  <conditionalFormatting sqref="Q1:Q1048576">
    <cfRule type="cellIs" dxfId="138" priority="1" operator="greaterThan">
      <formula>0.5</formula>
    </cfRule>
    <cfRule type="cellIs" dxfId="137" priority="2" operator="greaterThan">
      <formula>0.5</formula>
    </cfRule>
    <cfRule type="cellIs" dxfId="136" priority="4" operator="lessThan">
      <formula>0</formula>
    </cfRule>
    <cfRule type="cellIs" dxfId="135" priority="5" operator="lessThan">
      <formula>0</formula>
    </cfRule>
    <cfRule type="cellIs" dxfId="134" priority="6" operator="equal">
      <formula>0</formula>
    </cfRule>
    <cfRule type="containsText" dxfId="133" priority="7" operator="containsText" text="0.00">
      <formula>NOT(ISERROR(SEARCH("0.00",Q1)))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66633-A4DF-4D7B-9178-11CBCB31449B}">
  <dimension ref="A2:K36"/>
  <sheetViews>
    <sheetView tabSelected="1" topLeftCell="B5" workbookViewId="0">
      <selection activeCell="E40" sqref="E40"/>
    </sheetView>
  </sheetViews>
  <sheetFormatPr defaultRowHeight="13.8"/>
  <cols>
    <col min="1" max="1" width="16" bestFit="1" customWidth="1"/>
    <col min="2" max="4" width="12.19921875" bestFit="1" customWidth="1"/>
    <col min="5" max="5" width="16.19921875" bestFit="1" customWidth="1"/>
    <col min="6" max="6" width="16.09765625" bestFit="1" customWidth="1"/>
    <col min="7" max="7" width="5.69921875" bestFit="1" customWidth="1"/>
    <col min="8" max="8" width="6" bestFit="1" customWidth="1"/>
    <col min="9" max="9" width="9.09765625" bestFit="1" customWidth="1"/>
    <col min="10" max="10" width="5.296875" bestFit="1" customWidth="1"/>
    <col min="11" max="12" width="11" bestFit="1" customWidth="1"/>
    <col min="13" max="13" width="16.19921875" bestFit="1" customWidth="1"/>
    <col min="14" max="14" width="23.09765625" bestFit="1" customWidth="1"/>
    <col min="15" max="15" width="16.19921875" bestFit="1" customWidth="1"/>
    <col min="16" max="16" width="23.09765625" bestFit="1" customWidth="1"/>
    <col min="17" max="17" width="16.19921875" bestFit="1" customWidth="1"/>
    <col min="18" max="18" width="28" bestFit="1" customWidth="1"/>
    <col min="19" max="19" width="21.19921875" bestFit="1" customWidth="1"/>
    <col min="20" max="20" width="9" bestFit="1" customWidth="1"/>
    <col min="21" max="21" width="14" bestFit="1" customWidth="1"/>
    <col min="22" max="22" width="9.59765625" bestFit="1" customWidth="1"/>
    <col min="23" max="23" width="10.5" bestFit="1" customWidth="1"/>
    <col min="24" max="24" width="9" bestFit="1" customWidth="1"/>
    <col min="25" max="25" width="10.09765625" bestFit="1" customWidth="1"/>
    <col min="26" max="26" width="8.5" bestFit="1" customWidth="1"/>
    <col min="27" max="27" width="11.59765625" bestFit="1" customWidth="1"/>
    <col min="28" max="28" width="11" bestFit="1" customWidth="1"/>
  </cols>
  <sheetData>
    <row r="2" spans="1:6" ht="14.4" thickBot="1"/>
    <row r="3" spans="1:6" ht="14.4" thickTop="1">
      <c r="A3" s="38" t="s">
        <v>2819</v>
      </c>
      <c r="B3" s="61" t="s">
        <v>2817</v>
      </c>
      <c r="C3" s="46" t="s">
        <v>2818</v>
      </c>
      <c r="E3" s="57" t="s">
        <v>2819</v>
      </c>
      <c r="F3" s="58" t="s">
        <v>2822</v>
      </c>
    </row>
    <row r="4" spans="1:6">
      <c r="A4" s="39" t="s">
        <v>38</v>
      </c>
      <c r="B4" s="62">
        <v>2226458.4499999997</v>
      </c>
      <c r="C4" s="49">
        <v>680537.90000000014</v>
      </c>
      <c r="E4" s="47" t="s">
        <v>68</v>
      </c>
      <c r="F4" s="49">
        <v>146</v>
      </c>
    </row>
    <row r="5" spans="1:6">
      <c r="A5" s="39" t="s">
        <v>25</v>
      </c>
      <c r="B5" s="62">
        <v>2187400.9399999995</v>
      </c>
      <c r="C5" s="49">
        <v>648053.67000000027</v>
      </c>
      <c r="E5" s="47" t="s">
        <v>33</v>
      </c>
      <c r="F5" s="49">
        <v>622</v>
      </c>
    </row>
    <row r="6" spans="1:6">
      <c r="A6" s="39" t="s">
        <v>54</v>
      </c>
      <c r="B6" s="62">
        <v>2379639.3099999987</v>
      </c>
      <c r="C6" s="49">
        <v>680158.12999999942</v>
      </c>
      <c r="E6" s="47" t="s">
        <v>103</v>
      </c>
      <c r="F6" s="49">
        <v>164</v>
      </c>
    </row>
    <row r="7" spans="1:6">
      <c r="A7" s="39" t="s">
        <v>2785</v>
      </c>
      <c r="B7" s="62">
        <v>305071.10000000003</v>
      </c>
      <c r="C7" s="49">
        <v>101666.42</v>
      </c>
      <c r="E7" s="47" t="s">
        <v>2820</v>
      </c>
      <c r="F7" s="49"/>
    </row>
    <row r="8" spans="1:6" ht="14.4" thickBot="1">
      <c r="A8" s="39" t="s">
        <v>63</v>
      </c>
      <c r="B8" s="62">
        <v>2151597.4500000011</v>
      </c>
      <c r="C8" s="49">
        <v>604439.36999999988</v>
      </c>
      <c r="E8" s="59" t="s">
        <v>2821</v>
      </c>
      <c r="F8" s="60">
        <v>932</v>
      </c>
    </row>
    <row r="9" spans="1:6" ht="14.4" thickTop="1">
      <c r="A9" s="39" t="s">
        <v>2820</v>
      </c>
      <c r="B9" s="62"/>
      <c r="C9" s="49"/>
    </row>
    <row r="10" spans="1:6" ht="14.4" thickBot="1">
      <c r="A10" s="39" t="s">
        <v>2821</v>
      </c>
      <c r="B10" s="63">
        <v>9250167.2499999981</v>
      </c>
      <c r="C10" s="50">
        <v>2714855.4899999993</v>
      </c>
    </row>
    <row r="11" spans="1:6" ht="14.4" thickTop="1">
      <c r="A11" s="39"/>
      <c r="B11" s="37"/>
      <c r="C11" s="37"/>
    </row>
    <row r="12" spans="1:6">
      <c r="A12" s="39"/>
      <c r="B12" s="37"/>
      <c r="C12" s="37"/>
    </row>
    <row r="14" spans="1:6">
      <c r="A14" s="41" t="s">
        <v>2819</v>
      </c>
      <c r="B14" s="64" t="s">
        <v>2818</v>
      </c>
      <c r="C14" s="65" t="s">
        <v>2817</v>
      </c>
      <c r="E14" s="51" t="s">
        <v>2819</v>
      </c>
      <c r="F14" s="52" t="s">
        <v>2823</v>
      </c>
    </row>
    <row r="15" spans="1:6">
      <c r="A15" s="39" t="s">
        <v>41</v>
      </c>
      <c r="B15" s="66">
        <v>935979.78999999992</v>
      </c>
      <c r="C15" s="67">
        <v>3185933.01</v>
      </c>
      <c r="E15" s="53" t="s">
        <v>24</v>
      </c>
      <c r="F15" s="54">
        <v>0.38394459944426984</v>
      </c>
    </row>
    <row r="16" spans="1:6">
      <c r="A16" s="40" t="s">
        <v>158</v>
      </c>
      <c r="B16" s="66">
        <v>199672.25000000003</v>
      </c>
      <c r="C16" s="67">
        <v>690783.83000000007</v>
      </c>
      <c r="E16" s="53" t="s">
        <v>90</v>
      </c>
      <c r="F16" s="54">
        <v>0.37726806422015746</v>
      </c>
    </row>
    <row r="17" spans="1:11">
      <c r="A17" s="40" t="s">
        <v>66</v>
      </c>
      <c r="B17" s="66">
        <v>292019.05999999994</v>
      </c>
      <c r="C17" s="67">
        <v>997017.24999999988</v>
      </c>
      <c r="E17" s="53" t="s">
        <v>95</v>
      </c>
      <c r="F17" s="54">
        <v>0.38264578341071043</v>
      </c>
    </row>
    <row r="18" spans="1:11">
      <c r="A18" s="40" t="s">
        <v>57</v>
      </c>
      <c r="B18" s="66">
        <v>233538.11999999997</v>
      </c>
      <c r="C18" s="67">
        <v>818058.63000000012</v>
      </c>
      <c r="E18" s="53" t="s">
        <v>37</v>
      </c>
      <c r="F18" s="54">
        <v>0.37276278706910165</v>
      </c>
    </row>
    <row r="19" spans="1:11">
      <c r="A19" s="40" t="s">
        <v>42</v>
      </c>
      <c r="B19" s="66">
        <v>210750.36</v>
      </c>
      <c r="C19" s="67">
        <v>680073.3</v>
      </c>
      <c r="E19" s="53" t="s">
        <v>2820</v>
      </c>
      <c r="F19" s="54"/>
    </row>
    <row r="20" spans="1:11">
      <c r="A20" s="39" t="s">
        <v>28</v>
      </c>
      <c r="B20" s="66">
        <v>813551.0199999999</v>
      </c>
      <c r="C20" s="67">
        <v>2820766.7600000002</v>
      </c>
      <c r="E20" s="55" t="s">
        <v>2821</v>
      </c>
      <c r="F20" s="56">
        <v>0.37904996331474738</v>
      </c>
    </row>
    <row r="21" spans="1:11">
      <c r="A21" s="40" t="s">
        <v>48</v>
      </c>
      <c r="B21" s="66">
        <v>169095.48999999996</v>
      </c>
      <c r="C21" s="67">
        <v>595052.19000000006</v>
      </c>
    </row>
    <row r="22" spans="1:11" ht="14.4" thickBot="1">
      <c r="A22" s="40" t="s">
        <v>153</v>
      </c>
      <c r="B22" s="66">
        <v>166674.33000000002</v>
      </c>
      <c r="C22" s="67">
        <v>555619.29999999993</v>
      </c>
    </row>
    <row r="23" spans="1:11" ht="15" thickTop="1" thickBot="1">
      <c r="A23" s="40" t="s">
        <v>91</v>
      </c>
      <c r="B23" s="66">
        <v>105086.29</v>
      </c>
      <c r="C23" s="67">
        <v>341081.60999999993</v>
      </c>
      <c r="E23" s="74" t="s">
        <v>2826</v>
      </c>
      <c r="F23" s="74" t="s">
        <v>2824</v>
      </c>
      <c r="G23" s="75"/>
      <c r="H23" s="76"/>
      <c r="I23" s="76"/>
      <c r="J23" s="76"/>
      <c r="K23" s="77"/>
    </row>
    <row r="24" spans="1:11" ht="15" thickTop="1" thickBot="1">
      <c r="A24" s="40" t="s">
        <v>29</v>
      </c>
      <c r="B24" s="66">
        <v>178152.75</v>
      </c>
      <c r="C24" s="67">
        <v>620009.35000000009</v>
      </c>
      <c r="E24" s="74" t="s">
        <v>2819</v>
      </c>
      <c r="F24" s="75" t="s">
        <v>38</v>
      </c>
      <c r="G24" s="76" t="s">
        <v>25</v>
      </c>
      <c r="H24" s="76" t="s">
        <v>54</v>
      </c>
      <c r="I24" s="76" t="s">
        <v>2785</v>
      </c>
      <c r="J24" s="77" t="s">
        <v>63</v>
      </c>
      <c r="K24" s="74" t="s">
        <v>2821</v>
      </c>
    </row>
    <row r="25" spans="1:11" ht="15" thickTop="1" thickBot="1">
      <c r="A25" s="40" t="s">
        <v>124</v>
      </c>
      <c r="B25" s="66">
        <v>194542.16000000003</v>
      </c>
      <c r="C25" s="67">
        <v>709004.30999999994</v>
      </c>
      <c r="E25" s="73" t="s">
        <v>68</v>
      </c>
      <c r="F25" s="70">
        <v>30</v>
      </c>
      <c r="G25" s="71">
        <v>49</v>
      </c>
      <c r="H25" s="71">
        <v>35</v>
      </c>
      <c r="I25" s="71">
        <v>2</v>
      </c>
      <c r="J25" s="71">
        <v>30</v>
      </c>
      <c r="K25" s="72">
        <v>146</v>
      </c>
    </row>
    <row r="26" spans="1:11" ht="15" thickTop="1" thickBot="1">
      <c r="A26" s="39" t="s">
        <v>74</v>
      </c>
      <c r="B26" s="66">
        <v>965324.68</v>
      </c>
      <c r="C26" s="67">
        <v>3243467.4799999995</v>
      </c>
      <c r="E26" s="78" t="s">
        <v>2821</v>
      </c>
      <c r="F26" s="79">
        <v>30</v>
      </c>
      <c r="G26" s="80">
        <v>49</v>
      </c>
      <c r="H26" s="80">
        <v>35</v>
      </c>
      <c r="I26" s="80">
        <v>2</v>
      </c>
      <c r="J26" s="80">
        <v>30</v>
      </c>
      <c r="K26" s="81">
        <v>146</v>
      </c>
    </row>
    <row r="27" spans="1:11" ht="14.4" thickTop="1">
      <c r="A27" s="40" t="s">
        <v>75</v>
      </c>
      <c r="B27" s="66">
        <v>248081.91000000006</v>
      </c>
      <c r="C27" s="67">
        <v>822281.68999999959</v>
      </c>
    </row>
    <row r="28" spans="1:11" ht="14.4" thickTop="1">
      <c r="A28" s="40" t="s">
        <v>80</v>
      </c>
      <c r="B28" s="66">
        <v>270300.02000000008</v>
      </c>
      <c r="C28" s="67">
        <v>918533.79000000039</v>
      </c>
    </row>
    <row r="29" spans="1:11" ht="14.4" thickTop="1">
      <c r="A29" s="40" t="s">
        <v>274</v>
      </c>
      <c r="B29" s="66">
        <v>206411.69</v>
      </c>
      <c r="C29" s="67">
        <v>661906.89999999979</v>
      </c>
      <c r="E29" s="82" t="s">
        <v>2825</v>
      </c>
      <c r="F29" s="83" t="s">
        <v>2824</v>
      </c>
      <c r="G29" s="83"/>
      <c r="H29" s="83"/>
      <c r="I29" s="83"/>
      <c r="J29" s="83"/>
      <c r="K29" s="84"/>
    </row>
    <row r="30" spans="1:11" ht="14.4" thickBot="1">
      <c r="A30" s="40" t="s">
        <v>171</v>
      </c>
      <c r="B30" s="66">
        <v>240531.05999999994</v>
      </c>
      <c r="C30" s="67">
        <v>840745.09999999986</v>
      </c>
      <c r="E30" s="85" t="s">
        <v>2819</v>
      </c>
      <c r="F30" s="86" t="s">
        <v>38</v>
      </c>
      <c r="G30" s="86" t="s">
        <v>25</v>
      </c>
      <c r="H30" s="86" t="s">
        <v>54</v>
      </c>
      <c r="I30" s="86" t="s">
        <v>2785</v>
      </c>
      <c r="J30" s="86" t="s">
        <v>63</v>
      </c>
      <c r="K30" s="87" t="s">
        <v>2821</v>
      </c>
    </row>
    <row r="31" spans="1:11" ht="15" thickTop="1" thickBot="1">
      <c r="A31" s="39" t="s">
        <v>2820</v>
      </c>
      <c r="B31" s="66"/>
      <c r="C31" s="67"/>
      <c r="E31" s="53" t="s">
        <v>155</v>
      </c>
      <c r="F31" s="48">
        <v>13</v>
      </c>
      <c r="G31" s="48">
        <v>20</v>
      </c>
      <c r="H31" s="48">
        <v>20</v>
      </c>
      <c r="I31" s="48">
        <v>2</v>
      </c>
      <c r="J31" s="48">
        <v>14</v>
      </c>
      <c r="K31" s="67">
        <v>69</v>
      </c>
    </row>
    <row r="32" spans="1:11" ht="14.4" thickTop="1">
      <c r="A32" s="40" t="s">
        <v>2820</v>
      </c>
      <c r="B32" s="66"/>
      <c r="C32" s="67"/>
      <c r="E32" s="53" t="s">
        <v>102</v>
      </c>
      <c r="F32" s="48">
        <v>14</v>
      </c>
      <c r="G32" s="48">
        <v>21</v>
      </c>
      <c r="H32" s="48">
        <v>20</v>
      </c>
      <c r="I32" s="48">
        <v>3</v>
      </c>
      <c r="J32" s="48">
        <v>14</v>
      </c>
      <c r="K32" s="67">
        <v>72</v>
      </c>
    </row>
    <row r="33" spans="1:11">
      <c r="A33" s="42" t="s">
        <v>2821</v>
      </c>
      <c r="B33" s="68">
        <v>2714855.49</v>
      </c>
      <c r="C33" s="69">
        <v>9250167.25</v>
      </c>
      <c r="E33" s="88" t="s">
        <v>2821</v>
      </c>
      <c r="F33" s="89">
        <v>27</v>
      </c>
      <c r="G33" s="89">
        <v>41</v>
      </c>
      <c r="H33" s="89">
        <v>40</v>
      </c>
      <c r="I33" s="89">
        <v>5</v>
      </c>
      <c r="J33" s="89">
        <v>28</v>
      </c>
      <c r="K33" s="90">
        <v>141</v>
      </c>
    </row>
    <row r="35" spans="1:11" ht="14.4" thickBot="1"/>
    <row r="36" spans="1:11" ht="14.4" thickTop="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cleaned_data</vt:lpstr>
      <vt:lpstr>business_rules</vt:lpstr>
      <vt:lpstr>sales_summary</vt:lpstr>
      <vt:lpstr>pivot_summary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Swetha</dc:creator>
  <cp:lastModifiedBy>Rishi da pro gamer</cp:lastModifiedBy>
  <dcterms:created xsi:type="dcterms:W3CDTF">2026-06-21T02:16:19Z</dcterms:created>
  <dcterms:modified xsi:type="dcterms:W3CDTF">2026-06-23T03:21:18Z</dcterms:modified>
</cp:coreProperties>
</file>